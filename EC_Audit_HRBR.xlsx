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onitodesigns-my.sharepoint.com/personal/bd1040_bonito_in/Documents/EC_Audit 2026/"/>
    </mc:Choice>
  </mc:AlternateContent>
  <xr:revisionPtr revIDLastSave="10" documentId="11_8F4745E134F7B5EDC33A91B5A26D0B9B2989480D" xr6:coauthVersionLast="47" xr6:coauthVersionMax="47" xr10:uidLastSave="{3623405F-EFB5-46C9-80BF-C7849365D9D9}"/>
  <bookViews>
    <workbookView xWindow="-108" yWindow="-108" windowWidth="23256" windowHeight="12456" tabRatio="826" firstSheet="1" activeTab="1" xr2:uid="{00000000-000D-0000-FFFF-FFFF00000000}"/>
  </bookViews>
  <sheets>
    <sheet name="📋 DASHBOARD" sheetId="1" state="hidden" r:id="rId1"/>
    <sheet name="Laminates" sheetId="2" r:id="rId2"/>
    <sheet name="Acrylic n Crystal Acrylic" sheetId="3" r:id="rId3"/>
    <sheet name="PU and Membrane" sheetId="4" r:id="rId4"/>
    <sheet name="Rafters" sheetId="5" r:id="rId5"/>
    <sheet name="Wallpaper" sheetId="6" r:id="rId6"/>
    <sheet name="Quartz" sheetId="7" r:id="rId7"/>
    <sheet name="Granite" sheetId="8" r:id="rId8"/>
    <sheet name="Wooden Flooring" sheetId="9" r:id="rId9"/>
    <sheet name="Beading" sheetId="10" r:id="rId10"/>
    <sheet name="Bonito Legs" sheetId="11" r:id="rId11"/>
    <sheet name="Handles" sheetId="12" r:id="rId12"/>
    <sheet name="Fabric" sheetId="13" r:id="rId13"/>
  </sheets>
  <definedNames>
    <definedName name="_xlnm._FilterDatabase" localSheetId="2" hidden="1">'Acrylic n Crystal Acrylic'!$A$4:$AW$67</definedName>
    <definedName name="_xlnm._FilterDatabase" localSheetId="9" hidden="1">Beading!$A$4:$AW$39</definedName>
    <definedName name="_xlnm._FilterDatabase" localSheetId="10" hidden="1">'Bonito Legs'!$A$4:$AW$80</definedName>
    <definedName name="_xlnm._FilterDatabase" localSheetId="12" hidden="1">Fabric!$A$4:$AW$292</definedName>
    <definedName name="_xlnm._FilterDatabase" localSheetId="7" hidden="1">Granite!$A$4:$AW$15</definedName>
    <definedName name="_xlnm._FilterDatabase" localSheetId="11" hidden="1">Handles!$A$4:$AW$516</definedName>
    <definedName name="_xlnm._FilterDatabase" localSheetId="1" hidden="1">Laminates!$A$4:$AW$288</definedName>
    <definedName name="_xlnm._FilterDatabase" localSheetId="3" hidden="1">'PU and Membrane'!$A$4:$AW$85</definedName>
    <definedName name="_xlnm._FilterDatabase" localSheetId="6" hidden="1">Quartz!$A$4:$AW$117</definedName>
    <definedName name="_xlnm._FilterDatabase" localSheetId="4" hidden="1">Rafters!$A$4:$AW$168</definedName>
    <definedName name="_xlnm._FilterDatabase" localSheetId="5" hidden="1">Wallpaper!$A$4:$AW$1413</definedName>
    <definedName name="_xlnm._FilterDatabase" localSheetId="8" hidden="1">'Wooden Flooring'!$A$4:$AW$26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16" i="12" l="1"/>
  <c r="AN516" i="12"/>
  <c r="AE516" i="12"/>
  <c r="V516" i="12"/>
  <c r="M516" i="12"/>
  <c r="AW515" i="12"/>
  <c r="AN515" i="12"/>
  <c r="AE515" i="12"/>
  <c r="V515" i="12"/>
  <c r="M515" i="12"/>
  <c r="AW514" i="12"/>
  <c r="AN514" i="12"/>
  <c r="AE514" i="12"/>
  <c r="V514" i="12"/>
  <c r="M514" i="12"/>
  <c r="AW513" i="12"/>
  <c r="AN513" i="12"/>
  <c r="AE513" i="12"/>
  <c r="V513" i="12"/>
  <c r="M513" i="12"/>
  <c r="AW512" i="12"/>
  <c r="AN512" i="12"/>
  <c r="AE512" i="12"/>
  <c r="V512" i="12"/>
  <c r="M512" i="12"/>
  <c r="AW511" i="12"/>
  <c r="AN511" i="12"/>
  <c r="AE511" i="12"/>
  <c r="V511" i="12"/>
  <c r="M511" i="12"/>
  <c r="AW510" i="12"/>
  <c r="AN510" i="12"/>
  <c r="AE510" i="12"/>
  <c r="V510" i="12"/>
  <c r="M510" i="12"/>
  <c r="AW509" i="12"/>
  <c r="AN509" i="12"/>
  <c r="AE509" i="12"/>
  <c r="V509" i="12"/>
  <c r="M509" i="12"/>
  <c r="AW508" i="12"/>
  <c r="AN508" i="12"/>
  <c r="AE508" i="12"/>
  <c r="V508" i="12"/>
  <c r="M508" i="12"/>
  <c r="AW507" i="12"/>
  <c r="AN507" i="12"/>
  <c r="AE507" i="12"/>
  <c r="V507" i="12"/>
  <c r="M507" i="12"/>
  <c r="AW506" i="12"/>
  <c r="AN506" i="12"/>
  <c r="AE506" i="12"/>
  <c r="V506" i="12"/>
  <c r="M506" i="12"/>
  <c r="AW505" i="12"/>
  <c r="AN505" i="12"/>
  <c r="AE505" i="12"/>
  <c r="V505" i="12"/>
  <c r="M505" i="12"/>
  <c r="AW504" i="12"/>
  <c r="AN504" i="12"/>
  <c r="AE504" i="12"/>
  <c r="V504" i="12"/>
  <c r="M504" i="12"/>
  <c r="AW503" i="12"/>
  <c r="AN503" i="12"/>
  <c r="AE503" i="12"/>
  <c r="V503" i="12"/>
  <c r="M503" i="12"/>
  <c r="AW502" i="12"/>
  <c r="AN502" i="12"/>
  <c r="AE502" i="12"/>
  <c r="V502" i="12"/>
  <c r="M502" i="12"/>
  <c r="AW501" i="12"/>
  <c r="AN501" i="12"/>
  <c r="AE501" i="12"/>
  <c r="V501" i="12"/>
  <c r="M501" i="12"/>
  <c r="AW500" i="12"/>
  <c r="AN500" i="12"/>
  <c r="AE500" i="12"/>
  <c r="V500" i="12"/>
  <c r="M500" i="12"/>
  <c r="AW499" i="12"/>
  <c r="AN499" i="12"/>
  <c r="AE499" i="12"/>
  <c r="V499" i="12"/>
  <c r="M499" i="12"/>
  <c r="AW498" i="12"/>
  <c r="AN498" i="12"/>
  <c r="AE498" i="12"/>
  <c r="V498" i="12"/>
  <c r="M498" i="12"/>
  <c r="AW497" i="12"/>
  <c r="AN497" i="12"/>
  <c r="AE497" i="12"/>
  <c r="V497" i="12"/>
  <c r="M497" i="12"/>
  <c r="AW496" i="12"/>
  <c r="AN496" i="12"/>
  <c r="AE496" i="12"/>
  <c r="V496" i="12"/>
  <c r="M496" i="12"/>
  <c r="AW495" i="12"/>
  <c r="AN495" i="12"/>
  <c r="AE495" i="12"/>
  <c r="V495" i="12"/>
  <c r="M495" i="12"/>
  <c r="AW494" i="12"/>
  <c r="AN494" i="12"/>
  <c r="AE494" i="12"/>
  <c r="V494" i="12"/>
  <c r="M494" i="12"/>
  <c r="AW493" i="12"/>
  <c r="AN493" i="12"/>
  <c r="AE493" i="12"/>
  <c r="V493" i="12"/>
  <c r="M493" i="12"/>
  <c r="AW492" i="12"/>
  <c r="AN492" i="12"/>
  <c r="AE492" i="12"/>
  <c r="V492" i="12"/>
  <c r="M492" i="12"/>
  <c r="AW491" i="12"/>
  <c r="AN491" i="12"/>
  <c r="AE491" i="12"/>
  <c r="V491" i="12"/>
  <c r="M491" i="12"/>
  <c r="AW490" i="12"/>
  <c r="AN490" i="12"/>
  <c r="AE490" i="12"/>
  <c r="V490" i="12"/>
  <c r="M490" i="12"/>
  <c r="AW489" i="12"/>
  <c r="AN489" i="12"/>
  <c r="AE489" i="12"/>
  <c r="V489" i="12"/>
  <c r="M489" i="12"/>
  <c r="AW488" i="12"/>
  <c r="AN488" i="12"/>
  <c r="AE488" i="12"/>
  <c r="V488" i="12"/>
  <c r="M488" i="12"/>
  <c r="AW487" i="12"/>
  <c r="AN487" i="12"/>
  <c r="AE487" i="12"/>
  <c r="V487" i="12"/>
  <c r="M487" i="12"/>
  <c r="AW486" i="12"/>
  <c r="AN486" i="12"/>
  <c r="AE486" i="12"/>
  <c r="V486" i="12"/>
  <c r="M486" i="12"/>
  <c r="AW485" i="12"/>
  <c r="AN485" i="12"/>
  <c r="AE485" i="12"/>
  <c r="V485" i="12"/>
  <c r="M485" i="12"/>
  <c r="AW484" i="12"/>
  <c r="AN484" i="12"/>
  <c r="AE484" i="12"/>
  <c r="V484" i="12"/>
  <c r="M484" i="12"/>
  <c r="AW483" i="12"/>
  <c r="AN483" i="12"/>
  <c r="AE483" i="12"/>
  <c r="V483" i="12"/>
  <c r="M483" i="12"/>
  <c r="AW482" i="12"/>
  <c r="AN482" i="12"/>
  <c r="AE482" i="12"/>
  <c r="V482" i="12"/>
  <c r="M482" i="12"/>
  <c r="AW481" i="12"/>
  <c r="AN481" i="12"/>
  <c r="AE481" i="12"/>
  <c r="V481" i="12"/>
  <c r="M481" i="12"/>
  <c r="AW480" i="12"/>
  <c r="AN480" i="12"/>
  <c r="AE480" i="12"/>
  <c r="V480" i="12"/>
  <c r="M480" i="12"/>
  <c r="AW479" i="12"/>
  <c r="AN479" i="12"/>
  <c r="AE479" i="12"/>
  <c r="V479" i="12"/>
  <c r="M479" i="12"/>
  <c r="AW478" i="12"/>
  <c r="AN478" i="12"/>
  <c r="AE478" i="12"/>
  <c r="V478" i="12"/>
  <c r="M478" i="12"/>
  <c r="AW477" i="12"/>
  <c r="AN477" i="12"/>
  <c r="AE477" i="12"/>
  <c r="V477" i="12"/>
  <c r="M477" i="12"/>
  <c r="AW476" i="12"/>
  <c r="AN476" i="12"/>
  <c r="AE476" i="12"/>
  <c r="V476" i="12"/>
  <c r="M476" i="12"/>
  <c r="AW475" i="12"/>
  <c r="AN475" i="12"/>
  <c r="AE475" i="12"/>
  <c r="V475" i="12"/>
  <c r="M475" i="12"/>
  <c r="AW474" i="12"/>
  <c r="AN474" i="12"/>
  <c r="AE474" i="12"/>
  <c r="V474" i="12"/>
  <c r="M474" i="12"/>
  <c r="AW473" i="12"/>
  <c r="AN473" i="12"/>
  <c r="AE473" i="12"/>
  <c r="V473" i="12"/>
  <c r="M473" i="12"/>
  <c r="AW472" i="12"/>
  <c r="AN472" i="12"/>
  <c r="AE472" i="12"/>
  <c r="V472" i="12"/>
  <c r="M472" i="12"/>
  <c r="AW471" i="12"/>
  <c r="AN471" i="12"/>
  <c r="AE471" i="12"/>
  <c r="V471" i="12"/>
  <c r="M471" i="12"/>
  <c r="AW470" i="12"/>
  <c r="AN470" i="12"/>
  <c r="AE470" i="12"/>
  <c r="V470" i="12"/>
  <c r="M470" i="12"/>
  <c r="AW469" i="12"/>
  <c r="AN469" i="12"/>
  <c r="AE469" i="12"/>
  <c r="V469" i="12"/>
  <c r="M469" i="12"/>
  <c r="AW468" i="12"/>
  <c r="AN468" i="12"/>
  <c r="AE468" i="12"/>
  <c r="V468" i="12"/>
  <c r="M468" i="12"/>
  <c r="AW467" i="12"/>
  <c r="AN467" i="12"/>
  <c r="AE467" i="12"/>
  <c r="V467" i="12"/>
  <c r="M467" i="12"/>
  <c r="AW466" i="12"/>
  <c r="AN466" i="12"/>
  <c r="AE466" i="12"/>
  <c r="V466" i="12"/>
  <c r="M466" i="12"/>
  <c r="AW465" i="12"/>
  <c r="AN465" i="12"/>
  <c r="AE465" i="12"/>
  <c r="V465" i="12"/>
  <c r="M465" i="12"/>
  <c r="AW464" i="12"/>
  <c r="AN464" i="12"/>
  <c r="AE464" i="12"/>
  <c r="V464" i="12"/>
  <c r="M464" i="12"/>
  <c r="AW463" i="12"/>
  <c r="AN463" i="12"/>
  <c r="AE463" i="12"/>
  <c r="V463" i="12"/>
  <c r="M463" i="12"/>
  <c r="AW462" i="12"/>
  <c r="AN462" i="12"/>
  <c r="AE462" i="12"/>
  <c r="V462" i="12"/>
  <c r="M462" i="12"/>
  <c r="AW461" i="12"/>
  <c r="AN461" i="12"/>
  <c r="AE461" i="12"/>
  <c r="V461" i="12"/>
  <c r="M461" i="12"/>
  <c r="AW460" i="12"/>
  <c r="AN460" i="12"/>
  <c r="AE460" i="12"/>
  <c r="V460" i="12"/>
  <c r="M460" i="12"/>
  <c r="AW459" i="12"/>
  <c r="AN459" i="12"/>
  <c r="AE459" i="12"/>
  <c r="V459" i="12"/>
  <c r="M459" i="12"/>
  <c r="AW458" i="12"/>
  <c r="AN458" i="12"/>
  <c r="AE458" i="12"/>
  <c r="V458" i="12"/>
  <c r="M458" i="12"/>
  <c r="AW457" i="12"/>
  <c r="AN457" i="12"/>
  <c r="AE457" i="12"/>
  <c r="V457" i="12"/>
  <c r="M457" i="12"/>
  <c r="AW456" i="12"/>
  <c r="AN456" i="12"/>
  <c r="AE456" i="12"/>
  <c r="V456" i="12"/>
  <c r="M456" i="12"/>
  <c r="AW455" i="12"/>
  <c r="AN455" i="12"/>
  <c r="AE455" i="12"/>
  <c r="V455" i="12"/>
  <c r="M455" i="12"/>
  <c r="AW454" i="12"/>
  <c r="AN454" i="12"/>
  <c r="AE454" i="12"/>
  <c r="V454" i="12"/>
  <c r="M454" i="12"/>
  <c r="AW453" i="12"/>
  <c r="AN453" i="12"/>
  <c r="AE453" i="12"/>
  <c r="V453" i="12"/>
  <c r="M453" i="12"/>
  <c r="AW452" i="12"/>
  <c r="AN452" i="12"/>
  <c r="AE452" i="12"/>
  <c r="V452" i="12"/>
  <c r="M452" i="12"/>
  <c r="AW451" i="12"/>
  <c r="AN451" i="12"/>
  <c r="AE451" i="12"/>
  <c r="V451" i="12"/>
  <c r="M451" i="12"/>
  <c r="AW450" i="12"/>
  <c r="AN450" i="12"/>
  <c r="AE450" i="12"/>
  <c r="V450" i="12"/>
  <c r="M450" i="12"/>
  <c r="AW449" i="12"/>
  <c r="AN449" i="12"/>
  <c r="AE449" i="12"/>
  <c r="V449" i="12"/>
  <c r="M449" i="12"/>
  <c r="AW448" i="12"/>
  <c r="AN448" i="12"/>
  <c r="AE448" i="12"/>
  <c r="V448" i="12"/>
  <c r="M448" i="12"/>
  <c r="AW447" i="12"/>
  <c r="AN447" i="12"/>
  <c r="AE447" i="12"/>
  <c r="V447" i="12"/>
  <c r="M447" i="12"/>
  <c r="AW446" i="12"/>
  <c r="AN446" i="12"/>
  <c r="AE446" i="12"/>
  <c r="V446" i="12"/>
  <c r="M446" i="12"/>
  <c r="AW445" i="12"/>
  <c r="AN445" i="12"/>
  <c r="AE445" i="12"/>
  <c r="V445" i="12"/>
  <c r="M445" i="12"/>
  <c r="AW444" i="12"/>
  <c r="AN444" i="12"/>
  <c r="AE444" i="12"/>
  <c r="V444" i="12"/>
  <c r="M444" i="12"/>
  <c r="AW443" i="12"/>
  <c r="AN443" i="12"/>
  <c r="AE443" i="12"/>
  <c r="V443" i="12"/>
  <c r="M443" i="12"/>
  <c r="AW442" i="12"/>
  <c r="AN442" i="12"/>
  <c r="AE442" i="12"/>
  <c r="V442" i="12"/>
  <c r="M442" i="12"/>
  <c r="AW441" i="12"/>
  <c r="AN441" i="12"/>
  <c r="AE441" i="12"/>
  <c r="V441" i="12"/>
  <c r="M441" i="12"/>
  <c r="AW440" i="12"/>
  <c r="AN440" i="12"/>
  <c r="AE440" i="12"/>
  <c r="V440" i="12"/>
  <c r="M440" i="12"/>
  <c r="AW439" i="12"/>
  <c r="AN439" i="12"/>
  <c r="AE439" i="12"/>
  <c r="V439" i="12"/>
  <c r="M439" i="12"/>
  <c r="AW438" i="12"/>
  <c r="AN438" i="12"/>
  <c r="AE438" i="12"/>
  <c r="V438" i="12"/>
  <c r="M438" i="12"/>
  <c r="AW437" i="12"/>
  <c r="AN437" i="12"/>
  <c r="AE437" i="12"/>
  <c r="V437" i="12"/>
  <c r="M437" i="12"/>
  <c r="AW436" i="12"/>
  <c r="AN436" i="12"/>
  <c r="AE436" i="12"/>
  <c r="V436" i="12"/>
  <c r="M436" i="12"/>
  <c r="AW435" i="12"/>
  <c r="AN435" i="12"/>
  <c r="AE435" i="12"/>
  <c r="V435" i="12"/>
  <c r="M435" i="12"/>
  <c r="AW434" i="12"/>
  <c r="AN434" i="12"/>
  <c r="AE434" i="12"/>
  <c r="V434" i="12"/>
  <c r="M434" i="12"/>
  <c r="AW433" i="12"/>
  <c r="AN433" i="12"/>
  <c r="AE433" i="12"/>
  <c r="V433" i="12"/>
  <c r="M433" i="12"/>
  <c r="AW432" i="12"/>
  <c r="AN432" i="12"/>
  <c r="AE432" i="12"/>
  <c r="V432" i="12"/>
  <c r="M432" i="12"/>
  <c r="AW431" i="12"/>
  <c r="AN431" i="12"/>
  <c r="AE431" i="12"/>
  <c r="V431" i="12"/>
  <c r="M431" i="12"/>
  <c r="AW430" i="12"/>
  <c r="AN430" i="12"/>
  <c r="AE430" i="12"/>
  <c r="V430" i="12"/>
  <c r="M430" i="12"/>
  <c r="AW429" i="12"/>
  <c r="AN429" i="12"/>
  <c r="AE429" i="12"/>
  <c r="V429" i="12"/>
  <c r="M429" i="12"/>
  <c r="AW428" i="12"/>
  <c r="AN428" i="12"/>
  <c r="AE428" i="12"/>
  <c r="V428" i="12"/>
  <c r="M428" i="12"/>
  <c r="AW427" i="12"/>
  <c r="AN427" i="12"/>
  <c r="AE427" i="12"/>
  <c r="V427" i="12"/>
  <c r="M427" i="12"/>
  <c r="AW426" i="12"/>
  <c r="AN426" i="12"/>
  <c r="AE426" i="12"/>
  <c r="V426" i="12"/>
  <c r="M426" i="12"/>
  <c r="AW425" i="12"/>
  <c r="AN425" i="12"/>
  <c r="AE425" i="12"/>
  <c r="V425" i="12"/>
  <c r="M425" i="12"/>
  <c r="AW424" i="12"/>
  <c r="AN424" i="12"/>
  <c r="AE424" i="12"/>
  <c r="V424" i="12"/>
  <c r="M424" i="12"/>
  <c r="AW423" i="12"/>
  <c r="AN423" i="12"/>
  <c r="AE423" i="12"/>
  <c r="V423" i="12"/>
  <c r="M423" i="12"/>
  <c r="AW422" i="12"/>
  <c r="AN422" i="12"/>
  <c r="AE422" i="12"/>
  <c r="V422" i="12"/>
  <c r="M422" i="12"/>
  <c r="AW421" i="12"/>
  <c r="AN421" i="12"/>
  <c r="AE421" i="12"/>
  <c r="V421" i="12"/>
  <c r="M421" i="12"/>
  <c r="AW420" i="12"/>
  <c r="AN420" i="12"/>
  <c r="AE420" i="12"/>
  <c r="V420" i="12"/>
  <c r="M420" i="12"/>
  <c r="AW419" i="12"/>
  <c r="AN419" i="12"/>
  <c r="AE419" i="12"/>
  <c r="V419" i="12"/>
  <c r="M419" i="12"/>
  <c r="AW418" i="12"/>
  <c r="AN418" i="12"/>
  <c r="AE418" i="12"/>
  <c r="V418" i="12"/>
  <c r="M418" i="12"/>
  <c r="AW417" i="12"/>
  <c r="AN417" i="12"/>
  <c r="AE417" i="12"/>
  <c r="V417" i="12"/>
  <c r="M417" i="12"/>
  <c r="AW416" i="12"/>
  <c r="AN416" i="12"/>
  <c r="AE416" i="12"/>
  <c r="V416" i="12"/>
  <c r="M416" i="12"/>
  <c r="AW415" i="12"/>
  <c r="AN415" i="12"/>
  <c r="AE415" i="12"/>
  <c r="V415" i="12"/>
  <c r="M415" i="12"/>
  <c r="AW414" i="12"/>
  <c r="AN414" i="12"/>
  <c r="AE414" i="12"/>
  <c r="V414" i="12"/>
  <c r="M414" i="12"/>
  <c r="AW413" i="12"/>
  <c r="AN413" i="12"/>
  <c r="AE413" i="12"/>
  <c r="V413" i="12"/>
  <c r="M413" i="12"/>
  <c r="AW412" i="12"/>
  <c r="AN412" i="12"/>
  <c r="AE412" i="12"/>
  <c r="V412" i="12"/>
  <c r="M412" i="12"/>
  <c r="AW411" i="12"/>
  <c r="AN411" i="12"/>
  <c r="AE411" i="12"/>
  <c r="V411" i="12"/>
  <c r="M411" i="12"/>
  <c r="AW410" i="12"/>
  <c r="AN410" i="12"/>
  <c r="AE410" i="12"/>
  <c r="V410" i="12"/>
  <c r="M410" i="12"/>
  <c r="AW409" i="12"/>
  <c r="AN409" i="12"/>
  <c r="AE409" i="12"/>
  <c r="V409" i="12"/>
  <c r="M409" i="12"/>
  <c r="AW408" i="12"/>
  <c r="AN408" i="12"/>
  <c r="AE408" i="12"/>
  <c r="V408" i="12"/>
  <c r="M408" i="12"/>
  <c r="AW407" i="12"/>
  <c r="AN407" i="12"/>
  <c r="AE407" i="12"/>
  <c r="V407" i="12"/>
  <c r="M407" i="12"/>
  <c r="AW406" i="12"/>
  <c r="AN406" i="12"/>
  <c r="AE406" i="12"/>
  <c r="V406" i="12"/>
  <c r="M406" i="12"/>
  <c r="AW405" i="12"/>
  <c r="AN405" i="12"/>
  <c r="AE405" i="12"/>
  <c r="V405" i="12"/>
  <c r="M405" i="12"/>
  <c r="AW404" i="12"/>
  <c r="AN404" i="12"/>
  <c r="AE404" i="12"/>
  <c r="V404" i="12"/>
  <c r="M404" i="12"/>
  <c r="AW403" i="12"/>
  <c r="AN403" i="12"/>
  <c r="AE403" i="12"/>
  <c r="V403" i="12"/>
  <c r="M403" i="12"/>
  <c r="AW402" i="12"/>
  <c r="AN402" i="12"/>
  <c r="AE402" i="12"/>
  <c r="V402" i="12"/>
  <c r="M402" i="12"/>
  <c r="AW401" i="12"/>
  <c r="AN401" i="12"/>
  <c r="AE401" i="12"/>
  <c r="V401" i="12"/>
  <c r="M401" i="12"/>
  <c r="AW400" i="12"/>
  <c r="AN400" i="12"/>
  <c r="AE400" i="12"/>
  <c r="V400" i="12"/>
  <c r="M400" i="12"/>
  <c r="AW399" i="12"/>
  <c r="AN399" i="12"/>
  <c r="AE399" i="12"/>
  <c r="V399" i="12"/>
  <c r="M399" i="12"/>
  <c r="AW398" i="12"/>
  <c r="AN398" i="12"/>
  <c r="AE398" i="12"/>
  <c r="V398" i="12"/>
  <c r="M398" i="12"/>
  <c r="AW397" i="12"/>
  <c r="AN397" i="12"/>
  <c r="AE397" i="12"/>
  <c r="V397" i="12"/>
  <c r="M397" i="12"/>
  <c r="AW396" i="12"/>
  <c r="AN396" i="12"/>
  <c r="AE396" i="12"/>
  <c r="V396" i="12"/>
  <c r="M396" i="12"/>
  <c r="AW395" i="12"/>
  <c r="AN395" i="12"/>
  <c r="AE395" i="12"/>
  <c r="V395" i="12"/>
  <c r="M395" i="12"/>
  <c r="AW394" i="12"/>
  <c r="AN394" i="12"/>
  <c r="AE394" i="12"/>
  <c r="V394" i="12"/>
  <c r="M394" i="12"/>
  <c r="AW393" i="12"/>
  <c r="AN393" i="12"/>
  <c r="AE393" i="12"/>
  <c r="V393" i="12"/>
  <c r="M393" i="12"/>
  <c r="AW392" i="12"/>
  <c r="AN392" i="12"/>
  <c r="AE392" i="12"/>
  <c r="V392" i="12"/>
  <c r="M392" i="12"/>
  <c r="AW391" i="12"/>
  <c r="AN391" i="12"/>
  <c r="AE391" i="12"/>
  <c r="V391" i="12"/>
  <c r="M391" i="12"/>
  <c r="AW390" i="12"/>
  <c r="AN390" i="12"/>
  <c r="AE390" i="12"/>
  <c r="V390" i="12"/>
  <c r="M390" i="12"/>
  <c r="AW389" i="12"/>
  <c r="AN389" i="12"/>
  <c r="AE389" i="12"/>
  <c r="V389" i="12"/>
  <c r="M389" i="12"/>
  <c r="AW388" i="12"/>
  <c r="AN388" i="12"/>
  <c r="AE388" i="12"/>
  <c r="V388" i="12"/>
  <c r="M388" i="12"/>
  <c r="AW387" i="12"/>
  <c r="AN387" i="12"/>
  <c r="AE387" i="12"/>
  <c r="V387" i="12"/>
  <c r="M387" i="12"/>
  <c r="AW386" i="12"/>
  <c r="AN386" i="12"/>
  <c r="AE386" i="12"/>
  <c r="V386" i="12"/>
  <c r="M386" i="12"/>
  <c r="AW385" i="12"/>
  <c r="AN385" i="12"/>
  <c r="AE385" i="12"/>
  <c r="V385" i="12"/>
  <c r="M385" i="12"/>
  <c r="AW384" i="12"/>
  <c r="AN384" i="12"/>
  <c r="AE384" i="12"/>
  <c r="V384" i="12"/>
  <c r="M384" i="12"/>
  <c r="AW383" i="12"/>
  <c r="AN383" i="12"/>
  <c r="AE383" i="12"/>
  <c r="V383" i="12"/>
  <c r="M383" i="12"/>
  <c r="AW382" i="12"/>
  <c r="AN382" i="12"/>
  <c r="AE382" i="12"/>
  <c r="V382" i="12"/>
  <c r="M382" i="12"/>
  <c r="AW381" i="12"/>
  <c r="AN381" i="12"/>
  <c r="AE381" i="12"/>
  <c r="V381" i="12"/>
  <c r="M381" i="12"/>
  <c r="AW380" i="12"/>
  <c r="AN380" i="12"/>
  <c r="AE380" i="12"/>
  <c r="V380" i="12"/>
  <c r="M380" i="12"/>
  <c r="AW379" i="12"/>
  <c r="AN379" i="12"/>
  <c r="AE379" i="12"/>
  <c r="V379" i="12"/>
  <c r="M379" i="12"/>
  <c r="AW378" i="12"/>
  <c r="AN378" i="12"/>
  <c r="AE378" i="12"/>
  <c r="V378" i="12"/>
  <c r="M378" i="12"/>
  <c r="AW377" i="12"/>
  <c r="AN377" i="12"/>
  <c r="AE377" i="12"/>
  <c r="V377" i="12"/>
  <c r="M377" i="12"/>
  <c r="AW376" i="12"/>
  <c r="AN376" i="12"/>
  <c r="AE376" i="12"/>
  <c r="V376" i="12"/>
  <c r="M376" i="12"/>
  <c r="AW375" i="12"/>
  <c r="AN375" i="12"/>
  <c r="AE375" i="12"/>
  <c r="V375" i="12"/>
  <c r="M375" i="12"/>
  <c r="AW374" i="12"/>
  <c r="AN374" i="12"/>
  <c r="AE374" i="12"/>
  <c r="V374" i="12"/>
  <c r="M374" i="12"/>
  <c r="AW373" i="12"/>
  <c r="AN373" i="12"/>
  <c r="AE373" i="12"/>
  <c r="V373" i="12"/>
  <c r="M373" i="12"/>
  <c r="AW372" i="12"/>
  <c r="AN372" i="12"/>
  <c r="AE372" i="12"/>
  <c r="V372" i="12"/>
  <c r="M372" i="12"/>
  <c r="AW371" i="12"/>
  <c r="AN371" i="12"/>
  <c r="AE371" i="12"/>
  <c r="V371" i="12"/>
  <c r="M371" i="12"/>
  <c r="AW370" i="12"/>
  <c r="AN370" i="12"/>
  <c r="AE370" i="12"/>
  <c r="V370" i="12"/>
  <c r="M370" i="12"/>
  <c r="AW369" i="12"/>
  <c r="AN369" i="12"/>
  <c r="AE369" i="12"/>
  <c r="V369" i="12"/>
  <c r="M369" i="12"/>
  <c r="AW368" i="12"/>
  <c r="AN368" i="12"/>
  <c r="AE368" i="12"/>
  <c r="V368" i="12"/>
  <c r="M368" i="12"/>
  <c r="AW367" i="12"/>
  <c r="AN367" i="12"/>
  <c r="AE367" i="12"/>
  <c r="V367" i="12"/>
  <c r="M367" i="12"/>
  <c r="AW366" i="12"/>
  <c r="AN366" i="12"/>
  <c r="AE366" i="12"/>
  <c r="V366" i="12"/>
  <c r="M366" i="12"/>
  <c r="AW365" i="12"/>
  <c r="AN365" i="12"/>
  <c r="AE365" i="12"/>
  <c r="V365" i="12"/>
  <c r="M365" i="12"/>
  <c r="AW364" i="12"/>
  <c r="AN364" i="12"/>
  <c r="AE364" i="12"/>
  <c r="V364" i="12"/>
  <c r="M364" i="12"/>
  <c r="AW363" i="12"/>
  <c r="AN363" i="12"/>
  <c r="AE363" i="12"/>
  <c r="V363" i="12"/>
  <c r="M363" i="12"/>
  <c r="AW362" i="12"/>
  <c r="AN362" i="12"/>
  <c r="AE362" i="12"/>
  <c r="V362" i="12"/>
  <c r="M362" i="12"/>
  <c r="AW361" i="12"/>
  <c r="AN361" i="12"/>
  <c r="AE361" i="12"/>
  <c r="V361" i="12"/>
  <c r="M361" i="12"/>
  <c r="AW360" i="12"/>
  <c r="AN360" i="12"/>
  <c r="AE360" i="12"/>
  <c r="V360" i="12"/>
  <c r="M360" i="12"/>
  <c r="AW359" i="12"/>
  <c r="AN359" i="12"/>
  <c r="AE359" i="12"/>
  <c r="V359" i="12"/>
  <c r="M359" i="12"/>
  <c r="AW358" i="12"/>
  <c r="AN358" i="12"/>
  <c r="AE358" i="12"/>
  <c r="V358" i="12"/>
  <c r="M358" i="12"/>
  <c r="AW357" i="12"/>
  <c r="AN357" i="12"/>
  <c r="AE357" i="12"/>
  <c r="V357" i="12"/>
  <c r="M357" i="12"/>
  <c r="AW356" i="12"/>
  <c r="AN356" i="12"/>
  <c r="AE356" i="12"/>
  <c r="V356" i="12"/>
  <c r="M356" i="12"/>
  <c r="AW355" i="12"/>
  <c r="AN355" i="12"/>
  <c r="AE355" i="12"/>
  <c r="V355" i="12"/>
  <c r="M355" i="12"/>
  <c r="AW354" i="12"/>
  <c r="AN354" i="12"/>
  <c r="AE354" i="12"/>
  <c r="V354" i="12"/>
  <c r="M354" i="12"/>
  <c r="AW353" i="12"/>
  <c r="AN353" i="12"/>
  <c r="AE353" i="12"/>
  <c r="V353" i="12"/>
  <c r="M353" i="12"/>
  <c r="AW352" i="12"/>
  <c r="AN352" i="12"/>
  <c r="AE352" i="12"/>
  <c r="V352" i="12"/>
  <c r="M352" i="12"/>
  <c r="AW351" i="12"/>
  <c r="AN351" i="12"/>
  <c r="AE351" i="12"/>
  <c r="V351" i="12"/>
  <c r="M351" i="12"/>
  <c r="AW350" i="12"/>
  <c r="AN350" i="12"/>
  <c r="AE350" i="12"/>
  <c r="V350" i="12"/>
  <c r="M350" i="12"/>
  <c r="AW349" i="12"/>
  <c r="AN349" i="12"/>
  <c r="AE349" i="12"/>
  <c r="V349" i="12"/>
  <c r="M349" i="12"/>
  <c r="AW348" i="12"/>
  <c r="AN348" i="12"/>
  <c r="AE348" i="12"/>
  <c r="V348" i="12"/>
  <c r="M348" i="12"/>
  <c r="AW347" i="12"/>
  <c r="AN347" i="12"/>
  <c r="AE347" i="12"/>
  <c r="V347" i="12"/>
  <c r="M347" i="12"/>
  <c r="AW346" i="12"/>
  <c r="AN346" i="12"/>
  <c r="AE346" i="12"/>
  <c r="V346" i="12"/>
  <c r="M346" i="12"/>
  <c r="AW345" i="12"/>
  <c r="AN345" i="12"/>
  <c r="AE345" i="12"/>
  <c r="V345" i="12"/>
  <c r="M345" i="12"/>
  <c r="AW344" i="12"/>
  <c r="AN344" i="12"/>
  <c r="AE344" i="12"/>
  <c r="V344" i="12"/>
  <c r="M344" i="12"/>
  <c r="AW343" i="12"/>
  <c r="AN343" i="12"/>
  <c r="AE343" i="12"/>
  <c r="V343" i="12"/>
  <c r="M343" i="12"/>
  <c r="AW342" i="12"/>
  <c r="AN342" i="12"/>
  <c r="AE342" i="12"/>
  <c r="V342" i="12"/>
  <c r="M342" i="12"/>
  <c r="AW341" i="12"/>
  <c r="AN341" i="12"/>
  <c r="AE341" i="12"/>
  <c r="V341" i="12"/>
  <c r="M341" i="12"/>
  <c r="AW340" i="12"/>
  <c r="AN340" i="12"/>
  <c r="AE340" i="12"/>
  <c r="V340" i="12"/>
  <c r="M340" i="12"/>
  <c r="AW339" i="12"/>
  <c r="AN339" i="12"/>
  <c r="AE339" i="12"/>
  <c r="V339" i="12"/>
  <c r="M339" i="12"/>
  <c r="AW338" i="12"/>
  <c r="AN338" i="12"/>
  <c r="AE338" i="12"/>
  <c r="V338" i="12"/>
  <c r="M338" i="12"/>
  <c r="AW337" i="12"/>
  <c r="AN337" i="12"/>
  <c r="AE337" i="12"/>
  <c r="V337" i="12"/>
  <c r="M337" i="12"/>
  <c r="AW336" i="12"/>
  <c r="AN336" i="12"/>
  <c r="AE336" i="12"/>
  <c r="V336" i="12"/>
  <c r="M336" i="12"/>
  <c r="AW335" i="12"/>
  <c r="AN335" i="12"/>
  <c r="AE335" i="12"/>
  <c r="V335" i="12"/>
  <c r="M335" i="12"/>
  <c r="AW334" i="12"/>
  <c r="AN334" i="12"/>
  <c r="AE334" i="12"/>
  <c r="V334" i="12"/>
  <c r="M334" i="12"/>
  <c r="AW333" i="12"/>
  <c r="AN333" i="12"/>
  <c r="AE333" i="12"/>
  <c r="V333" i="12"/>
  <c r="M333" i="12"/>
  <c r="AW332" i="12"/>
  <c r="AN332" i="12"/>
  <c r="AE332" i="12"/>
  <c r="V332" i="12"/>
  <c r="M332" i="12"/>
  <c r="AW331" i="12"/>
  <c r="AN331" i="12"/>
  <c r="AE331" i="12"/>
  <c r="V331" i="12"/>
  <c r="M331" i="12"/>
  <c r="AW330" i="12"/>
  <c r="AN330" i="12"/>
  <c r="AE330" i="12"/>
  <c r="V330" i="12"/>
  <c r="M330" i="12"/>
  <c r="AW329" i="12"/>
  <c r="AN329" i="12"/>
  <c r="AE329" i="12"/>
  <c r="V329" i="12"/>
  <c r="M329" i="12"/>
  <c r="AW328" i="12"/>
  <c r="AN328" i="12"/>
  <c r="AE328" i="12"/>
  <c r="V328" i="12"/>
  <c r="M328" i="12"/>
  <c r="AW327" i="12"/>
  <c r="AN327" i="12"/>
  <c r="AE327" i="12"/>
  <c r="V327" i="12"/>
  <c r="M327" i="12"/>
  <c r="AW326" i="12"/>
  <c r="AN326" i="12"/>
  <c r="AE326" i="12"/>
  <c r="V326" i="12"/>
  <c r="M326" i="12"/>
  <c r="AW325" i="12"/>
  <c r="AN325" i="12"/>
  <c r="AE325" i="12"/>
  <c r="V325" i="12"/>
  <c r="M325" i="12"/>
  <c r="AW324" i="12"/>
  <c r="AN324" i="12"/>
  <c r="AE324" i="12"/>
  <c r="V324" i="12"/>
  <c r="M324" i="12"/>
  <c r="AW323" i="12"/>
  <c r="AN323" i="12"/>
  <c r="AE323" i="12"/>
  <c r="V323" i="12"/>
  <c r="M323" i="12"/>
  <c r="AW322" i="12"/>
  <c r="AN322" i="12"/>
  <c r="AE322" i="12"/>
  <c r="V322" i="12"/>
  <c r="M322" i="12"/>
  <c r="AW321" i="12"/>
  <c r="AN321" i="12"/>
  <c r="AE321" i="12"/>
  <c r="V321" i="12"/>
  <c r="M321" i="12"/>
  <c r="AW320" i="12"/>
  <c r="AN320" i="12"/>
  <c r="AE320" i="12"/>
  <c r="V320" i="12"/>
  <c r="M320" i="12"/>
  <c r="AW319" i="12"/>
  <c r="AN319" i="12"/>
  <c r="AE319" i="12"/>
  <c r="V319" i="12"/>
  <c r="M319" i="12"/>
  <c r="AW318" i="12"/>
  <c r="AN318" i="12"/>
  <c r="AE318" i="12"/>
  <c r="V318" i="12"/>
  <c r="M318" i="12"/>
  <c r="AW317" i="12"/>
  <c r="AN317" i="12"/>
  <c r="AE317" i="12"/>
  <c r="V317" i="12"/>
  <c r="M317" i="12"/>
  <c r="AW316" i="12"/>
  <c r="AN316" i="12"/>
  <c r="AE316" i="12"/>
  <c r="V316" i="12"/>
  <c r="M316" i="12"/>
  <c r="AW315" i="12"/>
  <c r="AN315" i="12"/>
  <c r="AE315" i="12"/>
  <c r="V315" i="12"/>
  <c r="M315" i="12"/>
  <c r="AW314" i="12"/>
  <c r="AN314" i="12"/>
  <c r="AE314" i="12"/>
  <c r="V314" i="12"/>
  <c r="M314" i="12"/>
  <c r="AW313" i="12"/>
  <c r="AN313" i="12"/>
  <c r="AE313" i="12"/>
  <c r="V313" i="12"/>
  <c r="M313" i="12"/>
  <c r="AW312" i="12"/>
  <c r="AN312" i="12"/>
  <c r="AE312" i="12"/>
  <c r="V312" i="12"/>
  <c r="M312" i="12"/>
  <c r="AW311" i="12"/>
  <c r="AN311" i="12"/>
  <c r="AE311" i="12"/>
  <c r="V311" i="12"/>
  <c r="M311" i="12"/>
  <c r="AW310" i="12"/>
  <c r="AN310" i="12"/>
  <c r="AE310" i="12"/>
  <c r="V310" i="12"/>
  <c r="M310" i="12"/>
  <c r="AW309" i="12"/>
  <c r="AN309" i="12"/>
  <c r="AE309" i="12"/>
  <c r="V309" i="12"/>
  <c r="M309" i="12"/>
  <c r="AW308" i="12"/>
  <c r="AN308" i="12"/>
  <c r="AE308" i="12"/>
  <c r="V308" i="12"/>
  <c r="M308" i="12"/>
  <c r="AW307" i="12"/>
  <c r="AN307" i="12"/>
  <c r="AE307" i="12"/>
  <c r="V307" i="12"/>
  <c r="M307" i="12"/>
  <c r="AW306" i="12"/>
  <c r="AN306" i="12"/>
  <c r="AE306" i="12"/>
  <c r="V306" i="12"/>
  <c r="M306" i="12"/>
  <c r="AW305" i="12"/>
  <c r="AN305" i="12"/>
  <c r="AE305" i="12"/>
  <c r="V305" i="12"/>
  <c r="M305" i="12"/>
  <c r="AW304" i="12"/>
  <c r="AN304" i="12"/>
  <c r="AE304" i="12"/>
  <c r="V304" i="12"/>
  <c r="M304" i="12"/>
  <c r="AW303" i="12"/>
  <c r="AN303" i="12"/>
  <c r="AE303" i="12"/>
  <c r="V303" i="12"/>
  <c r="M303" i="12"/>
  <c r="AW302" i="12"/>
  <c r="AN302" i="12"/>
  <c r="AE302" i="12"/>
  <c r="V302" i="12"/>
  <c r="M302" i="12"/>
  <c r="AW301" i="12"/>
  <c r="AN301" i="12"/>
  <c r="AE301" i="12"/>
  <c r="V301" i="12"/>
  <c r="M301" i="12"/>
  <c r="AW300" i="12"/>
  <c r="AN300" i="12"/>
  <c r="AE300" i="12"/>
  <c r="V300" i="12"/>
  <c r="M300" i="12"/>
  <c r="AW299" i="12"/>
  <c r="AN299" i="12"/>
  <c r="AE299" i="12"/>
  <c r="V299" i="12"/>
  <c r="M299" i="12"/>
  <c r="AW298" i="12"/>
  <c r="AN298" i="12"/>
  <c r="AE298" i="12"/>
  <c r="V298" i="12"/>
  <c r="M298" i="12"/>
  <c r="AW297" i="12"/>
  <c r="AN297" i="12"/>
  <c r="AE297" i="12"/>
  <c r="V297" i="12"/>
  <c r="M297" i="12"/>
  <c r="AW296" i="12"/>
  <c r="AN296" i="12"/>
  <c r="AE296" i="12"/>
  <c r="V296" i="12"/>
  <c r="M296" i="12"/>
  <c r="AW295" i="12"/>
  <c r="AN295" i="12"/>
  <c r="AE295" i="12"/>
  <c r="V295" i="12"/>
  <c r="M295" i="12"/>
  <c r="AW294" i="12"/>
  <c r="AN294" i="12"/>
  <c r="AE294" i="12"/>
  <c r="V294" i="12"/>
  <c r="M294" i="12"/>
  <c r="AW293" i="12"/>
  <c r="AN293" i="12"/>
  <c r="AE293" i="12"/>
  <c r="V293" i="12"/>
  <c r="M293" i="12"/>
  <c r="AW292" i="12"/>
  <c r="AN292" i="12"/>
  <c r="AE292" i="12"/>
  <c r="V292" i="12"/>
  <c r="M292" i="12"/>
  <c r="AW291" i="12"/>
  <c r="AN291" i="12"/>
  <c r="AE291" i="12"/>
  <c r="V291" i="12"/>
  <c r="M291" i="12"/>
  <c r="AW290" i="12"/>
  <c r="AN290" i="12"/>
  <c r="AE290" i="12"/>
  <c r="V290" i="12"/>
  <c r="M290" i="12"/>
  <c r="AW289" i="12"/>
  <c r="AN289" i="12"/>
  <c r="AE289" i="12"/>
  <c r="V289" i="12"/>
  <c r="M289" i="12"/>
  <c r="AW288" i="12"/>
  <c r="AN288" i="12"/>
  <c r="AE288" i="12"/>
  <c r="V288" i="12"/>
  <c r="M288" i="12"/>
  <c r="AW287" i="12"/>
  <c r="AN287" i="12"/>
  <c r="AE287" i="12"/>
  <c r="V287" i="12"/>
  <c r="M287" i="12"/>
  <c r="AW286" i="12"/>
  <c r="AN286" i="12"/>
  <c r="AE286" i="12"/>
  <c r="V286" i="12"/>
  <c r="M286" i="12"/>
  <c r="AW285" i="12"/>
  <c r="AN285" i="12"/>
  <c r="AE285" i="12"/>
  <c r="V285" i="12"/>
  <c r="M285" i="12"/>
  <c r="AW284" i="12"/>
  <c r="AN284" i="12"/>
  <c r="AE284" i="12"/>
  <c r="V284" i="12"/>
  <c r="M284" i="12"/>
  <c r="AW283" i="12"/>
  <c r="AN283" i="12"/>
  <c r="AE283" i="12"/>
  <c r="V283" i="12"/>
  <c r="M283" i="12"/>
  <c r="AW282" i="12"/>
  <c r="AN282" i="12"/>
  <c r="AE282" i="12"/>
  <c r="V282" i="12"/>
  <c r="M282" i="12"/>
  <c r="AW281" i="12"/>
  <c r="AN281" i="12"/>
  <c r="AE281" i="12"/>
  <c r="V281" i="12"/>
  <c r="M281" i="12"/>
  <c r="AW280" i="12"/>
  <c r="AN280" i="12"/>
  <c r="AE280" i="12"/>
  <c r="V280" i="12"/>
  <c r="M280" i="12"/>
  <c r="AW279" i="12"/>
  <c r="AN279" i="12"/>
  <c r="AE279" i="12"/>
  <c r="V279" i="12"/>
  <c r="M279" i="12"/>
  <c r="AW278" i="12"/>
  <c r="AN278" i="12"/>
  <c r="AE278" i="12"/>
  <c r="V278" i="12"/>
  <c r="M278" i="12"/>
  <c r="AW277" i="12"/>
  <c r="AN277" i="12"/>
  <c r="AE277" i="12"/>
  <c r="V277" i="12"/>
  <c r="M277" i="12"/>
  <c r="AW276" i="12"/>
  <c r="AN276" i="12"/>
  <c r="AE276" i="12"/>
  <c r="V276" i="12"/>
  <c r="M276" i="12"/>
  <c r="AW275" i="12"/>
  <c r="AN275" i="12"/>
  <c r="AE275" i="12"/>
  <c r="V275" i="12"/>
  <c r="M275" i="12"/>
  <c r="AW274" i="12"/>
  <c r="AN274" i="12"/>
  <c r="AE274" i="12"/>
  <c r="V274" i="12"/>
  <c r="M274" i="12"/>
  <c r="AW273" i="12"/>
  <c r="AN273" i="12"/>
  <c r="AE273" i="12"/>
  <c r="V273" i="12"/>
  <c r="M273" i="12"/>
  <c r="AW272" i="12"/>
  <c r="AN272" i="12"/>
  <c r="AE272" i="12"/>
  <c r="V272" i="12"/>
  <c r="M272" i="12"/>
  <c r="AW271" i="12"/>
  <c r="AN271" i="12"/>
  <c r="AE271" i="12"/>
  <c r="V271" i="12"/>
  <c r="M271" i="12"/>
  <c r="AW270" i="12"/>
  <c r="AN270" i="12"/>
  <c r="AE270" i="12"/>
  <c r="V270" i="12"/>
  <c r="M270" i="12"/>
  <c r="AW269" i="12"/>
  <c r="AN269" i="12"/>
  <c r="AE269" i="12"/>
  <c r="V269" i="12"/>
  <c r="M269" i="12"/>
  <c r="AW268" i="12"/>
  <c r="AN268" i="12"/>
  <c r="AE268" i="12"/>
  <c r="V268" i="12"/>
  <c r="M268" i="12"/>
  <c r="AW267" i="12"/>
  <c r="AN267" i="12"/>
  <c r="AE267" i="12"/>
  <c r="V267" i="12"/>
  <c r="M267" i="12"/>
  <c r="AW266" i="12"/>
  <c r="AN266" i="12"/>
  <c r="AE266" i="12"/>
  <c r="V266" i="12"/>
  <c r="M266" i="12"/>
  <c r="AW265" i="12"/>
  <c r="AN265" i="12"/>
  <c r="AE265" i="12"/>
  <c r="V265" i="12"/>
  <c r="M265" i="12"/>
  <c r="AW264" i="12"/>
  <c r="AN264" i="12"/>
  <c r="AE264" i="12"/>
  <c r="V264" i="12"/>
  <c r="M264" i="12"/>
  <c r="AW263" i="12"/>
  <c r="AN263" i="12"/>
  <c r="AE263" i="12"/>
  <c r="V263" i="12"/>
  <c r="M263" i="12"/>
  <c r="AW262" i="12"/>
  <c r="AN262" i="12"/>
  <c r="AE262" i="12"/>
  <c r="V262" i="12"/>
  <c r="M262" i="12"/>
  <c r="AW261" i="12"/>
  <c r="AN261" i="12"/>
  <c r="AE261" i="12"/>
  <c r="V261" i="12"/>
  <c r="M261" i="12"/>
  <c r="AW260" i="12"/>
  <c r="AN260" i="12"/>
  <c r="AE260" i="12"/>
  <c r="V260" i="12"/>
  <c r="M260" i="12"/>
  <c r="AW259" i="12"/>
  <c r="AN259" i="12"/>
  <c r="AE259" i="12"/>
  <c r="V259" i="12"/>
  <c r="M259" i="12"/>
  <c r="AW258" i="12"/>
  <c r="AN258" i="12"/>
  <c r="AE258" i="12"/>
  <c r="V258" i="12"/>
  <c r="M258" i="12"/>
  <c r="AW257" i="12"/>
  <c r="AN257" i="12"/>
  <c r="AE257" i="12"/>
  <c r="V257" i="12"/>
  <c r="M257" i="12"/>
  <c r="AW256" i="12"/>
  <c r="AN256" i="12"/>
  <c r="AE256" i="12"/>
  <c r="V256" i="12"/>
  <c r="M256" i="12"/>
  <c r="AW255" i="12"/>
  <c r="AN255" i="12"/>
  <c r="AE255" i="12"/>
  <c r="V255" i="12"/>
  <c r="M255" i="12"/>
  <c r="AW254" i="12"/>
  <c r="AN254" i="12"/>
  <c r="AE254" i="12"/>
  <c r="V254" i="12"/>
  <c r="M254" i="12"/>
  <c r="AW253" i="12"/>
  <c r="AN253" i="12"/>
  <c r="AE253" i="12"/>
  <c r="V253" i="12"/>
  <c r="M253" i="12"/>
  <c r="AW252" i="12"/>
  <c r="AN252" i="12"/>
  <c r="AE252" i="12"/>
  <c r="V252" i="12"/>
  <c r="M252" i="12"/>
  <c r="AW251" i="12"/>
  <c r="AN251" i="12"/>
  <c r="AE251" i="12"/>
  <c r="V251" i="12"/>
  <c r="M251" i="12"/>
  <c r="AW250" i="12"/>
  <c r="AN250" i="12"/>
  <c r="AE250" i="12"/>
  <c r="V250" i="12"/>
  <c r="M250" i="12"/>
  <c r="AW249" i="12"/>
  <c r="AN249" i="12"/>
  <c r="AE249" i="12"/>
  <c r="V249" i="12"/>
  <c r="M249" i="12"/>
  <c r="AW248" i="12"/>
  <c r="AN248" i="12"/>
  <c r="AE248" i="12"/>
  <c r="V248" i="12"/>
  <c r="M248" i="12"/>
  <c r="AW247" i="12"/>
  <c r="AN247" i="12"/>
  <c r="AE247" i="12"/>
  <c r="V247" i="12"/>
  <c r="M247" i="12"/>
  <c r="AW246" i="12"/>
  <c r="AN246" i="12"/>
  <c r="AE246" i="12"/>
  <c r="V246" i="12"/>
  <c r="M246" i="12"/>
  <c r="AW245" i="12"/>
  <c r="AN245" i="12"/>
  <c r="AE245" i="12"/>
  <c r="V245" i="12"/>
  <c r="M245" i="12"/>
  <c r="AW244" i="12"/>
  <c r="AN244" i="12"/>
  <c r="AE244" i="12"/>
  <c r="V244" i="12"/>
  <c r="M244" i="12"/>
  <c r="AW243" i="12"/>
  <c r="AN243" i="12"/>
  <c r="AE243" i="12"/>
  <c r="V243" i="12"/>
  <c r="M243" i="12"/>
  <c r="AW242" i="12"/>
  <c r="AN242" i="12"/>
  <c r="AE242" i="12"/>
  <c r="V242" i="12"/>
  <c r="M242" i="12"/>
  <c r="AW241" i="12"/>
  <c r="AN241" i="12"/>
  <c r="AE241" i="12"/>
  <c r="V241" i="12"/>
  <c r="M241" i="12"/>
  <c r="AW240" i="12"/>
  <c r="AN240" i="12"/>
  <c r="AE240" i="12"/>
  <c r="V240" i="12"/>
  <c r="M240" i="12"/>
  <c r="AW239" i="12"/>
  <c r="AN239" i="12"/>
  <c r="AE239" i="12"/>
  <c r="V239" i="12"/>
  <c r="M239" i="12"/>
  <c r="AW238" i="12"/>
  <c r="AN238" i="12"/>
  <c r="AE238" i="12"/>
  <c r="V238" i="12"/>
  <c r="M238" i="12"/>
  <c r="AW237" i="12"/>
  <c r="AN237" i="12"/>
  <c r="AE237" i="12"/>
  <c r="V237" i="12"/>
  <c r="M237" i="12"/>
  <c r="AW236" i="12"/>
  <c r="AN236" i="12"/>
  <c r="AE236" i="12"/>
  <c r="V236" i="12"/>
  <c r="M236" i="12"/>
  <c r="AW235" i="12"/>
  <c r="AN235" i="12"/>
  <c r="AE235" i="12"/>
  <c r="V235" i="12"/>
  <c r="M235" i="12"/>
  <c r="AW234" i="12"/>
  <c r="AN234" i="12"/>
  <c r="AE234" i="12"/>
  <c r="V234" i="12"/>
  <c r="M234" i="12"/>
  <c r="AW233" i="12"/>
  <c r="AN233" i="12"/>
  <c r="AE233" i="12"/>
  <c r="V233" i="12"/>
  <c r="M233" i="12"/>
  <c r="AW232" i="12"/>
  <c r="AN232" i="12"/>
  <c r="AE232" i="12"/>
  <c r="V232" i="12"/>
  <c r="M232" i="12"/>
  <c r="AW231" i="12"/>
  <c r="AN231" i="12"/>
  <c r="AE231" i="12"/>
  <c r="V231" i="12"/>
  <c r="M231" i="12"/>
  <c r="AW230" i="12"/>
  <c r="AN230" i="12"/>
  <c r="AE230" i="12"/>
  <c r="V230" i="12"/>
  <c r="M230" i="12"/>
  <c r="AW229" i="12"/>
  <c r="AN229" i="12"/>
  <c r="AE229" i="12"/>
  <c r="V229" i="12"/>
  <c r="M229" i="12"/>
  <c r="AW228" i="12"/>
  <c r="AN228" i="12"/>
  <c r="AE228" i="12"/>
  <c r="V228" i="12"/>
  <c r="M228" i="12"/>
  <c r="AW227" i="12"/>
  <c r="AN227" i="12"/>
  <c r="AE227" i="12"/>
  <c r="V227" i="12"/>
  <c r="M227" i="12"/>
  <c r="AW226" i="12"/>
  <c r="AN226" i="12"/>
  <c r="AE226" i="12"/>
  <c r="V226" i="12"/>
  <c r="M226" i="12"/>
  <c r="AW225" i="12"/>
  <c r="AN225" i="12"/>
  <c r="AE225" i="12"/>
  <c r="V225" i="12"/>
  <c r="M225" i="12"/>
  <c r="AW224" i="12"/>
  <c r="AN224" i="12"/>
  <c r="AE224" i="12"/>
  <c r="V224" i="12"/>
  <c r="M224" i="12"/>
  <c r="AW223" i="12"/>
  <c r="AN223" i="12"/>
  <c r="AE223" i="12"/>
  <c r="V223" i="12"/>
  <c r="M223" i="12"/>
  <c r="AW222" i="12"/>
  <c r="AN222" i="12"/>
  <c r="AE222" i="12"/>
  <c r="V222" i="12"/>
  <c r="M222" i="12"/>
  <c r="AW221" i="12"/>
  <c r="AN221" i="12"/>
  <c r="AE221" i="12"/>
  <c r="V221" i="12"/>
  <c r="M221" i="12"/>
  <c r="AW220" i="12"/>
  <c r="AN220" i="12"/>
  <c r="AE220" i="12"/>
  <c r="V220" i="12"/>
  <c r="M220" i="12"/>
  <c r="AW219" i="12"/>
  <c r="AN219" i="12"/>
  <c r="AE219" i="12"/>
  <c r="V219" i="12"/>
  <c r="M219" i="12"/>
  <c r="AW218" i="12"/>
  <c r="AN218" i="12"/>
  <c r="AE218" i="12"/>
  <c r="V218" i="12"/>
  <c r="M218" i="12"/>
  <c r="AW217" i="12"/>
  <c r="AN217" i="12"/>
  <c r="AE217" i="12"/>
  <c r="V217" i="12"/>
  <c r="M217" i="12"/>
  <c r="AW216" i="12"/>
  <c r="AN216" i="12"/>
  <c r="AE216" i="12"/>
  <c r="V216" i="12"/>
  <c r="M216" i="12"/>
  <c r="AW215" i="12"/>
  <c r="AN215" i="12"/>
  <c r="AE215" i="12"/>
  <c r="V215" i="12"/>
  <c r="M215" i="12"/>
  <c r="AW214" i="12"/>
  <c r="AN214" i="12"/>
  <c r="AE214" i="12"/>
  <c r="V214" i="12"/>
  <c r="M214" i="12"/>
  <c r="AW213" i="12"/>
  <c r="AN213" i="12"/>
  <c r="AE213" i="12"/>
  <c r="V213" i="12"/>
  <c r="M213" i="12"/>
  <c r="AW212" i="12"/>
  <c r="AN212" i="12"/>
  <c r="AE212" i="12"/>
  <c r="V212" i="12"/>
  <c r="M212" i="12"/>
  <c r="AW211" i="12"/>
  <c r="AN211" i="12"/>
  <c r="AE211" i="12"/>
  <c r="V211" i="12"/>
  <c r="M211" i="12"/>
  <c r="AW210" i="12"/>
  <c r="AN210" i="12"/>
  <c r="AE210" i="12"/>
  <c r="V210" i="12"/>
  <c r="M210" i="12"/>
  <c r="AW209" i="12"/>
  <c r="AN209" i="12"/>
  <c r="AE209" i="12"/>
  <c r="V209" i="12"/>
  <c r="M209" i="12"/>
  <c r="AW208" i="12"/>
  <c r="AN208" i="12"/>
  <c r="AE208" i="12"/>
  <c r="V208" i="12"/>
  <c r="M208" i="12"/>
  <c r="AW207" i="12"/>
  <c r="AN207" i="12"/>
  <c r="AE207" i="12"/>
  <c r="V207" i="12"/>
  <c r="M207" i="12"/>
  <c r="AW206" i="12"/>
  <c r="AN206" i="12"/>
  <c r="AE206" i="12"/>
  <c r="V206" i="12"/>
  <c r="M206" i="12"/>
  <c r="AW205" i="12"/>
  <c r="AN205" i="12"/>
  <c r="AE205" i="12"/>
  <c r="V205" i="12"/>
  <c r="M205" i="12"/>
  <c r="AW204" i="12"/>
  <c r="AN204" i="12"/>
  <c r="AE204" i="12"/>
  <c r="V204" i="12"/>
  <c r="M204" i="12"/>
  <c r="AW203" i="12"/>
  <c r="AN203" i="12"/>
  <c r="AE203" i="12"/>
  <c r="V203" i="12"/>
  <c r="M203" i="12"/>
  <c r="AW202" i="12"/>
  <c r="AN202" i="12"/>
  <c r="AE202" i="12"/>
  <c r="V202" i="12"/>
  <c r="M202" i="12"/>
  <c r="AW201" i="12"/>
  <c r="AN201" i="12"/>
  <c r="AE201" i="12"/>
  <c r="V201" i="12"/>
  <c r="M201" i="12"/>
  <c r="AW200" i="12"/>
  <c r="AN200" i="12"/>
  <c r="AE200" i="12"/>
  <c r="V200" i="12"/>
  <c r="M200" i="12"/>
  <c r="AW199" i="12"/>
  <c r="AN199" i="12"/>
  <c r="AE199" i="12"/>
  <c r="V199" i="12"/>
  <c r="M199" i="12"/>
  <c r="AW198" i="12"/>
  <c r="AN198" i="12"/>
  <c r="AE198" i="12"/>
  <c r="V198" i="12"/>
  <c r="M198" i="12"/>
  <c r="AW197" i="12"/>
  <c r="AN197" i="12"/>
  <c r="AE197" i="12"/>
  <c r="V197" i="12"/>
  <c r="M197" i="12"/>
  <c r="AW196" i="12"/>
  <c r="AN196" i="12"/>
  <c r="AE196" i="12"/>
  <c r="V196" i="12"/>
  <c r="M196" i="12"/>
  <c r="AW195" i="12"/>
  <c r="AN195" i="12"/>
  <c r="AE195" i="12"/>
  <c r="V195" i="12"/>
  <c r="M195" i="12"/>
  <c r="AW194" i="12"/>
  <c r="AN194" i="12"/>
  <c r="AE194" i="12"/>
  <c r="V194" i="12"/>
  <c r="M194" i="12"/>
  <c r="AW193" i="12"/>
  <c r="AN193" i="12"/>
  <c r="AE193" i="12"/>
  <c r="V193" i="12"/>
  <c r="M193" i="12"/>
  <c r="AW192" i="12"/>
  <c r="AN192" i="12"/>
  <c r="AE192" i="12"/>
  <c r="V192" i="12"/>
  <c r="M192" i="12"/>
  <c r="AW191" i="12"/>
  <c r="AN191" i="12"/>
  <c r="AE191" i="12"/>
  <c r="V191" i="12"/>
  <c r="M191" i="12"/>
  <c r="AW190" i="12"/>
  <c r="AN190" i="12"/>
  <c r="AE190" i="12"/>
  <c r="V190" i="12"/>
  <c r="M190" i="12"/>
  <c r="AW189" i="12"/>
  <c r="AN189" i="12"/>
  <c r="AE189" i="12"/>
  <c r="V189" i="12"/>
  <c r="M189" i="12"/>
  <c r="AW188" i="12"/>
  <c r="AN188" i="12"/>
  <c r="AE188" i="12"/>
  <c r="V188" i="12"/>
  <c r="M188" i="12"/>
  <c r="AW187" i="12"/>
  <c r="AN187" i="12"/>
  <c r="AE187" i="12"/>
  <c r="V187" i="12"/>
  <c r="M187" i="12"/>
  <c r="AW186" i="12"/>
  <c r="AN186" i="12"/>
  <c r="AE186" i="12"/>
  <c r="V186" i="12"/>
  <c r="M186" i="12"/>
  <c r="AW185" i="12"/>
  <c r="AN185" i="12"/>
  <c r="AE185" i="12"/>
  <c r="V185" i="12"/>
  <c r="M185" i="12"/>
  <c r="AW184" i="12"/>
  <c r="AN184" i="12"/>
  <c r="AE184" i="12"/>
  <c r="V184" i="12"/>
  <c r="M184" i="12"/>
  <c r="AW183" i="12"/>
  <c r="AN183" i="12"/>
  <c r="AE183" i="12"/>
  <c r="V183" i="12"/>
  <c r="M183" i="12"/>
  <c r="AW182" i="12"/>
  <c r="AN182" i="12"/>
  <c r="AE182" i="12"/>
  <c r="V182" i="12"/>
  <c r="M182" i="12"/>
  <c r="AW181" i="12"/>
  <c r="AN181" i="12"/>
  <c r="AE181" i="12"/>
  <c r="V181" i="12"/>
  <c r="M181" i="12"/>
  <c r="AW180" i="12"/>
  <c r="AN180" i="12"/>
  <c r="AE180" i="12"/>
  <c r="V180" i="12"/>
  <c r="M180" i="12"/>
  <c r="AW179" i="12"/>
  <c r="AN179" i="12"/>
  <c r="AE179" i="12"/>
  <c r="V179" i="12"/>
  <c r="M179" i="12"/>
  <c r="AW178" i="12"/>
  <c r="AN178" i="12"/>
  <c r="AE178" i="12"/>
  <c r="V178" i="12"/>
  <c r="M178" i="12"/>
  <c r="AW177" i="12"/>
  <c r="AN177" i="12"/>
  <c r="AE177" i="12"/>
  <c r="V177" i="12"/>
  <c r="M177" i="12"/>
  <c r="AW176" i="12"/>
  <c r="AN176" i="12"/>
  <c r="AE176" i="12"/>
  <c r="V176" i="12"/>
  <c r="M176" i="12"/>
  <c r="AW175" i="12"/>
  <c r="AN175" i="12"/>
  <c r="AE175" i="12"/>
  <c r="V175" i="12"/>
  <c r="M175" i="12"/>
  <c r="AW174" i="12"/>
  <c r="AN174" i="12"/>
  <c r="AE174" i="12"/>
  <c r="V174" i="12"/>
  <c r="M174" i="12"/>
  <c r="AW173" i="12"/>
  <c r="AN173" i="12"/>
  <c r="AE173" i="12"/>
  <c r="V173" i="12"/>
  <c r="M173" i="12"/>
  <c r="AW172" i="12"/>
  <c r="AN172" i="12"/>
  <c r="AE172" i="12"/>
  <c r="V172" i="12"/>
  <c r="M172" i="12"/>
  <c r="AW171" i="12"/>
  <c r="AN171" i="12"/>
  <c r="AE171" i="12"/>
  <c r="V171" i="12"/>
  <c r="M171" i="12"/>
  <c r="AW170" i="12"/>
  <c r="AN170" i="12"/>
  <c r="AE170" i="12"/>
  <c r="V170" i="12"/>
  <c r="M170" i="12"/>
  <c r="AW169" i="12"/>
  <c r="AN169" i="12"/>
  <c r="AE169" i="12"/>
  <c r="V169" i="12"/>
  <c r="M169" i="12"/>
  <c r="AW168" i="12"/>
  <c r="AN168" i="12"/>
  <c r="AE168" i="12"/>
  <c r="V168" i="12"/>
  <c r="M168" i="12"/>
  <c r="AW167" i="12"/>
  <c r="AN167" i="12"/>
  <c r="AE167" i="12"/>
  <c r="V167" i="12"/>
  <c r="M167" i="12"/>
  <c r="AW166" i="12"/>
  <c r="AN166" i="12"/>
  <c r="AE166" i="12"/>
  <c r="V166" i="12"/>
  <c r="M166" i="12"/>
  <c r="AW165" i="12"/>
  <c r="AN165" i="12"/>
  <c r="AE165" i="12"/>
  <c r="V165" i="12"/>
  <c r="M165" i="12"/>
  <c r="AW164" i="12"/>
  <c r="AN164" i="12"/>
  <c r="AE164" i="12"/>
  <c r="V164" i="12"/>
  <c r="M164" i="12"/>
  <c r="AW163" i="12"/>
  <c r="AN163" i="12"/>
  <c r="AE163" i="12"/>
  <c r="V163" i="12"/>
  <c r="M163" i="12"/>
  <c r="AW162" i="12"/>
  <c r="AN162" i="12"/>
  <c r="AE162" i="12"/>
  <c r="V162" i="12"/>
  <c r="M162" i="12"/>
  <c r="AW161" i="12"/>
  <c r="AN161" i="12"/>
  <c r="AE161" i="12"/>
  <c r="V161" i="12"/>
  <c r="M161" i="12"/>
  <c r="AW160" i="12"/>
  <c r="AN160" i="12"/>
  <c r="AE160" i="12"/>
  <c r="V160" i="12"/>
  <c r="M160" i="12"/>
  <c r="AW159" i="12"/>
  <c r="AN159" i="12"/>
  <c r="AE159" i="12"/>
  <c r="V159" i="12"/>
  <c r="M159" i="12"/>
  <c r="AW158" i="12"/>
  <c r="AN158" i="12"/>
  <c r="AE158" i="12"/>
  <c r="V158" i="12"/>
  <c r="M158" i="12"/>
  <c r="AW157" i="12"/>
  <c r="AN157" i="12"/>
  <c r="AE157" i="12"/>
  <c r="V157" i="12"/>
  <c r="M157" i="12"/>
  <c r="AW156" i="12"/>
  <c r="AN156" i="12"/>
  <c r="AE156" i="12"/>
  <c r="V156" i="12"/>
  <c r="M156" i="12"/>
  <c r="AW155" i="12"/>
  <c r="AN155" i="12"/>
  <c r="AE155" i="12"/>
  <c r="V155" i="12"/>
  <c r="M155" i="12"/>
  <c r="AW154" i="12"/>
  <c r="AN154" i="12"/>
  <c r="AE154" i="12"/>
  <c r="V154" i="12"/>
  <c r="M154" i="12"/>
  <c r="AW153" i="12"/>
  <c r="AN153" i="12"/>
  <c r="AE153" i="12"/>
  <c r="V153" i="12"/>
  <c r="M153" i="12"/>
  <c r="AW152" i="12"/>
  <c r="AN152" i="12"/>
  <c r="AE152" i="12"/>
  <c r="V152" i="12"/>
  <c r="M152" i="12"/>
  <c r="AW151" i="12"/>
  <c r="AN151" i="12"/>
  <c r="AE151" i="12"/>
  <c r="V151" i="12"/>
  <c r="M151" i="12"/>
  <c r="AW150" i="12"/>
  <c r="AN150" i="12"/>
  <c r="AE150" i="12"/>
  <c r="V150" i="12"/>
  <c r="M150" i="12"/>
  <c r="AW149" i="12"/>
  <c r="AN149" i="12"/>
  <c r="AE149" i="12"/>
  <c r="V149" i="12"/>
  <c r="M149" i="12"/>
  <c r="AW148" i="12"/>
  <c r="AN148" i="12"/>
  <c r="AE148" i="12"/>
  <c r="V148" i="12"/>
  <c r="M148" i="12"/>
  <c r="AW147" i="12"/>
  <c r="AN147" i="12"/>
  <c r="AE147" i="12"/>
  <c r="V147" i="12"/>
  <c r="M147" i="12"/>
  <c r="AW146" i="12"/>
  <c r="AN146" i="12"/>
  <c r="AE146" i="12"/>
  <c r="V146" i="12"/>
  <c r="M146" i="12"/>
  <c r="AW145" i="12"/>
  <c r="AN145" i="12"/>
  <c r="AE145" i="12"/>
  <c r="V145" i="12"/>
  <c r="M145" i="12"/>
  <c r="AW144" i="12"/>
  <c r="AN144" i="12"/>
  <c r="AE144" i="12"/>
  <c r="V144" i="12"/>
  <c r="M144" i="12"/>
  <c r="AW143" i="12"/>
  <c r="AN143" i="12"/>
  <c r="AE143" i="12"/>
  <c r="V143" i="12"/>
  <c r="M143" i="12"/>
  <c r="AW142" i="12"/>
  <c r="AN142" i="12"/>
  <c r="AE142" i="12"/>
  <c r="V142" i="12"/>
  <c r="M142" i="12"/>
  <c r="AW141" i="12"/>
  <c r="AN141" i="12"/>
  <c r="AE141" i="12"/>
  <c r="V141" i="12"/>
  <c r="M141" i="12"/>
  <c r="AW140" i="12"/>
  <c r="AN140" i="12"/>
  <c r="AE140" i="12"/>
  <c r="V140" i="12"/>
  <c r="M140" i="12"/>
  <c r="AW139" i="12"/>
  <c r="AN139" i="12"/>
  <c r="AE139" i="12"/>
  <c r="V139" i="12"/>
  <c r="M139" i="12"/>
  <c r="AW138" i="12"/>
  <c r="AN138" i="12"/>
  <c r="AE138" i="12"/>
  <c r="V138" i="12"/>
  <c r="M138" i="12"/>
  <c r="AW137" i="12"/>
  <c r="AN137" i="12"/>
  <c r="AE137" i="12"/>
  <c r="V137" i="12"/>
  <c r="M137" i="12"/>
  <c r="AW136" i="12"/>
  <c r="AN136" i="12"/>
  <c r="AE136" i="12"/>
  <c r="V136" i="12"/>
  <c r="M136" i="12"/>
  <c r="AW135" i="12"/>
  <c r="AN135" i="12"/>
  <c r="AE135" i="12"/>
  <c r="V135" i="12"/>
  <c r="M135" i="12"/>
  <c r="AW134" i="12"/>
  <c r="AN134" i="12"/>
  <c r="AE134" i="12"/>
  <c r="V134" i="12"/>
  <c r="M134" i="12"/>
  <c r="AW133" i="12"/>
  <c r="AN133" i="12"/>
  <c r="AE133" i="12"/>
  <c r="V133" i="12"/>
  <c r="M133" i="12"/>
  <c r="AW132" i="12"/>
  <c r="AN132" i="12"/>
  <c r="AE132" i="12"/>
  <c r="V132" i="12"/>
  <c r="M132" i="12"/>
  <c r="AW131" i="12"/>
  <c r="AN131" i="12"/>
  <c r="AE131" i="12"/>
  <c r="V131" i="12"/>
  <c r="M131" i="12"/>
  <c r="AW130" i="12"/>
  <c r="AN130" i="12"/>
  <c r="AE130" i="12"/>
  <c r="V130" i="12"/>
  <c r="M130" i="12"/>
  <c r="AW129" i="12"/>
  <c r="AN129" i="12"/>
  <c r="AE129" i="12"/>
  <c r="V129" i="12"/>
  <c r="M129" i="12"/>
  <c r="AW128" i="12"/>
  <c r="AN128" i="12"/>
  <c r="AE128" i="12"/>
  <c r="V128" i="12"/>
  <c r="M128" i="12"/>
  <c r="AW127" i="12"/>
  <c r="AN127" i="12"/>
  <c r="AE127" i="12"/>
  <c r="V127" i="12"/>
  <c r="M127" i="12"/>
  <c r="AW126" i="12"/>
  <c r="AN126" i="12"/>
  <c r="AE126" i="12"/>
  <c r="V126" i="12"/>
  <c r="M126" i="12"/>
  <c r="AW125" i="12"/>
  <c r="AN125" i="12"/>
  <c r="AE125" i="12"/>
  <c r="V125" i="12"/>
  <c r="M125" i="12"/>
  <c r="AW124" i="12"/>
  <c r="AN124" i="12"/>
  <c r="AE124" i="12"/>
  <c r="V124" i="12"/>
  <c r="M124" i="12"/>
  <c r="AW123" i="12"/>
  <c r="AN123" i="12"/>
  <c r="AE123" i="12"/>
  <c r="V123" i="12"/>
  <c r="M123" i="12"/>
  <c r="AW122" i="12"/>
  <c r="AN122" i="12"/>
  <c r="AE122" i="12"/>
  <c r="V122" i="12"/>
  <c r="M122" i="12"/>
  <c r="AW121" i="12"/>
  <c r="AN121" i="12"/>
  <c r="AE121" i="12"/>
  <c r="V121" i="12"/>
  <c r="M121" i="12"/>
  <c r="AW120" i="12"/>
  <c r="AN120" i="12"/>
  <c r="AE120" i="12"/>
  <c r="V120" i="12"/>
  <c r="M120" i="12"/>
  <c r="AW119" i="12"/>
  <c r="AN119" i="12"/>
  <c r="AE119" i="12"/>
  <c r="V119" i="12"/>
  <c r="M119" i="12"/>
  <c r="AW118" i="12"/>
  <c r="AN118" i="12"/>
  <c r="AE118" i="12"/>
  <c r="V118" i="12"/>
  <c r="M118" i="12"/>
  <c r="AW117" i="12"/>
  <c r="AN117" i="12"/>
  <c r="AE117" i="12"/>
  <c r="V117" i="12"/>
  <c r="M117" i="12"/>
  <c r="AW116" i="12"/>
  <c r="AN116" i="12"/>
  <c r="AE116" i="12"/>
  <c r="V116" i="12"/>
  <c r="M116" i="12"/>
  <c r="AW115" i="12"/>
  <c r="AN115" i="12"/>
  <c r="AE115" i="12"/>
  <c r="V115" i="12"/>
  <c r="M115" i="12"/>
  <c r="AW114" i="12"/>
  <c r="AN114" i="12"/>
  <c r="AE114" i="12"/>
  <c r="V114" i="12"/>
  <c r="M114" i="12"/>
  <c r="AW113" i="12"/>
  <c r="AN113" i="12"/>
  <c r="AE113" i="12"/>
  <c r="V113" i="12"/>
  <c r="M113" i="12"/>
  <c r="AW112" i="12"/>
  <c r="AN112" i="12"/>
  <c r="AE112" i="12"/>
  <c r="V112" i="12"/>
  <c r="M112" i="12"/>
  <c r="AW111" i="12"/>
  <c r="AN111" i="12"/>
  <c r="AE111" i="12"/>
  <c r="V111" i="12"/>
  <c r="M111" i="12"/>
  <c r="AW110" i="12"/>
  <c r="AN110" i="12"/>
  <c r="AE110" i="12"/>
  <c r="V110" i="12"/>
  <c r="M110" i="12"/>
  <c r="AW109" i="12"/>
  <c r="AN109" i="12"/>
  <c r="AE109" i="12"/>
  <c r="V109" i="12"/>
  <c r="M109" i="12"/>
  <c r="AW108" i="12"/>
  <c r="AN108" i="12"/>
  <c r="AE108" i="12"/>
  <c r="V108" i="12"/>
  <c r="M108" i="12"/>
  <c r="AW107" i="12"/>
  <c r="AN107" i="12"/>
  <c r="AE107" i="12"/>
  <c r="V107" i="12"/>
  <c r="M107" i="12"/>
  <c r="AW106" i="12"/>
  <c r="AN106" i="12"/>
  <c r="AE106" i="12"/>
  <c r="V106" i="12"/>
  <c r="M106" i="12"/>
  <c r="AW105" i="12"/>
  <c r="AN105" i="12"/>
  <c r="AE105" i="12"/>
  <c r="V105" i="12"/>
  <c r="M105" i="12"/>
  <c r="AW104" i="12"/>
  <c r="AN104" i="12"/>
  <c r="AE104" i="12"/>
  <c r="V104" i="12"/>
  <c r="M104" i="12"/>
  <c r="AW103" i="12"/>
  <c r="AN103" i="12"/>
  <c r="AE103" i="12"/>
  <c r="V103" i="12"/>
  <c r="M103" i="12"/>
  <c r="AW102" i="12"/>
  <c r="AN102" i="12"/>
  <c r="AE102" i="12"/>
  <c r="V102" i="12"/>
  <c r="M102" i="12"/>
  <c r="AW101" i="12"/>
  <c r="AN101" i="12"/>
  <c r="AE101" i="12"/>
  <c r="V101" i="12"/>
  <c r="M101" i="12"/>
  <c r="AW100" i="12"/>
  <c r="AN100" i="12"/>
  <c r="AE100" i="12"/>
  <c r="V100" i="12"/>
  <c r="M100" i="12"/>
  <c r="AW99" i="12"/>
  <c r="AN99" i="12"/>
  <c r="AE99" i="12"/>
  <c r="V99" i="12"/>
  <c r="M99" i="12"/>
  <c r="AW98" i="12"/>
  <c r="AN98" i="12"/>
  <c r="AE98" i="12"/>
  <c r="V98" i="12"/>
  <c r="M98" i="12"/>
  <c r="AW97" i="12"/>
  <c r="AN97" i="12"/>
  <c r="AE97" i="12"/>
  <c r="V97" i="12"/>
  <c r="M97" i="12"/>
  <c r="AW96" i="12"/>
  <c r="AN96" i="12"/>
  <c r="AE96" i="12"/>
  <c r="V96" i="12"/>
  <c r="M96" i="12"/>
  <c r="AW95" i="12"/>
  <c r="AN95" i="12"/>
  <c r="AE95" i="12"/>
  <c r="V95" i="12"/>
  <c r="M95" i="12"/>
  <c r="AW94" i="12"/>
  <c r="AN94" i="12"/>
  <c r="AE94" i="12"/>
  <c r="V94" i="12"/>
  <c r="M94" i="12"/>
  <c r="AW93" i="12"/>
  <c r="AN93" i="12"/>
  <c r="AE93" i="12"/>
  <c r="V93" i="12"/>
  <c r="M93" i="12"/>
  <c r="AW92" i="12"/>
  <c r="AN92" i="12"/>
  <c r="AE92" i="12"/>
  <c r="V92" i="12"/>
  <c r="M92" i="12"/>
  <c r="AW91" i="12"/>
  <c r="AN91" i="12"/>
  <c r="AE91" i="12"/>
  <c r="V91" i="12"/>
  <c r="M91" i="12"/>
  <c r="AW90" i="12"/>
  <c r="AN90" i="12"/>
  <c r="AE90" i="12"/>
  <c r="V90" i="12"/>
  <c r="M90" i="12"/>
  <c r="AW89" i="12"/>
  <c r="AN89" i="12"/>
  <c r="AE89" i="12"/>
  <c r="V89" i="12"/>
  <c r="M89" i="12"/>
  <c r="AW88" i="12"/>
  <c r="AN88" i="12"/>
  <c r="AE88" i="12"/>
  <c r="V88" i="12"/>
  <c r="M88" i="12"/>
  <c r="AW87" i="12"/>
  <c r="AN87" i="12"/>
  <c r="AE87" i="12"/>
  <c r="V87" i="12"/>
  <c r="M87" i="12"/>
  <c r="AW86" i="12"/>
  <c r="AN86" i="12"/>
  <c r="AE86" i="12"/>
  <c r="V86" i="12"/>
  <c r="M86" i="12"/>
  <c r="AW85" i="12"/>
  <c r="AN85" i="12"/>
  <c r="AE85" i="12"/>
  <c r="V85" i="12"/>
  <c r="M85" i="12"/>
  <c r="AW84" i="12"/>
  <c r="AN84" i="12"/>
  <c r="AE84" i="12"/>
  <c r="V84" i="12"/>
  <c r="M84" i="12"/>
  <c r="AW83" i="12"/>
  <c r="AN83" i="12"/>
  <c r="AE83" i="12"/>
  <c r="V83" i="12"/>
  <c r="M83" i="12"/>
  <c r="AW82" i="12"/>
  <c r="AN82" i="12"/>
  <c r="AE82" i="12"/>
  <c r="V82" i="12"/>
  <c r="M82" i="12"/>
  <c r="AW81" i="12"/>
  <c r="AN81" i="12"/>
  <c r="AE81" i="12"/>
  <c r="V81" i="12"/>
  <c r="M81" i="12"/>
  <c r="AW80" i="12"/>
  <c r="AN80" i="12"/>
  <c r="AE80" i="12"/>
  <c r="V80" i="12"/>
  <c r="M80" i="12"/>
  <c r="AW79" i="12"/>
  <c r="AN79" i="12"/>
  <c r="AE79" i="12"/>
  <c r="V79" i="12"/>
  <c r="M79" i="12"/>
  <c r="AW78" i="12"/>
  <c r="AN78" i="12"/>
  <c r="AE78" i="12"/>
  <c r="V78" i="12"/>
  <c r="M78" i="12"/>
  <c r="AW77" i="12"/>
  <c r="AN77" i="12"/>
  <c r="AE77" i="12"/>
  <c r="V77" i="12"/>
  <c r="M77" i="12"/>
  <c r="AW76" i="12"/>
  <c r="AN76" i="12"/>
  <c r="AE76" i="12"/>
  <c r="V76" i="12"/>
  <c r="M76" i="12"/>
  <c r="AW75" i="12"/>
  <c r="AN75" i="12"/>
  <c r="AE75" i="12"/>
  <c r="V75" i="12"/>
  <c r="M75" i="12"/>
  <c r="AW74" i="12"/>
  <c r="AN74" i="12"/>
  <c r="AE74" i="12"/>
  <c r="V74" i="12"/>
  <c r="M74" i="12"/>
  <c r="AW73" i="12"/>
  <c r="AN73" i="12"/>
  <c r="AE73" i="12"/>
  <c r="V73" i="12"/>
  <c r="M73" i="12"/>
  <c r="AW72" i="12"/>
  <c r="AN72" i="12"/>
  <c r="AE72" i="12"/>
  <c r="V72" i="12"/>
  <c r="M72" i="12"/>
  <c r="AW71" i="12"/>
  <c r="AN71" i="12"/>
  <c r="AE71" i="12"/>
  <c r="V71" i="12"/>
  <c r="M71" i="12"/>
  <c r="AW70" i="12"/>
  <c r="AN70" i="12"/>
  <c r="AE70" i="12"/>
  <c r="V70" i="12"/>
  <c r="M70" i="12"/>
  <c r="AW69" i="12"/>
  <c r="AN69" i="12"/>
  <c r="AE69" i="12"/>
  <c r="V69" i="12"/>
  <c r="M69" i="12"/>
  <c r="AW68" i="12"/>
  <c r="AN68" i="12"/>
  <c r="AE68" i="12"/>
  <c r="V68" i="12"/>
  <c r="M68" i="12"/>
  <c r="AW67" i="12"/>
  <c r="AN67" i="12"/>
  <c r="AE67" i="12"/>
  <c r="V67" i="12"/>
  <c r="M67" i="12"/>
  <c r="AW66" i="12"/>
  <c r="AN66" i="12"/>
  <c r="AE66" i="12"/>
  <c r="V66" i="12"/>
  <c r="M66" i="12"/>
  <c r="AW65" i="12"/>
  <c r="AN65" i="12"/>
  <c r="AE65" i="12"/>
  <c r="V65" i="12"/>
  <c r="M65" i="12"/>
  <c r="AW64" i="12"/>
  <c r="AN64" i="12"/>
  <c r="AE64" i="12"/>
  <c r="V64" i="12"/>
  <c r="M64" i="12"/>
  <c r="AW63" i="12"/>
  <c r="AN63" i="12"/>
  <c r="AE63" i="12"/>
  <c r="V63" i="12"/>
  <c r="M63" i="12"/>
  <c r="AW62" i="12"/>
  <c r="AN62" i="12"/>
  <c r="AE62" i="12"/>
  <c r="V62" i="12"/>
  <c r="M62" i="12"/>
  <c r="AW61" i="12"/>
  <c r="AN61" i="12"/>
  <c r="AE61" i="12"/>
  <c r="V61" i="12"/>
  <c r="M61" i="12"/>
  <c r="AW60" i="12"/>
  <c r="AN60" i="12"/>
  <c r="AE60" i="12"/>
  <c r="V60" i="12"/>
  <c r="M60" i="12"/>
  <c r="AW59" i="12"/>
  <c r="AN59" i="12"/>
  <c r="AE59" i="12"/>
  <c r="V59" i="12"/>
  <c r="M59" i="12"/>
  <c r="AW58" i="12"/>
  <c r="AN58" i="12"/>
  <c r="AE58" i="12"/>
  <c r="V58" i="12"/>
  <c r="M58" i="12"/>
  <c r="AW57" i="12"/>
  <c r="AN57" i="12"/>
  <c r="AE57" i="12"/>
  <c r="V57" i="12"/>
  <c r="M57" i="12"/>
  <c r="AW56" i="12"/>
  <c r="AN56" i="12"/>
  <c r="AE56" i="12"/>
  <c r="V56" i="12"/>
  <c r="M56" i="12"/>
  <c r="AW55" i="12"/>
  <c r="AN55" i="12"/>
  <c r="AE55" i="12"/>
  <c r="V55" i="12"/>
  <c r="M55" i="12"/>
  <c r="AW54" i="12"/>
  <c r="AN54" i="12"/>
  <c r="AE54" i="12"/>
  <c r="V54" i="12"/>
  <c r="M54" i="12"/>
  <c r="AW53" i="12"/>
  <c r="AN53" i="12"/>
  <c r="AE53" i="12"/>
  <c r="V53" i="12"/>
  <c r="M53" i="12"/>
  <c r="AW52" i="12"/>
  <c r="AN52" i="12"/>
  <c r="AE52" i="12"/>
  <c r="V52" i="12"/>
  <c r="M52" i="12"/>
  <c r="AW51" i="12"/>
  <c r="AN51" i="12"/>
  <c r="AE51" i="12"/>
  <c r="V51" i="12"/>
  <c r="M51" i="12"/>
  <c r="AW50" i="12"/>
  <c r="AN50" i="12"/>
  <c r="AE50" i="12"/>
  <c r="V50" i="12"/>
  <c r="M50" i="12"/>
  <c r="AW49" i="12"/>
  <c r="AN49" i="12"/>
  <c r="AE49" i="12"/>
  <c r="V49" i="12"/>
  <c r="M49" i="12"/>
  <c r="AW48" i="12"/>
  <c r="AN48" i="12"/>
  <c r="AE48" i="12"/>
  <c r="V48" i="12"/>
  <c r="M48" i="12"/>
  <c r="AW47" i="12"/>
  <c r="AN47" i="12"/>
  <c r="AE47" i="12"/>
  <c r="V47" i="12"/>
  <c r="M47" i="12"/>
  <c r="AW46" i="12"/>
  <c r="AN46" i="12"/>
  <c r="AE46" i="12"/>
  <c r="V46" i="12"/>
  <c r="M46" i="12"/>
  <c r="AW45" i="12"/>
  <c r="AN45" i="12"/>
  <c r="AE45" i="12"/>
  <c r="V45" i="12"/>
  <c r="M45" i="12"/>
  <c r="AW44" i="12"/>
  <c r="AN44" i="12"/>
  <c r="AE44" i="12"/>
  <c r="V44" i="12"/>
  <c r="M44" i="12"/>
  <c r="AW43" i="12"/>
  <c r="AN43" i="12"/>
  <c r="AE43" i="12"/>
  <c r="V43" i="12"/>
  <c r="M43" i="12"/>
  <c r="AW42" i="12"/>
  <c r="AN42" i="12"/>
  <c r="AE42" i="12"/>
  <c r="V42" i="12"/>
  <c r="M42" i="12"/>
  <c r="AW41" i="12"/>
  <c r="AN41" i="12"/>
  <c r="AE41" i="12"/>
  <c r="V41" i="12"/>
  <c r="M41" i="12"/>
  <c r="AW40" i="12"/>
  <c r="AN40" i="12"/>
  <c r="AE40" i="12"/>
  <c r="V40" i="12"/>
  <c r="M40" i="12"/>
  <c r="AW39" i="12"/>
  <c r="AN39" i="12"/>
  <c r="AE39" i="12"/>
  <c r="V39" i="12"/>
  <c r="M39" i="12"/>
  <c r="AW38" i="12"/>
  <c r="AN38" i="12"/>
  <c r="AE38" i="12"/>
  <c r="V38" i="12"/>
  <c r="M38" i="12"/>
  <c r="AW37" i="12"/>
  <c r="AN37" i="12"/>
  <c r="AE37" i="12"/>
  <c r="V37" i="12"/>
  <c r="M37" i="12"/>
  <c r="AW36" i="12"/>
  <c r="AN36" i="12"/>
  <c r="AE36" i="12"/>
  <c r="V36" i="12"/>
  <c r="M36" i="12"/>
  <c r="AW35" i="12"/>
  <c r="AN35" i="12"/>
  <c r="AE35" i="12"/>
  <c r="V35" i="12"/>
  <c r="M35" i="12"/>
  <c r="AW34" i="12"/>
  <c r="AN34" i="12"/>
  <c r="AE34" i="12"/>
  <c r="V34" i="12"/>
  <c r="M34" i="12"/>
  <c r="AW33" i="12"/>
  <c r="AN33" i="12"/>
  <c r="AE33" i="12"/>
  <c r="V33" i="12"/>
  <c r="M33" i="12"/>
  <c r="AW32" i="12"/>
  <c r="AN32" i="12"/>
  <c r="AE32" i="12"/>
  <c r="V32" i="12"/>
  <c r="M32" i="12"/>
  <c r="AW31" i="12"/>
  <c r="AN31" i="12"/>
  <c r="AE31" i="12"/>
  <c r="V31" i="12"/>
  <c r="M31" i="12"/>
  <c r="AW30" i="12"/>
  <c r="AN30" i="12"/>
  <c r="AE30" i="12"/>
  <c r="V30" i="12"/>
  <c r="M30" i="12"/>
  <c r="AW29" i="12"/>
  <c r="AN29" i="12"/>
  <c r="AE29" i="12"/>
  <c r="V29" i="12"/>
  <c r="M29" i="12"/>
  <c r="AW28" i="12"/>
  <c r="AN28" i="12"/>
  <c r="AE28" i="12"/>
  <c r="V28" i="12"/>
  <c r="M28" i="12"/>
  <c r="AW27" i="12"/>
  <c r="AN27" i="12"/>
  <c r="AE27" i="12"/>
  <c r="V27" i="12"/>
  <c r="M27" i="12"/>
  <c r="AW26" i="12"/>
  <c r="AN26" i="12"/>
  <c r="AE26" i="12"/>
  <c r="V26" i="12"/>
  <c r="M26" i="12"/>
  <c r="AW25" i="12"/>
  <c r="AN25" i="12"/>
  <c r="AE25" i="12"/>
  <c r="V25" i="12"/>
  <c r="M25" i="12"/>
  <c r="AW24" i="12"/>
  <c r="AN24" i="12"/>
  <c r="AE24" i="12"/>
  <c r="V24" i="12"/>
  <c r="M24" i="12"/>
  <c r="AW23" i="12"/>
  <c r="AN23" i="12"/>
  <c r="AE23" i="12"/>
  <c r="V23" i="12"/>
  <c r="M23" i="12"/>
  <c r="AW22" i="12"/>
  <c r="AN22" i="12"/>
  <c r="AE22" i="12"/>
  <c r="V22" i="12"/>
  <c r="M22" i="12"/>
  <c r="AW21" i="12"/>
  <c r="AN21" i="12"/>
  <c r="AE21" i="12"/>
  <c r="V21" i="12"/>
  <c r="M21" i="12"/>
  <c r="AW20" i="12"/>
  <c r="AN20" i="12"/>
  <c r="AE20" i="12"/>
  <c r="V20" i="12"/>
  <c r="M20" i="12"/>
  <c r="AW19" i="12"/>
  <c r="AN19" i="12"/>
  <c r="AE19" i="12"/>
  <c r="V19" i="12"/>
  <c r="M19" i="12"/>
  <c r="AW18" i="12"/>
  <c r="AN18" i="12"/>
  <c r="AE18" i="12"/>
  <c r="V18" i="12"/>
  <c r="M18" i="12"/>
  <c r="AW17" i="12"/>
  <c r="AN17" i="12"/>
  <c r="AE17" i="12"/>
  <c r="V17" i="12"/>
  <c r="M17" i="12"/>
  <c r="AW16" i="12"/>
  <c r="AN16" i="12"/>
  <c r="AE16" i="12"/>
  <c r="V16" i="12"/>
  <c r="M16" i="12"/>
  <c r="AW15" i="12"/>
  <c r="AN15" i="12"/>
  <c r="AE15" i="12"/>
  <c r="V15" i="12"/>
  <c r="M15" i="12"/>
  <c r="AW14" i="12"/>
  <c r="AN14" i="12"/>
  <c r="AE14" i="12"/>
  <c r="V14" i="12"/>
  <c r="M14" i="12"/>
  <c r="AW13" i="12"/>
  <c r="AN13" i="12"/>
  <c r="AE13" i="12"/>
  <c r="V13" i="12"/>
  <c r="M13" i="12"/>
  <c r="AW12" i="12"/>
  <c r="AN12" i="12"/>
  <c r="AE12" i="12"/>
  <c r="V12" i="12"/>
  <c r="M12" i="12"/>
  <c r="AW11" i="12"/>
  <c r="AN11" i="12"/>
  <c r="AE11" i="12"/>
  <c r="M16" i="1" s="1"/>
  <c r="V11" i="12"/>
  <c r="M11" i="12"/>
  <c r="AW10" i="12"/>
  <c r="AN10" i="12"/>
  <c r="AE10" i="12"/>
  <c r="V10" i="12"/>
  <c r="M10" i="12"/>
  <c r="AW9" i="12"/>
  <c r="U16" i="1" s="1"/>
  <c r="AN9" i="12"/>
  <c r="AE9" i="12"/>
  <c r="V9" i="12"/>
  <c r="M9" i="12"/>
  <c r="AW8" i="12"/>
  <c r="AN8" i="12"/>
  <c r="AE8" i="12"/>
  <c r="V8" i="12"/>
  <c r="I16" i="1" s="1"/>
  <c r="M8" i="12"/>
  <c r="AW7" i="12"/>
  <c r="AN7" i="12"/>
  <c r="AE7" i="12"/>
  <c r="V7" i="12"/>
  <c r="M7" i="12"/>
  <c r="AW6" i="12"/>
  <c r="AN6" i="12"/>
  <c r="Q16" i="1" s="1"/>
  <c r="AE6" i="12"/>
  <c r="V6" i="12"/>
  <c r="M6" i="12"/>
  <c r="AW5" i="12"/>
  <c r="AN5" i="12"/>
  <c r="AE5" i="12"/>
  <c r="V5" i="12"/>
  <c r="M5" i="12"/>
  <c r="E16" i="1" s="1"/>
  <c r="AW80" i="11"/>
  <c r="AN80" i="11"/>
  <c r="AE80" i="11"/>
  <c r="V80" i="11"/>
  <c r="M80" i="11"/>
  <c r="AW79" i="11"/>
  <c r="AN79" i="11"/>
  <c r="AE79" i="11"/>
  <c r="V79" i="11"/>
  <c r="M79" i="11"/>
  <c r="AW78" i="11"/>
  <c r="AN78" i="11"/>
  <c r="AE78" i="11"/>
  <c r="V78" i="11"/>
  <c r="M78" i="11"/>
  <c r="AW77" i="11"/>
  <c r="AN77" i="11"/>
  <c r="AE77" i="11"/>
  <c r="V77" i="11"/>
  <c r="M77" i="11"/>
  <c r="AW76" i="11"/>
  <c r="AN76" i="11"/>
  <c r="AE76" i="11"/>
  <c r="V76" i="11"/>
  <c r="M76" i="11"/>
  <c r="AW75" i="11"/>
  <c r="AN75" i="11"/>
  <c r="AE75" i="11"/>
  <c r="V75" i="11"/>
  <c r="M75" i="11"/>
  <c r="AW74" i="11"/>
  <c r="AN74" i="11"/>
  <c r="AE74" i="11"/>
  <c r="V74" i="11"/>
  <c r="M74" i="11"/>
  <c r="AW73" i="11"/>
  <c r="AN73" i="11"/>
  <c r="AE73" i="11"/>
  <c r="V73" i="11"/>
  <c r="M73" i="11"/>
  <c r="AW72" i="11"/>
  <c r="AN72" i="11"/>
  <c r="AE72" i="11"/>
  <c r="V72" i="11"/>
  <c r="M72" i="11"/>
  <c r="AW71" i="11"/>
  <c r="AN71" i="11"/>
  <c r="AE71" i="11"/>
  <c r="V71" i="11"/>
  <c r="M71" i="11"/>
  <c r="AW70" i="11"/>
  <c r="AN70" i="11"/>
  <c r="AE70" i="11"/>
  <c r="V70" i="11"/>
  <c r="M70" i="11"/>
  <c r="AW69" i="11"/>
  <c r="AN69" i="11"/>
  <c r="AE69" i="11"/>
  <c r="V69" i="11"/>
  <c r="M69" i="11"/>
  <c r="AW68" i="11"/>
  <c r="AN68" i="11"/>
  <c r="AE68" i="11"/>
  <c r="V68" i="11"/>
  <c r="M68" i="11"/>
  <c r="AW67" i="11"/>
  <c r="AN67" i="11"/>
  <c r="AE67" i="11"/>
  <c r="V67" i="11"/>
  <c r="M67" i="11"/>
  <c r="AW66" i="11"/>
  <c r="AN66" i="11"/>
  <c r="AE66" i="11"/>
  <c r="V66" i="11"/>
  <c r="M66" i="11"/>
  <c r="AW65" i="11"/>
  <c r="AN65" i="11"/>
  <c r="AE65" i="11"/>
  <c r="V65" i="11"/>
  <c r="M65" i="11"/>
  <c r="AW64" i="11"/>
  <c r="AN64" i="11"/>
  <c r="AE64" i="11"/>
  <c r="V64" i="11"/>
  <c r="M64" i="11"/>
  <c r="AW63" i="11"/>
  <c r="AN63" i="11"/>
  <c r="AE63" i="11"/>
  <c r="V63" i="11"/>
  <c r="M63" i="11"/>
  <c r="AW62" i="11"/>
  <c r="AN62" i="11"/>
  <c r="AE62" i="11"/>
  <c r="V62" i="11"/>
  <c r="M62" i="11"/>
  <c r="AW61" i="11"/>
  <c r="AN61" i="11"/>
  <c r="AE61" i="11"/>
  <c r="V61" i="11"/>
  <c r="M61" i="11"/>
  <c r="AW60" i="11"/>
  <c r="AN60" i="11"/>
  <c r="AE60" i="11"/>
  <c r="V60" i="11"/>
  <c r="M60" i="11"/>
  <c r="AW59" i="11"/>
  <c r="AN59" i="11"/>
  <c r="AE59" i="11"/>
  <c r="V59" i="11"/>
  <c r="M59" i="11"/>
  <c r="AW58" i="11"/>
  <c r="AN58" i="11"/>
  <c r="AE58" i="11"/>
  <c r="V58" i="11"/>
  <c r="M58" i="11"/>
  <c r="AW57" i="11"/>
  <c r="AN57" i="11"/>
  <c r="AE57" i="11"/>
  <c r="V57" i="11"/>
  <c r="M57" i="11"/>
  <c r="AW56" i="11"/>
  <c r="AN56" i="11"/>
  <c r="AE56" i="11"/>
  <c r="V56" i="11"/>
  <c r="M56" i="11"/>
  <c r="AW55" i="11"/>
  <c r="AN55" i="11"/>
  <c r="AE55" i="11"/>
  <c r="V55" i="11"/>
  <c r="M55" i="11"/>
  <c r="AW54" i="11"/>
  <c r="AN54" i="11"/>
  <c r="AE54" i="11"/>
  <c r="V54" i="11"/>
  <c r="M54" i="11"/>
  <c r="AW53" i="11"/>
  <c r="AN53" i="11"/>
  <c r="AE53" i="11"/>
  <c r="V53" i="11"/>
  <c r="M53" i="11"/>
  <c r="AW52" i="11"/>
  <c r="AN52" i="11"/>
  <c r="AE52" i="11"/>
  <c r="V52" i="11"/>
  <c r="M52" i="11"/>
  <c r="AW51" i="11"/>
  <c r="AN51" i="11"/>
  <c r="AE51" i="11"/>
  <c r="V51" i="11"/>
  <c r="M51" i="11"/>
  <c r="AW50" i="11"/>
  <c r="AN50" i="11"/>
  <c r="AE50" i="11"/>
  <c r="V50" i="11"/>
  <c r="M50" i="11"/>
  <c r="AW49" i="11"/>
  <c r="AN49" i="11"/>
  <c r="AE49" i="11"/>
  <c r="V49" i="11"/>
  <c r="M49" i="11"/>
  <c r="AW48" i="11"/>
  <c r="AN48" i="11"/>
  <c r="AE48" i="11"/>
  <c r="V48" i="11"/>
  <c r="M48" i="11"/>
  <c r="AW47" i="11"/>
  <c r="AN47" i="11"/>
  <c r="AE47" i="11"/>
  <c r="V47" i="11"/>
  <c r="M47" i="11"/>
  <c r="AW46" i="11"/>
  <c r="AN46" i="11"/>
  <c r="AE46" i="11"/>
  <c r="V46" i="11"/>
  <c r="M46" i="11"/>
  <c r="AW45" i="11"/>
  <c r="AN45" i="11"/>
  <c r="AE45" i="11"/>
  <c r="V45" i="11"/>
  <c r="M45" i="11"/>
  <c r="AW44" i="11"/>
  <c r="AN44" i="11"/>
  <c r="AE44" i="11"/>
  <c r="V44" i="11"/>
  <c r="M44" i="11"/>
  <c r="AW43" i="11"/>
  <c r="AN43" i="11"/>
  <c r="AE43" i="11"/>
  <c r="V43" i="11"/>
  <c r="M43" i="11"/>
  <c r="AW42" i="11"/>
  <c r="AN42" i="11"/>
  <c r="AE42" i="11"/>
  <c r="V42" i="11"/>
  <c r="M42" i="11"/>
  <c r="AW41" i="11"/>
  <c r="AN41" i="11"/>
  <c r="AE41" i="11"/>
  <c r="V41" i="11"/>
  <c r="M41" i="11"/>
  <c r="AW40" i="11"/>
  <c r="AN40" i="11"/>
  <c r="AE40" i="11"/>
  <c r="V40" i="11"/>
  <c r="M40" i="11"/>
  <c r="AW39" i="11"/>
  <c r="AN39" i="11"/>
  <c r="AE39" i="11"/>
  <c r="V39" i="11"/>
  <c r="M39" i="11"/>
  <c r="AW38" i="11"/>
  <c r="AN38" i="11"/>
  <c r="AE38" i="11"/>
  <c r="V38" i="11"/>
  <c r="M38" i="11"/>
  <c r="AW37" i="11"/>
  <c r="AN37" i="11"/>
  <c r="AE37" i="11"/>
  <c r="V37" i="11"/>
  <c r="M37" i="11"/>
  <c r="AW36" i="11"/>
  <c r="AN36" i="11"/>
  <c r="AE36" i="11"/>
  <c r="V36" i="11"/>
  <c r="M36" i="11"/>
  <c r="AW35" i="11"/>
  <c r="AN35" i="11"/>
  <c r="AE35" i="11"/>
  <c r="V35" i="11"/>
  <c r="M35" i="11"/>
  <c r="AW34" i="11"/>
  <c r="AN34" i="11"/>
  <c r="AE34" i="11"/>
  <c r="V34" i="11"/>
  <c r="M34" i="11"/>
  <c r="AW33" i="11"/>
  <c r="AN33" i="11"/>
  <c r="AE33" i="11"/>
  <c r="V33" i="11"/>
  <c r="M33" i="11"/>
  <c r="AW32" i="11"/>
  <c r="AN32" i="11"/>
  <c r="AE32" i="11"/>
  <c r="V32" i="11"/>
  <c r="M32" i="11"/>
  <c r="AW31" i="11"/>
  <c r="AN31" i="11"/>
  <c r="AE31" i="11"/>
  <c r="V31" i="11"/>
  <c r="M31" i="11"/>
  <c r="AW30" i="11"/>
  <c r="AN30" i="11"/>
  <c r="AE30" i="11"/>
  <c r="V30" i="11"/>
  <c r="M30" i="11"/>
  <c r="AW29" i="11"/>
  <c r="AN29" i="11"/>
  <c r="AE29" i="11"/>
  <c r="V29" i="11"/>
  <c r="M29" i="11"/>
  <c r="AW28" i="11"/>
  <c r="AN28" i="11"/>
  <c r="AE28" i="11"/>
  <c r="V28" i="11"/>
  <c r="M28" i="11"/>
  <c r="AW27" i="11"/>
  <c r="AN27" i="11"/>
  <c r="AE27" i="11"/>
  <c r="V27" i="11"/>
  <c r="M27" i="11"/>
  <c r="AW26" i="11"/>
  <c r="AN26" i="11"/>
  <c r="AE26" i="11"/>
  <c r="V26" i="11"/>
  <c r="M26" i="11"/>
  <c r="AW25" i="11"/>
  <c r="AN25" i="11"/>
  <c r="AE25" i="11"/>
  <c r="V25" i="11"/>
  <c r="M25" i="11"/>
  <c r="AW24" i="11"/>
  <c r="AN24" i="11"/>
  <c r="AE24" i="11"/>
  <c r="V24" i="11"/>
  <c r="M24" i="11"/>
  <c r="AW23" i="11"/>
  <c r="AN23" i="11"/>
  <c r="AE23" i="11"/>
  <c r="V23" i="11"/>
  <c r="M23" i="11"/>
  <c r="AW22" i="11"/>
  <c r="AN22" i="11"/>
  <c r="AE22" i="11"/>
  <c r="V22" i="11"/>
  <c r="M22" i="11"/>
  <c r="AW21" i="11"/>
  <c r="AN21" i="11"/>
  <c r="AE21" i="11"/>
  <c r="V21" i="11"/>
  <c r="M21" i="11"/>
  <c r="AW20" i="11"/>
  <c r="AN20" i="11"/>
  <c r="AE20" i="11"/>
  <c r="V20" i="11"/>
  <c r="M20" i="11"/>
  <c r="AW19" i="11"/>
  <c r="AN19" i="11"/>
  <c r="AE19" i="11"/>
  <c r="V19" i="11"/>
  <c r="M19" i="11"/>
  <c r="AW18" i="11"/>
  <c r="AN18" i="11"/>
  <c r="AE18" i="11"/>
  <c r="V18" i="11"/>
  <c r="M18" i="11"/>
  <c r="AW17" i="11"/>
  <c r="AN17" i="11"/>
  <c r="AE17" i="11"/>
  <c r="V17" i="11"/>
  <c r="M17" i="11"/>
  <c r="AW16" i="11"/>
  <c r="AN16" i="11"/>
  <c r="AE16" i="11"/>
  <c r="V16" i="11"/>
  <c r="M16" i="11"/>
  <c r="AW15" i="11"/>
  <c r="AN15" i="11"/>
  <c r="AE15" i="11"/>
  <c r="V15" i="11"/>
  <c r="M15" i="11"/>
  <c r="AW14" i="11"/>
  <c r="AN14" i="11"/>
  <c r="AE14" i="11"/>
  <c r="V14" i="11"/>
  <c r="M14" i="11"/>
  <c r="AW13" i="11"/>
  <c r="AN13" i="11"/>
  <c r="AE13" i="11"/>
  <c r="V13" i="11"/>
  <c r="M13" i="11"/>
  <c r="AW12" i="11"/>
  <c r="AN12" i="11"/>
  <c r="AE12" i="11"/>
  <c r="V12" i="11"/>
  <c r="M12" i="11"/>
  <c r="AW11" i="11"/>
  <c r="AN11" i="11"/>
  <c r="AE11" i="11"/>
  <c r="V11" i="11"/>
  <c r="M11" i="11"/>
  <c r="AW10" i="11"/>
  <c r="AN10" i="11"/>
  <c r="AE10" i="11"/>
  <c r="V10" i="11"/>
  <c r="M10" i="11"/>
  <c r="AW9" i="11"/>
  <c r="AN9" i="11"/>
  <c r="AE9" i="11"/>
  <c r="V9" i="11"/>
  <c r="M9" i="11"/>
  <c r="AW8" i="11"/>
  <c r="AN8" i="11"/>
  <c r="AE8" i="11"/>
  <c r="V8" i="11"/>
  <c r="M8" i="11"/>
  <c r="AW7" i="11"/>
  <c r="AN7" i="11"/>
  <c r="AE7" i="11"/>
  <c r="V7" i="11"/>
  <c r="M7" i="11"/>
  <c r="AW6" i="11"/>
  <c r="AN6" i="11"/>
  <c r="AE6" i="11"/>
  <c r="V6" i="11"/>
  <c r="M6" i="11"/>
  <c r="AW5" i="11"/>
  <c r="AN5" i="11"/>
  <c r="AE5" i="11"/>
  <c r="V5" i="11"/>
  <c r="M5" i="11"/>
  <c r="AW39" i="10"/>
  <c r="AN39" i="10"/>
  <c r="AE39" i="10"/>
  <c r="V39" i="10"/>
  <c r="M39" i="10"/>
  <c r="AW38" i="10"/>
  <c r="AN38" i="10"/>
  <c r="AE38" i="10"/>
  <c r="V38" i="10"/>
  <c r="M38" i="10"/>
  <c r="AW37" i="10"/>
  <c r="AN37" i="10"/>
  <c r="AE37" i="10"/>
  <c r="V37" i="10"/>
  <c r="M37" i="10"/>
  <c r="AW36" i="10"/>
  <c r="AN36" i="10"/>
  <c r="AE36" i="10"/>
  <c r="V36" i="10"/>
  <c r="M36" i="10"/>
  <c r="AW35" i="10"/>
  <c r="AN35" i="10"/>
  <c r="AE35" i="10"/>
  <c r="V35" i="10"/>
  <c r="M35" i="10"/>
  <c r="AW34" i="10"/>
  <c r="AN34" i="10"/>
  <c r="AE34" i="10"/>
  <c r="V34" i="10"/>
  <c r="M34" i="10"/>
  <c r="AW33" i="10"/>
  <c r="AN33" i="10"/>
  <c r="AE33" i="10"/>
  <c r="V33" i="10"/>
  <c r="M33" i="10"/>
  <c r="AW32" i="10"/>
  <c r="AN32" i="10"/>
  <c r="AE32" i="10"/>
  <c r="V32" i="10"/>
  <c r="M32" i="10"/>
  <c r="AW31" i="10"/>
  <c r="AN31" i="10"/>
  <c r="AE31" i="10"/>
  <c r="V31" i="10"/>
  <c r="M31" i="10"/>
  <c r="AW30" i="10"/>
  <c r="AN30" i="10"/>
  <c r="AE30" i="10"/>
  <c r="V30" i="10"/>
  <c r="M30" i="10"/>
  <c r="AW29" i="10"/>
  <c r="AN29" i="10"/>
  <c r="AE29" i="10"/>
  <c r="V29" i="10"/>
  <c r="M29" i="10"/>
  <c r="AW28" i="10"/>
  <c r="AN28" i="10"/>
  <c r="AE28" i="10"/>
  <c r="V28" i="10"/>
  <c r="M28" i="10"/>
  <c r="AW27" i="10"/>
  <c r="AN27" i="10"/>
  <c r="AE27" i="10"/>
  <c r="V27" i="10"/>
  <c r="M27" i="10"/>
  <c r="AW26" i="10"/>
  <c r="AN26" i="10"/>
  <c r="AE26" i="10"/>
  <c r="V26" i="10"/>
  <c r="M26" i="10"/>
  <c r="AW25" i="10"/>
  <c r="AN25" i="10"/>
  <c r="AE25" i="10"/>
  <c r="V25" i="10"/>
  <c r="M25" i="10"/>
  <c r="AW24" i="10"/>
  <c r="AN24" i="10"/>
  <c r="AE24" i="10"/>
  <c r="V24" i="10"/>
  <c r="M24" i="10"/>
  <c r="AW23" i="10"/>
  <c r="AN23" i="10"/>
  <c r="AE23" i="10"/>
  <c r="V23" i="10"/>
  <c r="M23" i="10"/>
  <c r="AW22" i="10"/>
  <c r="AN22" i="10"/>
  <c r="AE22" i="10"/>
  <c r="V22" i="10"/>
  <c r="M22" i="10"/>
  <c r="AW21" i="10"/>
  <c r="AN21" i="10"/>
  <c r="AE21" i="10"/>
  <c r="V21" i="10"/>
  <c r="M21" i="10"/>
  <c r="AW20" i="10"/>
  <c r="AN20" i="10"/>
  <c r="AE20" i="10"/>
  <c r="V20" i="10"/>
  <c r="M20" i="10"/>
  <c r="AW19" i="10"/>
  <c r="AN19" i="10"/>
  <c r="AE19" i="10"/>
  <c r="V19" i="10"/>
  <c r="M19" i="10"/>
  <c r="AW18" i="10"/>
  <c r="AN18" i="10"/>
  <c r="AE18" i="10"/>
  <c r="V18" i="10"/>
  <c r="M18" i="10"/>
  <c r="AW17" i="10"/>
  <c r="AN17" i="10"/>
  <c r="AE17" i="10"/>
  <c r="V17" i="10"/>
  <c r="M17" i="10"/>
  <c r="AW16" i="10"/>
  <c r="AN16" i="10"/>
  <c r="AE16" i="10"/>
  <c r="V16" i="10"/>
  <c r="M16" i="10"/>
  <c r="AW15" i="10"/>
  <c r="AN15" i="10"/>
  <c r="AE15" i="10"/>
  <c r="V15" i="10"/>
  <c r="M15" i="10"/>
  <c r="AW14" i="10"/>
  <c r="AN14" i="10"/>
  <c r="AE14" i="10"/>
  <c r="V14" i="10"/>
  <c r="M14" i="10"/>
  <c r="AW13" i="10"/>
  <c r="AN13" i="10"/>
  <c r="AE13" i="10"/>
  <c r="V13" i="10"/>
  <c r="M13" i="10"/>
  <c r="AW12" i="10"/>
  <c r="AN12" i="10"/>
  <c r="AE12" i="10"/>
  <c r="V12" i="10"/>
  <c r="M12" i="10"/>
  <c r="AW11" i="10"/>
  <c r="AN11" i="10"/>
  <c r="AE11" i="10"/>
  <c r="V11" i="10"/>
  <c r="M11" i="10"/>
  <c r="AW10" i="10"/>
  <c r="AN10" i="10"/>
  <c r="AE10" i="10"/>
  <c r="V10" i="10"/>
  <c r="M10" i="10"/>
  <c r="AW9" i="10"/>
  <c r="AN9" i="10"/>
  <c r="AE9" i="10"/>
  <c r="V9" i="10"/>
  <c r="M9" i="10"/>
  <c r="AW8" i="10"/>
  <c r="AN8" i="10"/>
  <c r="AE8" i="10"/>
  <c r="V8" i="10"/>
  <c r="M8" i="10"/>
  <c r="AW7" i="10"/>
  <c r="AN7" i="10"/>
  <c r="AE7" i="10"/>
  <c r="V7" i="10"/>
  <c r="M7" i="10"/>
  <c r="AW6" i="10"/>
  <c r="AN6" i="10"/>
  <c r="AE6" i="10"/>
  <c r="V6" i="10"/>
  <c r="M6" i="10"/>
  <c r="AW5" i="10"/>
  <c r="AN5" i="10"/>
  <c r="AE5" i="10"/>
  <c r="V5" i="10"/>
  <c r="M5" i="10"/>
  <c r="AW26" i="9"/>
  <c r="AN26" i="9"/>
  <c r="AE26" i="9"/>
  <c r="V26" i="9"/>
  <c r="M26" i="9"/>
  <c r="AW25" i="9"/>
  <c r="AN25" i="9"/>
  <c r="AE25" i="9"/>
  <c r="V25" i="9"/>
  <c r="M25" i="9"/>
  <c r="AW24" i="9"/>
  <c r="AN24" i="9"/>
  <c r="AE24" i="9"/>
  <c r="V24" i="9"/>
  <c r="M24" i="9"/>
  <c r="AW23" i="9"/>
  <c r="AN23" i="9"/>
  <c r="AE23" i="9"/>
  <c r="V23" i="9"/>
  <c r="M23" i="9"/>
  <c r="AW22" i="9"/>
  <c r="AN22" i="9"/>
  <c r="AE22" i="9"/>
  <c r="V22" i="9"/>
  <c r="M22" i="9"/>
  <c r="AW21" i="9"/>
  <c r="AN21" i="9"/>
  <c r="AE21" i="9"/>
  <c r="V21" i="9"/>
  <c r="M21" i="9"/>
  <c r="AW20" i="9"/>
  <c r="AN20" i="9"/>
  <c r="AE20" i="9"/>
  <c r="V20" i="9"/>
  <c r="M20" i="9"/>
  <c r="AW19" i="9"/>
  <c r="AN19" i="9"/>
  <c r="AE19" i="9"/>
  <c r="V19" i="9"/>
  <c r="M19" i="9"/>
  <c r="AW18" i="9"/>
  <c r="AN18" i="9"/>
  <c r="AE18" i="9"/>
  <c r="V18" i="9"/>
  <c r="M18" i="9"/>
  <c r="AW17" i="9"/>
  <c r="AN17" i="9"/>
  <c r="AE17" i="9"/>
  <c r="V17" i="9"/>
  <c r="M17" i="9"/>
  <c r="AW16" i="9"/>
  <c r="AN16" i="9"/>
  <c r="AE16" i="9"/>
  <c r="V16" i="9"/>
  <c r="M16" i="9"/>
  <c r="AW15" i="9"/>
  <c r="AN15" i="9"/>
  <c r="AE15" i="9"/>
  <c r="V15" i="9"/>
  <c r="M15" i="9"/>
  <c r="AW14" i="9"/>
  <c r="AN14" i="9"/>
  <c r="AE14" i="9"/>
  <c r="V14" i="9"/>
  <c r="M14" i="9"/>
  <c r="AW13" i="9"/>
  <c r="AN13" i="9"/>
  <c r="AE13" i="9"/>
  <c r="V13" i="9"/>
  <c r="M13" i="9"/>
  <c r="AW12" i="9"/>
  <c r="AN12" i="9"/>
  <c r="AE12" i="9"/>
  <c r="V12" i="9"/>
  <c r="M12" i="9"/>
  <c r="AW11" i="9"/>
  <c r="AN11" i="9"/>
  <c r="AE11" i="9"/>
  <c r="V11" i="9"/>
  <c r="M11" i="9"/>
  <c r="AW10" i="9"/>
  <c r="AN10" i="9"/>
  <c r="AE10" i="9"/>
  <c r="V10" i="9"/>
  <c r="M10" i="9"/>
  <c r="AW9" i="9"/>
  <c r="AN9" i="9"/>
  <c r="AE9" i="9"/>
  <c r="V9" i="9"/>
  <c r="M9" i="9"/>
  <c r="AW8" i="9"/>
  <c r="AN8" i="9"/>
  <c r="AE8" i="9"/>
  <c r="V8" i="9"/>
  <c r="M8" i="9"/>
  <c r="AW7" i="9"/>
  <c r="AN7" i="9"/>
  <c r="AE7" i="9"/>
  <c r="V7" i="9"/>
  <c r="M7" i="9"/>
  <c r="AW6" i="9"/>
  <c r="AN6" i="9"/>
  <c r="AE6" i="9"/>
  <c r="V6" i="9"/>
  <c r="M6" i="9"/>
  <c r="AW5" i="9"/>
  <c r="AN5" i="9"/>
  <c r="AE5" i="9"/>
  <c r="V5" i="9"/>
  <c r="M5" i="9"/>
  <c r="AW16" i="8"/>
  <c r="AN16" i="8"/>
  <c r="AE16" i="8"/>
  <c r="V16" i="8"/>
  <c r="M16" i="8"/>
  <c r="AW15" i="8"/>
  <c r="AN15" i="8"/>
  <c r="AE15" i="8"/>
  <c r="V15" i="8"/>
  <c r="M15" i="8"/>
  <c r="AW14" i="8"/>
  <c r="AN14" i="8"/>
  <c r="AE14" i="8"/>
  <c r="V14" i="8"/>
  <c r="M14" i="8"/>
  <c r="AW13" i="8"/>
  <c r="AN13" i="8"/>
  <c r="AE13" i="8"/>
  <c r="V13" i="8"/>
  <c r="M13" i="8"/>
  <c r="AW12" i="8"/>
  <c r="AN12" i="8"/>
  <c r="AE12" i="8"/>
  <c r="V12" i="8"/>
  <c r="M12" i="8"/>
  <c r="AW11" i="8"/>
  <c r="AN11" i="8"/>
  <c r="AE11" i="8"/>
  <c r="V11" i="8"/>
  <c r="M11" i="8"/>
  <c r="AW10" i="8"/>
  <c r="AN10" i="8"/>
  <c r="AE10" i="8"/>
  <c r="V10" i="8"/>
  <c r="M10" i="8"/>
  <c r="AW9" i="8"/>
  <c r="AN9" i="8"/>
  <c r="AE9" i="8"/>
  <c r="V9" i="8"/>
  <c r="M9" i="8"/>
  <c r="AW8" i="8"/>
  <c r="AN8" i="8"/>
  <c r="AE8" i="8"/>
  <c r="V8" i="8"/>
  <c r="M8" i="8"/>
  <c r="AW7" i="8"/>
  <c r="AN7" i="8"/>
  <c r="AE7" i="8"/>
  <c r="V7" i="8"/>
  <c r="M7" i="8"/>
  <c r="AW6" i="8"/>
  <c r="AN6" i="8"/>
  <c r="AE6" i="8"/>
  <c r="V6" i="8"/>
  <c r="M6" i="8"/>
  <c r="AW5" i="8"/>
  <c r="AN5" i="8"/>
  <c r="AE5" i="8"/>
  <c r="V5" i="8"/>
  <c r="M5" i="8"/>
  <c r="AW117" i="7"/>
  <c r="AN117" i="7"/>
  <c r="AE117" i="7"/>
  <c r="V117" i="7"/>
  <c r="M117" i="7"/>
  <c r="AW116" i="7"/>
  <c r="AN116" i="7"/>
  <c r="AE116" i="7"/>
  <c r="V116" i="7"/>
  <c r="M116" i="7"/>
  <c r="AW115" i="7"/>
  <c r="AN115" i="7"/>
  <c r="AE115" i="7"/>
  <c r="V115" i="7"/>
  <c r="M115" i="7"/>
  <c r="AW114" i="7"/>
  <c r="AN114" i="7"/>
  <c r="AE114" i="7"/>
  <c r="V114" i="7"/>
  <c r="M114" i="7"/>
  <c r="AW113" i="7"/>
  <c r="AN113" i="7"/>
  <c r="AE113" i="7"/>
  <c r="V113" i="7"/>
  <c r="M113" i="7"/>
  <c r="AW112" i="7"/>
  <c r="AN112" i="7"/>
  <c r="AE112" i="7"/>
  <c r="V112" i="7"/>
  <c r="M112" i="7"/>
  <c r="AW111" i="7"/>
  <c r="AN111" i="7"/>
  <c r="AE111" i="7"/>
  <c r="V111" i="7"/>
  <c r="M111" i="7"/>
  <c r="AW110" i="7"/>
  <c r="AN110" i="7"/>
  <c r="AE110" i="7"/>
  <c r="V110" i="7"/>
  <c r="M110" i="7"/>
  <c r="AW109" i="7"/>
  <c r="AN109" i="7"/>
  <c r="AE109" i="7"/>
  <c r="V109" i="7"/>
  <c r="M109" i="7"/>
  <c r="AW108" i="7"/>
  <c r="AN108" i="7"/>
  <c r="AE108" i="7"/>
  <c r="V108" i="7"/>
  <c r="M108" i="7"/>
  <c r="AW107" i="7"/>
  <c r="AN107" i="7"/>
  <c r="AE107" i="7"/>
  <c r="V107" i="7"/>
  <c r="M107" i="7"/>
  <c r="AW106" i="7"/>
  <c r="AN106" i="7"/>
  <c r="AE106" i="7"/>
  <c r="V106" i="7"/>
  <c r="M106" i="7"/>
  <c r="AW105" i="7"/>
  <c r="AN105" i="7"/>
  <c r="AE105" i="7"/>
  <c r="V105" i="7"/>
  <c r="M105" i="7"/>
  <c r="AW104" i="7"/>
  <c r="AN104" i="7"/>
  <c r="AE104" i="7"/>
  <c r="V104" i="7"/>
  <c r="M104" i="7"/>
  <c r="AW103" i="7"/>
  <c r="AN103" i="7"/>
  <c r="AE103" i="7"/>
  <c r="V103" i="7"/>
  <c r="M103" i="7"/>
  <c r="AW102" i="7"/>
  <c r="AN102" i="7"/>
  <c r="AE102" i="7"/>
  <c r="V102" i="7"/>
  <c r="M102" i="7"/>
  <c r="AW101" i="7"/>
  <c r="AN101" i="7"/>
  <c r="AE101" i="7"/>
  <c r="V101" i="7"/>
  <c r="M101" i="7"/>
  <c r="AW100" i="7"/>
  <c r="AN100" i="7"/>
  <c r="AE100" i="7"/>
  <c r="V100" i="7"/>
  <c r="M100" i="7"/>
  <c r="AW99" i="7"/>
  <c r="AN99" i="7"/>
  <c r="AE99" i="7"/>
  <c r="V99" i="7"/>
  <c r="M99" i="7"/>
  <c r="AW98" i="7"/>
  <c r="AN98" i="7"/>
  <c r="AE98" i="7"/>
  <c r="V98" i="7"/>
  <c r="M98" i="7"/>
  <c r="AW97" i="7"/>
  <c r="AN97" i="7"/>
  <c r="AE97" i="7"/>
  <c r="V97" i="7"/>
  <c r="M97" i="7"/>
  <c r="AW96" i="7"/>
  <c r="AN96" i="7"/>
  <c r="AE96" i="7"/>
  <c r="V96" i="7"/>
  <c r="M96" i="7"/>
  <c r="AW95" i="7"/>
  <c r="AN95" i="7"/>
  <c r="AE95" i="7"/>
  <c r="V95" i="7"/>
  <c r="M95" i="7"/>
  <c r="AW94" i="7"/>
  <c r="AN94" i="7"/>
  <c r="AE94" i="7"/>
  <c r="V94" i="7"/>
  <c r="M94" i="7"/>
  <c r="AW93" i="7"/>
  <c r="AN93" i="7"/>
  <c r="AE93" i="7"/>
  <c r="V93" i="7"/>
  <c r="M93" i="7"/>
  <c r="AW92" i="7"/>
  <c r="AN92" i="7"/>
  <c r="AE92" i="7"/>
  <c r="V92" i="7"/>
  <c r="M92" i="7"/>
  <c r="AW91" i="7"/>
  <c r="AN91" i="7"/>
  <c r="AE91" i="7"/>
  <c r="V91" i="7"/>
  <c r="M91" i="7"/>
  <c r="AW90" i="7"/>
  <c r="AN90" i="7"/>
  <c r="AE90" i="7"/>
  <c r="V90" i="7"/>
  <c r="M90" i="7"/>
  <c r="AW89" i="7"/>
  <c r="AN89" i="7"/>
  <c r="AE89" i="7"/>
  <c r="V89" i="7"/>
  <c r="M89" i="7"/>
  <c r="AW88" i="7"/>
  <c r="AN88" i="7"/>
  <c r="AE88" i="7"/>
  <c r="V88" i="7"/>
  <c r="M88" i="7"/>
  <c r="AW87" i="7"/>
  <c r="AN87" i="7"/>
  <c r="AE87" i="7"/>
  <c r="V87" i="7"/>
  <c r="M87" i="7"/>
  <c r="AW86" i="7"/>
  <c r="AN86" i="7"/>
  <c r="AE86" i="7"/>
  <c r="V86" i="7"/>
  <c r="M86" i="7"/>
  <c r="AW85" i="7"/>
  <c r="AN85" i="7"/>
  <c r="AE85" i="7"/>
  <c r="V85" i="7"/>
  <c r="M85" i="7"/>
  <c r="AW84" i="7"/>
  <c r="AN84" i="7"/>
  <c r="AE84" i="7"/>
  <c r="V84" i="7"/>
  <c r="M84" i="7"/>
  <c r="AW83" i="7"/>
  <c r="AN83" i="7"/>
  <c r="AE83" i="7"/>
  <c r="V83" i="7"/>
  <c r="M83" i="7"/>
  <c r="AW82" i="7"/>
  <c r="AN82" i="7"/>
  <c r="AE82" i="7"/>
  <c r="V82" i="7"/>
  <c r="M82" i="7"/>
  <c r="AW81" i="7"/>
  <c r="AN81" i="7"/>
  <c r="AE81" i="7"/>
  <c r="V81" i="7"/>
  <c r="M81" i="7"/>
  <c r="AW80" i="7"/>
  <c r="AN80" i="7"/>
  <c r="AE80" i="7"/>
  <c r="V80" i="7"/>
  <c r="M80" i="7"/>
  <c r="AW79" i="7"/>
  <c r="AN79" i="7"/>
  <c r="AE79" i="7"/>
  <c r="V79" i="7"/>
  <c r="M79" i="7"/>
  <c r="AW78" i="7"/>
  <c r="AN78" i="7"/>
  <c r="AE78" i="7"/>
  <c r="V78" i="7"/>
  <c r="M78" i="7"/>
  <c r="AW77" i="7"/>
  <c r="AN77" i="7"/>
  <c r="AE77" i="7"/>
  <c r="V77" i="7"/>
  <c r="M77" i="7"/>
  <c r="AW76" i="7"/>
  <c r="AN76" i="7"/>
  <c r="AE76" i="7"/>
  <c r="V76" i="7"/>
  <c r="M76" i="7"/>
  <c r="AW75" i="7"/>
  <c r="AN75" i="7"/>
  <c r="AE75" i="7"/>
  <c r="V75" i="7"/>
  <c r="M75" i="7"/>
  <c r="AW74" i="7"/>
  <c r="AN74" i="7"/>
  <c r="AE74" i="7"/>
  <c r="V74" i="7"/>
  <c r="M74" i="7"/>
  <c r="AW73" i="7"/>
  <c r="AN73" i="7"/>
  <c r="AE73" i="7"/>
  <c r="V73" i="7"/>
  <c r="M73" i="7"/>
  <c r="AW72" i="7"/>
  <c r="AN72" i="7"/>
  <c r="AE72" i="7"/>
  <c r="V72" i="7"/>
  <c r="M72" i="7"/>
  <c r="AW71" i="7"/>
  <c r="AN71" i="7"/>
  <c r="AE71" i="7"/>
  <c r="V71" i="7"/>
  <c r="M71" i="7"/>
  <c r="AW70" i="7"/>
  <c r="AN70" i="7"/>
  <c r="AE70" i="7"/>
  <c r="V70" i="7"/>
  <c r="M70" i="7"/>
  <c r="AW69" i="7"/>
  <c r="AN69" i="7"/>
  <c r="AE69" i="7"/>
  <c r="V69" i="7"/>
  <c r="M69" i="7"/>
  <c r="AW68" i="7"/>
  <c r="AN68" i="7"/>
  <c r="AE68" i="7"/>
  <c r="V68" i="7"/>
  <c r="M68" i="7"/>
  <c r="AW67" i="7"/>
  <c r="AN67" i="7"/>
  <c r="AE67" i="7"/>
  <c r="V67" i="7"/>
  <c r="M67" i="7"/>
  <c r="AW66" i="7"/>
  <c r="AN66" i="7"/>
  <c r="AE66" i="7"/>
  <c r="V66" i="7"/>
  <c r="M66" i="7"/>
  <c r="AW65" i="7"/>
  <c r="AN65" i="7"/>
  <c r="AE65" i="7"/>
  <c r="V65" i="7"/>
  <c r="M65" i="7"/>
  <c r="AW64" i="7"/>
  <c r="AN64" i="7"/>
  <c r="AE64" i="7"/>
  <c r="V64" i="7"/>
  <c r="M64" i="7"/>
  <c r="AW63" i="7"/>
  <c r="AN63" i="7"/>
  <c r="AE63" i="7"/>
  <c r="V63" i="7"/>
  <c r="M63" i="7"/>
  <c r="AW62" i="7"/>
  <c r="AN62" i="7"/>
  <c r="AE62" i="7"/>
  <c r="V62" i="7"/>
  <c r="M62" i="7"/>
  <c r="AW61" i="7"/>
  <c r="AN61" i="7"/>
  <c r="AE61" i="7"/>
  <c r="V61" i="7"/>
  <c r="M61" i="7"/>
  <c r="AW60" i="7"/>
  <c r="AN60" i="7"/>
  <c r="AE60" i="7"/>
  <c r="V60" i="7"/>
  <c r="M60" i="7"/>
  <c r="AW59" i="7"/>
  <c r="AN59" i="7"/>
  <c r="AE59" i="7"/>
  <c r="V59" i="7"/>
  <c r="M59" i="7"/>
  <c r="AW58" i="7"/>
  <c r="AN58" i="7"/>
  <c r="AE58" i="7"/>
  <c r="V58" i="7"/>
  <c r="M58" i="7"/>
  <c r="AW57" i="7"/>
  <c r="AN57" i="7"/>
  <c r="AE57" i="7"/>
  <c r="V57" i="7"/>
  <c r="M57" i="7"/>
  <c r="AW56" i="7"/>
  <c r="AN56" i="7"/>
  <c r="AE56" i="7"/>
  <c r="V56" i="7"/>
  <c r="M56" i="7"/>
  <c r="AW55" i="7"/>
  <c r="AN55" i="7"/>
  <c r="AE55" i="7"/>
  <c r="V55" i="7"/>
  <c r="M55" i="7"/>
  <c r="AW54" i="7"/>
  <c r="AN54" i="7"/>
  <c r="AE54" i="7"/>
  <c r="V54" i="7"/>
  <c r="M54" i="7"/>
  <c r="AW53" i="7"/>
  <c r="AN53" i="7"/>
  <c r="AE53" i="7"/>
  <c r="V53" i="7"/>
  <c r="M53" i="7"/>
  <c r="AW52" i="7"/>
  <c r="AN52" i="7"/>
  <c r="AE52" i="7"/>
  <c r="V52" i="7"/>
  <c r="M52" i="7"/>
  <c r="AW51" i="7"/>
  <c r="AN51" i="7"/>
  <c r="AE51" i="7"/>
  <c r="V51" i="7"/>
  <c r="M51" i="7"/>
  <c r="AW50" i="7"/>
  <c r="AN50" i="7"/>
  <c r="AE50" i="7"/>
  <c r="V50" i="7"/>
  <c r="M50" i="7"/>
  <c r="AW49" i="7"/>
  <c r="AN49" i="7"/>
  <c r="AE49" i="7"/>
  <c r="V49" i="7"/>
  <c r="M49" i="7"/>
  <c r="AW48" i="7"/>
  <c r="AN48" i="7"/>
  <c r="AE48" i="7"/>
  <c r="V48" i="7"/>
  <c r="M48" i="7"/>
  <c r="AW47" i="7"/>
  <c r="AN47" i="7"/>
  <c r="AE47" i="7"/>
  <c r="V47" i="7"/>
  <c r="M47" i="7"/>
  <c r="AW46" i="7"/>
  <c r="AN46" i="7"/>
  <c r="AE46" i="7"/>
  <c r="V46" i="7"/>
  <c r="M46" i="7"/>
  <c r="AW45" i="7"/>
  <c r="AN45" i="7"/>
  <c r="AE45" i="7"/>
  <c r="V45" i="7"/>
  <c r="M45" i="7"/>
  <c r="AW44" i="7"/>
  <c r="AN44" i="7"/>
  <c r="AE44" i="7"/>
  <c r="V44" i="7"/>
  <c r="M44" i="7"/>
  <c r="AW43" i="7"/>
  <c r="AN43" i="7"/>
  <c r="AE43" i="7"/>
  <c r="V43" i="7"/>
  <c r="M43" i="7"/>
  <c r="AW42" i="7"/>
  <c r="AN42" i="7"/>
  <c r="AE42" i="7"/>
  <c r="V42" i="7"/>
  <c r="M42" i="7"/>
  <c r="AW41" i="7"/>
  <c r="AN41" i="7"/>
  <c r="AE41" i="7"/>
  <c r="V41" i="7"/>
  <c r="M41" i="7"/>
  <c r="AW40" i="7"/>
  <c r="AN40" i="7"/>
  <c r="AE40" i="7"/>
  <c r="V40" i="7"/>
  <c r="M40" i="7"/>
  <c r="AW39" i="7"/>
  <c r="AN39" i="7"/>
  <c r="AE39" i="7"/>
  <c r="V39" i="7"/>
  <c r="M39" i="7"/>
  <c r="AW38" i="7"/>
  <c r="AN38" i="7"/>
  <c r="AE38" i="7"/>
  <c r="V38" i="7"/>
  <c r="M38" i="7"/>
  <c r="AW37" i="7"/>
  <c r="AN37" i="7"/>
  <c r="AE37" i="7"/>
  <c r="V37" i="7"/>
  <c r="M37" i="7"/>
  <c r="AW36" i="7"/>
  <c r="AN36" i="7"/>
  <c r="AE36" i="7"/>
  <c r="V36" i="7"/>
  <c r="M36" i="7"/>
  <c r="AW35" i="7"/>
  <c r="AN35" i="7"/>
  <c r="AE35" i="7"/>
  <c r="V35" i="7"/>
  <c r="M35" i="7"/>
  <c r="AW34" i="7"/>
  <c r="AN34" i="7"/>
  <c r="AE34" i="7"/>
  <c r="V34" i="7"/>
  <c r="M34" i="7"/>
  <c r="AW33" i="7"/>
  <c r="AN33" i="7"/>
  <c r="AE33" i="7"/>
  <c r="V33" i="7"/>
  <c r="M33" i="7"/>
  <c r="AW32" i="7"/>
  <c r="AN32" i="7"/>
  <c r="AE32" i="7"/>
  <c r="V32" i="7"/>
  <c r="M32" i="7"/>
  <c r="AW31" i="7"/>
  <c r="AN31" i="7"/>
  <c r="AE31" i="7"/>
  <c r="V31" i="7"/>
  <c r="M31" i="7"/>
  <c r="AW30" i="7"/>
  <c r="AN30" i="7"/>
  <c r="AE30" i="7"/>
  <c r="V30" i="7"/>
  <c r="M30" i="7"/>
  <c r="AW29" i="7"/>
  <c r="AN29" i="7"/>
  <c r="AE29" i="7"/>
  <c r="V29" i="7"/>
  <c r="M29" i="7"/>
  <c r="AW28" i="7"/>
  <c r="AN28" i="7"/>
  <c r="AE28" i="7"/>
  <c r="V28" i="7"/>
  <c r="M28" i="7"/>
  <c r="AW27" i="7"/>
  <c r="AN27" i="7"/>
  <c r="AE27" i="7"/>
  <c r="V27" i="7"/>
  <c r="M27" i="7"/>
  <c r="AW26" i="7"/>
  <c r="AN26" i="7"/>
  <c r="AE26" i="7"/>
  <c r="V26" i="7"/>
  <c r="M26" i="7"/>
  <c r="AW25" i="7"/>
  <c r="AN25" i="7"/>
  <c r="AE25" i="7"/>
  <c r="V25" i="7"/>
  <c r="M25" i="7"/>
  <c r="AW24" i="7"/>
  <c r="AN24" i="7"/>
  <c r="AE24" i="7"/>
  <c r="V24" i="7"/>
  <c r="M24" i="7"/>
  <c r="AW23" i="7"/>
  <c r="AN23" i="7"/>
  <c r="AE23" i="7"/>
  <c r="V23" i="7"/>
  <c r="M23" i="7"/>
  <c r="AW22" i="7"/>
  <c r="AN22" i="7"/>
  <c r="AE22" i="7"/>
  <c r="V22" i="7"/>
  <c r="M22" i="7"/>
  <c r="AW21" i="7"/>
  <c r="AN21" i="7"/>
  <c r="AE21" i="7"/>
  <c r="V21" i="7"/>
  <c r="M21" i="7"/>
  <c r="AW20" i="7"/>
  <c r="AN20" i="7"/>
  <c r="AE20" i="7"/>
  <c r="V20" i="7"/>
  <c r="M20" i="7"/>
  <c r="AW19" i="7"/>
  <c r="AN19" i="7"/>
  <c r="AE19" i="7"/>
  <c r="V19" i="7"/>
  <c r="M19" i="7"/>
  <c r="AW18" i="7"/>
  <c r="AN18" i="7"/>
  <c r="AE18" i="7"/>
  <c r="V18" i="7"/>
  <c r="M18" i="7"/>
  <c r="AW17" i="7"/>
  <c r="AN17" i="7"/>
  <c r="AE17" i="7"/>
  <c r="V17" i="7"/>
  <c r="M17" i="7"/>
  <c r="AW16" i="7"/>
  <c r="AN16" i="7"/>
  <c r="AE16" i="7"/>
  <c r="V16" i="7"/>
  <c r="M16" i="7"/>
  <c r="AW15" i="7"/>
  <c r="AN15" i="7"/>
  <c r="AE15" i="7"/>
  <c r="V15" i="7"/>
  <c r="M15" i="7"/>
  <c r="AW14" i="7"/>
  <c r="AN14" i="7"/>
  <c r="AE14" i="7"/>
  <c r="V14" i="7"/>
  <c r="M14" i="7"/>
  <c r="AW13" i="7"/>
  <c r="AN13" i="7"/>
  <c r="AE13" i="7"/>
  <c r="V13" i="7"/>
  <c r="M13" i="7"/>
  <c r="AW12" i="7"/>
  <c r="AN12" i="7"/>
  <c r="AE12" i="7"/>
  <c r="V12" i="7"/>
  <c r="M12" i="7"/>
  <c r="AW11" i="7"/>
  <c r="AN11" i="7"/>
  <c r="AE11" i="7"/>
  <c r="V11" i="7"/>
  <c r="M11" i="7"/>
  <c r="AW10" i="7"/>
  <c r="AN10" i="7"/>
  <c r="AE10" i="7"/>
  <c r="V10" i="7"/>
  <c r="M10" i="7"/>
  <c r="AW9" i="7"/>
  <c r="AN9" i="7"/>
  <c r="AE9" i="7"/>
  <c r="V9" i="7"/>
  <c r="M9" i="7"/>
  <c r="AW8" i="7"/>
  <c r="AN8" i="7"/>
  <c r="AE8" i="7"/>
  <c r="V8" i="7"/>
  <c r="M8" i="7"/>
  <c r="AW7" i="7"/>
  <c r="AN7" i="7"/>
  <c r="AE7" i="7"/>
  <c r="V7" i="7"/>
  <c r="M7" i="7"/>
  <c r="AW6" i="7"/>
  <c r="AN6" i="7"/>
  <c r="AE6" i="7"/>
  <c r="V6" i="7"/>
  <c r="M6" i="7"/>
  <c r="AW5" i="7"/>
  <c r="AN5" i="7"/>
  <c r="AE5" i="7"/>
  <c r="V5" i="7"/>
  <c r="M5" i="7"/>
  <c r="AW1413" i="6"/>
  <c r="AN1413" i="6"/>
  <c r="AE1413" i="6"/>
  <c r="V1413" i="6"/>
  <c r="M1413" i="6"/>
  <c r="AW1412" i="6"/>
  <c r="AN1412" i="6"/>
  <c r="AE1412" i="6"/>
  <c r="V1412" i="6"/>
  <c r="M1412" i="6"/>
  <c r="AW1411" i="6"/>
  <c r="AN1411" i="6"/>
  <c r="AE1411" i="6"/>
  <c r="V1411" i="6"/>
  <c r="M1411" i="6"/>
  <c r="AW1410" i="6"/>
  <c r="AN1410" i="6"/>
  <c r="AE1410" i="6"/>
  <c r="V1410" i="6"/>
  <c r="M1410" i="6"/>
  <c r="AW1409" i="6"/>
  <c r="AN1409" i="6"/>
  <c r="AE1409" i="6"/>
  <c r="V1409" i="6"/>
  <c r="M1409" i="6"/>
  <c r="AW1408" i="6"/>
  <c r="AN1408" i="6"/>
  <c r="AE1408" i="6"/>
  <c r="V1408" i="6"/>
  <c r="M1408" i="6"/>
  <c r="AW1407" i="6"/>
  <c r="AN1407" i="6"/>
  <c r="AE1407" i="6"/>
  <c r="V1407" i="6"/>
  <c r="M1407" i="6"/>
  <c r="AW1406" i="6"/>
  <c r="AN1406" i="6"/>
  <c r="AE1406" i="6"/>
  <c r="V1406" i="6"/>
  <c r="M1406" i="6"/>
  <c r="AW1405" i="6"/>
  <c r="AN1405" i="6"/>
  <c r="AE1405" i="6"/>
  <c r="V1405" i="6"/>
  <c r="M1405" i="6"/>
  <c r="AW1404" i="6"/>
  <c r="AN1404" i="6"/>
  <c r="AE1404" i="6"/>
  <c r="V1404" i="6"/>
  <c r="M1404" i="6"/>
  <c r="AW1403" i="6"/>
  <c r="AN1403" i="6"/>
  <c r="AE1403" i="6"/>
  <c r="V1403" i="6"/>
  <c r="M1403" i="6"/>
  <c r="AW1402" i="6"/>
  <c r="AN1402" i="6"/>
  <c r="AE1402" i="6"/>
  <c r="V1402" i="6"/>
  <c r="M1402" i="6"/>
  <c r="AW1401" i="6"/>
  <c r="AN1401" i="6"/>
  <c r="AE1401" i="6"/>
  <c r="V1401" i="6"/>
  <c r="M1401" i="6"/>
  <c r="AW1400" i="6"/>
  <c r="AN1400" i="6"/>
  <c r="AE1400" i="6"/>
  <c r="V1400" i="6"/>
  <c r="M1400" i="6"/>
  <c r="AW1399" i="6"/>
  <c r="AN1399" i="6"/>
  <c r="AE1399" i="6"/>
  <c r="V1399" i="6"/>
  <c r="M1399" i="6"/>
  <c r="AW1398" i="6"/>
  <c r="AN1398" i="6"/>
  <c r="AE1398" i="6"/>
  <c r="V1398" i="6"/>
  <c r="M1398" i="6"/>
  <c r="AW1397" i="6"/>
  <c r="AN1397" i="6"/>
  <c r="AE1397" i="6"/>
  <c r="V1397" i="6"/>
  <c r="M1397" i="6"/>
  <c r="AW1396" i="6"/>
  <c r="AN1396" i="6"/>
  <c r="AE1396" i="6"/>
  <c r="V1396" i="6"/>
  <c r="M1396" i="6"/>
  <c r="AW1395" i="6"/>
  <c r="AN1395" i="6"/>
  <c r="AE1395" i="6"/>
  <c r="V1395" i="6"/>
  <c r="M1395" i="6"/>
  <c r="AW1394" i="6"/>
  <c r="AN1394" i="6"/>
  <c r="AE1394" i="6"/>
  <c r="V1394" i="6"/>
  <c r="M1394" i="6"/>
  <c r="AW1393" i="6"/>
  <c r="AN1393" i="6"/>
  <c r="AE1393" i="6"/>
  <c r="V1393" i="6"/>
  <c r="M1393" i="6"/>
  <c r="AW1392" i="6"/>
  <c r="AN1392" i="6"/>
  <c r="AE1392" i="6"/>
  <c r="V1392" i="6"/>
  <c r="M1392" i="6"/>
  <c r="AW1391" i="6"/>
  <c r="AN1391" i="6"/>
  <c r="AE1391" i="6"/>
  <c r="V1391" i="6"/>
  <c r="M1391" i="6"/>
  <c r="AW1390" i="6"/>
  <c r="AN1390" i="6"/>
  <c r="AE1390" i="6"/>
  <c r="V1390" i="6"/>
  <c r="M1390" i="6"/>
  <c r="AW1389" i="6"/>
  <c r="AN1389" i="6"/>
  <c r="AE1389" i="6"/>
  <c r="V1389" i="6"/>
  <c r="M1389" i="6"/>
  <c r="AW1388" i="6"/>
  <c r="AN1388" i="6"/>
  <c r="AE1388" i="6"/>
  <c r="V1388" i="6"/>
  <c r="M1388" i="6"/>
  <c r="AW1387" i="6"/>
  <c r="AN1387" i="6"/>
  <c r="AE1387" i="6"/>
  <c r="V1387" i="6"/>
  <c r="M1387" i="6"/>
  <c r="AW1386" i="6"/>
  <c r="AN1386" i="6"/>
  <c r="AE1386" i="6"/>
  <c r="V1386" i="6"/>
  <c r="M1386" i="6"/>
  <c r="AW1385" i="6"/>
  <c r="AN1385" i="6"/>
  <c r="AE1385" i="6"/>
  <c r="V1385" i="6"/>
  <c r="M1385" i="6"/>
  <c r="AW1384" i="6"/>
  <c r="AN1384" i="6"/>
  <c r="AE1384" i="6"/>
  <c r="V1384" i="6"/>
  <c r="M1384" i="6"/>
  <c r="AW1383" i="6"/>
  <c r="AN1383" i="6"/>
  <c r="AE1383" i="6"/>
  <c r="V1383" i="6"/>
  <c r="M1383" i="6"/>
  <c r="AW1382" i="6"/>
  <c r="AN1382" i="6"/>
  <c r="AE1382" i="6"/>
  <c r="V1382" i="6"/>
  <c r="M1382" i="6"/>
  <c r="AW1381" i="6"/>
  <c r="AN1381" i="6"/>
  <c r="AE1381" i="6"/>
  <c r="V1381" i="6"/>
  <c r="M1381" i="6"/>
  <c r="AW1380" i="6"/>
  <c r="AN1380" i="6"/>
  <c r="AE1380" i="6"/>
  <c r="V1380" i="6"/>
  <c r="M1380" i="6"/>
  <c r="AW1379" i="6"/>
  <c r="AN1379" i="6"/>
  <c r="AE1379" i="6"/>
  <c r="V1379" i="6"/>
  <c r="M1379" i="6"/>
  <c r="AW1378" i="6"/>
  <c r="AN1378" i="6"/>
  <c r="AE1378" i="6"/>
  <c r="V1378" i="6"/>
  <c r="M1378" i="6"/>
  <c r="AW1377" i="6"/>
  <c r="AN1377" i="6"/>
  <c r="AE1377" i="6"/>
  <c r="V1377" i="6"/>
  <c r="M1377" i="6"/>
  <c r="AW1376" i="6"/>
  <c r="AN1376" i="6"/>
  <c r="AE1376" i="6"/>
  <c r="V1376" i="6"/>
  <c r="M1376" i="6"/>
  <c r="AW1375" i="6"/>
  <c r="AN1375" i="6"/>
  <c r="AE1375" i="6"/>
  <c r="V1375" i="6"/>
  <c r="M1375" i="6"/>
  <c r="AW1374" i="6"/>
  <c r="AN1374" i="6"/>
  <c r="AE1374" i="6"/>
  <c r="V1374" i="6"/>
  <c r="M1374" i="6"/>
  <c r="AW1373" i="6"/>
  <c r="AN1373" i="6"/>
  <c r="AE1373" i="6"/>
  <c r="V1373" i="6"/>
  <c r="M1373" i="6"/>
  <c r="AW1372" i="6"/>
  <c r="AN1372" i="6"/>
  <c r="AE1372" i="6"/>
  <c r="V1372" i="6"/>
  <c r="M1372" i="6"/>
  <c r="AW1371" i="6"/>
  <c r="AN1371" i="6"/>
  <c r="AE1371" i="6"/>
  <c r="V1371" i="6"/>
  <c r="M1371" i="6"/>
  <c r="AW1370" i="6"/>
  <c r="AN1370" i="6"/>
  <c r="AE1370" i="6"/>
  <c r="V1370" i="6"/>
  <c r="M1370" i="6"/>
  <c r="AW1369" i="6"/>
  <c r="AN1369" i="6"/>
  <c r="AE1369" i="6"/>
  <c r="V1369" i="6"/>
  <c r="M1369" i="6"/>
  <c r="AW1368" i="6"/>
  <c r="AN1368" i="6"/>
  <c r="AE1368" i="6"/>
  <c r="V1368" i="6"/>
  <c r="M1368" i="6"/>
  <c r="AW1367" i="6"/>
  <c r="AN1367" i="6"/>
  <c r="AE1367" i="6"/>
  <c r="V1367" i="6"/>
  <c r="M1367" i="6"/>
  <c r="AW1366" i="6"/>
  <c r="AN1366" i="6"/>
  <c r="AE1366" i="6"/>
  <c r="V1366" i="6"/>
  <c r="M1366" i="6"/>
  <c r="AW1365" i="6"/>
  <c r="AN1365" i="6"/>
  <c r="AE1365" i="6"/>
  <c r="V1365" i="6"/>
  <c r="M1365" i="6"/>
  <c r="AW1364" i="6"/>
  <c r="AN1364" i="6"/>
  <c r="AE1364" i="6"/>
  <c r="V1364" i="6"/>
  <c r="M1364" i="6"/>
  <c r="AW1363" i="6"/>
  <c r="AN1363" i="6"/>
  <c r="AE1363" i="6"/>
  <c r="V1363" i="6"/>
  <c r="M1363" i="6"/>
  <c r="AW1362" i="6"/>
  <c r="AN1362" i="6"/>
  <c r="AE1362" i="6"/>
  <c r="V1362" i="6"/>
  <c r="M1362" i="6"/>
  <c r="AW1361" i="6"/>
  <c r="AN1361" i="6"/>
  <c r="AE1361" i="6"/>
  <c r="V1361" i="6"/>
  <c r="M1361" i="6"/>
  <c r="AW1360" i="6"/>
  <c r="AN1360" i="6"/>
  <c r="AE1360" i="6"/>
  <c r="V1360" i="6"/>
  <c r="M1360" i="6"/>
  <c r="AW1359" i="6"/>
  <c r="AN1359" i="6"/>
  <c r="AE1359" i="6"/>
  <c r="V1359" i="6"/>
  <c r="M1359" i="6"/>
  <c r="AW1358" i="6"/>
  <c r="AN1358" i="6"/>
  <c r="AE1358" i="6"/>
  <c r="V1358" i="6"/>
  <c r="M1358" i="6"/>
  <c r="AW1357" i="6"/>
  <c r="AN1357" i="6"/>
  <c r="AE1357" i="6"/>
  <c r="V1357" i="6"/>
  <c r="M1357" i="6"/>
  <c r="AW1356" i="6"/>
  <c r="AN1356" i="6"/>
  <c r="AE1356" i="6"/>
  <c r="V1356" i="6"/>
  <c r="M1356" i="6"/>
  <c r="AW1355" i="6"/>
  <c r="AN1355" i="6"/>
  <c r="AE1355" i="6"/>
  <c r="V1355" i="6"/>
  <c r="M1355" i="6"/>
  <c r="AW1354" i="6"/>
  <c r="AN1354" i="6"/>
  <c r="AE1354" i="6"/>
  <c r="V1354" i="6"/>
  <c r="M1354" i="6"/>
  <c r="AW1353" i="6"/>
  <c r="AN1353" i="6"/>
  <c r="AE1353" i="6"/>
  <c r="V1353" i="6"/>
  <c r="M1353" i="6"/>
  <c r="AW1352" i="6"/>
  <c r="AN1352" i="6"/>
  <c r="AE1352" i="6"/>
  <c r="V1352" i="6"/>
  <c r="M1352" i="6"/>
  <c r="AW1351" i="6"/>
  <c r="AN1351" i="6"/>
  <c r="AE1351" i="6"/>
  <c r="V1351" i="6"/>
  <c r="M1351" i="6"/>
  <c r="AW1350" i="6"/>
  <c r="AN1350" i="6"/>
  <c r="AE1350" i="6"/>
  <c r="V1350" i="6"/>
  <c r="M1350" i="6"/>
  <c r="AW1349" i="6"/>
  <c r="AN1349" i="6"/>
  <c r="AE1349" i="6"/>
  <c r="V1349" i="6"/>
  <c r="M1349" i="6"/>
  <c r="AW1348" i="6"/>
  <c r="AN1348" i="6"/>
  <c r="AE1348" i="6"/>
  <c r="V1348" i="6"/>
  <c r="M1348" i="6"/>
  <c r="AW1347" i="6"/>
  <c r="AN1347" i="6"/>
  <c r="AE1347" i="6"/>
  <c r="V1347" i="6"/>
  <c r="M1347" i="6"/>
  <c r="AW1346" i="6"/>
  <c r="AN1346" i="6"/>
  <c r="AE1346" i="6"/>
  <c r="V1346" i="6"/>
  <c r="M1346" i="6"/>
  <c r="AW1345" i="6"/>
  <c r="AN1345" i="6"/>
  <c r="AE1345" i="6"/>
  <c r="V1345" i="6"/>
  <c r="M1345" i="6"/>
  <c r="AW1344" i="6"/>
  <c r="AN1344" i="6"/>
  <c r="AE1344" i="6"/>
  <c r="V1344" i="6"/>
  <c r="M1344" i="6"/>
  <c r="AW1343" i="6"/>
  <c r="AN1343" i="6"/>
  <c r="AE1343" i="6"/>
  <c r="V1343" i="6"/>
  <c r="M1343" i="6"/>
  <c r="AW1342" i="6"/>
  <c r="AN1342" i="6"/>
  <c r="AE1342" i="6"/>
  <c r="V1342" i="6"/>
  <c r="M1342" i="6"/>
  <c r="AW1341" i="6"/>
  <c r="AN1341" i="6"/>
  <c r="AE1341" i="6"/>
  <c r="V1341" i="6"/>
  <c r="M1341" i="6"/>
  <c r="AW1340" i="6"/>
  <c r="AN1340" i="6"/>
  <c r="AE1340" i="6"/>
  <c r="V1340" i="6"/>
  <c r="M1340" i="6"/>
  <c r="AW1339" i="6"/>
  <c r="AN1339" i="6"/>
  <c r="AE1339" i="6"/>
  <c r="V1339" i="6"/>
  <c r="M1339" i="6"/>
  <c r="AW1338" i="6"/>
  <c r="AN1338" i="6"/>
  <c r="AE1338" i="6"/>
  <c r="V1338" i="6"/>
  <c r="M1338" i="6"/>
  <c r="AW1337" i="6"/>
  <c r="AN1337" i="6"/>
  <c r="AE1337" i="6"/>
  <c r="V1337" i="6"/>
  <c r="M1337" i="6"/>
  <c r="AW1336" i="6"/>
  <c r="AN1336" i="6"/>
  <c r="AE1336" i="6"/>
  <c r="V1336" i="6"/>
  <c r="M1336" i="6"/>
  <c r="AW1335" i="6"/>
  <c r="AN1335" i="6"/>
  <c r="AE1335" i="6"/>
  <c r="V1335" i="6"/>
  <c r="M1335" i="6"/>
  <c r="AW1334" i="6"/>
  <c r="AN1334" i="6"/>
  <c r="AE1334" i="6"/>
  <c r="V1334" i="6"/>
  <c r="M1334" i="6"/>
  <c r="AW1333" i="6"/>
  <c r="AN1333" i="6"/>
  <c r="AE1333" i="6"/>
  <c r="V1333" i="6"/>
  <c r="M1333" i="6"/>
  <c r="AW1332" i="6"/>
  <c r="AN1332" i="6"/>
  <c r="AE1332" i="6"/>
  <c r="V1332" i="6"/>
  <c r="M1332" i="6"/>
  <c r="AW1331" i="6"/>
  <c r="AN1331" i="6"/>
  <c r="AE1331" i="6"/>
  <c r="V1331" i="6"/>
  <c r="M1331" i="6"/>
  <c r="AW1330" i="6"/>
  <c r="AN1330" i="6"/>
  <c r="AE1330" i="6"/>
  <c r="V1330" i="6"/>
  <c r="M1330" i="6"/>
  <c r="AW1329" i="6"/>
  <c r="AN1329" i="6"/>
  <c r="AE1329" i="6"/>
  <c r="V1329" i="6"/>
  <c r="M1329" i="6"/>
  <c r="AW1328" i="6"/>
  <c r="AN1328" i="6"/>
  <c r="AE1328" i="6"/>
  <c r="V1328" i="6"/>
  <c r="M1328" i="6"/>
  <c r="AW1327" i="6"/>
  <c r="AN1327" i="6"/>
  <c r="AE1327" i="6"/>
  <c r="V1327" i="6"/>
  <c r="M1327" i="6"/>
  <c r="AW1326" i="6"/>
  <c r="AN1326" i="6"/>
  <c r="AE1326" i="6"/>
  <c r="V1326" i="6"/>
  <c r="M1326" i="6"/>
  <c r="AW1325" i="6"/>
  <c r="AN1325" i="6"/>
  <c r="AE1325" i="6"/>
  <c r="V1325" i="6"/>
  <c r="M1325" i="6"/>
  <c r="AW1324" i="6"/>
  <c r="AN1324" i="6"/>
  <c r="AE1324" i="6"/>
  <c r="V1324" i="6"/>
  <c r="M1324" i="6"/>
  <c r="AW1323" i="6"/>
  <c r="AN1323" i="6"/>
  <c r="AE1323" i="6"/>
  <c r="V1323" i="6"/>
  <c r="M1323" i="6"/>
  <c r="AW1322" i="6"/>
  <c r="AN1322" i="6"/>
  <c r="AE1322" i="6"/>
  <c r="V1322" i="6"/>
  <c r="M1322" i="6"/>
  <c r="AW1321" i="6"/>
  <c r="AN1321" i="6"/>
  <c r="AE1321" i="6"/>
  <c r="V1321" i="6"/>
  <c r="M1321" i="6"/>
  <c r="AW1320" i="6"/>
  <c r="AN1320" i="6"/>
  <c r="AE1320" i="6"/>
  <c r="V1320" i="6"/>
  <c r="M1320" i="6"/>
  <c r="AW1319" i="6"/>
  <c r="AN1319" i="6"/>
  <c r="AE1319" i="6"/>
  <c r="V1319" i="6"/>
  <c r="M1319" i="6"/>
  <c r="AW1318" i="6"/>
  <c r="AN1318" i="6"/>
  <c r="AE1318" i="6"/>
  <c r="V1318" i="6"/>
  <c r="M1318" i="6"/>
  <c r="AW1317" i="6"/>
  <c r="AN1317" i="6"/>
  <c r="AE1317" i="6"/>
  <c r="V1317" i="6"/>
  <c r="M1317" i="6"/>
  <c r="AW1316" i="6"/>
  <c r="AN1316" i="6"/>
  <c r="AE1316" i="6"/>
  <c r="V1316" i="6"/>
  <c r="M1316" i="6"/>
  <c r="AW1315" i="6"/>
  <c r="AN1315" i="6"/>
  <c r="AE1315" i="6"/>
  <c r="V1315" i="6"/>
  <c r="M1315" i="6"/>
  <c r="AW1314" i="6"/>
  <c r="AN1314" i="6"/>
  <c r="AE1314" i="6"/>
  <c r="V1314" i="6"/>
  <c r="M1314" i="6"/>
  <c r="AW1313" i="6"/>
  <c r="AN1313" i="6"/>
  <c r="AE1313" i="6"/>
  <c r="V1313" i="6"/>
  <c r="M1313" i="6"/>
  <c r="AW1312" i="6"/>
  <c r="AN1312" i="6"/>
  <c r="AE1312" i="6"/>
  <c r="V1312" i="6"/>
  <c r="M1312" i="6"/>
  <c r="AW1311" i="6"/>
  <c r="AN1311" i="6"/>
  <c r="AE1311" i="6"/>
  <c r="V1311" i="6"/>
  <c r="M1311" i="6"/>
  <c r="AW1310" i="6"/>
  <c r="AN1310" i="6"/>
  <c r="AE1310" i="6"/>
  <c r="V1310" i="6"/>
  <c r="M1310" i="6"/>
  <c r="AW1309" i="6"/>
  <c r="AN1309" i="6"/>
  <c r="AE1309" i="6"/>
  <c r="V1309" i="6"/>
  <c r="M1309" i="6"/>
  <c r="AW1308" i="6"/>
  <c r="AN1308" i="6"/>
  <c r="AE1308" i="6"/>
  <c r="V1308" i="6"/>
  <c r="M1308" i="6"/>
  <c r="AW1307" i="6"/>
  <c r="AN1307" i="6"/>
  <c r="AE1307" i="6"/>
  <c r="V1307" i="6"/>
  <c r="M1307" i="6"/>
  <c r="AW1306" i="6"/>
  <c r="AN1306" i="6"/>
  <c r="AE1306" i="6"/>
  <c r="V1306" i="6"/>
  <c r="M1306" i="6"/>
  <c r="AW1305" i="6"/>
  <c r="AN1305" i="6"/>
  <c r="AE1305" i="6"/>
  <c r="V1305" i="6"/>
  <c r="M1305" i="6"/>
  <c r="AW1304" i="6"/>
  <c r="AN1304" i="6"/>
  <c r="AE1304" i="6"/>
  <c r="V1304" i="6"/>
  <c r="M1304" i="6"/>
  <c r="AW1303" i="6"/>
  <c r="AN1303" i="6"/>
  <c r="AE1303" i="6"/>
  <c r="V1303" i="6"/>
  <c r="M1303" i="6"/>
  <c r="AW1302" i="6"/>
  <c r="AN1302" i="6"/>
  <c r="AE1302" i="6"/>
  <c r="V1302" i="6"/>
  <c r="M1302" i="6"/>
  <c r="AW1301" i="6"/>
  <c r="AN1301" i="6"/>
  <c r="AE1301" i="6"/>
  <c r="V1301" i="6"/>
  <c r="M1301" i="6"/>
  <c r="AW1300" i="6"/>
  <c r="AN1300" i="6"/>
  <c r="AE1300" i="6"/>
  <c r="V1300" i="6"/>
  <c r="M1300" i="6"/>
  <c r="AW1299" i="6"/>
  <c r="AN1299" i="6"/>
  <c r="AE1299" i="6"/>
  <c r="V1299" i="6"/>
  <c r="M1299" i="6"/>
  <c r="AW1298" i="6"/>
  <c r="AN1298" i="6"/>
  <c r="AE1298" i="6"/>
  <c r="V1298" i="6"/>
  <c r="M1298" i="6"/>
  <c r="AW1297" i="6"/>
  <c r="AN1297" i="6"/>
  <c r="AE1297" i="6"/>
  <c r="V1297" i="6"/>
  <c r="M1297" i="6"/>
  <c r="AW1296" i="6"/>
  <c r="AN1296" i="6"/>
  <c r="AE1296" i="6"/>
  <c r="V1296" i="6"/>
  <c r="M1296" i="6"/>
  <c r="AW1295" i="6"/>
  <c r="AN1295" i="6"/>
  <c r="AE1295" i="6"/>
  <c r="V1295" i="6"/>
  <c r="M1295" i="6"/>
  <c r="AW1294" i="6"/>
  <c r="AN1294" i="6"/>
  <c r="AE1294" i="6"/>
  <c r="V1294" i="6"/>
  <c r="M1294" i="6"/>
  <c r="AW1293" i="6"/>
  <c r="AN1293" i="6"/>
  <c r="AE1293" i="6"/>
  <c r="V1293" i="6"/>
  <c r="M1293" i="6"/>
  <c r="AW1292" i="6"/>
  <c r="AN1292" i="6"/>
  <c r="AE1292" i="6"/>
  <c r="V1292" i="6"/>
  <c r="M1292" i="6"/>
  <c r="AW1291" i="6"/>
  <c r="AN1291" i="6"/>
  <c r="AE1291" i="6"/>
  <c r="V1291" i="6"/>
  <c r="M1291" i="6"/>
  <c r="AW1290" i="6"/>
  <c r="AN1290" i="6"/>
  <c r="AE1290" i="6"/>
  <c r="V1290" i="6"/>
  <c r="M1290" i="6"/>
  <c r="AW1289" i="6"/>
  <c r="AN1289" i="6"/>
  <c r="AE1289" i="6"/>
  <c r="V1289" i="6"/>
  <c r="M1289" i="6"/>
  <c r="AW1288" i="6"/>
  <c r="AN1288" i="6"/>
  <c r="AE1288" i="6"/>
  <c r="V1288" i="6"/>
  <c r="M1288" i="6"/>
  <c r="AW1287" i="6"/>
  <c r="AN1287" i="6"/>
  <c r="AE1287" i="6"/>
  <c r="V1287" i="6"/>
  <c r="M1287" i="6"/>
  <c r="AW1286" i="6"/>
  <c r="AN1286" i="6"/>
  <c r="AE1286" i="6"/>
  <c r="V1286" i="6"/>
  <c r="M1286" i="6"/>
  <c r="AW1285" i="6"/>
  <c r="AN1285" i="6"/>
  <c r="AE1285" i="6"/>
  <c r="V1285" i="6"/>
  <c r="M1285" i="6"/>
  <c r="AW1284" i="6"/>
  <c r="AN1284" i="6"/>
  <c r="AE1284" i="6"/>
  <c r="V1284" i="6"/>
  <c r="M1284" i="6"/>
  <c r="AW1283" i="6"/>
  <c r="AN1283" i="6"/>
  <c r="AE1283" i="6"/>
  <c r="V1283" i="6"/>
  <c r="M1283" i="6"/>
  <c r="AW1282" i="6"/>
  <c r="AN1282" i="6"/>
  <c r="AE1282" i="6"/>
  <c r="V1282" i="6"/>
  <c r="M1282" i="6"/>
  <c r="AW1281" i="6"/>
  <c r="AN1281" i="6"/>
  <c r="AE1281" i="6"/>
  <c r="V1281" i="6"/>
  <c r="M1281" i="6"/>
  <c r="AW1280" i="6"/>
  <c r="AN1280" i="6"/>
  <c r="AE1280" i="6"/>
  <c r="V1280" i="6"/>
  <c r="M1280" i="6"/>
  <c r="AW1279" i="6"/>
  <c r="AN1279" i="6"/>
  <c r="AE1279" i="6"/>
  <c r="V1279" i="6"/>
  <c r="M1279" i="6"/>
  <c r="AW1278" i="6"/>
  <c r="AN1278" i="6"/>
  <c r="AE1278" i="6"/>
  <c r="V1278" i="6"/>
  <c r="M1278" i="6"/>
  <c r="AW1277" i="6"/>
  <c r="AN1277" i="6"/>
  <c r="AE1277" i="6"/>
  <c r="V1277" i="6"/>
  <c r="M1277" i="6"/>
  <c r="AW1276" i="6"/>
  <c r="AN1276" i="6"/>
  <c r="AE1276" i="6"/>
  <c r="V1276" i="6"/>
  <c r="M1276" i="6"/>
  <c r="AW1275" i="6"/>
  <c r="AN1275" i="6"/>
  <c r="AE1275" i="6"/>
  <c r="V1275" i="6"/>
  <c r="M1275" i="6"/>
  <c r="AW1274" i="6"/>
  <c r="AN1274" i="6"/>
  <c r="AE1274" i="6"/>
  <c r="V1274" i="6"/>
  <c r="M1274" i="6"/>
  <c r="AW1273" i="6"/>
  <c r="AN1273" i="6"/>
  <c r="AE1273" i="6"/>
  <c r="V1273" i="6"/>
  <c r="M1273" i="6"/>
  <c r="AW1272" i="6"/>
  <c r="AN1272" i="6"/>
  <c r="AE1272" i="6"/>
  <c r="V1272" i="6"/>
  <c r="M1272" i="6"/>
  <c r="AW1271" i="6"/>
  <c r="AN1271" i="6"/>
  <c r="AE1271" i="6"/>
  <c r="V1271" i="6"/>
  <c r="M1271" i="6"/>
  <c r="AW1270" i="6"/>
  <c r="AN1270" i="6"/>
  <c r="AE1270" i="6"/>
  <c r="V1270" i="6"/>
  <c r="M1270" i="6"/>
  <c r="AW1269" i="6"/>
  <c r="AN1269" i="6"/>
  <c r="AE1269" i="6"/>
  <c r="V1269" i="6"/>
  <c r="M1269" i="6"/>
  <c r="AW1268" i="6"/>
  <c r="AN1268" i="6"/>
  <c r="AE1268" i="6"/>
  <c r="V1268" i="6"/>
  <c r="M1268" i="6"/>
  <c r="AW1267" i="6"/>
  <c r="AN1267" i="6"/>
  <c r="AE1267" i="6"/>
  <c r="V1267" i="6"/>
  <c r="M1267" i="6"/>
  <c r="AW1266" i="6"/>
  <c r="AN1266" i="6"/>
  <c r="AE1266" i="6"/>
  <c r="V1266" i="6"/>
  <c r="M1266" i="6"/>
  <c r="AW1265" i="6"/>
  <c r="AN1265" i="6"/>
  <c r="AE1265" i="6"/>
  <c r="V1265" i="6"/>
  <c r="M1265" i="6"/>
  <c r="AW1264" i="6"/>
  <c r="AN1264" i="6"/>
  <c r="AE1264" i="6"/>
  <c r="V1264" i="6"/>
  <c r="M1264" i="6"/>
  <c r="AW1263" i="6"/>
  <c r="AN1263" i="6"/>
  <c r="AE1263" i="6"/>
  <c r="V1263" i="6"/>
  <c r="M1263" i="6"/>
  <c r="AW1262" i="6"/>
  <c r="AN1262" i="6"/>
  <c r="AE1262" i="6"/>
  <c r="V1262" i="6"/>
  <c r="M1262" i="6"/>
  <c r="AW1261" i="6"/>
  <c r="AN1261" i="6"/>
  <c r="AE1261" i="6"/>
  <c r="V1261" i="6"/>
  <c r="M1261" i="6"/>
  <c r="AW1260" i="6"/>
  <c r="AN1260" i="6"/>
  <c r="AE1260" i="6"/>
  <c r="V1260" i="6"/>
  <c r="M1260" i="6"/>
  <c r="AW1259" i="6"/>
  <c r="AN1259" i="6"/>
  <c r="AE1259" i="6"/>
  <c r="V1259" i="6"/>
  <c r="M1259" i="6"/>
  <c r="AW1258" i="6"/>
  <c r="AN1258" i="6"/>
  <c r="AE1258" i="6"/>
  <c r="V1258" i="6"/>
  <c r="M1258" i="6"/>
  <c r="AW1257" i="6"/>
  <c r="AN1257" i="6"/>
  <c r="AE1257" i="6"/>
  <c r="V1257" i="6"/>
  <c r="M1257" i="6"/>
  <c r="AW1256" i="6"/>
  <c r="AN1256" i="6"/>
  <c r="AE1256" i="6"/>
  <c r="V1256" i="6"/>
  <c r="M1256" i="6"/>
  <c r="AW1255" i="6"/>
  <c r="AN1255" i="6"/>
  <c r="AE1255" i="6"/>
  <c r="V1255" i="6"/>
  <c r="M1255" i="6"/>
  <c r="AW1254" i="6"/>
  <c r="AN1254" i="6"/>
  <c r="AE1254" i="6"/>
  <c r="V1254" i="6"/>
  <c r="M1254" i="6"/>
  <c r="AW1253" i="6"/>
  <c r="AN1253" i="6"/>
  <c r="AE1253" i="6"/>
  <c r="V1253" i="6"/>
  <c r="M1253" i="6"/>
  <c r="AW1252" i="6"/>
  <c r="AN1252" i="6"/>
  <c r="AE1252" i="6"/>
  <c r="V1252" i="6"/>
  <c r="M1252" i="6"/>
  <c r="AW1251" i="6"/>
  <c r="AN1251" i="6"/>
  <c r="AE1251" i="6"/>
  <c r="V1251" i="6"/>
  <c r="M1251" i="6"/>
  <c r="AW1250" i="6"/>
  <c r="AN1250" i="6"/>
  <c r="AE1250" i="6"/>
  <c r="V1250" i="6"/>
  <c r="M1250" i="6"/>
  <c r="AW1249" i="6"/>
  <c r="AN1249" i="6"/>
  <c r="AE1249" i="6"/>
  <c r="V1249" i="6"/>
  <c r="M1249" i="6"/>
  <c r="AW1248" i="6"/>
  <c r="AN1248" i="6"/>
  <c r="AE1248" i="6"/>
  <c r="V1248" i="6"/>
  <c r="M1248" i="6"/>
  <c r="AW1247" i="6"/>
  <c r="AN1247" i="6"/>
  <c r="AE1247" i="6"/>
  <c r="V1247" i="6"/>
  <c r="M1247" i="6"/>
  <c r="AW1246" i="6"/>
  <c r="AN1246" i="6"/>
  <c r="AE1246" i="6"/>
  <c r="V1246" i="6"/>
  <c r="M1246" i="6"/>
  <c r="AW1245" i="6"/>
  <c r="AN1245" i="6"/>
  <c r="AE1245" i="6"/>
  <c r="V1245" i="6"/>
  <c r="M1245" i="6"/>
  <c r="AW1244" i="6"/>
  <c r="AN1244" i="6"/>
  <c r="AE1244" i="6"/>
  <c r="V1244" i="6"/>
  <c r="M1244" i="6"/>
  <c r="AW1243" i="6"/>
  <c r="AN1243" i="6"/>
  <c r="AE1243" i="6"/>
  <c r="V1243" i="6"/>
  <c r="M1243" i="6"/>
  <c r="AW1242" i="6"/>
  <c r="AN1242" i="6"/>
  <c r="AE1242" i="6"/>
  <c r="V1242" i="6"/>
  <c r="M1242" i="6"/>
  <c r="AW1241" i="6"/>
  <c r="AN1241" i="6"/>
  <c r="AE1241" i="6"/>
  <c r="V1241" i="6"/>
  <c r="M1241" i="6"/>
  <c r="AW1240" i="6"/>
  <c r="AN1240" i="6"/>
  <c r="AE1240" i="6"/>
  <c r="V1240" i="6"/>
  <c r="M1240" i="6"/>
  <c r="AW1239" i="6"/>
  <c r="AN1239" i="6"/>
  <c r="AE1239" i="6"/>
  <c r="V1239" i="6"/>
  <c r="M1239" i="6"/>
  <c r="AW1238" i="6"/>
  <c r="AN1238" i="6"/>
  <c r="AE1238" i="6"/>
  <c r="V1238" i="6"/>
  <c r="M1238" i="6"/>
  <c r="AW1237" i="6"/>
  <c r="AN1237" i="6"/>
  <c r="AE1237" i="6"/>
  <c r="V1237" i="6"/>
  <c r="M1237" i="6"/>
  <c r="AW1236" i="6"/>
  <c r="AN1236" i="6"/>
  <c r="AE1236" i="6"/>
  <c r="V1236" i="6"/>
  <c r="M1236" i="6"/>
  <c r="AW1235" i="6"/>
  <c r="AN1235" i="6"/>
  <c r="AE1235" i="6"/>
  <c r="V1235" i="6"/>
  <c r="M1235" i="6"/>
  <c r="AW1234" i="6"/>
  <c r="AN1234" i="6"/>
  <c r="AE1234" i="6"/>
  <c r="V1234" i="6"/>
  <c r="M1234" i="6"/>
  <c r="AW1233" i="6"/>
  <c r="AN1233" i="6"/>
  <c r="AE1233" i="6"/>
  <c r="V1233" i="6"/>
  <c r="M1233" i="6"/>
  <c r="AW1232" i="6"/>
  <c r="AN1232" i="6"/>
  <c r="AE1232" i="6"/>
  <c r="V1232" i="6"/>
  <c r="M1232" i="6"/>
  <c r="AW1231" i="6"/>
  <c r="AN1231" i="6"/>
  <c r="AE1231" i="6"/>
  <c r="V1231" i="6"/>
  <c r="M1231" i="6"/>
  <c r="AW1230" i="6"/>
  <c r="AN1230" i="6"/>
  <c r="AE1230" i="6"/>
  <c r="V1230" i="6"/>
  <c r="M1230" i="6"/>
  <c r="AW1229" i="6"/>
  <c r="AN1229" i="6"/>
  <c r="AE1229" i="6"/>
  <c r="V1229" i="6"/>
  <c r="M1229" i="6"/>
  <c r="AW1228" i="6"/>
  <c r="AN1228" i="6"/>
  <c r="AE1228" i="6"/>
  <c r="V1228" i="6"/>
  <c r="M1228" i="6"/>
  <c r="AW1227" i="6"/>
  <c r="AN1227" i="6"/>
  <c r="AE1227" i="6"/>
  <c r="V1227" i="6"/>
  <c r="M1227" i="6"/>
  <c r="AW1226" i="6"/>
  <c r="AN1226" i="6"/>
  <c r="AE1226" i="6"/>
  <c r="V1226" i="6"/>
  <c r="M1226" i="6"/>
  <c r="AW1225" i="6"/>
  <c r="AN1225" i="6"/>
  <c r="AE1225" i="6"/>
  <c r="V1225" i="6"/>
  <c r="M1225" i="6"/>
  <c r="AW1224" i="6"/>
  <c r="AN1224" i="6"/>
  <c r="AE1224" i="6"/>
  <c r="V1224" i="6"/>
  <c r="M1224" i="6"/>
  <c r="AW1223" i="6"/>
  <c r="AN1223" i="6"/>
  <c r="AE1223" i="6"/>
  <c r="V1223" i="6"/>
  <c r="M1223" i="6"/>
  <c r="AW1222" i="6"/>
  <c r="AN1222" i="6"/>
  <c r="AE1222" i="6"/>
  <c r="V1222" i="6"/>
  <c r="M1222" i="6"/>
  <c r="AW1221" i="6"/>
  <c r="AN1221" i="6"/>
  <c r="AE1221" i="6"/>
  <c r="V1221" i="6"/>
  <c r="M1221" i="6"/>
  <c r="AW1220" i="6"/>
  <c r="AN1220" i="6"/>
  <c r="AE1220" i="6"/>
  <c r="V1220" i="6"/>
  <c r="M1220" i="6"/>
  <c r="AW1219" i="6"/>
  <c r="AN1219" i="6"/>
  <c r="AE1219" i="6"/>
  <c r="V1219" i="6"/>
  <c r="M1219" i="6"/>
  <c r="AW1218" i="6"/>
  <c r="AN1218" i="6"/>
  <c r="AE1218" i="6"/>
  <c r="V1218" i="6"/>
  <c r="M1218" i="6"/>
  <c r="AW1217" i="6"/>
  <c r="AN1217" i="6"/>
  <c r="AE1217" i="6"/>
  <c r="V1217" i="6"/>
  <c r="M1217" i="6"/>
  <c r="AW1216" i="6"/>
  <c r="AN1216" i="6"/>
  <c r="AE1216" i="6"/>
  <c r="V1216" i="6"/>
  <c r="M1216" i="6"/>
  <c r="AW1215" i="6"/>
  <c r="AN1215" i="6"/>
  <c r="AE1215" i="6"/>
  <c r="V1215" i="6"/>
  <c r="M1215" i="6"/>
  <c r="AW1214" i="6"/>
  <c r="AN1214" i="6"/>
  <c r="AE1214" i="6"/>
  <c r="V1214" i="6"/>
  <c r="M1214" i="6"/>
  <c r="AW1213" i="6"/>
  <c r="AN1213" i="6"/>
  <c r="AE1213" i="6"/>
  <c r="V1213" i="6"/>
  <c r="M1213" i="6"/>
  <c r="AW1212" i="6"/>
  <c r="AN1212" i="6"/>
  <c r="AE1212" i="6"/>
  <c r="V1212" i="6"/>
  <c r="M1212" i="6"/>
  <c r="AW1211" i="6"/>
  <c r="AN1211" i="6"/>
  <c r="AE1211" i="6"/>
  <c r="V1211" i="6"/>
  <c r="M1211" i="6"/>
  <c r="AW1210" i="6"/>
  <c r="AN1210" i="6"/>
  <c r="AE1210" i="6"/>
  <c r="V1210" i="6"/>
  <c r="M1210" i="6"/>
  <c r="AW1209" i="6"/>
  <c r="AN1209" i="6"/>
  <c r="AE1209" i="6"/>
  <c r="V1209" i="6"/>
  <c r="M1209" i="6"/>
  <c r="AW1208" i="6"/>
  <c r="AN1208" i="6"/>
  <c r="AE1208" i="6"/>
  <c r="V1208" i="6"/>
  <c r="M1208" i="6"/>
  <c r="AW1207" i="6"/>
  <c r="AN1207" i="6"/>
  <c r="AE1207" i="6"/>
  <c r="V1207" i="6"/>
  <c r="M1207" i="6"/>
  <c r="AW1206" i="6"/>
  <c r="AN1206" i="6"/>
  <c r="AE1206" i="6"/>
  <c r="V1206" i="6"/>
  <c r="M1206" i="6"/>
  <c r="AW1205" i="6"/>
  <c r="AN1205" i="6"/>
  <c r="AE1205" i="6"/>
  <c r="V1205" i="6"/>
  <c r="M1205" i="6"/>
  <c r="AW1204" i="6"/>
  <c r="AN1204" i="6"/>
  <c r="AE1204" i="6"/>
  <c r="V1204" i="6"/>
  <c r="M1204" i="6"/>
  <c r="AW1203" i="6"/>
  <c r="AN1203" i="6"/>
  <c r="AE1203" i="6"/>
  <c r="V1203" i="6"/>
  <c r="M1203" i="6"/>
  <c r="AW1202" i="6"/>
  <c r="AN1202" i="6"/>
  <c r="AE1202" i="6"/>
  <c r="V1202" i="6"/>
  <c r="M1202" i="6"/>
  <c r="AW1201" i="6"/>
  <c r="AN1201" i="6"/>
  <c r="AE1201" i="6"/>
  <c r="V1201" i="6"/>
  <c r="M1201" i="6"/>
  <c r="AW1200" i="6"/>
  <c r="AN1200" i="6"/>
  <c r="AE1200" i="6"/>
  <c r="V1200" i="6"/>
  <c r="M1200" i="6"/>
  <c r="AW1199" i="6"/>
  <c r="AN1199" i="6"/>
  <c r="AE1199" i="6"/>
  <c r="V1199" i="6"/>
  <c r="M1199" i="6"/>
  <c r="AW1198" i="6"/>
  <c r="AN1198" i="6"/>
  <c r="AE1198" i="6"/>
  <c r="V1198" i="6"/>
  <c r="M1198" i="6"/>
  <c r="AW1197" i="6"/>
  <c r="AN1197" i="6"/>
  <c r="AE1197" i="6"/>
  <c r="V1197" i="6"/>
  <c r="M1197" i="6"/>
  <c r="AW1196" i="6"/>
  <c r="AN1196" i="6"/>
  <c r="AE1196" i="6"/>
  <c r="V1196" i="6"/>
  <c r="M1196" i="6"/>
  <c r="AW1195" i="6"/>
  <c r="AN1195" i="6"/>
  <c r="AE1195" i="6"/>
  <c r="V1195" i="6"/>
  <c r="M1195" i="6"/>
  <c r="AW1194" i="6"/>
  <c r="AN1194" i="6"/>
  <c r="AE1194" i="6"/>
  <c r="V1194" i="6"/>
  <c r="M1194" i="6"/>
  <c r="AW1193" i="6"/>
  <c r="AN1193" i="6"/>
  <c r="AE1193" i="6"/>
  <c r="V1193" i="6"/>
  <c r="M1193" i="6"/>
  <c r="AW1192" i="6"/>
  <c r="AN1192" i="6"/>
  <c r="AE1192" i="6"/>
  <c r="V1192" i="6"/>
  <c r="M1192" i="6"/>
  <c r="AW1191" i="6"/>
  <c r="AN1191" i="6"/>
  <c r="AE1191" i="6"/>
  <c r="V1191" i="6"/>
  <c r="M1191" i="6"/>
  <c r="AW1190" i="6"/>
  <c r="AN1190" i="6"/>
  <c r="AE1190" i="6"/>
  <c r="V1190" i="6"/>
  <c r="M1190" i="6"/>
  <c r="AW1189" i="6"/>
  <c r="AN1189" i="6"/>
  <c r="AE1189" i="6"/>
  <c r="V1189" i="6"/>
  <c r="M1189" i="6"/>
  <c r="AW1188" i="6"/>
  <c r="AN1188" i="6"/>
  <c r="AE1188" i="6"/>
  <c r="V1188" i="6"/>
  <c r="M1188" i="6"/>
  <c r="AW1187" i="6"/>
  <c r="AN1187" i="6"/>
  <c r="AE1187" i="6"/>
  <c r="V1187" i="6"/>
  <c r="M1187" i="6"/>
  <c r="AW1186" i="6"/>
  <c r="AN1186" i="6"/>
  <c r="AE1186" i="6"/>
  <c r="V1186" i="6"/>
  <c r="M1186" i="6"/>
  <c r="AW1185" i="6"/>
  <c r="AN1185" i="6"/>
  <c r="AE1185" i="6"/>
  <c r="V1185" i="6"/>
  <c r="M1185" i="6"/>
  <c r="AW1184" i="6"/>
  <c r="AN1184" i="6"/>
  <c r="AE1184" i="6"/>
  <c r="V1184" i="6"/>
  <c r="M1184" i="6"/>
  <c r="AW1183" i="6"/>
  <c r="AN1183" i="6"/>
  <c r="AE1183" i="6"/>
  <c r="V1183" i="6"/>
  <c r="M1183" i="6"/>
  <c r="AW1182" i="6"/>
  <c r="AN1182" i="6"/>
  <c r="AE1182" i="6"/>
  <c r="V1182" i="6"/>
  <c r="M1182" i="6"/>
  <c r="AW1181" i="6"/>
  <c r="AN1181" i="6"/>
  <c r="AE1181" i="6"/>
  <c r="V1181" i="6"/>
  <c r="M1181" i="6"/>
  <c r="AW1180" i="6"/>
  <c r="AN1180" i="6"/>
  <c r="AE1180" i="6"/>
  <c r="V1180" i="6"/>
  <c r="M1180" i="6"/>
  <c r="AW1179" i="6"/>
  <c r="AN1179" i="6"/>
  <c r="AE1179" i="6"/>
  <c r="V1179" i="6"/>
  <c r="M1179" i="6"/>
  <c r="AW1178" i="6"/>
  <c r="AN1178" i="6"/>
  <c r="AE1178" i="6"/>
  <c r="V1178" i="6"/>
  <c r="M1178" i="6"/>
  <c r="AW1177" i="6"/>
  <c r="AN1177" i="6"/>
  <c r="AE1177" i="6"/>
  <c r="V1177" i="6"/>
  <c r="M1177" i="6"/>
  <c r="AW1176" i="6"/>
  <c r="AN1176" i="6"/>
  <c r="AE1176" i="6"/>
  <c r="V1176" i="6"/>
  <c r="M1176" i="6"/>
  <c r="AW1175" i="6"/>
  <c r="AN1175" i="6"/>
  <c r="AE1175" i="6"/>
  <c r="V1175" i="6"/>
  <c r="M1175" i="6"/>
  <c r="AW1174" i="6"/>
  <c r="AN1174" i="6"/>
  <c r="AE1174" i="6"/>
  <c r="V1174" i="6"/>
  <c r="M1174" i="6"/>
  <c r="AW1173" i="6"/>
  <c r="AN1173" i="6"/>
  <c r="AE1173" i="6"/>
  <c r="V1173" i="6"/>
  <c r="M1173" i="6"/>
  <c r="AW1172" i="6"/>
  <c r="AN1172" i="6"/>
  <c r="AE1172" i="6"/>
  <c r="V1172" i="6"/>
  <c r="M1172" i="6"/>
  <c r="AW1171" i="6"/>
  <c r="AN1171" i="6"/>
  <c r="AE1171" i="6"/>
  <c r="V1171" i="6"/>
  <c r="M1171" i="6"/>
  <c r="AW1170" i="6"/>
  <c r="AN1170" i="6"/>
  <c r="AE1170" i="6"/>
  <c r="V1170" i="6"/>
  <c r="M1170" i="6"/>
  <c r="AW1169" i="6"/>
  <c r="AN1169" i="6"/>
  <c r="AE1169" i="6"/>
  <c r="V1169" i="6"/>
  <c r="M1169" i="6"/>
  <c r="AW1168" i="6"/>
  <c r="AN1168" i="6"/>
  <c r="AE1168" i="6"/>
  <c r="V1168" i="6"/>
  <c r="M1168" i="6"/>
  <c r="AW1167" i="6"/>
  <c r="AN1167" i="6"/>
  <c r="AE1167" i="6"/>
  <c r="V1167" i="6"/>
  <c r="M1167" i="6"/>
  <c r="AW1166" i="6"/>
  <c r="AN1166" i="6"/>
  <c r="AE1166" i="6"/>
  <c r="V1166" i="6"/>
  <c r="M1166" i="6"/>
  <c r="AW1165" i="6"/>
  <c r="AN1165" i="6"/>
  <c r="AE1165" i="6"/>
  <c r="V1165" i="6"/>
  <c r="M1165" i="6"/>
  <c r="AW1164" i="6"/>
  <c r="AN1164" i="6"/>
  <c r="AE1164" i="6"/>
  <c r="V1164" i="6"/>
  <c r="M1164" i="6"/>
  <c r="AW1163" i="6"/>
  <c r="AN1163" i="6"/>
  <c r="AE1163" i="6"/>
  <c r="V1163" i="6"/>
  <c r="M1163" i="6"/>
  <c r="AW1162" i="6"/>
  <c r="AN1162" i="6"/>
  <c r="AE1162" i="6"/>
  <c r="V1162" i="6"/>
  <c r="M1162" i="6"/>
  <c r="AW1161" i="6"/>
  <c r="AN1161" i="6"/>
  <c r="AE1161" i="6"/>
  <c r="V1161" i="6"/>
  <c r="M1161" i="6"/>
  <c r="AW1160" i="6"/>
  <c r="AN1160" i="6"/>
  <c r="AE1160" i="6"/>
  <c r="V1160" i="6"/>
  <c r="M1160" i="6"/>
  <c r="AW1159" i="6"/>
  <c r="AN1159" i="6"/>
  <c r="AE1159" i="6"/>
  <c r="V1159" i="6"/>
  <c r="M1159" i="6"/>
  <c r="AW1158" i="6"/>
  <c r="AN1158" i="6"/>
  <c r="AE1158" i="6"/>
  <c r="V1158" i="6"/>
  <c r="M1158" i="6"/>
  <c r="AW1157" i="6"/>
  <c r="AN1157" i="6"/>
  <c r="AE1157" i="6"/>
  <c r="V1157" i="6"/>
  <c r="M1157" i="6"/>
  <c r="AW1156" i="6"/>
  <c r="AN1156" i="6"/>
  <c r="AE1156" i="6"/>
  <c r="V1156" i="6"/>
  <c r="M1156" i="6"/>
  <c r="AW1155" i="6"/>
  <c r="AN1155" i="6"/>
  <c r="AE1155" i="6"/>
  <c r="V1155" i="6"/>
  <c r="M1155" i="6"/>
  <c r="AW1154" i="6"/>
  <c r="AN1154" i="6"/>
  <c r="AE1154" i="6"/>
  <c r="V1154" i="6"/>
  <c r="M1154" i="6"/>
  <c r="AW1153" i="6"/>
  <c r="AN1153" i="6"/>
  <c r="AE1153" i="6"/>
  <c r="V1153" i="6"/>
  <c r="M1153" i="6"/>
  <c r="AW1152" i="6"/>
  <c r="AN1152" i="6"/>
  <c r="AE1152" i="6"/>
  <c r="V1152" i="6"/>
  <c r="M1152" i="6"/>
  <c r="AW1151" i="6"/>
  <c r="AN1151" i="6"/>
  <c r="AE1151" i="6"/>
  <c r="V1151" i="6"/>
  <c r="M1151" i="6"/>
  <c r="AW1150" i="6"/>
  <c r="AN1150" i="6"/>
  <c r="AE1150" i="6"/>
  <c r="V1150" i="6"/>
  <c r="M1150" i="6"/>
  <c r="AW1149" i="6"/>
  <c r="AN1149" i="6"/>
  <c r="AE1149" i="6"/>
  <c r="V1149" i="6"/>
  <c r="M1149" i="6"/>
  <c r="AW1148" i="6"/>
  <c r="AN1148" i="6"/>
  <c r="AE1148" i="6"/>
  <c r="V1148" i="6"/>
  <c r="M1148" i="6"/>
  <c r="AW1147" i="6"/>
  <c r="AN1147" i="6"/>
  <c r="AE1147" i="6"/>
  <c r="V1147" i="6"/>
  <c r="M1147" i="6"/>
  <c r="AW1146" i="6"/>
  <c r="AN1146" i="6"/>
  <c r="AE1146" i="6"/>
  <c r="V1146" i="6"/>
  <c r="M1146" i="6"/>
  <c r="AW1145" i="6"/>
  <c r="AN1145" i="6"/>
  <c r="AE1145" i="6"/>
  <c r="V1145" i="6"/>
  <c r="M1145" i="6"/>
  <c r="AW1144" i="6"/>
  <c r="AN1144" i="6"/>
  <c r="AE1144" i="6"/>
  <c r="V1144" i="6"/>
  <c r="M1144" i="6"/>
  <c r="AW1143" i="6"/>
  <c r="AN1143" i="6"/>
  <c r="AE1143" i="6"/>
  <c r="V1143" i="6"/>
  <c r="M1143" i="6"/>
  <c r="AW1142" i="6"/>
  <c r="AN1142" i="6"/>
  <c r="AE1142" i="6"/>
  <c r="V1142" i="6"/>
  <c r="M1142" i="6"/>
  <c r="AW1141" i="6"/>
  <c r="AN1141" i="6"/>
  <c r="AE1141" i="6"/>
  <c r="V1141" i="6"/>
  <c r="M1141" i="6"/>
  <c r="AW1140" i="6"/>
  <c r="AN1140" i="6"/>
  <c r="AE1140" i="6"/>
  <c r="V1140" i="6"/>
  <c r="M1140" i="6"/>
  <c r="AW1139" i="6"/>
  <c r="AN1139" i="6"/>
  <c r="AE1139" i="6"/>
  <c r="V1139" i="6"/>
  <c r="M1139" i="6"/>
  <c r="AW1138" i="6"/>
  <c r="AN1138" i="6"/>
  <c r="AE1138" i="6"/>
  <c r="V1138" i="6"/>
  <c r="M1138" i="6"/>
  <c r="AW1137" i="6"/>
  <c r="AN1137" i="6"/>
  <c r="AE1137" i="6"/>
  <c r="V1137" i="6"/>
  <c r="M1137" i="6"/>
  <c r="AW1136" i="6"/>
  <c r="AN1136" i="6"/>
  <c r="AE1136" i="6"/>
  <c r="V1136" i="6"/>
  <c r="M1136" i="6"/>
  <c r="AW1135" i="6"/>
  <c r="AN1135" i="6"/>
  <c r="AE1135" i="6"/>
  <c r="V1135" i="6"/>
  <c r="M1135" i="6"/>
  <c r="AW1134" i="6"/>
  <c r="AN1134" i="6"/>
  <c r="AE1134" i="6"/>
  <c r="V1134" i="6"/>
  <c r="M1134" i="6"/>
  <c r="AW1133" i="6"/>
  <c r="AN1133" i="6"/>
  <c r="AE1133" i="6"/>
  <c r="V1133" i="6"/>
  <c r="M1133" i="6"/>
  <c r="AW1132" i="6"/>
  <c r="AN1132" i="6"/>
  <c r="AE1132" i="6"/>
  <c r="V1132" i="6"/>
  <c r="M1132" i="6"/>
  <c r="AW1131" i="6"/>
  <c r="AN1131" i="6"/>
  <c r="AE1131" i="6"/>
  <c r="V1131" i="6"/>
  <c r="M1131" i="6"/>
  <c r="AW1130" i="6"/>
  <c r="AN1130" i="6"/>
  <c r="AE1130" i="6"/>
  <c r="V1130" i="6"/>
  <c r="M1130" i="6"/>
  <c r="AW1129" i="6"/>
  <c r="AN1129" i="6"/>
  <c r="AE1129" i="6"/>
  <c r="V1129" i="6"/>
  <c r="M1129" i="6"/>
  <c r="AW1128" i="6"/>
  <c r="AN1128" i="6"/>
  <c r="AE1128" i="6"/>
  <c r="V1128" i="6"/>
  <c r="M1128" i="6"/>
  <c r="AW1127" i="6"/>
  <c r="AN1127" i="6"/>
  <c r="AE1127" i="6"/>
  <c r="V1127" i="6"/>
  <c r="M1127" i="6"/>
  <c r="AW1126" i="6"/>
  <c r="AN1126" i="6"/>
  <c r="AE1126" i="6"/>
  <c r="V1126" i="6"/>
  <c r="M1126" i="6"/>
  <c r="AW1125" i="6"/>
  <c r="AN1125" i="6"/>
  <c r="AE1125" i="6"/>
  <c r="V1125" i="6"/>
  <c r="M1125" i="6"/>
  <c r="AW1124" i="6"/>
  <c r="AN1124" i="6"/>
  <c r="AE1124" i="6"/>
  <c r="V1124" i="6"/>
  <c r="M1124" i="6"/>
  <c r="AW1123" i="6"/>
  <c r="AN1123" i="6"/>
  <c r="AE1123" i="6"/>
  <c r="V1123" i="6"/>
  <c r="M1123" i="6"/>
  <c r="AW1122" i="6"/>
  <c r="AN1122" i="6"/>
  <c r="AE1122" i="6"/>
  <c r="V1122" i="6"/>
  <c r="M1122" i="6"/>
  <c r="AW1121" i="6"/>
  <c r="AN1121" i="6"/>
  <c r="AE1121" i="6"/>
  <c r="V1121" i="6"/>
  <c r="M1121" i="6"/>
  <c r="AW1120" i="6"/>
  <c r="AN1120" i="6"/>
  <c r="AE1120" i="6"/>
  <c r="V1120" i="6"/>
  <c r="M1120" i="6"/>
  <c r="AW1119" i="6"/>
  <c r="AN1119" i="6"/>
  <c r="AE1119" i="6"/>
  <c r="V1119" i="6"/>
  <c r="M1119" i="6"/>
  <c r="AW1118" i="6"/>
  <c r="AN1118" i="6"/>
  <c r="AE1118" i="6"/>
  <c r="V1118" i="6"/>
  <c r="M1118" i="6"/>
  <c r="AW1117" i="6"/>
  <c r="AN1117" i="6"/>
  <c r="AE1117" i="6"/>
  <c r="V1117" i="6"/>
  <c r="M1117" i="6"/>
  <c r="AW1116" i="6"/>
  <c r="AN1116" i="6"/>
  <c r="AE1116" i="6"/>
  <c r="V1116" i="6"/>
  <c r="M1116" i="6"/>
  <c r="AW1115" i="6"/>
  <c r="AN1115" i="6"/>
  <c r="AE1115" i="6"/>
  <c r="V1115" i="6"/>
  <c r="M1115" i="6"/>
  <c r="AW1114" i="6"/>
  <c r="AN1114" i="6"/>
  <c r="AE1114" i="6"/>
  <c r="V1114" i="6"/>
  <c r="M1114" i="6"/>
  <c r="AW1113" i="6"/>
  <c r="AN1113" i="6"/>
  <c r="AE1113" i="6"/>
  <c r="V1113" i="6"/>
  <c r="M1113" i="6"/>
  <c r="AW1112" i="6"/>
  <c r="AN1112" i="6"/>
  <c r="AE1112" i="6"/>
  <c r="V1112" i="6"/>
  <c r="M1112" i="6"/>
  <c r="AW1111" i="6"/>
  <c r="AN1111" i="6"/>
  <c r="AE1111" i="6"/>
  <c r="V1111" i="6"/>
  <c r="M1111" i="6"/>
  <c r="AW1110" i="6"/>
  <c r="AN1110" i="6"/>
  <c r="AE1110" i="6"/>
  <c r="V1110" i="6"/>
  <c r="M1110" i="6"/>
  <c r="AW1109" i="6"/>
  <c r="AN1109" i="6"/>
  <c r="AE1109" i="6"/>
  <c r="V1109" i="6"/>
  <c r="M1109" i="6"/>
  <c r="AW1108" i="6"/>
  <c r="AN1108" i="6"/>
  <c r="AE1108" i="6"/>
  <c r="V1108" i="6"/>
  <c r="M1108" i="6"/>
  <c r="AW1107" i="6"/>
  <c r="AN1107" i="6"/>
  <c r="AE1107" i="6"/>
  <c r="V1107" i="6"/>
  <c r="M1107" i="6"/>
  <c r="AW1106" i="6"/>
  <c r="AN1106" i="6"/>
  <c r="AE1106" i="6"/>
  <c r="V1106" i="6"/>
  <c r="M1106" i="6"/>
  <c r="AW1105" i="6"/>
  <c r="AN1105" i="6"/>
  <c r="AE1105" i="6"/>
  <c r="V1105" i="6"/>
  <c r="M1105" i="6"/>
  <c r="AW1104" i="6"/>
  <c r="AN1104" i="6"/>
  <c r="AE1104" i="6"/>
  <c r="V1104" i="6"/>
  <c r="M1104" i="6"/>
  <c r="AW1103" i="6"/>
  <c r="AN1103" i="6"/>
  <c r="AE1103" i="6"/>
  <c r="V1103" i="6"/>
  <c r="M1103" i="6"/>
  <c r="AW1102" i="6"/>
  <c r="AN1102" i="6"/>
  <c r="AE1102" i="6"/>
  <c r="V1102" i="6"/>
  <c r="M1102" i="6"/>
  <c r="AW1101" i="6"/>
  <c r="AN1101" i="6"/>
  <c r="AE1101" i="6"/>
  <c r="V1101" i="6"/>
  <c r="M1101" i="6"/>
  <c r="AW1100" i="6"/>
  <c r="AN1100" i="6"/>
  <c r="AE1100" i="6"/>
  <c r="V1100" i="6"/>
  <c r="M1100" i="6"/>
  <c r="AW1099" i="6"/>
  <c r="AN1099" i="6"/>
  <c r="AE1099" i="6"/>
  <c r="V1099" i="6"/>
  <c r="M1099" i="6"/>
  <c r="AW1098" i="6"/>
  <c r="AN1098" i="6"/>
  <c r="AE1098" i="6"/>
  <c r="V1098" i="6"/>
  <c r="M1098" i="6"/>
  <c r="AW1097" i="6"/>
  <c r="AN1097" i="6"/>
  <c r="AE1097" i="6"/>
  <c r="V1097" i="6"/>
  <c r="M1097" i="6"/>
  <c r="AW1096" i="6"/>
  <c r="AN1096" i="6"/>
  <c r="AE1096" i="6"/>
  <c r="V1096" i="6"/>
  <c r="M1096" i="6"/>
  <c r="AW1095" i="6"/>
  <c r="AN1095" i="6"/>
  <c r="AE1095" i="6"/>
  <c r="V1095" i="6"/>
  <c r="M1095" i="6"/>
  <c r="AW1094" i="6"/>
  <c r="AN1094" i="6"/>
  <c r="AE1094" i="6"/>
  <c r="V1094" i="6"/>
  <c r="M1094" i="6"/>
  <c r="AW1093" i="6"/>
  <c r="AN1093" i="6"/>
  <c r="AE1093" i="6"/>
  <c r="V1093" i="6"/>
  <c r="M1093" i="6"/>
  <c r="AW1092" i="6"/>
  <c r="AN1092" i="6"/>
  <c r="AE1092" i="6"/>
  <c r="V1092" i="6"/>
  <c r="M1092" i="6"/>
  <c r="AW1091" i="6"/>
  <c r="AN1091" i="6"/>
  <c r="AE1091" i="6"/>
  <c r="V1091" i="6"/>
  <c r="M1091" i="6"/>
  <c r="AW1090" i="6"/>
  <c r="AN1090" i="6"/>
  <c r="AE1090" i="6"/>
  <c r="V1090" i="6"/>
  <c r="M1090" i="6"/>
  <c r="AW1089" i="6"/>
  <c r="AN1089" i="6"/>
  <c r="AE1089" i="6"/>
  <c r="V1089" i="6"/>
  <c r="M1089" i="6"/>
  <c r="AW1088" i="6"/>
  <c r="AN1088" i="6"/>
  <c r="AE1088" i="6"/>
  <c r="V1088" i="6"/>
  <c r="M1088" i="6"/>
  <c r="AW1087" i="6"/>
  <c r="AN1087" i="6"/>
  <c r="AE1087" i="6"/>
  <c r="V1087" i="6"/>
  <c r="M1087" i="6"/>
  <c r="AW1086" i="6"/>
  <c r="AN1086" i="6"/>
  <c r="AE1086" i="6"/>
  <c r="V1086" i="6"/>
  <c r="M1086" i="6"/>
  <c r="AW1085" i="6"/>
  <c r="AN1085" i="6"/>
  <c r="AE1085" i="6"/>
  <c r="V1085" i="6"/>
  <c r="M1085" i="6"/>
  <c r="AW1084" i="6"/>
  <c r="AN1084" i="6"/>
  <c r="AE1084" i="6"/>
  <c r="V1084" i="6"/>
  <c r="M1084" i="6"/>
  <c r="AW1083" i="6"/>
  <c r="AN1083" i="6"/>
  <c r="AE1083" i="6"/>
  <c r="V1083" i="6"/>
  <c r="M1083" i="6"/>
  <c r="AW1082" i="6"/>
  <c r="AN1082" i="6"/>
  <c r="AE1082" i="6"/>
  <c r="V1082" i="6"/>
  <c r="M1082" i="6"/>
  <c r="AW1081" i="6"/>
  <c r="AN1081" i="6"/>
  <c r="AE1081" i="6"/>
  <c r="V1081" i="6"/>
  <c r="M1081" i="6"/>
  <c r="AW1080" i="6"/>
  <c r="AN1080" i="6"/>
  <c r="AE1080" i="6"/>
  <c r="V1080" i="6"/>
  <c r="M1080" i="6"/>
  <c r="AW1079" i="6"/>
  <c r="AN1079" i="6"/>
  <c r="AE1079" i="6"/>
  <c r="V1079" i="6"/>
  <c r="M1079" i="6"/>
  <c r="AW1078" i="6"/>
  <c r="AN1078" i="6"/>
  <c r="AE1078" i="6"/>
  <c r="V1078" i="6"/>
  <c r="M1078" i="6"/>
  <c r="AW1077" i="6"/>
  <c r="AN1077" i="6"/>
  <c r="AE1077" i="6"/>
  <c r="V1077" i="6"/>
  <c r="M1077" i="6"/>
  <c r="AW1076" i="6"/>
  <c r="AN1076" i="6"/>
  <c r="AE1076" i="6"/>
  <c r="V1076" i="6"/>
  <c r="M1076" i="6"/>
  <c r="AW1075" i="6"/>
  <c r="AN1075" i="6"/>
  <c r="AE1075" i="6"/>
  <c r="V1075" i="6"/>
  <c r="M1075" i="6"/>
  <c r="AW1074" i="6"/>
  <c r="AN1074" i="6"/>
  <c r="AE1074" i="6"/>
  <c r="V1074" i="6"/>
  <c r="M1074" i="6"/>
  <c r="AW1073" i="6"/>
  <c r="AN1073" i="6"/>
  <c r="AE1073" i="6"/>
  <c r="V1073" i="6"/>
  <c r="M1073" i="6"/>
  <c r="AW1072" i="6"/>
  <c r="AN1072" i="6"/>
  <c r="AE1072" i="6"/>
  <c r="V1072" i="6"/>
  <c r="M1072" i="6"/>
  <c r="AW1071" i="6"/>
  <c r="AN1071" i="6"/>
  <c r="AE1071" i="6"/>
  <c r="V1071" i="6"/>
  <c r="M1071" i="6"/>
  <c r="AW1070" i="6"/>
  <c r="AN1070" i="6"/>
  <c r="AE1070" i="6"/>
  <c r="V1070" i="6"/>
  <c r="M1070" i="6"/>
  <c r="AW1069" i="6"/>
  <c r="AN1069" i="6"/>
  <c r="AE1069" i="6"/>
  <c r="V1069" i="6"/>
  <c r="M1069" i="6"/>
  <c r="AW1068" i="6"/>
  <c r="AN1068" i="6"/>
  <c r="AE1068" i="6"/>
  <c r="V1068" i="6"/>
  <c r="M1068" i="6"/>
  <c r="AW1067" i="6"/>
  <c r="AN1067" i="6"/>
  <c r="AE1067" i="6"/>
  <c r="V1067" i="6"/>
  <c r="M1067" i="6"/>
  <c r="AW1066" i="6"/>
  <c r="AN1066" i="6"/>
  <c r="AE1066" i="6"/>
  <c r="V1066" i="6"/>
  <c r="M1066" i="6"/>
  <c r="AW1065" i="6"/>
  <c r="AN1065" i="6"/>
  <c r="AE1065" i="6"/>
  <c r="V1065" i="6"/>
  <c r="M1065" i="6"/>
  <c r="AW1064" i="6"/>
  <c r="AN1064" i="6"/>
  <c r="AE1064" i="6"/>
  <c r="V1064" i="6"/>
  <c r="M1064" i="6"/>
  <c r="AW1063" i="6"/>
  <c r="AN1063" i="6"/>
  <c r="AE1063" i="6"/>
  <c r="V1063" i="6"/>
  <c r="M1063" i="6"/>
  <c r="AW1062" i="6"/>
  <c r="AN1062" i="6"/>
  <c r="AE1062" i="6"/>
  <c r="V1062" i="6"/>
  <c r="M1062" i="6"/>
  <c r="AW1061" i="6"/>
  <c r="AN1061" i="6"/>
  <c r="AE1061" i="6"/>
  <c r="V1061" i="6"/>
  <c r="M1061" i="6"/>
  <c r="AW1060" i="6"/>
  <c r="AN1060" i="6"/>
  <c r="AE1060" i="6"/>
  <c r="V1060" i="6"/>
  <c r="M1060" i="6"/>
  <c r="AW1059" i="6"/>
  <c r="AN1059" i="6"/>
  <c r="AE1059" i="6"/>
  <c r="V1059" i="6"/>
  <c r="M1059" i="6"/>
  <c r="AW1058" i="6"/>
  <c r="AN1058" i="6"/>
  <c r="AE1058" i="6"/>
  <c r="V1058" i="6"/>
  <c r="M1058" i="6"/>
  <c r="AW1057" i="6"/>
  <c r="AN1057" i="6"/>
  <c r="AE1057" i="6"/>
  <c r="V1057" i="6"/>
  <c r="M1057" i="6"/>
  <c r="AW1056" i="6"/>
  <c r="AN1056" i="6"/>
  <c r="AE1056" i="6"/>
  <c r="V1056" i="6"/>
  <c r="M1056" i="6"/>
  <c r="AW1055" i="6"/>
  <c r="AN1055" i="6"/>
  <c r="AE1055" i="6"/>
  <c r="V1055" i="6"/>
  <c r="M1055" i="6"/>
  <c r="AW1054" i="6"/>
  <c r="AN1054" i="6"/>
  <c r="AE1054" i="6"/>
  <c r="V1054" i="6"/>
  <c r="M1054" i="6"/>
  <c r="AW1053" i="6"/>
  <c r="AN1053" i="6"/>
  <c r="AE1053" i="6"/>
  <c r="V1053" i="6"/>
  <c r="M1053" i="6"/>
  <c r="AW1052" i="6"/>
  <c r="AN1052" i="6"/>
  <c r="AE1052" i="6"/>
  <c r="V1052" i="6"/>
  <c r="M1052" i="6"/>
  <c r="AW1051" i="6"/>
  <c r="AN1051" i="6"/>
  <c r="AE1051" i="6"/>
  <c r="V1051" i="6"/>
  <c r="M1051" i="6"/>
  <c r="AW1050" i="6"/>
  <c r="AN1050" i="6"/>
  <c r="AE1050" i="6"/>
  <c r="V1050" i="6"/>
  <c r="M1050" i="6"/>
  <c r="AW1049" i="6"/>
  <c r="AN1049" i="6"/>
  <c r="AE1049" i="6"/>
  <c r="V1049" i="6"/>
  <c r="M1049" i="6"/>
  <c r="AW1048" i="6"/>
  <c r="AN1048" i="6"/>
  <c r="AE1048" i="6"/>
  <c r="V1048" i="6"/>
  <c r="M1048" i="6"/>
  <c r="AW1047" i="6"/>
  <c r="AN1047" i="6"/>
  <c r="AE1047" i="6"/>
  <c r="V1047" i="6"/>
  <c r="M1047" i="6"/>
  <c r="AW1046" i="6"/>
  <c r="AN1046" i="6"/>
  <c r="AE1046" i="6"/>
  <c r="V1046" i="6"/>
  <c r="M1046" i="6"/>
  <c r="AW1045" i="6"/>
  <c r="AN1045" i="6"/>
  <c r="AE1045" i="6"/>
  <c r="V1045" i="6"/>
  <c r="M1045" i="6"/>
  <c r="AW1044" i="6"/>
  <c r="AN1044" i="6"/>
  <c r="AE1044" i="6"/>
  <c r="V1044" i="6"/>
  <c r="M1044" i="6"/>
  <c r="AW1043" i="6"/>
  <c r="AN1043" i="6"/>
  <c r="AE1043" i="6"/>
  <c r="V1043" i="6"/>
  <c r="M1043" i="6"/>
  <c r="AW1042" i="6"/>
  <c r="AN1042" i="6"/>
  <c r="AE1042" i="6"/>
  <c r="V1042" i="6"/>
  <c r="M1042" i="6"/>
  <c r="AW1041" i="6"/>
  <c r="AN1041" i="6"/>
  <c r="AE1041" i="6"/>
  <c r="V1041" i="6"/>
  <c r="M1041" i="6"/>
  <c r="AW1040" i="6"/>
  <c r="AN1040" i="6"/>
  <c r="AE1040" i="6"/>
  <c r="V1040" i="6"/>
  <c r="M1040" i="6"/>
  <c r="AW1039" i="6"/>
  <c r="AN1039" i="6"/>
  <c r="AE1039" i="6"/>
  <c r="V1039" i="6"/>
  <c r="M1039" i="6"/>
  <c r="AW1038" i="6"/>
  <c r="AN1038" i="6"/>
  <c r="AE1038" i="6"/>
  <c r="V1038" i="6"/>
  <c r="M1038" i="6"/>
  <c r="AW1037" i="6"/>
  <c r="AN1037" i="6"/>
  <c r="AE1037" i="6"/>
  <c r="V1037" i="6"/>
  <c r="M1037" i="6"/>
  <c r="AW1036" i="6"/>
  <c r="AN1036" i="6"/>
  <c r="AE1036" i="6"/>
  <c r="V1036" i="6"/>
  <c r="M1036" i="6"/>
  <c r="AW1035" i="6"/>
  <c r="AN1035" i="6"/>
  <c r="AE1035" i="6"/>
  <c r="V1035" i="6"/>
  <c r="M1035" i="6"/>
  <c r="AW1034" i="6"/>
  <c r="AN1034" i="6"/>
  <c r="AE1034" i="6"/>
  <c r="V1034" i="6"/>
  <c r="M1034" i="6"/>
  <c r="AW1033" i="6"/>
  <c r="AN1033" i="6"/>
  <c r="AE1033" i="6"/>
  <c r="V1033" i="6"/>
  <c r="M1033" i="6"/>
  <c r="AW1032" i="6"/>
  <c r="AN1032" i="6"/>
  <c r="AE1032" i="6"/>
  <c r="V1032" i="6"/>
  <c r="M1032" i="6"/>
  <c r="AW1031" i="6"/>
  <c r="AN1031" i="6"/>
  <c r="AE1031" i="6"/>
  <c r="V1031" i="6"/>
  <c r="M1031" i="6"/>
  <c r="AW1030" i="6"/>
  <c r="AN1030" i="6"/>
  <c r="AE1030" i="6"/>
  <c r="V1030" i="6"/>
  <c r="M1030" i="6"/>
  <c r="AW1029" i="6"/>
  <c r="AN1029" i="6"/>
  <c r="AE1029" i="6"/>
  <c r="V1029" i="6"/>
  <c r="M1029" i="6"/>
  <c r="AW1028" i="6"/>
  <c r="AN1028" i="6"/>
  <c r="AE1028" i="6"/>
  <c r="V1028" i="6"/>
  <c r="M1028" i="6"/>
  <c r="AW1027" i="6"/>
  <c r="AN1027" i="6"/>
  <c r="AE1027" i="6"/>
  <c r="V1027" i="6"/>
  <c r="M1027" i="6"/>
  <c r="AW1026" i="6"/>
  <c r="AN1026" i="6"/>
  <c r="AE1026" i="6"/>
  <c r="V1026" i="6"/>
  <c r="M1026" i="6"/>
  <c r="AW1025" i="6"/>
  <c r="AN1025" i="6"/>
  <c r="AE1025" i="6"/>
  <c r="V1025" i="6"/>
  <c r="M1025" i="6"/>
  <c r="AW1024" i="6"/>
  <c r="AN1024" i="6"/>
  <c r="AE1024" i="6"/>
  <c r="V1024" i="6"/>
  <c r="M1024" i="6"/>
  <c r="AW1023" i="6"/>
  <c r="AN1023" i="6"/>
  <c r="AE1023" i="6"/>
  <c r="V1023" i="6"/>
  <c r="M1023" i="6"/>
  <c r="AW1022" i="6"/>
  <c r="AN1022" i="6"/>
  <c r="AE1022" i="6"/>
  <c r="V1022" i="6"/>
  <c r="M1022" i="6"/>
  <c r="AW1021" i="6"/>
  <c r="AN1021" i="6"/>
  <c r="AE1021" i="6"/>
  <c r="V1021" i="6"/>
  <c r="M1021" i="6"/>
  <c r="AW1020" i="6"/>
  <c r="AN1020" i="6"/>
  <c r="AE1020" i="6"/>
  <c r="V1020" i="6"/>
  <c r="M1020" i="6"/>
  <c r="AW1019" i="6"/>
  <c r="AN1019" i="6"/>
  <c r="AE1019" i="6"/>
  <c r="V1019" i="6"/>
  <c r="M1019" i="6"/>
  <c r="AW1018" i="6"/>
  <c r="AN1018" i="6"/>
  <c r="AE1018" i="6"/>
  <c r="V1018" i="6"/>
  <c r="M1018" i="6"/>
  <c r="AW1017" i="6"/>
  <c r="AN1017" i="6"/>
  <c r="AE1017" i="6"/>
  <c r="V1017" i="6"/>
  <c r="M1017" i="6"/>
  <c r="AW1016" i="6"/>
  <c r="AN1016" i="6"/>
  <c r="AE1016" i="6"/>
  <c r="V1016" i="6"/>
  <c r="M1016" i="6"/>
  <c r="AW1015" i="6"/>
  <c r="AN1015" i="6"/>
  <c r="AE1015" i="6"/>
  <c r="V1015" i="6"/>
  <c r="M1015" i="6"/>
  <c r="AW1014" i="6"/>
  <c r="AN1014" i="6"/>
  <c r="AE1014" i="6"/>
  <c r="V1014" i="6"/>
  <c r="M1014" i="6"/>
  <c r="AW1013" i="6"/>
  <c r="AN1013" i="6"/>
  <c r="AE1013" i="6"/>
  <c r="V1013" i="6"/>
  <c r="M1013" i="6"/>
  <c r="AW1012" i="6"/>
  <c r="AN1012" i="6"/>
  <c r="AE1012" i="6"/>
  <c r="V1012" i="6"/>
  <c r="M1012" i="6"/>
  <c r="AW1011" i="6"/>
  <c r="AN1011" i="6"/>
  <c r="AE1011" i="6"/>
  <c r="V1011" i="6"/>
  <c r="M1011" i="6"/>
  <c r="AW1010" i="6"/>
  <c r="AN1010" i="6"/>
  <c r="AE1010" i="6"/>
  <c r="V1010" i="6"/>
  <c r="M1010" i="6"/>
  <c r="AW1009" i="6"/>
  <c r="AN1009" i="6"/>
  <c r="AE1009" i="6"/>
  <c r="V1009" i="6"/>
  <c r="M1009" i="6"/>
  <c r="AW1008" i="6"/>
  <c r="AN1008" i="6"/>
  <c r="AE1008" i="6"/>
  <c r="V1008" i="6"/>
  <c r="M1008" i="6"/>
  <c r="AW1007" i="6"/>
  <c r="AN1007" i="6"/>
  <c r="AE1007" i="6"/>
  <c r="V1007" i="6"/>
  <c r="M1007" i="6"/>
  <c r="AW1006" i="6"/>
  <c r="AN1006" i="6"/>
  <c r="AE1006" i="6"/>
  <c r="V1006" i="6"/>
  <c r="M1006" i="6"/>
  <c r="AW1005" i="6"/>
  <c r="AN1005" i="6"/>
  <c r="AE1005" i="6"/>
  <c r="V1005" i="6"/>
  <c r="M1005" i="6"/>
  <c r="AW1004" i="6"/>
  <c r="AN1004" i="6"/>
  <c r="AE1004" i="6"/>
  <c r="V1004" i="6"/>
  <c r="M1004" i="6"/>
  <c r="AW1003" i="6"/>
  <c r="AN1003" i="6"/>
  <c r="AE1003" i="6"/>
  <c r="V1003" i="6"/>
  <c r="M1003" i="6"/>
  <c r="AW1002" i="6"/>
  <c r="AN1002" i="6"/>
  <c r="AE1002" i="6"/>
  <c r="V1002" i="6"/>
  <c r="M1002" i="6"/>
  <c r="AW1001" i="6"/>
  <c r="AN1001" i="6"/>
  <c r="AE1001" i="6"/>
  <c r="V1001" i="6"/>
  <c r="M1001" i="6"/>
  <c r="AW1000" i="6"/>
  <c r="AN1000" i="6"/>
  <c r="AE1000" i="6"/>
  <c r="V1000" i="6"/>
  <c r="M1000" i="6"/>
  <c r="AW999" i="6"/>
  <c r="AN999" i="6"/>
  <c r="AE999" i="6"/>
  <c r="V999" i="6"/>
  <c r="M999" i="6"/>
  <c r="AW998" i="6"/>
  <c r="AN998" i="6"/>
  <c r="AE998" i="6"/>
  <c r="V998" i="6"/>
  <c r="M998" i="6"/>
  <c r="AW997" i="6"/>
  <c r="AN997" i="6"/>
  <c r="AE997" i="6"/>
  <c r="V997" i="6"/>
  <c r="M997" i="6"/>
  <c r="AW996" i="6"/>
  <c r="AN996" i="6"/>
  <c r="AE996" i="6"/>
  <c r="V996" i="6"/>
  <c r="M996" i="6"/>
  <c r="AW995" i="6"/>
  <c r="AN995" i="6"/>
  <c r="AE995" i="6"/>
  <c r="V995" i="6"/>
  <c r="M995" i="6"/>
  <c r="AW994" i="6"/>
  <c r="AN994" i="6"/>
  <c r="AE994" i="6"/>
  <c r="V994" i="6"/>
  <c r="M994" i="6"/>
  <c r="AW993" i="6"/>
  <c r="AN993" i="6"/>
  <c r="AE993" i="6"/>
  <c r="V993" i="6"/>
  <c r="M993" i="6"/>
  <c r="AW992" i="6"/>
  <c r="AN992" i="6"/>
  <c r="AE992" i="6"/>
  <c r="V992" i="6"/>
  <c r="M992" i="6"/>
  <c r="AW991" i="6"/>
  <c r="AN991" i="6"/>
  <c r="AE991" i="6"/>
  <c r="V991" i="6"/>
  <c r="M991" i="6"/>
  <c r="AW990" i="6"/>
  <c r="AN990" i="6"/>
  <c r="AE990" i="6"/>
  <c r="V990" i="6"/>
  <c r="M990" i="6"/>
  <c r="AW989" i="6"/>
  <c r="AN989" i="6"/>
  <c r="AE989" i="6"/>
  <c r="V989" i="6"/>
  <c r="M989" i="6"/>
  <c r="AW988" i="6"/>
  <c r="AN988" i="6"/>
  <c r="AE988" i="6"/>
  <c r="V988" i="6"/>
  <c r="M988" i="6"/>
  <c r="AW987" i="6"/>
  <c r="AN987" i="6"/>
  <c r="AE987" i="6"/>
  <c r="V987" i="6"/>
  <c r="M987" i="6"/>
  <c r="AW986" i="6"/>
  <c r="AN986" i="6"/>
  <c r="AE986" i="6"/>
  <c r="V986" i="6"/>
  <c r="M986" i="6"/>
  <c r="AW985" i="6"/>
  <c r="AN985" i="6"/>
  <c r="AE985" i="6"/>
  <c r="V985" i="6"/>
  <c r="M985" i="6"/>
  <c r="AW984" i="6"/>
  <c r="AN984" i="6"/>
  <c r="AE984" i="6"/>
  <c r="V984" i="6"/>
  <c r="M984" i="6"/>
  <c r="AW983" i="6"/>
  <c r="AN983" i="6"/>
  <c r="AE983" i="6"/>
  <c r="V983" i="6"/>
  <c r="M983" i="6"/>
  <c r="AW982" i="6"/>
  <c r="AN982" i="6"/>
  <c r="AE982" i="6"/>
  <c r="V982" i="6"/>
  <c r="M982" i="6"/>
  <c r="AW981" i="6"/>
  <c r="AN981" i="6"/>
  <c r="AE981" i="6"/>
  <c r="V981" i="6"/>
  <c r="M981" i="6"/>
  <c r="AW980" i="6"/>
  <c r="AN980" i="6"/>
  <c r="AE980" i="6"/>
  <c r="V980" i="6"/>
  <c r="M980" i="6"/>
  <c r="AW979" i="6"/>
  <c r="AN979" i="6"/>
  <c r="AE979" i="6"/>
  <c r="V979" i="6"/>
  <c r="M979" i="6"/>
  <c r="AW978" i="6"/>
  <c r="AN978" i="6"/>
  <c r="AE978" i="6"/>
  <c r="V978" i="6"/>
  <c r="M978" i="6"/>
  <c r="AW977" i="6"/>
  <c r="AN977" i="6"/>
  <c r="AE977" i="6"/>
  <c r="V977" i="6"/>
  <c r="M977" i="6"/>
  <c r="AW976" i="6"/>
  <c r="AN976" i="6"/>
  <c r="AE976" i="6"/>
  <c r="V976" i="6"/>
  <c r="M976" i="6"/>
  <c r="AW975" i="6"/>
  <c r="AN975" i="6"/>
  <c r="AE975" i="6"/>
  <c r="V975" i="6"/>
  <c r="M975" i="6"/>
  <c r="AW974" i="6"/>
  <c r="AN974" i="6"/>
  <c r="AE974" i="6"/>
  <c r="V974" i="6"/>
  <c r="M974" i="6"/>
  <c r="AW973" i="6"/>
  <c r="AN973" i="6"/>
  <c r="AE973" i="6"/>
  <c r="V973" i="6"/>
  <c r="M973" i="6"/>
  <c r="AW972" i="6"/>
  <c r="AN972" i="6"/>
  <c r="AE972" i="6"/>
  <c r="V972" i="6"/>
  <c r="M972" i="6"/>
  <c r="AW971" i="6"/>
  <c r="AN971" i="6"/>
  <c r="AE971" i="6"/>
  <c r="V971" i="6"/>
  <c r="M971" i="6"/>
  <c r="AW970" i="6"/>
  <c r="AN970" i="6"/>
  <c r="AE970" i="6"/>
  <c r="V970" i="6"/>
  <c r="M970" i="6"/>
  <c r="AW969" i="6"/>
  <c r="AN969" i="6"/>
  <c r="AE969" i="6"/>
  <c r="V969" i="6"/>
  <c r="M969" i="6"/>
  <c r="AW968" i="6"/>
  <c r="AN968" i="6"/>
  <c r="AE968" i="6"/>
  <c r="V968" i="6"/>
  <c r="M968" i="6"/>
  <c r="AW967" i="6"/>
  <c r="AN967" i="6"/>
  <c r="AE967" i="6"/>
  <c r="V967" i="6"/>
  <c r="M967" i="6"/>
  <c r="AW966" i="6"/>
  <c r="AN966" i="6"/>
  <c r="AE966" i="6"/>
  <c r="V966" i="6"/>
  <c r="M966" i="6"/>
  <c r="AW965" i="6"/>
  <c r="AN965" i="6"/>
  <c r="AE965" i="6"/>
  <c r="V965" i="6"/>
  <c r="M965" i="6"/>
  <c r="AW964" i="6"/>
  <c r="AN964" i="6"/>
  <c r="AE964" i="6"/>
  <c r="V964" i="6"/>
  <c r="M964" i="6"/>
  <c r="AW963" i="6"/>
  <c r="AN963" i="6"/>
  <c r="AE963" i="6"/>
  <c r="V963" i="6"/>
  <c r="M963" i="6"/>
  <c r="AW962" i="6"/>
  <c r="AN962" i="6"/>
  <c r="AE962" i="6"/>
  <c r="V962" i="6"/>
  <c r="M962" i="6"/>
  <c r="AW961" i="6"/>
  <c r="AN961" i="6"/>
  <c r="AE961" i="6"/>
  <c r="V961" i="6"/>
  <c r="M961" i="6"/>
  <c r="AW960" i="6"/>
  <c r="AN960" i="6"/>
  <c r="AE960" i="6"/>
  <c r="V960" i="6"/>
  <c r="M960" i="6"/>
  <c r="AW959" i="6"/>
  <c r="AN959" i="6"/>
  <c r="AE959" i="6"/>
  <c r="V959" i="6"/>
  <c r="M959" i="6"/>
  <c r="AW958" i="6"/>
  <c r="AN958" i="6"/>
  <c r="AE958" i="6"/>
  <c r="V958" i="6"/>
  <c r="M958" i="6"/>
  <c r="AW957" i="6"/>
  <c r="AN957" i="6"/>
  <c r="AE957" i="6"/>
  <c r="V957" i="6"/>
  <c r="M957" i="6"/>
  <c r="AW956" i="6"/>
  <c r="AN956" i="6"/>
  <c r="AE956" i="6"/>
  <c r="V956" i="6"/>
  <c r="M956" i="6"/>
  <c r="AW955" i="6"/>
  <c r="AN955" i="6"/>
  <c r="AE955" i="6"/>
  <c r="V955" i="6"/>
  <c r="M955" i="6"/>
  <c r="AW954" i="6"/>
  <c r="AN954" i="6"/>
  <c r="AE954" i="6"/>
  <c r="V954" i="6"/>
  <c r="M954" i="6"/>
  <c r="AW953" i="6"/>
  <c r="AN953" i="6"/>
  <c r="AE953" i="6"/>
  <c r="V953" i="6"/>
  <c r="M953" i="6"/>
  <c r="AW952" i="6"/>
  <c r="AN952" i="6"/>
  <c r="AE952" i="6"/>
  <c r="V952" i="6"/>
  <c r="M952" i="6"/>
  <c r="AW951" i="6"/>
  <c r="AN951" i="6"/>
  <c r="AE951" i="6"/>
  <c r="V951" i="6"/>
  <c r="M951" i="6"/>
  <c r="AW950" i="6"/>
  <c r="AN950" i="6"/>
  <c r="AE950" i="6"/>
  <c r="V950" i="6"/>
  <c r="M950" i="6"/>
  <c r="AW949" i="6"/>
  <c r="AN949" i="6"/>
  <c r="AE949" i="6"/>
  <c r="V949" i="6"/>
  <c r="M949" i="6"/>
  <c r="AW948" i="6"/>
  <c r="AN948" i="6"/>
  <c r="AE948" i="6"/>
  <c r="V948" i="6"/>
  <c r="M948" i="6"/>
  <c r="AW947" i="6"/>
  <c r="AN947" i="6"/>
  <c r="AE947" i="6"/>
  <c r="V947" i="6"/>
  <c r="M947" i="6"/>
  <c r="AW946" i="6"/>
  <c r="AN946" i="6"/>
  <c r="AE946" i="6"/>
  <c r="V946" i="6"/>
  <c r="M946" i="6"/>
  <c r="AW945" i="6"/>
  <c r="AN945" i="6"/>
  <c r="AE945" i="6"/>
  <c r="V945" i="6"/>
  <c r="M945" i="6"/>
  <c r="AW944" i="6"/>
  <c r="AN944" i="6"/>
  <c r="AE944" i="6"/>
  <c r="V944" i="6"/>
  <c r="M944" i="6"/>
  <c r="AW943" i="6"/>
  <c r="AN943" i="6"/>
  <c r="AE943" i="6"/>
  <c r="V943" i="6"/>
  <c r="M943" i="6"/>
  <c r="AW942" i="6"/>
  <c r="AN942" i="6"/>
  <c r="AE942" i="6"/>
  <c r="V942" i="6"/>
  <c r="M942" i="6"/>
  <c r="AW941" i="6"/>
  <c r="AN941" i="6"/>
  <c r="AE941" i="6"/>
  <c r="V941" i="6"/>
  <c r="M941" i="6"/>
  <c r="AW940" i="6"/>
  <c r="AN940" i="6"/>
  <c r="AE940" i="6"/>
  <c r="V940" i="6"/>
  <c r="M940" i="6"/>
  <c r="AW939" i="6"/>
  <c r="AN939" i="6"/>
  <c r="AE939" i="6"/>
  <c r="V939" i="6"/>
  <c r="M939" i="6"/>
  <c r="AW938" i="6"/>
  <c r="AN938" i="6"/>
  <c r="AE938" i="6"/>
  <c r="V938" i="6"/>
  <c r="M938" i="6"/>
  <c r="AW937" i="6"/>
  <c r="AN937" i="6"/>
  <c r="AE937" i="6"/>
  <c r="V937" i="6"/>
  <c r="M937" i="6"/>
  <c r="AW936" i="6"/>
  <c r="AN936" i="6"/>
  <c r="AE936" i="6"/>
  <c r="V936" i="6"/>
  <c r="M936" i="6"/>
  <c r="AW935" i="6"/>
  <c r="AN935" i="6"/>
  <c r="AE935" i="6"/>
  <c r="V935" i="6"/>
  <c r="M935" i="6"/>
  <c r="AW934" i="6"/>
  <c r="AN934" i="6"/>
  <c r="AE934" i="6"/>
  <c r="V934" i="6"/>
  <c r="M934" i="6"/>
  <c r="AW933" i="6"/>
  <c r="AN933" i="6"/>
  <c r="AE933" i="6"/>
  <c r="V933" i="6"/>
  <c r="M933" i="6"/>
  <c r="AW932" i="6"/>
  <c r="AN932" i="6"/>
  <c r="AE932" i="6"/>
  <c r="V932" i="6"/>
  <c r="M932" i="6"/>
  <c r="AW931" i="6"/>
  <c r="AN931" i="6"/>
  <c r="AE931" i="6"/>
  <c r="V931" i="6"/>
  <c r="M931" i="6"/>
  <c r="AW930" i="6"/>
  <c r="AN930" i="6"/>
  <c r="AE930" i="6"/>
  <c r="V930" i="6"/>
  <c r="M930" i="6"/>
  <c r="AW929" i="6"/>
  <c r="AN929" i="6"/>
  <c r="AE929" i="6"/>
  <c r="V929" i="6"/>
  <c r="M929" i="6"/>
  <c r="AW928" i="6"/>
  <c r="AN928" i="6"/>
  <c r="AE928" i="6"/>
  <c r="V928" i="6"/>
  <c r="M928" i="6"/>
  <c r="AW927" i="6"/>
  <c r="AN927" i="6"/>
  <c r="AE927" i="6"/>
  <c r="V927" i="6"/>
  <c r="M927" i="6"/>
  <c r="AW926" i="6"/>
  <c r="AN926" i="6"/>
  <c r="AE926" i="6"/>
  <c r="V926" i="6"/>
  <c r="M926" i="6"/>
  <c r="AW925" i="6"/>
  <c r="AN925" i="6"/>
  <c r="AE925" i="6"/>
  <c r="V925" i="6"/>
  <c r="M925" i="6"/>
  <c r="AW924" i="6"/>
  <c r="AN924" i="6"/>
  <c r="AE924" i="6"/>
  <c r="V924" i="6"/>
  <c r="M924" i="6"/>
  <c r="AW923" i="6"/>
  <c r="AN923" i="6"/>
  <c r="AE923" i="6"/>
  <c r="V923" i="6"/>
  <c r="M923" i="6"/>
  <c r="AW922" i="6"/>
  <c r="AN922" i="6"/>
  <c r="AE922" i="6"/>
  <c r="V922" i="6"/>
  <c r="M922" i="6"/>
  <c r="AW921" i="6"/>
  <c r="AN921" i="6"/>
  <c r="AE921" i="6"/>
  <c r="V921" i="6"/>
  <c r="M921" i="6"/>
  <c r="AW920" i="6"/>
  <c r="AN920" i="6"/>
  <c r="AE920" i="6"/>
  <c r="V920" i="6"/>
  <c r="M920" i="6"/>
  <c r="AW919" i="6"/>
  <c r="AN919" i="6"/>
  <c r="AE919" i="6"/>
  <c r="V919" i="6"/>
  <c r="M919" i="6"/>
  <c r="AW918" i="6"/>
  <c r="AN918" i="6"/>
  <c r="AE918" i="6"/>
  <c r="V918" i="6"/>
  <c r="M918" i="6"/>
  <c r="AW917" i="6"/>
  <c r="AN917" i="6"/>
  <c r="AE917" i="6"/>
  <c r="V917" i="6"/>
  <c r="M917" i="6"/>
  <c r="AW916" i="6"/>
  <c r="AN916" i="6"/>
  <c r="AE916" i="6"/>
  <c r="V916" i="6"/>
  <c r="M916" i="6"/>
  <c r="AW915" i="6"/>
  <c r="AN915" i="6"/>
  <c r="AE915" i="6"/>
  <c r="V915" i="6"/>
  <c r="M915" i="6"/>
  <c r="AW914" i="6"/>
  <c r="AN914" i="6"/>
  <c r="AE914" i="6"/>
  <c r="V914" i="6"/>
  <c r="M914" i="6"/>
  <c r="AW913" i="6"/>
  <c r="AN913" i="6"/>
  <c r="AE913" i="6"/>
  <c r="V913" i="6"/>
  <c r="M913" i="6"/>
  <c r="AW912" i="6"/>
  <c r="AN912" i="6"/>
  <c r="AE912" i="6"/>
  <c r="V912" i="6"/>
  <c r="M912" i="6"/>
  <c r="AW911" i="6"/>
  <c r="AN911" i="6"/>
  <c r="AE911" i="6"/>
  <c r="V911" i="6"/>
  <c r="M911" i="6"/>
  <c r="AW910" i="6"/>
  <c r="AN910" i="6"/>
  <c r="AE910" i="6"/>
  <c r="V910" i="6"/>
  <c r="M910" i="6"/>
  <c r="AW909" i="6"/>
  <c r="AN909" i="6"/>
  <c r="AE909" i="6"/>
  <c r="V909" i="6"/>
  <c r="M909" i="6"/>
  <c r="AW908" i="6"/>
  <c r="AN908" i="6"/>
  <c r="AE908" i="6"/>
  <c r="V908" i="6"/>
  <c r="M908" i="6"/>
  <c r="AW907" i="6"/>
  <c r="AN907" i="6"/>
  <c r="AE907" i="6"/>
  <c r="V907" i="6"/>
  <c r="M907" i="6"/>
  <c r="AW906" i="6"/>
  <c r="AN906" i="6"/>
  <c r="AE906" i="6"/>
  <c r="V906" i="6"/>
  <c r="M906" i="6"/>
  <c r="AW905" i="6"/>
  <c r="AN905" i="6"/>
  <c r="AE905" i="6"/>
  <c r="V905" i="6"/>
  <c r="M905" i="6"/>
  <c r="AW904" i="6"/>
  <c r="AN904" i="6"/>
  <c r="AE904" i="6"/>
  <c r="V904" i="6"/>
  <c r="M904" i="6"/>
  <c r="AW903" i="6"/>
  <c r="AN903" i="6"/>
  <c r="AE903" i="6"/>
  <c r="V903" i="6"/>
  <c r="M903" i="6"/>
  <c r="AW902" i="6"/>
  <c r="AN902" i="6"/>
  <c r="AE902" i="6"/>
  <c r="V902" i="6"/>
  <c r="M902" i="6"/>
  <c r="AW901" i="6"/>
  <c r="AN901" i="6"/>
  <c r="AE901" i="6"/>
  <c r="V901" i="6"/>
  <c r="M901" i="6"/>
  <c r="AW900" i="6"/>
  <c r="AN900" i="6"/>
  <c r="AE900" i="6"/>
  <c r="V900" i="6"/>
  <c r="M900" i="6"/>
  <c r="AW899" i="6"/>
  <c r="AN899" i="6"/>
  <c r="AE899" i="6"/>
  <c r="V899" i="6"/>
  <c r="M899" i="6"/>
  <c r="AW898" i="6"/>
  <c r="AN898" i="6"/>
  <c r="AE898" i="6"/>
  <c r="V898" i="6"/>
  <c r="M898" i="6"/>
  <c r="AW897" i="6"/>
  <c r="AN897" i="6"/>
  <c r="AE897" i="6"/>
  <c r="V897" i="6"/>
  <c r="M897" i="6"/>
  <c r="AW896" i="6"/>
  <c r="AN896" i="6"/>
  <c r="AE896" i="6"/>
  <c r="V896" i="6"/>
  <c r="M896" i="6"/>
  <c r="AW895" i="6"/>
  <c r="AN895" i="6"/>
  <c r="AE895" i="6"/>
  <c r="V895" i="6"/>
  <c r="M895" i="6"/>
  <c r="AW894" i="6"/>
  <c r="AN894" i="6"/>
  <c r="AE894" i="6"/>
  <c r="V894" i="6"/>
  <c r="M894" i="6"/>
  <c r="AW893" i="6"/>
  <c r="AN893" i="6"/>
  <c r="AE893" i="6"/>
  <c r="V893" i="6"/>
  <c r="M893" i="6"/>
  <c r="AW892" i="6"/>
  <c r="AN892" i="6"/>
  <c r="AE892" i="6"/>
  <c r="V892" i="6"/>
  <c r="M892" i="6"/>
  <c r="AW891" i="6"/>
  <c r="AN891" i="6"/>
  <c r="AE891" i="6"/>
  <c r="V891" i="6"/>
  <c r="M891" i="6"/>
  <c r="AW890" i="6"/>
  <c r="AN890" i="6"/>
  <c r="AE890" i="6"/>
  <c r="V890" i="6"/>
  <c r="M890" i="6"/>
  <c r="AW889" i="6"/>
  <c r="AN889" i="6"/>
  <c r="AE889" i="6"/>
  <c r="V889" i="6"/>
  <c r="M889" i="6"/>
  <c r="AW888" i="6"/>
  <c r="AN888" i="6"/>
  <c r="AE888" i="6"/>
  <c r="V888" i="6"/>
  <c r="M888" i="6"/>
  <c r="AW887" i="6"/>
  <c r="AN887" i="6"/>
  <c r="AE887" i="6"/>
  <c r="V887" i="6"/>
  <c r="M887" i="6"/>
  <c r="AW886" i="6"/>
  <c r="AN886" i="6"/>
  <c r="AE886" i="6"/>
  <c r="V886" i="6"/>
  <c r="M886" i="6"/>
  <c r="AW885" i="6"/>
  <c r="AN885" i="6"/>
  <c r="AE885" i="6"/>
  <c r="V885" i="6"/>
  <c r="M885" i="6"/>
  <c r="AW884" i="6"/>
  <c r="AN884" i="6"/>
  <c r="AE884" i="6"/>
  <c r="V884" i="6"/>
  <c r="M884" i="6"/>
  <c r="AW883" i="6"/>
  <c r="AN883" i="6"/>
  <c r="AE883" i="6"/>
  <c r="V883" i="6"/>
  <c r="M883" i="6"/>
  <c r="AW882" i="6"/>
  <c r="AN882" i="6"/>
  <c r="AE882" i="6"/>
  <c r="V882" i="6"/>
  <c r="M882" i="6"/>
  <c r="AW881" i="6"/>
  <c r="AN881" i="6"/>
  <c r="AE881" i="6"/>
  <c r="V881" i="6"/>
  <c r="M881" i="6"/>
  <c r="AW880" i="6"/>
  <c r="AN880" i="6"/>
  <c r="AE880" i="6"/>
  <c r="V880" i="6"/>
  <c r="M880" i="6"/>
  <c r="AW879" i="6"/>
  <c r="AN879" i="6"/>
  <c r="AE879" i="6"/>
  <c r="V879" i="6"/>
  <c r="M879" i="6"/>
  <c r="AW878" i="6"/>
  <c r="AN878" i="6"/>
  <c r="AE878" i="6"/>
  <c r="V878" i="6"/>
  <c r="M878" i="6"/>
  <c r="AW877" i="6"/>
  <c r="AN877" i="6"/>
  <c r="AE877" i="6"/>
  <c r="V877" i="6"/>
  <c r="M877" i="6"/>
  <c r="AW876" i="6"/>
  <c r="AN876" i="6"/>
  <c r="AE876" i="6"/>
  <c r="V876" i="6"/>
  <c r="M876" i="6"/>
  <c r="AW875" i="6"/>
  <c r="AN875" i="6"/>
  <c r="AE875" i="6"/>
  <c r="V875" i="6"/>
  <c r="M875" i="6"/>
  <c r="AW874" i="6"/>
  <c r="AN874" i="6"/>
  <c r="AE874" i="6"/>
  <c r="V874" i="6"/>
  <c r="M874" i="6"/>
  <c r="AW873" i="6"/>
  <c r="AN873" i="6"/>
  <c r="AE873" i="6"/>
  <c r="V873" i="6"/>
  <c r="M873" i="6"/>
  <c r="AW872" i="6"/>
  <c r="AN872" i="6"/>
  <c r="AE872" i="6"/>
  <c r="V872" i="6"/>
  <c r="M872" i="6"/>
  <c r="AW871" i="6"/>
  <c r="AN871" i="6"/>
  <c r="AE871" i="6"/>
  <c r="V871" i="6"/>
  <c r="M871" i="6"/>
  <c r="AW870" i="6"/>
  <c r="AN870" i="6"/>
  <c r="AE870" i="6"/>
  <c r="V870" i="6"/>
  <c r="M870" i="6"/>
  <c r="AW869" i="6"/>
  <c r="AN869" i="6"/>
  <c r="AE869" i="6"/>
  <c r="V869" i="6"/>
  <c r="M869" i="6"/>
  <c r="AW868" i="6"/>
  <c r="AN868" i="6"/>
  <c r="AE868" i="6"/>
  <c r="V868" i="6"/>
  <c r="M868" i="6"/>
  <c r="AW867" i="6"/>
  <c r="AN867" i="6"/>
  <c r="AE867" i="6"/>
  <c r="V867" i="6"/>
  <c r="M867" i="6"/>
  <c r="AW866" i="6"/>
  <c r="AN866" i="6"/>
  <c r="AE866" i="6"/>
  <c r="V866" i="6"/>
  <c r="M866" i="6"/>
  <c r="AW865" i="6"/>
  <c r="AN865" i="6"/>
  <c r="AE865" i="6"/>
  <c r="V865" i="6"/>
  <c r="M865" i="6"/>
  <c r="AW864" i="6"/>
  <c r="AN864" i="6"/>
  <c r="AE864" i="6"/>
  <c r="V864" i="6"/>
  <c r="M864" i="6"/>
  <c r="AW863" i="6"/>
  <c r="AN863" i="6"/>
  <c r="AE863" i="6"/>
  <c r="V863" i="6"/>
  <c r="M863" i="6"/>
  <c r="AW862" i="6"/>
  <c r="AN862" i="6"/>
  <c r="AE862" i="6"/>
  <c r="V862" i="6"/>
  <c r="M862" i="6"/>
  <c r="AW861" i="6"/>
  <c r="AN861" i="6"/>
  <c r="AE861" i="6"/>
  <c r="V861" i="6"/>
  <c r="M861" i="6"/>
  <c r="AW860" i="6"/>
  <c r="AN860" i="6"/>
  <c r="AE860" i="6"/>
  <c r="V860" i="6"/>
  <c r="M860" i="6"/>
  <c r="AW859" i="6"/>
  <c r="AN859" i="6"/>
  <c r="AE859" i="6"/>
  <c r="V859" i="6"/>
  <c r="M859" i="6"/>
  <c r="AW858" i="6"/>
  <c r="AN858" i="6"/>
  <c r="AE858" i="6"/>
  <c r="V858" i="6"/>
  <c r="M858" i="6"/>
  <c r="AW857" i="6"/>
  <c r="AN857" i="6"/>
  <c r="AE857" i="6"/>
  <c r="V857" i="6"/>
  <c r="M857" i="6"/>
  <c r="AW856" i="6"/>
  <c r="AN856" i="6"/>
  <c r="AE856" i="6"/>
  <c r="V856" i="6"/>
  <c r="M856" i="6"/>
  <c r="AW855" i="6"/>
  <c r="AN855" i="6"/>
  <c r="AE855" i="6"/>
  <c r="V855" i="6"/>
  <c r="M855" i="6"/>
  <c r="AW854" i="6"/>
  <c r="AN854" i="6"/>
  <c r="AE854" i="6"/>
  <c r="V854" i="6"/>
  <c r="M854" i="6"/>
  <c r="AW853" i="6"/>
  <c r="AN853" i="6"/>
  <c r="AE853" i="6"/>
  <c r="V853" i="6"/>
  <c r="M853" i="6"/>
  <c r="AW852" i="6"/>
  <c r="AN852" i="6"/>
  <c r="AE852" i="6"/>
  <c r="V852" i="6"/>
  <c r="M852" i="6"/>
  <c r="AW851" i="6"/>
  <c r="AN851" i="6"/>
  <c r="AE851" i="6"/>
  <c r="V851" i="6"/>
  <c r="M851" i="6"/>
  <c r="AW850" i="6"/>
  <c r="AN850" i="6"/>
  <c r="AE850" i="6"/>
  <c r="V850" i="6"/>
  <c r="M850" i="6"/>
  <c r="AW849" i="6"/>
  <c r="AN849" i="6"/>
  <c r="AE849" i="6"/>
  <c r="V849" i="6"/>
  <c r="M849" i="6"/>
  <c r="AW848" i="6"/>
  <c r="AN848" i="6"/>
  <c r="AE848" i="6"/>
  <c r="V848" i="6"/>
  <c r="M848" i="6"/>
  <c r="AW847" i="6"/>
  <c r="AN847" i="6"/>
  <c r="AE847" i="6"/>
  <c r="V847" i="6"/>
  <c r="M847" i="6"/>
  <c r="AW846" i="6"/>
  <c r="AN846" i="6"/>
  <c r="AE846" i="6"/>
  <c r="V846" i="6"/>
  <c r="M846" i="6"/>
  <c r="AW845" i="6"/>
  <c r="AN845" i="6"/>
  <c r="AE845" i="6"/>
  <c r="V845" i="6"/>
  <c r="M845" i="6"/>
  <c r="AW844" i="6"/>
  <c r="AN844" i="6"/>
  <c r="AE844" i="6"/>
  <c r="V844" i="6"/>
  <c r="M844" i="6"/>
  <c r="AW843" i="6"/>
  <c r="AN843" i="6"/>
  <c r="AE843" i="6"/>
  <c r="V843" i="6"/>
  <c r="M843" i="6"/>
  <c r="AW842" i="6"/>
  <c r="AN842" i="6"/>
  <c r="AE842" i="6"/>
  <c r="V842" i="6"/>
  <c r="M842" i="6"/>
  <c r="AW841" i="6"/>
  <c r="AN841" i="6"/>
  <c r="AE841" i="6"/>
  <c r="V841" i="6"/>
  <c r="M841" i="6"/>
  <c r="AW840" i="6"/>
  <c r="AN840" i="6"/>
  <c r="AE840" i="6"/>
  <c r="V840" i="6"/>
  <c r="M840" i="6"/>
  <c r="AW839" i="6"/>
  <c r="AN839" i="6"/>
  <c r="AE839" i="6"/>
  <c r="V839" i="6"/>
  <c r="M839" i="6"/>
  <c r="AW838" i="6"/>
  <c r="AN838" i="6"/>
  <c r="AE838" i="6"/>
  <c r="V838" i="6"/>
  <c r="M838" i="6"/>
  <c r="AW837" i="6"/>
  <c r="AN837" i="6"/>
  <c r="AE837" i="6"/>
  <c r="V837" i="6"/>
  <c r="M837" i="6"/>
  <c r="AW836" i="6"/>
  <c r="AN836" i="6"/>
  <c r="AE836" i="6"/>
  <c r="V836" i="6"/>
  <c r="M836" i="6"/>
  <c r="AW835" i="6"/>
  <c r="AN835" i="6"/>
  <c r="AE835" i="6"/>
  <c r="V835" i="6"/>
  <c r="M835" i="6"/>
  <c r="AW834" i="6"/>
  <c r="AN834" i="6"/>
  <c r="AE834" i="6"/>
  <c r="V834" i="6"/>
  <c r="M834" i="6"/>
  <c r="AW833" i="6"/>
  <c r="AN833" i="6"/>
  <c r="AE833" i="6"/>
  <c r="V833" i="6"/>
  <c r="M833" i="6"/>
  <c r="AW832" i="6"/>
  <c r="AN832" i="6"/>
  <c r="AE832" i="6"/>
  <c r="V832" i="6"/>
  <c r="M832" i="6"/>
  <c r="AW831" i="6"/>
  <c r="AN831" i="6"/>
  <c r="AE831" i="6"/>
  <c r="V831" i="6"/>
  <c r="M831" i="6"/>
  <c r="AW830" i="6"/>
  <c r="AN830" i="6"/>
  <c r="AE830" i="6"/>
  <c r="V830" i="6"/>
  <c r="M830" i="6"/>
  <c r="AW829" i="6"/>
  <c r="AN829" i="6"/>
  <c r="AE829" i="6"/>
  <c r="V829" i="6"/>
  <c r="M829" i="6"/>
  <c r="AW828" i="6"/>
  <c r="AN828" i="6"/>
  <c r="AE828" i="6"/>
  <c r="V828" i="6"/>
  <c r="M828" i="6"/>
  <c r="AW827" i="6"/>
  <c r="AN827" i="6"/>
  <c r="AE827" i="6"/>
  <c r="V827" i="6"/>
  <c r="M827" i="6"/>
  <c r="AW826" i="6"/>
  <c r="AN826" i="6"/>
  <c r="AE826" i="6"/>
  <c r="V826" i="6"/>
  <c r="M826" i="6"/>
  <c r="AW825" i="6"/>
  <c r="AN825" i="6"/>
  <c r="AE825" i="6"/>
  <c r="V825" i="6"/>
  <c r="M825" i="6"/>
  <c r="AW824" i="6"/>
  <c r="AN824" i="6"/>
  <c r="AE824" i="6"/>
  <c r="V824" i="6"/>
  <c r="M824" i="6"/>
  <c r="AW823" i="6"/>
  <c r="AN823" i="6"/>
  <c r="AE823" i="6"/>
  <c r="V823" i="6"/>
  <c r="M823" i="6"/>
  <c r="AW822" i="6"/>
  <c r="AN822" i="6"/>
  <c r="AE822" i="6"/>
  <c r="V822" i="6"/>
  <c r="M822" i="6"/>
  <c r="AW821" i="6"/>
  <c r="AN821" i="6"/>
  <c r="AE821" i="6"/>
  <c r="V821" i="6"/>
  <c r="M821" i="6"/>
  <c r="AW820" i="6"/>
  <c r="AN820" i="6"/>
  <c r="AE820" i="6"/>
  <c r="V820" i="6"/>
  <c r="M820" i="6"/>
  <c r="AW819" i="6"/>
  <c r="AN819" i="6"/>
  <c r="AE819" i="6"/>
  <c r="V819" i="6"/>
  <c r="M819" i="6"/>
  <c r="AW818" i="6"/>
  <c r="AN818" i="6"/>
  <c r="AE818" i="6"/>
  <c r="V818" i="6"/>
  <c r="M818" i="6"/>
  <c r="AW817" i="6"/>
  <c r="AN817" i="6"/>
  <c r="AE817" i="6"/>
  <c r="V817" i="6"/>
  <c r="M817" i="6"/>
  <c r="AW816" i="6"/>
  <c r="AN816" i="6"/>
  <c r="AE816" i="6"/>
  <c r="V816" i="6"/>
  <c r="M816" i="6"/>
  <c r="AW815" i="6"/>
  <c r="AN815" i="6"/>
  <c r="AE815" i="6"/>
  <c r="V815" i="6"/>
  <c r="M815" i="6"/>
  <c r="AW814" i="6"/>
  <c r="AN814" i="6"/>
  <c r="AE814" i="6"/>
  <c r="V814" i="6"/>
  <c r="M814" i="6"/>
  <c r="AW813" i="6"/>
  <c r="AN813" i="6"/>
  <c r="AE813" i="6"/>
  <c r="V813" i="6"/>
  <c r="M813" i="6"/>
  <c r="AW812" i="6"/>
  <c r="AN812" i="6"/>
  <c r="AE812" i="6"/>
  <c r="V812" i="6"/>
  <c r="M812" i="6"/>
  <c r="AW811" i="6"/>
  <c r="AN811" i="6"/>
  <c r="AE811" i="6"/>
  <c r="V811" i="6"/>
  <c r="M811" i="6"/>
  <c r="AW810" i="6"/>
  <c r="AN810" i="6"/>
  <c r="AE810" i="6"/>
  <c r="V810" i="6"/>
  <c r="M810" i="6"/>
  <c r="AW809" i="6"/>
  <c r="AN809" i="6"/>
  <c r="AE809" i="6"/>
  <c r="V809" i="6"/>
  <c r="M809" i="6"/>
  <c r="AW808" i="6"/>
  <c r="AN808" i="6"/>
  <c r="AE808" i="6"/>
  <c r="V808" i="6"/>
  <c r="M808" i="6"/>
  <c r="AW807" i="6"/>
  <c r="AN807" i="6"/>
  <c r="AE807" i="6"/>
  <c r="V807" i="6"/>
  <c r="M807" i="6"/>
  <c r="AW806" i="6"/>
  <c r="AN806" i="6"/>
  <c r="AE806" i="6"/>
  <c r="V806" i="6"/>
  <c r="M806" i="6"/>
  <c r="AW805" i="6"/>
  <c r="AN805" i="6"/>
  <c r="AE805" i="6"/>
  <c r="V805" i="6"/>
  <c r="M805" i="6"/>
  <c r="AW804" i="6"/>
  <c r="AN804" i="6"/>
  <c r="AE804" i="6"/>
  <c r="V804" i="6"/>
  <c r="M804" i="6"/>
  <c r="AW803" i="6"/>
  <c r="AN803" i="6"/>
  <c r="AE803" i="6"/>
  <c r="V803" i="6"/>
  <c r="M803" i="6"/>
  <c r="AW802" i="6"/>
  <c r="AN802" i="6"/>
  <c r="AE802" i="6"/>
  <c r="V802" i="6"/>
  <c r="M802" i="6"/>
  <c r="AW801" i="6"/>
  <c r="AN801" i="6"/>
  <c r="AE801" i="6"/>
  <c r="V801" i="6"/>
  <c r="M801" i="6"/>
  <c r="AW800" i="6"/>
  <c r="AN800" i="6"/>
  <c r="AE800" i="6"/>
  <c r="V800" i="6"/>
  <c r="M800" i="6"/>
  <c r="AW799" i="6"/>
  <c r="AN799" i="6"/>
  <c r="AE799" i="6"/>
  <c r="V799" i="6"/>
  <c r="M799" i="6"/>
  <c r="AW798" i="6"/>
  <c r="AN798" i="6"/>
  <c r="AE798" i="6"/>
  <c r="V798" i="6"/>
  <c r="M798" i="6"/>
  <c r="AW797" i="6"/>
  <c r="AN797" i="6"/>
  <c r="AE797" i="6"/>
  <c r="V797" i="6"/>
  <c r="M797" i="6"/>
  <c r="AW796" i="6"/>
  <c r="AN796" i="6"/>
  <c r="AE796" i="6"/>
  <c r="V796" i="6"/>
  <c r="M796" i="6"/>
  <c r="AW795" i="6"/>
  <c r="AN795" i="6"/>
  <c r="AE795" i="6"/>
  <c r="V795" i="6"/>
  <c r="M795" i="6"/>
  <c r="AW794" i="6"/>
  <c r="AN794" i="6"/>
  <c r="AE794" i="6"/>
  <c r="V794" i="6"/>
  <c r="M794" i="6"/>
  <c r="AW793" i="6"/>
  <c r="AN793" i="6"/>
  <c r="AE793" i="6"/>
  <c r="V793" i="6"/>
  <c r="M793" i="6"/>
  <c r="AW792" i="6"/>
  <c r="AN792" i="6"/>
  <c r="AE792" i="6"/>
  <c r="V792" i="6"/>
  <c r="M792" i="6"/>
  <c r="AW791" i="6"/>
  <c r="AN791" i="6"/>
  <c r="AE791" i="6"/>
  <c r="V791" i="6"/>
  <c r="M791" i="6"/>
  <c r="AW790" i="6"/>
  <c r="AN790" i="6"/>
  <c r="AE790" i="6"/>
  <c r="V790" i="6"/>
  <c r="M790" i="6"/>
  <c r="AW789" i="6"/>
  <c r="AN789" i="6"/>
  <c r="AE789" i="6"/>
  <c r="V789" i="6"/>
  <c r="M789" i="6"/>
  <c r="AW788" i="6"/>
  <c r="AN788" i="6"/>
  <c r="AE788" i="6"/>
  <c r="V788" i="6"/>
  <c r="M788" i="6"/>
  <c r="AW787" i="6"/>
  <c r="AN787" i="6"/>
  <c r="AE787" i="6"/>
  <c r="V787" i="6"/>
  <c r="M787" i="6"/>
  <c r="AW786" i="6"/>
  <c r="AN786" i="6"/>
  <c r="AE786" i="6"/>
  <c r="V786" i="6"/>
  <c r="M786" i="6"/>
  <c r="AW785" i="6"/>
  <c r="AN785" i="6"/>
  <c r="AE785" i="6"/>
  <c r="V785" i="6"/>
  <c r="M785" i="6"/>
  <c r="AW784" i="6"/>
  <c r="AN784" i="6"/>
  <c r="AE784" i="6"/>
  <c r="V784" i="6"/>
  <c r="M784" i="6"/>
  <c r="AW783" i="6"/>
  <c r="AN783" i="6"/>
  <c r="AE783" i="6"/>
  <c r="V783" i="6"/>
  <c r="M783" i="6"/>
  <c r="AW782" i="6"/>
  <c r="AN782" i="6"/>
  <c r="AE782" i="6"/>
  <c r="V782" i="6"/>
  <c r="M782" i="6"/>
  <c r="AW781" i="6"/>
  <c r="AN781" i="6"/>
  <c r="AE781" i="6"/>
  <c r="V781" i="6"/>
  <c r="M781" i="6"/>
  <c r="AW780" i="6"/>
  <c r="AN780" i="6"/>
  <c r="AE780" i="6"/>
  <c r="V780" i="6"/>
  <c r="M780" i="6"/>
  <c r="AW779" i="6"/>
  <c r="AN779" i="6"/>
  <c r="AE779" i="6"/>
  <c r="V779" i="6"/>
  <c r="M779" i="6"/>
  <c r="AW778" i="6"/>
  <c r="AN778" i="6"/>
  <c r="AE778" i="6"/>
  <c r="V778" i="6"/>
  <c r="M778" i="6"/>
  <c r="AW777" i="6"/>
  <c r="AN777" i="6"/>
  <c r="AE777" i="6"/>
  <c r="V777" i="6"/>
  <c r="M777" i="6"/>
  <c r="AW776" i="6"/>
  <c r="AN776" i="6"/>
  <c r="AE776" i="6"/>
  <c r="V776" i="6"/>
  <c r="M776" i="6"/>
  <c r="AW775" i="6"/>
  <c r="AN775" i="6"/>
  <c r="AE775" i="6"/>
  <c r="V775" i="6"/>
  <c r="M775" i="6"/>
  <c r="AW774" i="6"/>
  <c r="AN774" i="6"/>
  <c r="AE774" i="6"/>
  <c r="V774" i="6"/>
  <c r="M774" i="6"/>
  <c r="AW773" i="6"/>
  <c r="AN773" i="6"/>
  <c r="AE773" i="6"/>
  <c r="V773" i="6"/>
  <c r="M773" i="6"/>
  <c r="AW772" i="6"/>
  <c r="AN772" i="6"/>
  <c r="AE772" i="6"/>
  <c r="V772" i="6"/>
  <c r="M772" i="6"/>
  <c r="AW771" i="6"/>
  <c r="AN771" i="6"/>
  <c r="AE771" i="6"/>
  <c r="V771" i="6"/>
  <c r="M771" i="6"/>
  <c r="AW770" i="6"/>
  <c r="AN770" i="6"/>
  <c r="AE770" i="6"/>
  <c r="V770" i="6"/>
  <c r="M770" i="6"/>
  <c r="AW769" i="6"/>
  <c r="AN769" i="6"/>
  <c r="AE769" i="6"/>
  <c r="V769" i="6"/>
  <c r="M769" i="6"/>
  <c r="AW768" i="6"/>
  <c r="AN768" i="6"/>
  <c r="AE768" i="6"/>
  <c r="V768" i="6"/>
  <c r="M768" i="6"/>
  <c r="AW767" i="6"/>
  <c r="AN767" i="6"/>
  <c r="AE767" i="6"/>
  <c r="V767" i="6"/>
  <c r="M767" i="6"/>
  <c r="AW766" i="6"/>
  <c r="AN766" i="6"/>
  <c r="AE766" i="6"/>
  <c r="V766" i="6"/>
  <c r="M766" i="6"/>
  <c r="AW765" i="6"/>
  <c r="AN765" i="6"/>
  <c r="AE765" i="6"/>
  <c r="V765" i="6"/>
  <c r="M765" i="6"/>
  <c r="AW764" i="6"/>
  <c r="AN764" i="6"/>
  <c r="AE764" i="6"/>
  <c r="V764" i="6"/>
  <c r="M764" i="6"/>
  <c r="AW763" i="6"/>
  <c r="AN763" i="6"/>
  <c r="AE763" i="6"/>
  <c r="V763" i="6"/>
  <c r="M763" i="6"/>
  <c r="AW762" i="6"/>
  <c r="AN762" i="6"/>
  <c r="AE762" i="6"/>
  <c r="V762" i="6"/>
  <c r="M762" i="6"/>
  <c r="AW761" i="6"/>
  <c r="AN761" i="6"/>
  <c r="AE761" i="6"/>
  <c r="V761" i="6"/>
  <c r="M761" i="6"/>
  <c r="AW760" i="6"/>
  <c r="AN760" i="6"/>
  <c r="AE760" i="6"/>
  <c r="V760" i="6"/>
  <c r="M760" i="6"/>
  <c r="AW759" i="6"/>
  <c r="AN759" i="6"/>
  <c r="AE759" i="6"/>
  <c r="V759" i="6"/>
  <c r="M759" i="6"/>
  <c r="AW758" i="6"/>
  <c r="AN758" i="6"/>
  <c r="AE758" i="6"/>
  <c r="V758" i="6"/>
  <c r="M758" i="6"/>
  <c r="AW757" i="6"/>
  <c r="AN757" i="6"/>
  <c r="AE757" i="6"/>
  <c r="V757" i="6"/>
  <c r="M757" i="6"/>
  <c r="AW756" i="6"/>
  <c r="AN756" i="6"/>
  <c r="AE756" i="6"/>
  <c r="V756" i="6"/>
  <c r="M756" i="6"/>
  <c r="AW755" i="6"/>
  <c r="AN755" i="6"/>
  <c r="AE755" i="6"/>
  <c r="V755" i="6"/>
  <c r="M755" i="6"/>
  <c r="AW754" i="6"/>
  <c r="AN754" i="6"/>
  <c r="AE754" i="6"/>
  <c r="V754" i="6"/>
  <c r="M754" i="6"/>
  <c r="AW753" i="6"/>
  <c r="AN753" i="6"/>
  <c r="AE753" i="6"/>
  <c r="V753" i="6"/>
  <c r="M753" i="6"/>
  <c r="AW752" i="6"/>
  <c r="AN752" i="6"/>
  <c r="AE752" i="6"/>
  <c r="V752" i="6"/>
  <c r="M752" i="6"/>
  <c r="AW751" i="6"/>
  <c r="AN751" i="6"/>
  <c r="AE751" i="6"/>
  <c r="V751" i="6"/>
  <c r="M751" i="6"/>
  <c r="AW750" i="6"/>
  <c r="AN750" i="6"/>
  <c r="AE750" i="6"/>
  <c r="V750" i="6"/>
  <c r="M750" i="6"/>
  <c r="AW749" i="6"/>
  <c r="AN749" i="6"/>
  <c r="AE749" i="6"/>
  <c r="V749" i="6"/>
  <c r="M749" i="6"/>
  <c r="AW748" i="6"/>
  <c r="AN748" i="6"/>
  <c r="AE748" i="6"/>
  <c r="V748" i="6"/>
  <c r="M748" i="6"/>
  <c r="AW747" i="6"/>
  <c r="AN747" i="6"/>
  <c r="AE747" i="6"/>
  <c r="V747" i="6"/>
  <c r="M747" i="6"/>
  <c r="AW746" i="6"/>
  <c r="AN746" i="6"/>
  <c r="AE746" i="6"/>
  <c r="V746" i="6"/>
  <c r="M746" i="6"/>
  <c r="AW745" i="6"/>
  <c r="AN745" i="6"/>
  <c r="AE745" i="6"/>
  <c r="V745" i="6"/>
  <c r="M745" i="6"/>
  <c r="AW744" i="6"/>
  <c r="AN744" i="6"/>
  <c r="AE744" i="6"/>
  <c r="V744" i="6"/>
  <c r="M744" i="6"/>
  <c r="AW743" i="6"/>
  <c r="AN743" i="6"/>
  <c r="AE743" i="6"/>
  <c r="V743" i="6"/>
  <c r="M743" i="6"/>
  <c r="AW742" i="6"/>
  <c r="AN742" i="6"/>
  <c r="AE742" i="6"/>
  <c r="V742" i="6"/>
  <c r="M742" i="6"/>
  <c r="AW741" i="6"/>
  <c r="AN741" i="6"/>
  <c r="AE741" i="6"/>
  <c r="V741" i="6"/>
  <c r="M741" i="6"/>
  <c r="AW740" i="6"/>
  <c r="AN740" i="6"/>
  <c r="AE740" i="6"/>
  <c r="V740" i="6"/>
  <c r="M740" i="6"/>
  <c r="AW739" i="6"/>
  <c r="AN739" i="6"/>
  <c r="AE739" i="6"/>
  <c r="V739" i="6"/>
  <c r="M739" i="6"/>
  <c r="AW738" i="6"/>
  <c r="AN738" i="6"/>
  <c r="AE738" i="6"/>
  <c r="V738" i="6"/>
  <c r="M738" i="6"/>
  <c r="AW737" i="6"/>
  <c r="AN737" i="6"/>
  <c r="AE737" i="6"/>
  <c r="V737" i="6"/>
  <c r="M737" i="6"/>
  <c r="AW736" i="6"/>
  <c r="AN736" i="6"/>
  <c r="AE736" i="6"/>
  <c r="V736" i="6"/>
  <c r="M736" i="6"/>
  <c r="AW735" i="6"/>
  <c r="AN735" i="6"/>
  <c r="AE735" i="6"/>
  <c r="V735" i="6"/>
  <c r="M735" i="6"/>
  <c r="AW734" i="6"/>
  <c r="AN734" i="6"/>
  <c r="AE734" i="6"/>
  <c r="V734" i="6"/>
  <c r="M734" i="6"/>
  <c r="AW733" i="6"/>
  <c r="AN733" i="6"/>
  <c r="AE733" i="6"/>
  <c r="V733" i="6"/>
  <c r="M733" i="6"/>
  <c r="AW732" i="6"/>
  <c r="AN732" i="6"/>
  <c r="AE732" i="6"/>
  <c r="V732" i="6"/>
  <c r="M732" i="6"/>
  <c r="AW731" i="6"/>
  <c r="AN731" i="6"/>
  <c r="AE731" i="6"/>
  <c r="V731" i="6"/>
  <c r="M731" i="6"/>
  <c r="AW730" i="6"/>
  <c r="AN730" i="6"/>
  <c r="AE730" i="6"/>
  <c r="V730" i="6"/>
  <c r="M730" i="6"/>
  <c r="AW729" i="6"/>
  <c r="AN729" i="6"/>
  <c r="AE729" i="6"/>
  <c r="V729" i="6"/>
  <c r="M729" i="6"/>
  <c r="AW728" i="6"/>
  <c r="AN728" i="6"/>
  <c r="AE728" i="6"/>
  <c r="V728" i="6"/>
  <c r="M728" i="6"/>
  <c r="AW727" i="6"/>
  <c r="AN727" i="6"/>
  <c r="AE727" i="6"/>
  <c r="V727" i="6"/>
  <c r="M727" i="6"/>
  <c r="AW726" i="6"/>
  <c r="AN726" i="6"/>
  <c r="AE726" i="6"/>
  <c r="V726" i="6"/>
  <c r="M726" i="6"/>
  <c r="AW725" i="6"/>
  <c r="AN725" i="6"/>
  <c r="AE725" i="6"/>
  <c r="V725" i="6"/>
  <c r="M725" i="6"/>
  <c r="AW724" i="6"/>
  <c r="AN724" i="6"/>
  <c r="AE724" i="6"/>
  <c r="V724" i="6"/>
  <c r="M724" i="6"/>
  <c r="AW723" i="6"/>
  <c r="AN723" i="6"/>
  <c r="AE723" i="6"/>
  <c r="V723" i="6"/>
  <c r="M723" i="6"/>
  <c r="AW722" i="6"/>
  <c r="AN722" i="6"/>
  <c r="AE722" i="6"/>
  <c r="V722" i="6"/>
  <c r="M722" i="6"/>
  <c r="AW721" i="6"/>
  <c r="AN721" i="6"/>
  <c r="AE721" i="6"/>
  <c r="V721" i="6"/>
  <c r="M721" i="6"/>
  <c r="AW720" i="6"/>
  <c r="AN720" i="6"/>
  <c r="AE720" i="6"/>
  <c r="V720" i="6"/>
  <c r="M720" i="6"/>
  <c r="AW719" i="6"/>
  <c r="AN719" i="6"/>
  <c r="AE719" i="6"/>
  <c r="V719" i="6"/>
  <c r="M719" i="6"/>
  <c r="AW718" i="6"/>
  <c r="AN718" i="6"/>
  <c r="AE718" i="6"/>
  <c r="V718" i="6"/>
  <c r="M718" i="6"/>
  <c r="AW717" i="6"/>
  <c r="AN717" i="6"/>
  <c r="AE717" i="6"/>
  <c r="V717" i="6"/>
  <c r="M717" i="6"/>
  <c r="AW716" i="6"/>
  <c r="AN716" i="6"/>
  <c r="AE716" i="6"/>
  <c r="V716" i="6"/>
  <c r="M716" i="6"/>
  <c r="AW715" i="6"/>
  <c r="AN715" i="6"/>
  <c r="AE715" i="6"/>
  <c r="V715" i="6"/>
  <c r="M715" i="6"/>
  <c r="AW714" i="6"/>
  <c r="AN714" i="6"/>
  <c r="AE714" i="6"/>
  <c r="V714" i="6"/>
  <c r="M714" i="6"/>
  <c r="AW713" i="6"/>
  <c r="AN713" i="6"/>
  <c r="AE713" i="6"/>
  <c r="V713" i="6"/>
  <c r="M713" i="6"/>
  <c r="AW712" i="6"/>
  <c r="AN712" i="6"/>
  <c r="AE712" i="6"/>
  <c r="V712" i="6"/>
  <c r="M712" i="6"/>
  <c r="AW711" i="6"/>
  <c r="AN711" i="6"/>
  <c r="AE711" i="6"/>
  <c r="V711" i="6"/>
  <c r="M711" i="6"/>
  <c r="AW710" i="6"/>
  <c r="AN710" i="6"/>
  <c r="AE710" i="6"/>
  <c r="V710" i="6"/>
  <c r="M710" i="6"/>
  <c r="AW709" i="6"/>
  <c r="AN709" i="6"/>
  <c r="AE709" i="6"/>
  <c r="V709" i="6"/>
  <c r="M709" i="6"/>
  <c r="AW708" i="6"/>
  <c r="AN708" i="6"/>
  <c r="AE708" i="6"/>
  <c r="V708" i="6"/>
  <c r="M708" i="6"/>
  <c r="AW707" i="6"/>
  <c r="AN707" i="6"/>
  <c r="AE707" i="6"/>
  <c r="V707" i="6"/>
  <c r="M707" i="6"/>
  <c r="AW706" i="6"/>
  <c r="AN706" i="6"/>
  <c r="AE706" i="6"/>
  <c r="V706" i="6"/>
  <c r="M706" i="6"/>
  <c r="AW705" i="6"/>
  <c r="AN705" i="6"/>
  <c r="AE705" i="6"/>
  <c r="V705" i="6"/>
  <c r="M705" i="6"/>
  <c r="AW704" i="6"/>
  <c r="AN704" i="6"/>
  <c r="AE704" i="6"/>
  <c r="V704" i="6"/>
  <c r="M704" i="6"/>
  <c r="AW703" i="6"/>
  <c r="AN703" i="6"/>
  <c r="AE703" i="6"/>
  <c r="V703" i="6"/>
  <c r="M703" i="6"/>
  <c r="AW702" i="6"/>
  <c r="AN702" i="6"/>
  <c r="AE702" i="6"/>
  <c r="V702" i="6"/>
  <c r="M702" i="6"/>
  <c r="AW701" i="6"/>
  <c r="AN701" i="6"/>
  <c r="AE701" i="6"/>
  <c r="V701" i="6"/>
  <c r="M701" i="6"/>
  <c r="AW700" i="6"/>
  <c r="AN700" i="6"/>
  <c r="AE700" i="6"/>
  <c r="V700" i="6"/>
  <c r="M700" i="6"/>
  <c r="AW699" i="6"/>
  <c r="AN699" i="6"/>
  <c r="AE699" i="6"/>
  <c r="V699" i="6"/>
  <c r="M699" i="6"/>
  <c r="AW698" i="6"/>
  <c r="AN698" i="6"/>
  <c r="AE698" i="6"/>
  <c r="V698" i="6"/>
  <c r="M698" i="6"/>
  <c r="AW697" i="6"/>
  <c r="AN697" i="6"/>
  <c r="AE697" i="6"/>
  <c r="V697" i="6"/>
  <c r="M697" i="6"/>
  <c r="AW696" i="6"/>
  <c r="AN696" i="6"/>
  <c r="AE696" i="6"/>
  <c r="V696" i="6"/>
  <c r="M696" i="6"/>
  <c r="AW695" i="6"/>
  <c r="AN695" i="6"/>
  <c r="AE695" i="6"/>
  <c r="V695" i="6"/>
  <c r="M695" i="6"/>
  <c r="AW694" i="6"/>
  <c r="AN694" i="6"/>
  <c r="AE694" i="6"/>
  <c r="V694" i="6"/>
  <c r="M694" i="6"/>
  <c r="AW693" i="6"/>
  <c r="AN693" i="6"/>
  <c r="AE693" i="6"/>
  <c r="V693" i="6"/>
  <c r="M693" i="6"/>
  <c r="AW692" i="6"/>
  <c r="AN692" i="6"/>
  <c r="AE692" i="6"/>
  <c r="V692" i="6"/>
  <c r="M692" i="6"/>
  <c r="AW691" i="6"/>
  <c r="AN691" i="6"/>
  <c r="AE691" i="6"/>
  <c r="V691" i="6"/>
  <c r="M691" i="6"/>
  <c r="AW690" i="6"/>
  <c r="AN690" i="6"/>
  <c r="AE690" i="6"/>
  <c r="V690" i="6"/>
  <c r="M690" i="6"/>
  <c r="AW689" i="6"/>
  <c r="AN689" i="6"/>
  <c r="AE689" i="6"/>
  <c r="V689" i="6"/>
  <c r="M689" i="6"/>
  <c r="AW688" i="6"/>
  <c r="AN688" i="6"/>
  <c r="AE688" i="6"/>
  <c r="V688" i="6"/>
  <c r="M688" i="6"/>
  <c r="AW687" i="6"/>
  <c r="AN687" i="6"/>
  <c r="AE687" i="6"/>
  <c r="V687" i="6"/>
  <c r="M687" i="6"/>
  <c r="AW686" i="6"/>
  <c r="AN686" i="6"/>
  <c r="AE686" i="6"/>
  <c r="V686" i="6"/>
  <c r="M686" i="6"/>
  <c r="AW685" i="6"/>
  <c r="AN685" i="6"/>
  <c r="AE685" i="6"/>
  <c r="V685" i="6"/>
  <c r="M685" i="6"/>
  <c r="AW684" i="6"/>
  <c r="AN684" i="6"/>
  <c r="AE684" i="6"/>
  <c r="V684" i="6"/>
  <c r="M684" i="6"/>
  <c r="AW683" i="6"/>
  <c r="AN683" i="6"/>
  <c r="AE683" i="6"/>
  <c r="V683" i="6"/>
  <c r="M683" i="6"/>
  <c r="AW682" i="6"/>
  <c r="AN682" i="6"/>
  <c r="AE682" i="6"/>
  <c r="V682" i="6"/>
  <c r="M682" i="6"/>
  <c r="AW681" i="6"/>
  <c r="AN681" i="6"/>
  <c r="AE681" i="6"/>
  <c r="V681" i="6"/>
  <c r="M681" i="6"/>
  <c r="AW680" i="6"/>
  <c r="AN680" i="6"/>
  <c r="AE680" i="6"/>
  <c r="V680" i="6"/>
  <c r="M680" i="6"/>
  <c r="AW679" i="6"/>
  <c r="AN679" i="6"/>
  <c r="AE679" i="6"/>
  <c r="V679" i="6"/>
  <c r="M679" i="6"/>
  <c r="AW678" i="6"/>
  <c r="AN678" i="6"/>
  <c r="AE678" i="6"/>
  <c r="V678" i="6"/>
  <c r="M678" i="6"/>
  <c r="AW677" i="6"/>
  <c r="AN677" i="6"/>
  <c r="AE677" i="6"/>
  <c r="V677" i="6"/>
  <c r="M677" i="6"/>
  <c r="AW676" i="6"/>
  <c r="AN676" i="6"/>
  <c r="AE676" i="6"/>
  <c r="V676" i="6"/>
  <c r="M676" i="6"/>
  <c r="AW675" i="6"/>
  <c r="AN675" i="6"/>
  <c r="AE675" i="6"/>
  <c r="V675" i="6"/>
  <c r="M675" i="6"/>
  <c r="AW674" i="6"/>
  <c r="AN674" i="6"/>
  <c r="AE674" i="6"/>
  <c r="V674" i="6"/>
  <c r="M674" i="6"/>
  <c r="AW673" i="6"/>
  <c r="AN673" i="6"/>
  <c r="AE673" i="6"/>
  <c r="V673" i="6"/>
  <c r="M673" i="6"/>
  <c r="AW672" i="6"/>
  <c r="AN672" i="6"/>
  <c r="AE672" i="6"/>
  <c r="V672" i="6"/>
  <c r="M672" i="6"/>
  <c r="AW671" i="6"/>
  <c r="AN671" i="6"/>
  <c r="AE671" i="6"/>
  <c r="V671" i="6"/>
  <c r="M671" i="6"/>
  <c r="AW670" i="6"/>
  <c r="AN670" i="6"/>
  <c r="AE670" i="6"/>
  <c r="V670" i="6"/>
  <c r="M670" i="6"/>
  <c r="AW669" i="6"/>
  <c r="AN669" i="6"/>
  <c r="AE669" i="6"/>
  <c r="V669" i="6"/>
  <c r="M669" i="6"/>
  <c r="AW668" i="6"/>
  <c r="AN668" i="6"/>
  <c r="AE668" i="6"/>
  <c r="V668" i="6"/>
  <c r="M668" i="6"/>
  <c r="AW667" i="6"/>
  <c r="AN667" i="6"/>
  <c r="AE667" i="6"/>
  <c r="V667" i="6"/>
  <c r="M667" i="6"/>
  <c r="AW666" i="6"/>
  <c r="AN666" i="6"/>
  <c r="AE666" i="6"/>
  <c r="V666" i="6"/>
  <c r="M666" i="6"/>
  <c r="AW665" i="6"/>
  <c r="AN665" i="6"/>
  <c r="AE665" i="6"/>
  <c r="V665" i="6"/>
  <c r="M665" i="6"/>
  <c r="AW664" i="6"/>
  <c r="AN664" i="6"/>
  <c r="AE664" i="6"/>
  <c r="V664" i="6"/>
  <c r="M664" i="6"/>
  <c r="AW663" i="6"/>
  <c r="AN663" i="6"/>
  <c r="AE663" i="6"/>
  <c r="V663" i="6"/>
  <c r="M663" i="6"/>
  <c r="AW662" i="6"/>
  <c r="AN662" i="6"/>
  <c r="AE662" i="6"/>
  <c r="V662" i="6"/>
  <c r="M662" i="6"/>
  <c r="AW661" i="6"/>
  <c r="AN661" i="6"/>
  <c r="AE661" i="6"/>
  <c r="V661" i="6"/>
  <c r="M661" i="6"/>
  <c r="AW660" i="6"/>
  <c r="AN660" i="6"/>
  <c r="AE660" i="6"/>
  <c r="V660" i="6"/>
  <c r="M660" i="6"/>
  <c r="AW659" i="6"/>
  <c r="AN659" i="6"/>
  <c r="AE659" i="6"/>
  <c r="V659" i="6"/>
  <c r="M659" i="6"/>
  <c r="AW658" i="6"/>
  <c r="AN658" i="6"/>
  <c r="AE658" i="6"/>
  <c r="V658" i="6"/>
  <c r="M658" i="6"/>
  <c r="AW657" i="6"/>
  <c r="AN657" i="6"/>
  <c r="AE657" i="6"/>
  <c r="V657" i="6"/>
  <c r="M657" i="6"/>
  <c r="AW656" i="6"/>
  <c r="AN656" i="6"/>
  <c r="AE656" i="6"/>
  <c r="V656" i="6"/>
  <c r="M656" i="6"/>
  <c r="AW655" i="6"/>
  <c r="AN655" i="6"/>
  <c r="AE655" i="6"/>
  <c r="V655" i="6"/>
  <c r="M655" i="6"/>
  <c r="AW654" i="6"/>
  <c r="AN654" i="6"/>
  <c r="AE654" i="6"/>
  <c r="V654" i="6"/>
  <c r="M654" i="6"/>
  <c r="AW653" i="6"/>
  <c r="AN653" i="6"/>
  <c r="AE653" i="6"/>
  <c r="V653" i="6"/>
  <c r="M653" i="6"/>
  <c r="AW652" i="6"/>
  <c r="AN652" i="6"/>
  <c r="AE652" i="6"/>
  <c r="V652" i="6"/>
  <c r="M652" i="6"/>
  <c r="AW651" i="6"/>
  <c r="AN651" i="6"/>
  <c r="AE651" i="6"/>
  <c r="V651" i="6"/>
  <c r="M651" i="6"/>
  <c r="AW650" i="6"/>
  <c r="AN650" i="6"/>
  <c r="AE650" i="6"/>
  <c r="V650" i="6"/>
  <c r="M650" i="6"/>
  <c r="AW649" i="6"/>
  <c r="AN649" i="6"/>
  <c r="AE649" i="6"/>
  <c r="V649" i="6"/>
  <c r="M649" i="6"/>
  <c r="AW648" i="6"/>
  <c r="AN648" i="6"/>
  <c r="AE648" i="6"/>
  <c r="V648" i="6"/>
  <c r="M648" i="6"/>
  <c r="AW647" i="6"/>
  <c r="AN647" i="6"/>
  <c r="AE647" i="6"/>
  <c r="V647" i="6"/>
  <c r="M647" i="6"/>
  <c r="AW646" i="6"/>
  <c r="AN646" i="6"/>
  <c r="AE646" i="6"/>
  <c r="V646" i="6"/>
  <c r="M646" i="6"/>
  <c r="AW645" i="6"/>
  <c r="AN645" i="6"/>
  <c r="AE645" i="6"/>
  <c r="V645" i="6"/>
  <c r="M645" i="6"/>
  <c r="AW644" i="6"/>
  <c r="AN644" i="6"/>
  <c r="AE644" i="6"/>
  <c r="V644" i="6"/>
  <c r="M644" i="6"/>
  <c r="AW643" i="6"/>
  <c r="AN643" i="6"/>
  <c r="AE643" i="6"/>
  <c r="V643" i="6"/>
  <c r="M643" i="6"/>
  <c r="AW642" i="6"/>
  <c r="AN642" i="6"/>
  <c r="AE642" i="6"/>
  <c r="V642" i="6"/>
  <c r="M642" i="6"/>
  <c r="AW641" i="6"/>
  <c r="AN641" i="6"/>
  <c r="AE641" i="6"/>
  <c r="V641" i="6"/>
  <c r="M641" i="6"/>
  <c r="AW640" i="6"/>
  <c r="AN640" i="6"/>
  <c r="AE640" i="6"/>
  <c r="V640" i="6"/>
  <c r="M640" i="6"/>
  <c r="AW639" i="6"/>
  <c r="AN639" i="6"/>
  <c r="AE639" i="6"/>
  <c r="V639" i="6"/>
  <c r="M639" i="6"/>
  <c r="AW638" i="6"/>
  <c r="AN638" i="6"/>
  <c r="AE638" i="6"/>
  <c r="V638" i="6"/>
  <c r="M638" i="6"/>
  <c r="AW637" i="6"/>
  <c r="AN637" i="6"/>
  <c r="AE637" i="6"/>
  <c r="V637" i="6"/>
  <c r="M637" i="6"/>
  <c r="AW636" i="6"/>
  <c r="AN636" i="6"/>
  <c r="AE636" i="6"/>
  <c r="V636" i="6"/>
  <c r="M636" i="6"/>
  <c r="AW635" i="6"/>
  <c r="AN635" i="6"/>
  <c r="AE635" i="6"/>
  <c r="V635" i="6"/>
  <c r="M635" i="6"/>
  <c r="AW634" i="6"/>
  <c r="AN634" i="6"/>
  <c r="AE634" i="6"/>
  <c r="V634" i="6"/>
  <c r="M634" i="6"/>
  <c r="AW633" i="6"/>
  <c r="AN633" i="6"/>
  <c r="AE633" i="6"/>
  <c r="V633" i="6"/>
  <c r="M633" i="6"/>
  <c r="AW632" i="6"/>
  <c r="AN632" i="6"/>
  <c r="AE632" i="6"/>
  <c r="V632" i="6"/>
  <c r="M632" i="6"/>
  <c r="AW631" i="6"/>
  <c r="AN631" i="6"/>
  <c r="AE631" i="6"/>
  <c r="V631" i="6"/>
  <c r="M631" i="6"/>
  <c r="AW630" i="6"/>
  <c r="AN630" i="6"/>
  <c r="AE630" i="6"/>
  <c r="V630" i="6"/>
  <c r="M630" i="6"/>
  <c r="AW629" i="6"/>
  <c r="AN629" i="6"/>
  <c r="AE629" i="6"/>
  <c r="V629" i="6"/>
  <c r="M629" i="6"/>
  <c r="AW628" i="6"/>
  <c r="AN628" i="6"/>
  <c r="AE628" i="6"/>
  <c r="V628" i="6"/>
  <c r="M628" i="6"/>
  <c r="AW627" i="6"/>
  <c r="AN627" i="6"/>
  <c r="AE627" i="6"/>
  <c r="V627" i="6"/>
  <c r="M627" i="6"/>
  <c r="AW626" i="6"/>
  <c r="AN626" i="6"/>
  <c r="AE626" i="6"/>
  <c r="V626" i="6"/>
  <c r="M626" i="6"/>
  <c r="AW625" i="6"/>
  <c r="AN625" i="6"/>
  <c r="AE625" i="6"/>
  <c r="V625" i="6"/>
  <c r="M625" i="6"/>
  <c r="AW624" i="6"/>
  <c r="AN624" i="6"/>
  <c r="AE624" i="6"/>
  <c r="V624" i="6"/>
  <c r="M624" i="6"/>
  <c r="AW623" i="6"/>
  <c r="AN623" i="6"/>
  <c r="AE623" i="6"/>
  <c r="V623" i="6"/>
  <c r="M623" i="6"/>
  <c r="AW622" i="6"/>
  <c r="AN622" i="6"/>
  <c r="AE622" i="6"/>
  <c r="V622" i="6"/>
  <c r="M622" i="6"/>
  <c r="AW621" i="6"/>
  <c r="AN621" i="6"/>
  <c r="AE621" i="6"/>
  <c r="V621" i="6"/>
  <c r="M621" i="6"/>
  <c r="AW620" i="6"/>
  <c r="AN620" i="6"/>
  <c r="AE620" i="6"/>
  <c r="V620" i="6"/>
  <c r="M620" i="6"/>
  <c r="AW619" i="6"/>
  <c r="AN619" i="6"/>
  <c r="AE619" i="6"/>
  <c r="V619" i="6"/>
  <c r="M619" i="6"/>
  <c r="AW618" i="6"/>
  <c r="AN618" i="6"/>
  <c r="AE618" i="6"/>
  <c r="V618" i="6"/>
  <c r="M618" i="6"/>
  <c r="AW617" i="6"/>
  <c r="AN617" i="6"/>
  <c r="AE617" i="6"/>
  <c r="V617" i="6"/>
  <c r="M617" i="6"/>
  <c r="AW616" i="6"/>
  <c r="AN616" i="6"/>
  <c r="AE616" i="6"/>
  <c r="V616" i="6"/>
  <c r="M616" i="6"/>
  <c r="AW615" i="6"/>
  <c r="AN615" i="6"/>
  <c r="AE615" i="6"/>
  <c r="V615" i="6"/>
  <c r="M615" i="6"/>
  <c r="AW614" i="6"/>
  <c r="AN614" i="6"/>
  <c r="AE614" i="6"/>
  <c r="V614" i="6"/>
  <c r="M614" i="6"/>
  <c r="AW613" i="6"/>
  <c r="AN613" i="6"/>
  <c r="AE613" i="6"/>
  <c r="V613" i="6"/>
  <c r="M613" i="6"/>
  <c r="AW612" i="6"/>
  <c r="AN612" i="6"/>
  <c r="AE612" i="6"/>
  <c r="V612" i="6"/>
  <c r="M612" i="6"/>
  <c r="AW611" i="6"/>
  <c r="AN611" i="6"/>
  <c r="AE611" i="6"/>
  <c r="V611" i="6"/>
  <c r="M611" i="6"/>
  <c r="AW610" i="6"/>
  <c r="AN610" i="6"/>
  <c r="AE610" i="6"/>
  <c r="V610" i="6"/>
  <c r="M610" i="6"/>
  <c r="AW609" i="6"/>
  <c r="AN609" i="6"/>
  <c r="AE609" i="6"/>
  <c r="V609" i="6"/>
  <c r="M609" i="6"/>
  <c r="AW608" i="6"/>
  <c r="AN608" i="6"/>
  <c r="AE608" i="6"/>
  <c r="V608" i="6"/>
  <c r="M608" i="6"/>
  <c r="AW607" i="6"/>
  <c r="AN607" i="6"/>
  <c r="AE607" i="6"/>
  <c r="V607" i="6"/>
  <c r="M607" i="6"/>
  <c r="AW606" i="6"/>
  <c r="AN606" i="6"/>
  <c r="AE606" i="6"/>
  <c r="V606" i="6"/>
  <c r="M606" i="6"/>
  <c r="AW605" i="6"/>
  <c r="AN605" i="6"/>
  <c r="AE605" i="6"/>
  <c r="V605" i="6"/>
  <c r="M605" i="6"/>
  <c r="AW604" i="6"/>
  <c r="AN604" i="6"/>
  <c r="AE604" i="6"/>
  <c r="V604" i="6"/>
  <c r="M604" i="6"/>
  <c r="AW603" i="6"/>
  <c r="AN603" i="6"/>
  <c r="AE603" i="6"/>
  <c r="V603" i="6"/>
  <c r="M603" i="6"/>
  <c r="AW602" i="6"/>
  <c r="AN602" i="6"/>
  <c r="AE602" i="6"/>
  <c r="V602" i="6"/>
  <c r="M602" i="6"/>
  <c r="AW601" i="6"/>
  <c r="AN601" i="6"/>
  <c r="AE601" i="6"/>
  <c r="V601" i="6"/>
  <c r="M601" i="6"/>
  <c r="AW600" i="6"/>
  <c r="AN600" i="6"/>
  <c r="AE600" i="6"/>
  <c r="V600" i="6"/>
  <c r="M600" i="6"/>
  <c r="AW599" i="6"/>
  <c r="AN599" i="6"/>
  <c r="AE599" i="6"/>
  <c r="V599" i="6"/>
  <c r="M599" i="6"/>
  <c r="AW598" i="6"/>
  <c r="AN598" i="6"/>
  <c r="AE598" i="6"/>
  <c r="V598" i="6"/>
  <c r="M598" i="6"/>
  <c r="AW597" i="6"/>
  <c r="AN597" i="6"/>
  <c r="AE597" i="6"/>
  <c r="V597" i="6"/>
  <c r="M597" i="6"/>
  <c r="AW596" i="6"/>
  <c r="AN596" i="6"/>
  <c r="AE596" i="6"/>
  <c r="V596" i="6"/>
  <c r="M596" i="6"/>
  <c r="AW595" i="6"/>
  <c r="AN595" i="6"/>
  <c r="AE595" i="6"/>
  <c r="V595" i="6"/>
  <c r="M595" i="6"/>
  <c r="AW594" i="6"/>
  <c r="AN594" i="6"/>
  <c r="AE594" i="6"/>
  <c r="V594" i="6"/>
  <c r="M594" i="6"/>
  <c r="AW593" i="6"/>
  <c r="AN593" i="6"/>
  <c r="AE593" i="6"/>
  <c r="V593" i="6"/>
  <c r="M593" i="6"/>
  <c r="AW592" i="6"/>
  <c r="AN592" i="6"/>
  <c r="AE592" i="6"/>
  <c r="V592" i="6"/>
  <c r="M592" i="6"/>
  <c r="AW591" i="6"/>
  <c r="AN591" i="6"/>
  <c r="AE591" i="6"/>
  <c r="V591" i="6"/>
  <c r="M591" i="6"/>
  <c r="AW590" i="6"/>
  <c r="AN590" i="6"/>
  <c r="AE590" i="6"/>
  <c r="V590" i="6"/>
  <c r="M590" i="6"/>
  <c r="AW589" i="6"/>
  <c r="AN589" i="6"/>
  <c r="AE589" i="6"/>
  <c r="V589" i="6"/>
  <c r="M589" i="6"/>
  <c r="AW588" i="6"/>
  <c r="AN588" i="6"/>
  <c r="AE588" i="6"/>
  <c r="V588" i="6"/>
  <c r="M588" i="6"/>
  <c r="AW587" i="6"/>
  <c r="AN587" i="6"/>
  <c r="AE587" i="6"/>
  <c r="V587" i="6"/>
  <c r="M587" i="6"/>
  <c r="AW586" i="6"/>
  <c r="AN586" i="6"/>
  <c r="AE586" i="6"/>
  <c r="V586" i="6"/>
  <c r="M586" i="6"/>
  <c r="AW585" i="6"/>
  <c r="AN585" i="6"/>
  <c r="AE585" i="6"/>
  <c r="V585" i="6"/>
  <c r="M585" i="6"/>
  <c r="AW584" i="6"/>
  <c r="AN584" i="6"/>
  <c r="AE584" i="6"/>
  <c r="V584" i="6"/>
  <c r="M584" i="6"/>
  <c r="AW583" i="6"/>
  <c r="AN583" i="6"/>
  <c r="AE583" i="6"/>
  <c r="V583" i="6"/>
  <c r="M583" i="6"/>
  <c r="AW582" i="6"/>
  <c r="AN582" i="6"/>
  <c r="AE582" i="6"/>
  <c r="V582" i="6"/>
  <c r="M582" i="6"/>
  <c r="AW581" i="6"/>
  <c r="AN581" i="6"/>
  <c r="AE581" i="6"/>
  <c r="V581" i="6"/>
  <c r="M581" i="6"/>
  <c r="AW580" i="6"/>
  <c r="AN580" i="6"/>
  <c r="AE580" i="6"/>
  <c r="V580" i="6"/>
  <c r="M580" i="6"/>
  <c r="AW579" i="6"/>
  <c r="AN579" i="6"/>
  <c r="AE579" i="6"/>
  <c r="V579" i="6"/>
  <c r="M579" i="6"/>
  <c r="AW578" i="6"/>
  <c r="AN578" i="6"/>
  <c r="AE578" i="6"/>
  <c r="V578" i="6"/>
  <c r="M578" i="6"/>
  <c r="AW577" i="6"/>
  <c r="AN577" i="6"/>
  <c r="AE577" i="6"/>
  <c r="V577" i="6"/>
  <c r="M577" i="6"/>
  <c r="AW576" i="6"/>
  <c r="AN576" i="6"/>
  <c r="AE576" i="6"/>
  <c r="V576" i="6"/>
  <c r="M576" i="6"/>
  <c r="AW575" i="6"/>
  <c r="AN575" i="6"/>
  <c r="AE575" i="6"/>
  <c r="V575" i="6"/>
  <c r="M575" i="6"/>
  <c r="AW574" i="6"/>
  <c r="AN574" i="6"/>
  <c r="AE574" i="6"/>
  <c r="V574" i="6"/>
  <c r="M574" i="6"/>
  <c r="AW573" i="6"/>
  <c r="AN573" i="6"/>
  <c r="AE573" i="6"/>
  <c r="V573" i="6"/>
  <c r="M573" i="6"/>
  <c r="AW572" i="6"/>
  <c r="AN572" i="6"/>
  <c r="AE572" i="6"/>
  <c r="V572" i="6"/>
  <c r="M572" i="6"/>
  <c r="AW571" i="6"/>
  <c r="AN571" i="6"/>
  <c r="AE571" i="6"/>
  <c r="V571" i="6"/>
  <c r="M571" i="6"/>
  <c r="AW570" i="6"/>
  <c r="AN570" i="6"/>
  <c r="AE570" i="6"/>
  <c r="V570" i="6"/>
  <c r="M570" i="6"/>
  <c r="AW569" i="6"/>
  <c r="AN569" i="6"/>
  <c r="AE569" i="6"/>
  <c r="V569" i="6"/>
  <c r="M569" i="6"/>
  <c r="AW568" i="6"/>
  <c r="AN568" i="6"/>
  <c r="AE568" i="6"/>
  <c r="V568" i="6"/>
  <c r="M568" i="6"/>
  <c r="AW567" i="6"/>
  <c r="AN567" i="6"/>
  <c r="AE567" i="6"/>
  <c r="V567" i="6"/>
  <c r="M567" i="6"/>
  <c r="AW566" i="6"/>
  <c r="AN566" i="6"/>
  <c r="AE566" i="6"/>
  <c r="V566" i="6"/>
  <c r="M566" i="6"/>
  <c r="AW565" i="6"/>
  <c r="AN565" i="6"/>
  <c r="AE565" i="6"/>
  <c r="V565" i="6"/>
  <c r="M565" i="6"/>
  <c r="AW564" i="6"/>
  <c r="AN564" i="6"/>
  <c r="AE564" i="6"/>
  <c r="V564" i="6"/>
  <c r="M564" i="6"/>
  <c r="AW563" i="6"/>
  <c r="AN563" i="6"/>
  <c r="AE563" i="6"/>
  <c r="V563" i="6"/>
  <c r="M563" i="6"/>
  <c r="AW562" i="6"/>
  <c r="AN562" i="6"/>
  <c r="AE562" i="6"/>
  <c r="V562" i="6"/>
  <c r="M562" i="6"/>
  <c r="AW561" i="6"/>
  <c r="AN561" i="6"/>
  <c r="AE561" i="6"/>
  <c r="V561" i="6"/>
  <c r="M561" i="6"/>
  <c r="AW560" i="6"/>
  <c r="AN560" i="6"/>
  <c r="AE560" i="6"/>
  <c r="V560" i="6"/>
  <c r="M560" i="6"/>
  <c r="AW559" i="6"/>
  <c r="AN559" i="6"/>
  <c r="AE559" i="6"/>
  <c r="V559" i="6"/>
  <c r="M559" i="6"/>
  <c r="AW558" i="6"/>
  <c r="AN558" i="6"/>
  <c r="AE558" i="6"/>
  <c r="V558" i="6"/>
  <c r="M558" i="6"/>
  <c r="AW557" i="6"/>
  <c r="AN557" i="6"/>
  <c r="AE557" i="6"/>
  <c r="V557" i="6"/>
  <c r="M557" i="6"/>
  <c r="AW556" i="6"/>
  <c r="AN556" i="6"/>
  <c r="AE556" i="6"/>
  <c r="V556" i="6"/>
  <c r="M556" i="6"/>
  <c r="AW555" i="6"/>
  <c r="AN555" i="6"/>
  <c r="AE555" i="6"/>
  <c r="V555" i="6"/>
  <c r="M555" i="6"/>
  <c r="AW554" i="6"/>
  <c r="AN554" i="6"/>
  <c r="AE554" i="6"/>
  <c r="V554" i="6"/>
  <c r="M554" i="6"/>
  <c r="AW553" i="6"/>
  <c r="AN553" i="6"/>
  <c r="AE553" i="6"/>
  <c r="V553" i="6"/>
  <c r="M553" i="6"/>
  <c r="AW552" i="6"/>
  <c r="AN552" i="6"/>
  <c r="AE552" i="6"/>
  <c r="V552" i="6"/>
  <c r="M552" i="6"/>
  <c r="AW551" i="6"/>
  <c r="AN551" i="6"/>
  <c r="AE551" i="6"/>
  <c r="V551" i="6"/>
  <c r="M551" i="6"/>
  <c r="AW550" i="6"/>
  <c r="AN550" i="6"/>
  <c r="AE550" i="6"/>
  <c r="V550" i="6"/>
  <c r="M550" i="6"/>
  <c r="AW549" i="6"/>
  <c r="AN549" i="6"/>
  <c r="AE549" i="6"/>
  <c r="V549" i="6"/>
  <c r="M549" i="6"/>
  <c r="AW548" i="6"/>
  <c r="AN548" i="6"/>
  <c r="AE548" i="6"/>
  <c r="V548" i="6"/>
  <c r="M548" i="6"/>
  <c r="AW547" i="6"/>
  <c r="AN547" i="6"/>
  <c r="AE547" i="6"/>
  <c r="V547" i="6"/>
  <c r="M547" i="6"/>
  <c r="AW546" i="6"/>
  <c r="AN546" i="6"/>
  <c r="AE546" i="6"/>
  <c r="V546" i="6"/>
  <c r="M546" i="6"/>
  <c r="AW545" i="6"/>
  <c r="AN545" i="6"/>
  <c r="AE545" i="6"/>
  <c r="V545" i="6"/>
  <c r="M545" i="6"/>
  <c r="AW544" i="6"/>
  <c r="AN544" i="6"/>
  <c r="AE544" i="6"/>
  <c r="V544" i="6"/>
  <c r="M544" i="6"/>
  <c r="AW543" i="6"/>
  <c r="AN543" i="6"/>
  <c r="AE543" i="6"/>
  <c r="V543" i="6"/>
  <c r="M543" i="6"/>
  <c r="AW542" i="6"/>
  <c r="AN542" i="6"/>
  <c r="AE542" i="6"/>
  <c r="V542" i="6"/>
  <c r="M542" i="6"/>
  <c r="AW541" i="6"/>
  <c r="AN541" i="6"/>
  <c r="AE541" i="6"/>
  <c r="V541" i="6"/>
  <c r="M541" i="6"/>
  <c r="AW540" i="6"/>
  <c r="AN540" i="6"/>
  <c r="AE540" i="6"/>
  <c r="V540" i="6"/>
  <c r="M540" i="6"/>
  <c r="AW539" i="6"/>
  <c r="AN539" i="6"/>
  <c r="AE539" i="6"/>
  <c r="V539" i="6"/>
  <c r="M539" i="6"/>
  <c r="AW538" i="6"/>
  <c r="AN538" i="6"/>
  <c r="AE538" i="6"/>
  <c r="V538" i="6"/>
  <c r="M538" i="6"/>
  <c r="AW537" i="6"/>
  <c r="AN537" i="6"/>
  <c r="AE537" i="6"/>
  <c r="V537" i="6"/>
  <c r="M537" i="6"/>
  <c r="AW536" i="6"/>
  <c r="AN536" i="6"/>
  <c r="AE536" i="6"/>
  <c r="V536" i="6"/>
  <c r="M536" i="6"/>
  <c r="AW535" i="6"/>
  <c r="AN535" i="6"/>
  <c r="AE535" i="6"/>
  <c r="V535" i="6"/>
  <c r="M535" i="6"/>
  <c r="AW534" i="6"/>
  <c r="AN534" i="6"/>
  <c r="AE534" i="6"/>
  <c r="V534" i="6"/>
  <c r="M534" i="6"/>
  <c r="AW533" i="6"/>
  <c r="AN533" i="6"/>
  <c r="AE533" i="6"/>
  <c r="V533" i="6"/>
  <c r="M533" i="6"/>
  <c r="AW532" i="6"/>
  <c r="AN532" i="6"/>
  <c r="AE532" i="6"/>
  <c r="V532" i="6"/>
  <c r="M532" i="6"/>
  <c r="AW531" i="6"/>
  <c r="AN531" i="6"/>
  <c r="AE531" i="6"/>
  <c r="V531" i="6"/>
  <c r="M531" i="6"/>
  <c r="AW530" i="6"/>
  <c r="AN530" i="6"/>
  <c r="AE530" i="6"/>
  <c r="V530" i="6"/>
  <c r="M530" i="6"/>
  <c r="AW529" i="6"/>
  <c r="AN529" i="6"/>
  <c r="AE529" i="6"/>
  <c r="V529" i="6"/>
  <c r="M529" i="6"/>
  <c r="AW528" i="6"/>
  <c r="AN528" i="6"/>
  <c r="AE528" i="6"/>
  <c r="V528" i="6"/>
  <c r="M528" i="6"/>
  <c r="AW527" i="6"/>
  <c r="AN527" i="6"/>
  <c r="AE527" i="6"/>
  <c r="V527" i="6"/>
  <c r="M527" i="6"/>
  <c r="AW526" i="6"/>
  <c r="AN526" i="6"/>
  <c r="AE526" i="6"/>
  <c r="V526" i="6"/>
  <c r="M526" i="6"/>
  <c r="AW525" i="6"/>
  <c r="AN525" i="6"/>
  <c r="AE525" i="6"/>
  <c r="V525" i="6"/>
  <c r="M525" i="6"/>
  <c r="AW524" i="6"/>
  <c r="AN524" i="6"/>
  <c r="AE524" i="6"/>
  <c r="V524" i="6"/>
  <c r="M524" i="6"/>
  <c r="AW523" i="6"/>
  <c r="AN523" i="6"/>
  <c r="AE523" i="6"/>
  <c r="V523" i="6"/>
  <c r="M523" i="6"/>
  <c r="AW522" i="6"/>
  <c r="AN522" i="6"/>
  <c r="AE522" i="6"/>
  <c r="V522" i="6"/>
  <c r="M522" i="6"/>
  <c r="AW521" i="6"/>
  <c r="AN521" i="6"/>
  <c r="AE521" i="6"/>
  <c r="V521" i="6"/>
  <c r="M521" i="6"/>
  <c r="AW520" i="6"/>
  <c r="AN520" i="6"/>
  <c r="AE520" i="6"/>
  <c r="V520" i="6"/>
  <c r="M520" i="6"/>
  <c r="AW519" i="6"/>
  <c r="AN519" i="6"/>
  <c r="AE519" i="6"/>
  <c r="V519" i="6"/>
  <c r="M519" i="6"/>
  <c r="AW518" i="6"/>
  <c r="AN518" i="6"/>
  <c r="AE518" i="6"/>
  <c r="V518" i="6"/>
  <c r="M518" i="6"/>
  <c r="AW517" i="6"/>
  <c r="AN517" i="6"/>
  <c r="AE517" i="6"/>
  <c r="V517" i="6"/>
  <c r="M517" i="6"/>
  <c r="AW516" i="6"/>
  <c r="AN516" i="6"/>
  <c r="AE516" i="6"/>
  <c r="V516" i="6"/>
  <c r="M516" i="6"/>
  <c r="AW515" i="6"/>
  <c r="AN515" i="6"/>
  <c r="AE515" i="6"/>
  <c r="V515" i="6"/>
  <c r="M515" i="6"/>
  <c r="AW514" i="6"/>
  <c r="AN514" i="6"/>
  <c r="AE514" i="6"/>
  <c r="V514" i="6"/>
  <c r="M514" i="6"/>
  <c r="AW513" i="6"/>
  <c r="AN513" i="6"/>
  <c r="AE513" i="6"/>
  <c r="V513" i="6"/>
  <c r="M513" i="6"/>
  <c r="AW512" i="6"/>
  <c r="AN512" i="6"/>
  <c r="AE512" i="6"/>
  <c r="V512" i="6"/>
  <c r="M512" i="6"/>
  <c r="AW511" i="6"/>
  <c r="AN511" i="6"/>
  <c r="AE511" i="6"/>
  <c r="V511" i="6"/>
  <c r="M511" i="6"/>
  <c r="AW510" i="6"/>
  <c r="AN510" i="6"/>
  <c r="AE510" i="6"/>
  <c r="V510" i="6"/>
  <c r="M510" i="6"/>
  <c r="AW509" i="6"/>
  <c r="AN509" i="6"/>
  <c r="AE509" i="6"/>
  <c r="V509" i="6"/>
  <c r="M509" i="6"/>
  <c r="AW508" i="6"/>
  <c r="AN508" i="6"/>
  <c r="AE508" i="6"/>
  <c r="V508" i="6"/>
  <c r="M508" i="6"/>
  <c r="AW507" i="6"/>
  <c r="AN507" i="6"/>
  <c r="AE507" i="6"/>
  <c r="V507" i="6"/>
  <c r="M507" i="6"/>
  <c r="AW506" i="6"/>
  <c r="AN506" i="6"/>
  <c r="AE506" i="6"/>
  <c r="V506" i="6"/>
  <c r="M506" i="6"/>
  <c r="AW505" i="6"/>
  <c r="AN505" i="6"/>
  <c r="AE505" i="6"/>
  <c r="V505" i="6"/>
  <c r="M505" i="6"/>
  <c r="AW504" i="6"/>
  <c r="AN504" i="6"/>
  <c r="AE504" i="6"/>
  <c r="V504" i="6"/>
  <c r="M504" i="6"/>
  <c r="AW503" i="6"/>
  <c r="AN503" i="6"/>
  <c r="AE503" i="6"/>
  <c r="V503" i="6"/>
  <c r="M503" i="6"/>
  <c r="AW502" i="6"/>
  <c r="AN502" i="6"/>
  <c r="AE502" i="6"/>
  <c r="V502" i="6"/>
  <c r="M502" i="6"/>
  <c r="AW501" i="6"/>
  <c r="AN501" i="6"/>
  <c r="AE501" i="6"/>
  <c r="V501" i="6"/>
  <c r="M501" i="6"/>
  <c r="AW500" i="6"/>
  <c r="AN500" i="6"/>
  <c r="AE500" i="6"/>
  <c r="V500" i="6"/>
  <c r="M500" i="6"/>
  <c r="AW499" i="6"/>
  <c r="AN499" i="6"/>
  <c r="AE499" i="6"/>
  <c r="V499" i="6"/>
  <c r="M499" i="6"/>
  <c r="AW498" i="6"/>
  <c r="AN498" i="6"/>
  <c r="AE498" i="6"/>
  <c r="V498" i="6"/>
  <c r="M498" i="6"/>
  <c r="AW497" i="6"/>
  <c r="AN497" i="6"/>
  <c r="AE497" i="6"/>
  <c r="V497" i="6"/>
  <c r="M497" i="6"/>
  <c r="AW496" i="6"/>
  <c r="AN496" i="6"/>
  <c r="AE496" i="6"/>
  <c r="V496" i="6"/>
  <c r="M496" i="6"/>
  <c r="AW495" i="6"/>
  <c r="AN495" i="6"/>
  <c r="AE495" i="6"/>
  <c r="V495" i="6"/>
  <c r="M495" i="6"/>
  <c r="AW494" i="6"/>
  <c r="AN494" i="6"/>
  <c r="AE494" i="6"/>
  <c r="V494" i="6"/>
  <c r="M494" i="6"/>
  <c r="AW493" i="6"/>
  <c r="AN493" i="6"/>
  <c r="AE493" i="6"/>
  <c r="V493" i="6"/>
  <c r="M493" i="6"/>
  <c r="AW492" i="6"/>
  <c r="AN492" i="6"/>
  <c r="AE492" i="6"/>
  <c r="V492" i="6"/>
  <c r="M492" i="6"/>
  <c r="AW491" i="6"/>
  <c r="AN491" i="6"/>
  <c r="AE491" i="6"/>
  <c r="V491" i="6"/>
  <c r="M491" i="6"/>
  <c r="AW490" i="6"/>
  <c r="AN490" i="6"/>
  <c r="AE490" i="6"/>
  <c r="V490" i="6"/>
  <c r="M490" i="6"/>
  <c r="AW489" i="6"/>
  <c r="AN489" i="6"/>
  <c r="AE489" i="6"/>
  <c r="V489" i="6"/>
  <c r="M489" i="6"/>
  <c r="AW488" i="6"/>
  <c r="AN488" i="6"/>
  <c r="AE488" i="6"/>
  <c r="V488" i="6"/>
  <c r="M488" i="6"/>
  <c r="AW487" i="6"/>
  <c r="AN487" i="6"/>
  <c r="AE487" i="6"/>
  <c r="V487" i="6"/>
  <c r="M487" i="6"/>
  <c r="AW486" i="6"/>
  <c r="AN486" i="6"/>
  <c r="AE486" i="6"/>
  <c r="V486" i="6"/>
  <c r="M486" i="6"/>
  <c r="AW485" i="6"/>
  <c r="AN485" i="6"/>
  <c r="AE485" i="6"/>
  <c r="V485" i="6"/>
  <c r="M485" i="6"/>
  <c r="AW484" i="6"/>
  <c r="AN484" i="6"/>
  <c r="AE484" i="6"/>
  <c r="V484" i="6"/>
  <c r="M484" i="6"/>
  <c r="AW483" i="6"/>
  <c r="AN483" i="6"/>
  <c r="AE483" i="6"/>
  <c r="V483" i="6"/>
  <c r="M483" i="6"/>
  <c r="AW482" i="6"/>
  <c r="AN482" i="6"/>
  <c r="AE482" i="6"/>
  <c r="V482" i="6"/>
  <c r="M482" i="6"/>
  <c r="AW481" i="6"/>
  <c r="AN481" i="6"/>
  <c r="AE481" i="6"/>
  <c r="V481" i="6"/>
  <c r="M481" i="6"/>
  <c r="AW480" i="6"/>
  <c r="AN480" i="6"/>
  <c r="AE480" i="6"/>
  <c r="V480" i="6"/>
  <c r="M480" i="6"/>
  <c r="AW479" i="6"/>
  <c r="AN479" i="6"/>
  <c r="AE479" i="6"/>
  <c r="V479" i="6"/>
  <c r="M479" i="6"/>
  <c r="AW478" i="6"/>
  <c r="AN478" i="6"/>
  <c r="AE478" i="6"/>
  <c r="V478" i="6"/>
  <c r="M478" i="6"/>
  <c r="AW477" i="6"/>
  <c r="AN477" i="6"/>
  <c r="AE477" i="6"/>
  <c r="V477" i="6"/>
  <c r="M477" i="6"/>
  <c r="AW476" i="6"/>
  <c r="AN476" i="6"/>
  <c r="AE476" i="6"/>
  <c r="V476" i="6"/>
  <c r="M476" i="6"/>
  <c r="AW475" i="6"/>
  <c r="AN475" i="6"/>
  <c r="AE475" i="6"/>
  <c r="V475" i="6"/>
  <c r="M475" i="6"/>
  <c r="AW474" i="6"/>
  <c r="AN474" i="6"/>
  <c r="AE474" i="6"/>
  <c r="V474" i="6"/>
  <c r="M474" i="6"/>
  <c r="AW473" i="6"/>
  <c r="AN473" i="6"/>
  <c r="AE473" i="6"/>
  <c r="V473" i="6"/>
  <c r="M473" i="6"/>
  <c r="AW472" i="6"/>
  <c r="AN472" i="6"/>
  <c r="AE472" i="6"/>
  <c r="V472" i="6"/>
  <c r="M472" i="6"/>
  <c r="AW471" i="6"/>
  <c r="AN471" i="6"/>
  <c r="AE471" i="6"/>
  <c r="V471" i="6"/>
  <c r="M471" i="6"/>
  <c r="AW470" i="6"/>
  <c r="AN470" i="6"/>
  <c r="AE470" i="6"/>
  <c r="V470" i="6"/>
  <c r="M470" i="6"/>
  <c r="AW469" i="6"/>
  <c r="AN469" i="6"/>
  <c r="AE469" i="6"/>
  <c r="V469" i="6"/>
  <c r="M469" i="6"/>
  <c r="AW468" i="6"/>
  <c r="AN468" i="6"/>
  <c r="AE468" i="6"/>
  <c r="V468" i="6"/>
  <c r="M468" i="6"/>
  <c r="AW467" i="6"/>
  <c r="AN467" i="6"/>
  <c r="AE467" i="6"/>
  <c r="V467" i="6"/>
  <c r="M467" i="6"/>
  <c r="AW466" i="6"/>
  <c r="AN466" i="6"/>
  <c r="AE466" i="6"/>
  <c r="V466" i="6"/>
  <c r="M466" i="6"/>
  <c r="AW465" i="6"/>
  <c r="AN465" i="6"/>
  <c r="AE465" i="6"/>
  <c r="V465" i="6"/>
  <c r="M465" i="6"/>
  <c r="AW464" i="6"/>
  <c r="AN464" i="6"/>
  <c r="AE464" i="6"/>
  <c r="V464" i="6"/>
  <c r="M464" i="6"/>
  <c r="AW463" i="6"/>
  <c r="AN463" i="6"/>
  <c r="AE463" i="6"/>
  <c r="V463" i="6"/>
  <c r="M463" i="6"/>
  <c r="AW462" i="6"/>
  <c r="AN462" i="6"/>
  <c r="AE462" i="6"/>
  <c r="V462" i="6"/>
  <c r="M462" i="6"/>
  <c r="AW461" i="6"/>
  <c r="AN461" i="6"/>
  <c r="AE461" i="6"/>
  <c r="V461" i="6"/>
  <c r="M461" i="6"/>
  <c r="AW460" i="6"/>
  <c r="AN460" i="6"/>
  <c r="AE460" i="6"/>
  <c r="V460" i="6"/>
  <c r="M460" i="6"/>
  <c r="AW459" i="6"/>
  <c r="AN459" i="6"/>
  <c r="AE459" i="6"/>
  <c r="V459" i="6"/>
  <c r="M459" i="6"/>
  <c r="AW458" i="6"/>
  <c r="AN458" i="6"/>
  <c r="AE458" i="6"/>
  <c r="V458" i="6"/>
  <c r="M458" i="6"/>
  <c r="AW457" i="6"/>
  <c r="AN457" i="6"/>
  <c r="AE457" i="6"/>
  <c r="V457" i="6"/>
  <c r="M457" i="6"/>
  <c r="AW456" i="6"/>
  <c r="AN456" i="6"/>
  <c r="AE456" i="6"/>
  <c r="V456" i="6"/>
  <c r="M456" i="6"/>
  <c r="AW455" i="6"/>
  <c r="AN455" i="6"/>
  <c r="AE455" i="6"/>
  <c r="V455" i="6"/>
  <c r="M455" i="6"/>
  <c r="AW454" i="6"/>
  <c r="AN454" i="6"/>
  <c r="AE454" i="6"/>
  <c r="V454" i="6"/>
  <c r="M454" i="6"/>
  <c r="AW453" i="6"/>
  <c r="AN453" i="6"/>
  <c r="AE453" i="6"/>
  <c r="V453" i="6"/>
  <c r="M453" i="6"/>
  <c r="AW452" i="6"/>
  <c r="AN452" i="6"/>
  <c r="AE452" i="6"/>
  <c r="V452" i="6"/>
  <c r="M452" i="6"/>
  <c r="AW451" i="6"/>
  <c r="AN451" i="6"/>
  <c r="AE451" i="6"/>
  <c r="V451" i="6"/>
  <c r="M451" i="6"/>
  <c r="AW450" i="6"/>
  <c r="AN450" i="6"/>
  <c r="AE450" i="6"/>
  <c r="V450" i="6"/>
  <c r="M450" i="6"/>
  <c r="AW449" i="6"/>
  <c r="AN449" i="6"/>
  <c r="AE449" i="6"/>
  <c r="V449" i="6"/>
  <c r="M449" i="6"/>
  <c r="AW448" i="6"/>
  <c r="AN448" i="6"/>
  <c r="AE448" i="6"/>
  <c r="V448" i="6"/>
  <c r="M448" i="6"/>
  <c r="AW447" i="6"/>
  <c r="AN447" i="6"/>
  <c r="AE447" i="6"/>
  <c r="V447" i="6"/>
  <c r="M447" i="6"/>
  <c r="AW446" i="6"/>
  <c r="AN446" i="6"/>
  <c r="AE446" i="6"/>
  <c r="V446" i="6"/>
  <c r="M446" i="6"/>
  <c r="AW445" i="6"/>
  <c r="AN445" i="6"/>
  <c r="AE445" i="6"/>
  <c r="V445" i="6"/>
  <c r="M445" i="6"/>
  <c r="AW444" i="6"/>
  <c r="AN444" i="6"/>
  <c r="AE444" i="6"/>
  <c r="V444" i="6"/>
  <c r="M444" i="6"/>
  <c r="AW443" i="6"/>
  <c r="AN443" i="6"/>
  <c r="AE443" i="6"/>
  <c r="V443" i="6"/>
  <c r="M443" i="6"/>
  <c r="AW442" i="6"/>
  <c r="AN442" i="6"/>
  <c r="AE442" i="6"/>
  <c r="V442" i="6"/>
  <c r="M442" i="6"/>
  <c r="AW441" i="6"/>
  <c r="AN441" i="6"/>
  <c r="AE441" i="6"/>
  <c r="V441" i="6"/>
  <c r="M441" i="6"/>
  <c r="AW440" i="6"/>
  <c r="AN440" i="6"/>
  <c r="AE440" i="6"/>
  <c r="V440" i="6"/>
  <c r="M440" i="6"/>
  <c r="AW439" i="6"/>
  <c r="AN439" i="6"/>
  <c r="AE439" i="6"/>
  <c r="V439" i="6"/>
  <c r="M439" i="6"/>
  <c r="AW438" i="6"/>
  <c r="AN438" i="6"/>
  <c r="AE438" i="6"/>
  <c r="V438" i="6"/>
  <c r="M438" i="6"/>
  <c r="AW437" i="6"/>
  <c r="AN437" i="6"/>
  <c r="AE437" i="6"/>
  <c r="V437" i="6"/>
  <c r="M437" i="6"/>
  <c r="AW436" i="6"/>
  <c r="AN436" i="6"/>
  <c r="AE436" i="6"/>
  <c r="V436" i="6"/>
  <c r="M436" i="6"/>
  <c r="AW435" i="6"/>
  <c r="AN435" i="6"/>
  <c r="AE435" i="6"/>
  <c r="V435" i="6"/>
  <c r="M435" i="6"/>
  <c r="AW434" i="6"/>
  <c r="AN434" i="6"/>
  <c r="AE434" i="6"/>
  <c r="V434" i="6"/>
  <c r="M434" i="6"/>
  <c r="AW433" i="6"/>
  <c r="AN433" i="6"/>
  <c r="AE433" i="6"/>
  <c r="V433" i="6"/>
  <c r="M433" i="6"/>
  <c r="AW432" i="6"/>
  <c r="AN432" i="6"/>
  <c r="AE432" i="6"/>
  <c r="V432" i="6"/>
  <c r="M432" i="6"/>
  <c r="AW431" i="6"/>
  <c r="AN431" i="6"/>
  <c r="AE431" i="6"/>
  <c r="V431" i="6"/>
  <c r="M431" i="6"/>
  <c r="AW430" i="6"/>
  <c r="AN430" i="6"/>
  <c r="AE430" i="6"/>
  <c r="V430" i="6"/>
  <c r="M430" i="6"/>
  <c r="AW429" i="6"/>
  <c r="AN429" i="6"/>
  <c r="AE429" i="6"/>
  <c r="V429" i="6"/>
  <c r="M429" i="6"/>
  <c r="AW428" i="6"/>
  <c r="AN428" i="6"/>
  <c r="AE428" i="6"/>
  <c r="V428" i="6"/>
  <c r="M428" i="6"/>
  <c r="AW427" i="6"/>
  <c r="AN427" i="6"/>
  <c r="AE427" i="6"/>
  <c r="V427" i="6"/>
  <c r="M427" i="6"/>
  <c r="AW426" i="6"/>
  <c r="AN426" i="6"/>
  <c r="AE426" i="6"/>
  <c r="V426" i="6"/>
  <c r="M426" i="6"/>
  <c r="AW425" i="6"/>
  <c r="AN425" i="6"/>
  <c r="AE425" i="6"/>
  <c r="V425" i="6"/>
  <c r="M425" i="6"/>
  <c r="AW424" i="6"/>
  <c r="AN424" i="6"/>
  <c r="AE424" i="6"/>
  <c r="V424" i="6"/>
  <c r="M424" i="6"/>
  <c r="AW423" i="6"/>
  <c r="AN423" i="6"/>
  <c r="AE423" i="6"/>
  <c r="V423" i="6"/>
  <c r="M423" i="6"/>
  <c r="AW422" i="6"/>
  <c r="AN422" i="6"/>
  <c r="AE422" i="6"/>
  <c r="V422" i="6"/>
  <c r="M422" i="6"/>
  <c r="AW421" i="6"/>
  <c r="AN421" i="6"/>
  <c r="AE421" i="6"/>
  <c r="V421" i="6"/>
  <c r="M421" i="6"/>
  <c r="AW420" i="6"/>
  <c r="AN420" i="6"/>
  <c r="AE420" i="6"/>
  <c r="V420" i="6"/>
  <c r="M420" i="6"/>
  <c r="AW419" i="6"/>
  <c r="AN419" i="6"/>
  <c r="AE419" i="6"/>
  <c r="V419" i="6"/>
  <c r="M419" i="6"/>
  <c r="AW418" i="6"/>
  <c r="AN418" i="6"/>
  <c r="AE418" i="6"/>
  <c r="V418" i="6"/>
  <c r="M418" i="6"/>
  <c r="AW417" i="6"/>
  <c r="AN417" i="6"/>
  <c r="AE417" i="6"/>
  <c r="V417" i="6"/>
  <c r="M417" i="6"/>
  <c r="AW416" i="6"/>
  <c r="AN416" i="6"/>
  <c r="AE416" i="6"/>
  <c r="V416" i="6"/>
  <c r="M416" i="6"/>
  <c r="AW415" i="6"/>
  <c r="AN415" i="6"/>
  <c r="AE415" i="6"/>
  <c r="V415" i="6"/>
  <c r="M415" i="6"/>
  <c r="AW414" i="6"/>
  <c r="AN414" i="6"/>
  <c r="AE414" i="6"/>
  <c r="V414" i="6"/>
  <c r="M414" i="6"/>
  <c r="AW413" i="6"/>
  <c r="AN413" i="6"/>
  <c r="AE413" i="6"/>
  <c r="V413" i="6"/>
  <c r="M413" i="6"/>
  <c r="AW412" i="6"/>
  <c r="AN412" i="6"/>
  <c r="AE412" i="6"/>
  <c r="V412" i="6"/>
  <c r="M412" i="6"/>
  <c r="AW411" i="6"/>
  <c r="AN411" i="6"/>
  <c r="AE411" i="6"/>
  <c r="V411" i="6"/>
  <c r="M411" i="6"/>
  <c r="AW410" i="6"/>
  <c r="AN410" i="6"/>
  <c r="AE410" i="6"/>
  <c r="V410" i="6"/>
  <c r="M410" i="6"/>
  <c r="AW409" i="6"/>
  <c r="AN409" i="6"/>
  <c r="AE409" i="6"/>
  <c r="V409" i="6"/>
  <c r="M409" i="6"/>
  <c r="AW408" i="6"/>
  <c r="AN408" i="6"/>
  <c r="AE408" i="6"/>
  <c r="V408" i="6"/>
  <c r="M408" i="6"/>
  <c r="AW407" i="6"/>
  <c r="AN407" i="6"/>
  <c r="AE407" i="6"/>
  <c r="V407" i="6"/>
  <c r="M407" i="6"/>
  <c r="AW406" i="6"/>
  <c r="AN406" i="6"/>
  <c r="AE406" i="6"/>
  <c r="V406" i="6"/>
  <c r="M406" i="6"/>
  <c r="AW405" i="6"/>
  <c r="AN405" i="6"/>
  <c r="AE405" i="6"/>
  <c r="V405" i="6"/>
  <c r="M405" i="6"/>
  <c r="AW404" i="6"/>
  <c r="AN404" i="6"/>
  <c r="AE404" i="6"/>
  <c r="V404" i="6"/>
  <c r="M404" i="6"/>
  <c r="AW403" i="6"/>
  <c r="AN403" i="6"/>
  <c r="AE403" i="6"/>
  <c r="V403" i="6"/>
  <c r="M403" i="6"/>
  <c r="AW402" i="6"/>
  <c r="AN402" i="6"/>
  <c r="AE402" i="6"/>
  <c r="V402" i="6"/>
  <c r="M402" i="6"/>
  <c r="AW401" i="6"/>
  <c r="AN401" i="6"/>
  <c r="AE401" i="6"/>
  <c r="V401" i="6"/>
  <c r="M401" i="6"/>
  <c r="AW400" i="6"/>
  <c r="AN400" i="6"/>
  <c r="AE400" i="6"/>
  <c r="V400" i="6"/>
  <c r="M400" i="6"/>
  <c r="AW399" i="6"/>
  <c r="AN399" i="6"/>
  <c r="AE399" i="6"/>
  <c r="V399" i="6"/>
  <c r="M399" i="6"/>
  <c r="AW398" i="6"/>
  <c r="AN398" i="6"/>
  <c r="AE398" i="6"/>
  <c r="V398" i="6"/>
  <c r="M398" i="6"/>
  <c r="AW397" i="6"/>
  <c r="AN397" i="6"/>
  <c r="AE397" i="6"/>
  <c r="V397" i="6"/>
  <c r="M397" i="6"/>
  <c r="AW396" i="6"/>
  <c r="AN396" i="6"/>
  <c r="AE396" i="6"/>
  <c r="V396" i="6"/>
  <c r="M396" i="6"/>
  <c r="AW395" i="6"/>
  <c r="AN395" i="6"/>
  <c r="AE395" i="6"/>
  <c r="V395" i="6"/>
  <c r="M395" i="6"/>
  <c r="AW394" i="6"/>
  <c r="AN394" i="6"/>
  <c r="AE394" i="6"/>
  <c r="V394" i="6"/>
  <c r="M394" i="6"/>
  <c r="AW393" i="6"/>
  <c r="AN393" i="6"/>
  <c r="AE393" i="6"/>
  <c r="V393" i="6"/>
  <c r="M393" i="6"/>
  <c r="AW392" i="6"/>
  <c r="AN392" i="6"/>
  <c r="AE392" i="6"/>
  <c r="V392" i="6"/>
  <c r="M392" i="6"/>
  <c r="AW391" i="6"/>
  <c r="AN391" i="6"/>
  <c r="AE391" i="6"/>
  <c r="V391" i="6"/>
  <c r="M391" i="6"/>
  <c r="AW390" i="6"/>
  <c r="AN390" i="6"/>
  <c r="AE390" i="6"/>
  <c r="V390" i="6"/>
  <c r="M390" i="6"/>
  <c r="AW389" i="6"/>
  <c r="AN389" i="6"/>
  <c r="AE389" i="6"/>
  <c r="V389" i="6"/>
  <c r="M389" i="6"/>
  <c r="AW388" i="6"/>
  <c r="AN388" i="6"/>
  <c r="AE388" i="6"/>
  <c r="V388" i="6"/>
  <c r="M388" i="6"/>
  <c r="AW387" i="6"/>
  <c r="AN387" i="6"/>
  <c r="AE387" i="6"/>
  <c r="V387" i="6"/>
  <c r="M387" i="6"/>
  <c r="AW386" i="6"/>
  <c r="AN386" i="6"/>
  <c r="AE386" i="6"/>
  <c r="V386" i="6"/>
  <c r="M386" i="6"/>
  <c r="AW385" i="6"/>
  <c r="AN385" i="6"/>
  <c r="AE385" i="6"/>
  <c r="V385" i="6"/>
  <c r="M385" i="6"/>
  <c r="AW384" i="6"/>
  <c r="AN384" i="6"/>
  <c r="AE384" i="6"/>
  <c r="V384" i="6"/>
  <c r="M384" i="6"/>
  <c r="AW383" i="6"/>
  <c r="AN383" i="6"/>
  <c r="AE383" i="6"/>
  <c r="V383" i="6"/>
  <c r="M383" i="6"/>
  <c r="AW382" i="6"/>
  <c r="AN382" i="6"/>
  <c r="AE382" i="6"/>
  <c r="V382" i="6"/>
  <c r="M382" i="6"/>
  <c r="AW381" i="6"/>
  <c r="AN381" i="6"/>
  <c r="AE381" i="6"/>
  <c r="V381" i="6"/>
  <c r="M381" i="6"/>
  <c r="AW380" i="6"/>
  <c r="AN380" i="6"/>
  <c r="AE380" i="6"/>
  <c r="V380" i="6"/>
  <c r="M380" i="6"/>
  <c r="AW379" i="6"/>
  <c r="AN379" i="6"/>
  <c r="AE379" i="6"/>
  <c r="V379" i="6"/>
  <c r="M379" i="6"/>
  <c r="AW378" i="6"/>
  <c r="AN378" i="6"/>
  <c r="AE378" i="6"/>
  <c r="V378" i="6"/>
  <c r="M378" i="6"/>
  <c r="AW377" i="6"/>
  <c r="AN377" i="6"/>
  <c r="AE377" i="6"/>
  <c r="V377" i="6"/>
  <c r="M377" i="6"/>
  <c r="AW376" i="6"/>
  <c r="AN376" i="6"/>
  <c r="AE376" i="6"/>
  <c r="V376" i="6"/>
  <c r="M376" i="6"/>
  <c r="AW375" i="6"/>
  <c r="AN375" i="6"/>
  <c r="AE375" i="6"/>
  <c r="V375" i="6"/>
  <c r="M375" i="6"/>
  <c r="AW374" i="6"/>
  <c r="AN374" i="6"/>
  <c r="AE374" i="6"/>
  <c r="V374" i="6"/>
  <c r="M374" i="6"/>
  <c r="AW373" i="6"/>
  <c r="AN373" i="6"/>
  <c r="AE373" i="6"/>
  <c r="V373" i="6"/>
  <c r="M373" i="6"/>
  <c r="AW372" i="6"/>
  <c r="AN372" i="6"/>
  <c r="AE372" i="6"/>
  <c r="V372" i="6"/>
  <c r="M372" i="6"/>
  <c r="AW371" i="6"/>
  <c r="AN371" i="6"/>
  <c r="AE371" i="6"/>
  <c r="V371" i="6"/>
  <c r="M371" i="6"/>
  <c r="AW370" i="6"/>
  <c r="AN370" i="6"/>
  <c r="AE370" i="6"/>
  <c r="V370" i="6"/>
  <c r="M370" i="6"/>
  <c r="AW369" i="6"/>
  <c r="AN369" i="6"/>
  <c r="AE369" i="6"/>
  <c r="V369" i="6"/>
  <c r="M369" i="6"/>
  <c r="AW368" i="6"/>
  <c r="AN368" i="6"/>
  <c r="AE368" i="6"/>
  <c r="V368" i="6"/>
  <c r="M368" i="6"/>
  <c r="AW367" i="6"/>
  <c r="AN367" i="6"/>
  <c r="AE367" i="6"/>
  <c r="V367" i="6"/>
  <c r="M367" i="6"/>
  <c r="AW366" i="6"/>
  <c r="AN366" i="6"/>
  <c r="AE366" i="6"/>
  <c r="V366" i="6"/>
  <c r="M366" i="6"/>
  <c r="AW365" i="6"/>
  <c r="AN365" i="6"/>
  <c r="AE365" i="6"/>
  <c r="V365" i="6"/>
  <c r="M365" i="6"/>
  <c r="AW364" i="6"/>
  <c r="AN364" i="6"/>
  <c r="AE364" i="6"/>
  <c r="V364" i="6"/>
  <c r="M364" i="6"/>
  <c r="AW363" i="6"/>
  <c r="AN363" i="6"/>
  <c r="AE363" i="6"/>
  <c r="V363" i="6"/>
  <c r="M363" i="6"/>
  <c r="AW362" i="6"/>
  <c r="AN362" i="6"/>
  <c r="AE362" i="6"/>
  <c r="V362" i="6"/>
  <c r="M362" i="6"/>
  <c r="AW361" i="6"/>
  <c r="AN361" i="6"/>
  <c r="AE361" i="6"/>
  <c r="V361" i="6"/>
  <c r="M361" i="6"/>
  <c r="AW360" i="6"/>
  <c r="AN360" i="6"/>
  <c r="AE360" i="6"/>
  <c r="V360" i="6"/>
  <c r="M360" i="6"/>
  <c r="AW359" i="6"/>
  <c r="AN359" i="6"/>
  <c r="AE359" i="6"/>
  <c r="V359" i="6"/>
  <c r="M359" i="6"/>
  <c r="AW358" i="6"/>
  <c r="AN358" i="6"/>
  <c r="AE358" i="6"/>
  <c r="V358" i="6"/>
  <c r="M358" i="6"/>
  <c r="AW357" i="6"/>
  <c r="AN357" i="6"/>
  <c r="AE357" i="6"/>
  <c r="V357" i="6"/>
  <c r="M357" i="6"/>
  <c r="AW356" i="6"/>
  <c r="AN356" i="6"/>
  <c r="AE356" i="6"/>
  <c r="V356" i="6"/>
  <c r="M356" i="6"/>
  <c r="AW355" i="6"/>
  <c r="AN355" i="6"/>
  <c r="AE355" i="6"/>
  <c r="V355" i="6"/>
  <c r="M355" i="6"/>
  <c r="AW354" i="6"/>
  <c r="AN354" i="6"/>
  <c r="AE354" i="6"/>
  <c r="V354" i="6"/>
  <c r="M354" i="6"/>
  <c r="AW353" i="6"/>
  <c r="AN353" i="6"/>
  <c r="AE353" i="6"/>
  <c r="V353" i="6"/>
  <c r="M353" i="6"/>
  <c r="AW352" i="6"/>
  <c r="AN352" i="6"/>
  <c r="AE352" i="6"/>
  <c r="V352" i="6"/>
  <c r="M352" i="6"/>
  <c r="AW351" i="6"/>
  <c r="AN351" i="6"/>
  <c r="AE351" i="6"/>
  <c r="V351" i="6"/>
  <c r="M351" i="6"/>
  <c r="AW350" i="6"/>
  <c r="AN350" i="6"/>
  <c r="AE350" i="6"/>
  <c r="V350" i="6"/>
  <c r="M350" i="6"/>
  <c r="AW349" i="6"/>
  <c r="AN349" i="6"/>
  <c r="AE349" i="6"/>
  <c r="V349" i="6"/>
  <c r="M349" i="6"/>
  <c r="AW348" i="6"/>
  <c r="AN348" i="6"/>
  <c r="AE348" i="6"/>
  <c r="V348" i="6"/>
  <c r="M348" i="6"/>
  <c r="AW347" i="6"/>
  <c r="AN347" i="6"/>
  <c r="AE347" i="6"/>
  <c r="V347" i="6"/>
  <c r="M347" i="6"/>
  <c r="AW346" i="6"/>
  <c r="AN346" i="6"/>
  <c r="AE346" i="6"/>
  <c r="V346" i="6"/>
  <c r="M346" i="6"/>
  <c r="AW345" i="6"/>
  <c r="AN345" i="6"/>
  <c r="AE345" i="6"/>
  <c r="V345" i="6"/>
  <c r="M345" i="6"/>
  <c r="AW344" i="6"/>
  <c r="AN344" i="6"/>
  <c r="AE344" i="6"/>
  <c r="V344" i="6"/>
  <c r="M344" i="6"/>
  <c r="AW343" i="6"/>
  <c r="AN343" i="6"/>
  <c r="AE343" i="6"/>
  <c r="V343" i="6"/>
  <c r="M343" i="6"/>
  <c r="AW342" i="6"/>
  <c r="AN342" i="6"/>
  <c r="AE342" i="6"/>
  <c r="V342" i="6"/>
  <c r="M342" i="6"/>
  <c r="AW341" i="6"/>
  <c r="AN341" i="6"/>
  <c r="AE341" i="6"/>
  <c r="V341" i="6"/>
  <c r="M341" i="6"/>
  <c r="AW340" i="6"/>
  <c r="AN340" i="6"/>
  <c r="AE340" i="6"/>
  <c r="V340" i="6"/>
  <c r="M340" i="6"/>
  <c r="AW339" i="6"/>
  <c r="AN339" i="6"/>
  <c r="AE339" i="6"/>
  <c r="V339" i="6"/>
  <c r="M339" i="6"/>
  <c r="AW338" i="6"/>
  <c r="AN338" i="6"/>
  <c r="AE338" i="6"/>
  <c r="V338" i="6"/>
  <c r="M338" i="6"/>
  <c r="AW337" i="6"/>
  <c r="AN337" i="6"/>
  <c r="AE337" i="6"/>
  <c r="V337" i="6"/>
  <c r="M337" i="6"/>
  <c r="AW336" i="6"/>
  <c r="AN336" i="6"/>
  <c r="AE336" i="6"/>
  <c r="V336" i="6"/>
  <c r="M336" i="6"/>
  <c r="AW335" i="6"/>
  <c r="AN335" i="6"/>
  <c r="AE335" i="6"/>
  <c r="V335" i="6"/>
  <c r="M335" i="6"/>
  <c r="AW334" i="6"/>
  <c r="AN334" i="6"/>
  <c r="AE334" i="6"/>
  <c r="V334" i="6"/>
  <c r="M334" i="6"/>
  <c r="AW333" i="6"/>
  <c r="AN333" i="6"/>
  <c r="AE333" i="6"/>
  <c r="V333" i="6"/>
  <c r="M333" i="6"/>
  <c r="AW332" i="6"/>
  <c r="AN332" i="6"/>
  <c r="AE332" i="6"/>
  <c r="V332" i="6"/>
  <c r="M332" i="6"/>
  <c r="AW331" i="6"/>
  <c r="AN331" i="6"/>
  <c r="AE331" i="6"/>
  <c r="V331" i="6"/>
  <c r="M331" i="6"/>
  <c r="AW330" i="6"/>
  <c r="AN330" i="6"/>
  <c r="AE330" i="6"/>
  <c r="V330" i="6"/>
  <c r="M330" i="6"/>
  <c r="AW329" i="6"/>
  <c r="AN329" i="6"/>
  <c r="AE329" i="6"/>
  <c r="V329" i="6"/>
  <c r="M329" i="6"/>
  <c r="AW328" i="6"/>
  <c r="AN328" i="6"/>
  <c r="AE328" i="6"/>
  <c r="V328" i="6"/>
  <c r="M328" i="6"/>
  <c r="AW327" i="6"/>
  <c r="AN327" i="6"/>
  <c r="AE327" i="6"/>
  <c r="V327" i="6"/>
  <c r="M327" i="6"/>
  <c r="AW326" i="6"/>
  <c r="AN326" i="6"/>
  <c r="AE326" i="6"/>
  <c r="V326" i="6"/>
  <c r="M326" i="6"/>
  <c r="AW325" i="6"/>
  <c r="AN325" i="6"/>
  <c r="AE325" i="6"/>
  <c r="V325" i="6"/>
  <c r="M325" i="6"/>
  <c r="AW324" i="6"/>
  <c r="AN324" i="6"/>
  <c r="AE324" i="6"/>
  <c r="V324" i="6"/>
  <c r="M324" i="6"/>
  <c r="AW323" i="6"/>
  <c r="AN323" i="6"/>
  <c r="AE323" i="6"/>
  <c r="V323" i="6"/>
  <c r="M323" i="6"/>
  <c r="AW322" i="6"/>
  <c r="AN322" i="6"/>
  <c r="AE322" i="6"/>
  <c r="V322" i="6"/>
  <c r="M322" i="6"/>
  <c r="AW321" i="6"/>
  <c r="AN321" i="6"/>
  <c r="AE321" i="6"/>
  <c r="V321" i="6"/>
  <c r="M321" i="6"/>
  <c r="AW320" i="6"/>
  <c r="AN320" i="6"/>
  <c r="AE320" i="6"/>
  <c r="V320" i="6"/>
  <c r="M320" i="6"/>
  <c r="AW319" i="6"/>
  <c r="AN319" i="6"/>
  <c r="AE319" i="6"/>
  <c r="V319" i="6"/>
  <c r="M319" i="6"/>
  <c r="AW318" i="6"/>
  <c r="AN318" i="6"/>
  <c r="AE318" i="6"/>
  <c r="V318" i="6"/>
  <c r="M318" i="6"/>
  <c r="AW317" i="6"/>
  <c r="AN317" i="6"/>
  <c r="AE317" i="6"/>
  <c r="V317" i="6"/>
  <c r="M317" i="6"/>
  <c r="AW316" i="6"/>
  <c r="AN316" i="6"/>
  <c r="AE316" i="6"/>
  <c r="V316" i="6"/>
  <c r="M316" i="6"/>
  <c r="AW315" i="6"/>
  <c r="AN315" i="6"/>
  <c r="AE315" i="6"/>
  <c r="V315" i="6"/>
  <c r="M315" i="6"/>
  <c r="AW314" i="6"/>
  <c r="AN314" i="6"/>
  <c r="AE314" i="6"/>
  <c r="V314" i="6"/>
  <c r="M314" i="6"/>
  <c r="AW313" i="6"/>
  <c r="AN313" i="6"/>
  <c r="AE313" i="6"/>
  <c r="V313" i="6"/>
  <c r="M313" i="6"/>
  <c r="AW312" i="6"/>
  <c r="AN312" i="6"/>
  <c r="AE312" i="6"/>
  <c r="V312" i="6"/>
  <c r="M312" i="6"/>
  <c r="AW311" i="6"/>
  <c r="AN311" i="6"/>
  <c r="AE311" i="6"/>
  <c r="V311" i="6"/>
  <c r="M311" i="6"/>
  <c r="AW310" i="6"/>
  <c r="AN310" i="6"/>
  <c r="AE310" i="6"/>
  <c r="V310" i="6"/>
  <c r="M310" i="6"/>
  <c r="AW309" i="6"/>
  <c r="AN309" i="6"/>
  <c r="AE309" i="6"/>
  <c r="V309" i="6"/>
  <c r="M309" i="6"/>
  <c r="AW308" i="6"/>
  <c r="AN308" i="6"/>
  <c r="AE308" i="6"/>
  <c r="V308" i="6"/>
  <c r="M308" i="6"/>
  <c r="AW307" i="6"/>
  <c r="AN307" i="6"/>
  <c r="AE307" i="6"/>
  <c r="V307" i="6"/>
  <c r="M307" i="6"/>
  <c r="AW306" i="6"/>
  <c r="AN306" i="6"/>
  <c r="AE306" i="6"/>
  <c r="V306" i="6"/>
  <c r="M306" i="6"/>
  <c r="AW305" i="6"/>
  <c r="AN305" i="6"/>
  <c r="AE305" i="6"/>
  <c r="V305" i="6"/>
  <c r="M305" i="6"/>
  <c r="AW304" i="6"/>
  <c r="AN304" i="6"/>
  <c r="AE304" i="6"/>
  <c r="V304" i="6"/>
  <c r="M304" i="6"/>
  <c r="AW303" i="6"/>
  <c r="AN303" i="6"/>
  <c r="AE303" i="6"/>
  <c r="V303" i="6"/>
  <c r="M303" i="6"/>
  <c r="AW302" i="6"/>
  <c r="AN302" i="6"/>
  <c r="AE302" i="6"/>
  <c r="V302" i="6"/>
  <c r="M302" i="6"/>
  <c r="AW301" i="6"/>
  <c r="AN301" i="6"/>
  <c r="AE301" i="6"/>
  <c r="V301" i="6"/>
  <c r="M301" i="6"/>
  <c r="AW300" i="6"/>
  <c r="AN300" i="6"/>
  <c r="AE300" i="6"/>
  <c r="V300" i="6"/>
  <c r="M300" i="6"/>
  <c r="AW299" i="6"/>
  <c r="AN299" i="6"/>
  <c r="AE299" i="6"/>
  <c r="V299" i="6"/>
  <c r="M299" i="6"/>
  <c r="AW298" i="6"/>
  <c r="AN298" i="6"/>
  <c r="AE298" i="6"/>
  <c r="V298" i="6"/>
  <c r="M298" i="6"/>
  <c r="AW297" i="6"/>
  <c r="AN297" i="6"/>
  <c r="AE297" i="6"/>
  <c r="V297" i="6"/>
  <c r="M297" i="6"/>
  <c r="AW296" i="6"/>
  <c r="AN296" i="6"/>
  <c r="AE296" i="6"/>
  <c r="V296" i="6"/>
  <c r="M296" i="6"/>
  <c r="AW295" i="6"/>
  <c r="AN295" i="6"/>
  <c r="AE295" i="6"/>
  <c r="V295" i="6"/>
  <c r="M295" i="6"/>
  <c r="AW294" i="6"/>
  <c r="AN294" i="6"/>
  <c r="AE294" i="6"/>
  <c r="V294" i="6"/>
  <c r="M294" i="6"/>
  <c r="AW293" i="6"/>
  <c r="AN293" i="6"/>
  <c r="AE293" i="6"/>
  <c r="V293" i="6"/>
  <c r="M293" i="6"/>
  <c r="AW292" i="6"/>
  <c r="AN292" i="6"/>
  <c r="AE292" i="6"/>
  <c r="V292" i="6"/>
  <c r="M292" i="6"/>
  <c r="AW291" i="6"/>
  <c r="AN291" i="6"/>
  <c r="AE291" i="6"/>
  <c r="V291" i="6"/>
  <c r="M291" i="6"/>
  <c r="AW290" i="6"/>
  <c r="AN290" i="6"/>
  <c r="AE290" i="6"/>
  <c r="V290" i="6"/>
  <c r="M290" i="6"/>
  <c r="AW289" i="6"/>
  <c r="AN289" i="6"/>
  <c r="AE289" i="6"/>
  <c r="V289" i="6"/>
  <c r="M289" i="6"/>
  <c r="AW288" i="6"/>
  <c r="AN288" i="6"/>
  <c r="AE288" i="6"/>
  <c r="V288" i="6"/>
  <c r="M288" i="6"/>
  <c r="AW287" i="6"/>
  <c r="AN287" i="6"/>
  <c r="AE287" i="6"/>
  <c r="V287" i="6"/>
  <c r="M287" i="6"/>
  <c r="AW286" i="6"/>
  <c r="AN286" i="6"/>
  <c r="AE286" i="6"/>
  <c r="V286" i="6"/>
  <c r="M286" i="6"/>
  <c r="AW285" i="6"/>
  <c r="AN285" i="6"/>
  <c r="AE285" i="6"/>
  <c r="V285" i="6"/>
  <c r="M285" i="6"/>
  <c r="AW284" i="6"/>
  <c r="AN284" i="6"/>
  <c r="AE284" i="6"/>
  <c r="V284" i="6"/>
  <c r="M284" i="6"/>
  <c r="AW283" i="6"/>
  <c r="AN283" i="6"/>
  <c r="AE283" i="6"/>
  <c r="V283" i="6"/>
  <c r="M283" i="6"/>
  <c r="AW282" i="6"/>
  <c r="AN282" i="6"/>
  <c r="AE282" i="6"/>
  <c r="V282" i="6"/>
  <c r="M282" i="6"/>
  <c r="AW281" i="6"/>
  <c r="AN281" i="6"/>
  <c r="AE281" i="6"/>
  <c r="V281" i="6"/>
  <c r="M281" i="6"/>
  <c r="AW280" i="6"/>
  <c r="AN280" i="6"/>
  <c r="AE280" i="6"/>
  <c r="V280" i="6"/>
  <c r="M280" i="6"/>
  <c r="AW279" i="6"/>
  <c r="AN279" i="6"/>
  <c r="AE279" i="6"/>
  <c r="V279" i="6"/>
  <c r="M279" i="6"/>
  <c r="AW278" i="6"/>
  <c r="AN278" i="6"/>
  <c r="AE278" i="6"/>
  <c r="V278" i="6"/>
  <c r="M278" i="6"/>
  <c r="AW277" i="6"/>
  <c r="AN277" i="6"/>
  <c r="AE277" i="6"/>
  <c r="V277" i="6"/>
  <c r="M277" i="6"/>
  <c r="AW276" i="6"/>
  <c r="AN276" i="6"/>
  <c r="AE276" i="6"/>
  <c r="V276" i="6"/>
  <c r="M276" i="6"/>
  <c r="AW275" i="6"/>
  <c r="AN275" i="6"/>
  <c r="AE275" i="6"/>
  <c r="V275" i="6"/>
  <c r="M275" i="6"/>
  <c r="AW274" i="6"/>
  <c r="AN274" i="6"/>
  <c r="AE274" i="6"/>
  <c r="V274" i="6"/>
  <c r="M274" i="6"/>
  <c r="AW273" i="6"/>
  <c r="AN273" i="6"/>
  <c r="AE273" i="6"/>
  <c r="V273" i="6"/>
  <c r="M273" i="6"/>
  <c r="AW272" i="6"/>
  <c r="AN272" i="6"/>
  <c r="AE272" i="6"/>
  <c r="V272" i="6"/>
  <c r="M272" i="6"/>
  <c r="AW271" i="6"/>
  <c r="AN271" i="6"/>
  <c r="AE271" i="6"/>
  <c r="V271" i="6"/>
  <c r="M271" i="6"/>
  <c r="AW270" i="6"/>
  <c r="AN270" i="6"/>
  <c r="AE270" i="6"/>
  <c r="V270" i="6"/>
  <c r="M270" i="6"/>
  <c r="AW269" i="6"/>
  <c r="AN269" i="6"/>
  <c r="AE269" i="6"/>
  <c r="V269" i="6"/>
  <c r="M269" i="6"/>
  <c r="AW268" i="6"/>
  <c r="AN268" i="6"/>
  <c r="AE268" i="6"/>
  <c r="V268" i="6"/>
  <c r="M268" i="6"/>
  <c r="AW267" i="6"/>
  <c r="AN267" i="6"/>
  <c r="AE267" i="6"/>
  <c r="V267" i="6"/>
  <c r="M267" i="6"/>
  <c r="AW266" i="6"/>
  <c r="AN266" i="6"/>
  <c r="AE266" i="6"/>
  <c r="V266" i="6"/>
  <c r="M266" i="6"/>
  <c r="AW265" i="6"/>
  <c r="AN265" i="6"/>
  <c r="AE265" i="6"/>
  <c r="V265" i="6"/>
  <c r="M265" i="6"/>
  <c r="AW264" i="6"/>
  <c r="AN264" i="6"/>
  <c r="AE264" i="6"/>
  <c r="V264" i="6"/>
  <c r="M264" i="6"/>
  <c r="AW263" i="6"/>
  <c r="AN263" i="6"/>
  <c r="AE263" i="6"/>
  <c r="V263" i="6"/>
  <c r="M263" i="6"/>
  <c r="AW262" i="6"/>
  <c r="AN262" i="6"/>
  <c r="AE262" i="6"/>
  <c r="V262" i="6"/>
  <c r="M262" i="6"/>
  <c r="AW261" i="6"/>
  <c r="AN261" i="6"/>
  <c r="AE261" i="6"/>
  <c r="V261" i="6"/>
  <c r="M261" i="6"/>
  <c r="AW260" i="6"/>
  <c r="AN260" i="6"/>
  <c r="AE260" i="6"/>
  <c r="V260" i="6"/>
  <c r="M260" i="6"/>
  <c r="AW259" i="6"/>
  <c r="AN259" i="6"/>
  <c r="AE259" i="6"/>
  <c r="V259" i="6"/>
  <c r="M259" i="6"/>
  <c r="AW258" i="6"/>
  <c r="AN258" i="6"/>
  <c r="AE258" i="6"/>
  <c r="V258" i="6"/>
  <c r="M258" i="6"/>
  <c r="AW257" i="6"/>
  <c r="AN257" i="6"/>
  <c r="AE257" i="6"/>
  <c r="V257" i="6"/>
  <c r="M257" i="6"/>
  <c r="AW256" i="6"/>
  <c r="AN256" i="6"/>
  <c r="AE256" i="6"/>
  <c r="V256" i="6"/>
  <c r="M256" i="6"/>
  <c r="AW255" i="6"/>
  <c r="AN255" i="6"/>
  <c r="AE255" i="6"/>
  <c r="V255" i="6"/>
  <c r="M255" i="6"/>
  <c r="AW254" i="6"/>
  <c r="AN254" i="6"/>
  <c r="AE254" i="6"/>
  <c r="V254" i="6"/>
  <c r="M254" i="6"/>
  <c r="AW253" i="6"/>
  <c r="AN253" i="6"/>
  <c r="AE253" i="6"/>
  <c r="V253" i="6"/>
  <c r="M253" i="6"/>
  <c r="AW252" i="6"/>
  <c r="AN252" i="6"/>
  <c r="AE252" i="6"/>
  <c r="V252" i="6"/>
  <c r="M252" i="6"/>
  <c r="AW251" i="6"/>
  <c r="AN251" i="6"/>
  <c r="AE251" i="6"/>
  <c r="V251" i="6"/>
  <c r="M251" i="6"/>
  <c r="AW250" i="6"/>
  <c r="AN250" i="6"/>
  <c r="AE250" i="6"/>
  <c r="V250" i="6"/>
  <c r="M250" i="6"/>
  <c r="AW249" i="6"/>
  <c r="AN249" i="6"/>
  <c r="AE249" i="6"/>
  <c r="V249" i="6"/>
  <c r="M249" i="6"/>
  <c r="AW248" i="6"/>
  <c r="AN248" i="6"/>
  <c r="AE248" i="6"/>
  <c r="V248" i="6"/>
  <c r="M248" i="6"/>
  <c r="AW247" i="6"/>
  <c r="AN247" i="6"/>
  <c r="AE247" i="6"/>
  <c r="V247" i="6"/>
  <c r="M247" i="6"/>
  <c r="AW246" i="6"/>
  <c r="AN246" i="6"/>
  <c r="AE246" i="6"/>
  <c r="V246" i="6"/>
  <c r="M246" i="6"/>
  <c r="AW245" i="6"/>
  <c r="AN245" i="6"/>
  <c r="AE245" i="6"/>
  <c r="V245" i="6"/>
  <c r="M245" i="6"/>
  <c r="AW244" i="6"/>
  <c r="AN244" i="6"/>
  <c r="AE244" i="6"/>
  <c r="V244" i="6"/>
  <c r="M244" i="6"/>
  <c r="AW243" i="6"/>
  <c r="AN243" i="6"/>
  <c r="AE243" i="6"/>
  <c r="V243" i="6"/>
  <c r="M243" i="6"/>
  <c r="AW242" i="6"/>
  <c r="AN242" i="6"/>
  <c r="AE242" i="6"/>
  <c r="V242" i="6"/>
  <c r="M242" i="6"/>
  <c r="AW241" i="6"/>
  <c r="AN241" i="6"/>
  <c r="AE241" i="6"/>
  <c r="V241" i="6"/>
  <c r="M241" i="6"/>
  <c r="AW240" i="6"/>
  <c r="AN240" i="6"/>
  <c r="AE240" i="6"/>
  <c r="V240" i="6"/>
  <c r="M240" i="6"/>
  <c r="AW239" i="6"/>
  <c r="AN239" i="6"/>
  <c r="AE239" i="6"/>
  <c r="V239" i="6"/>
  <c r="M239" i="6"/>
  <c r="AW238" i="6"/>
  <c r="AN238" i="6"/>
  <c r="AE238" i="6"/>
  <c r="V238" i="6"/>
  <c r="M238" i="6"/>
  <c r="AW237" i="6"/>
  <c r="AN237" i="6"/>
  <c r="AE237" i="6"/>
  <c r="V237" i="6"/>
  <c r="M237" i="6"/>
  <c r="AW236" i="6"/>
  <c r="AN236" i="6"/>
  <c r="AE236" i="6"/>
  <c r="V236" i="6"/>
  <c r="M236" i="6"/>
  <c r="AW235" i="6"/>
  <c r="AN235" i="6"/>
  <c r="AE235" i="6"/>
  <c r="V235" i="6"/>
  <c r="M235" i="6"/>
  <c r="AW234" i="6"/>
  <c r="AN234" i="6"/>
  <c r="AE234" i="6"/>
  <c r="V234" i="6"/>
  <c r="M234" i="6"/>
  <c r="AW233" i="6"/>
  <c r="AN233" i="6"/>
  <c r="AE233" i="6"/>
  <c r="V233" i="6"/>
  <c r="M233" i="6"/>
  <c r="AW232" i="6"/>
  <c r="AN232" i="6"/>
  <c r="AE232" i="6"/>
  <c r="V232" i="6"/>
  <c r="M232" i="6"/>
  <c r="AW231" i="6"/>
  <c r="AN231" i="6"/>
  <c r="AE231" i="6"/>
  <c r="V231" i="6"/>
  <c r="M231" i="6"/>
  <c r="AW230" i="6"/>
  <c r="AN230" i="6"/>
  <c r="AE230" i="6"/>
  <c r="V230" i="6"/>
  <c r="M230" i="6"/>
  <c r="AW229" i="6"/>
  <c r="AN229" i="6"/>
  <c r="AE229" i="6"/>
  <c r="V229" i="6"/>
  <c r="M229" i="6"/>
  <c r="AW228" i="6"/>
  <c r="AN228" i="6"/>
  <c r="AE228" i="6"/>
  <c r="V228" i="6"/>
  <c r="M228" i="6"/>
  <c r="AW227" i="6"/>
  <c r="AN227" i="6"/>
  <c r="AE227" i="6"/>
  <c r="V227" i="6"/>
  <c r="M227" i="6"/>
  <c r="AW226" i="6"/>
  <c r="AN226" i="6"/>
  <c r="AE226" i="6"/>
  <c r="V226" i="6"/>
  <c r="M226" i="6"/>
  <c r="AW225" i="6"/>
  <c r="AN225" i="6"/>
  <c r="AE225" i="6"/>
  <c r="V225" i="6"/>
  <c r="M225" i="6"/>
  <c r="AW224" i="6"/>
  <c r="AN224" i="6"/>
  <c r="AE224" i="6"/>
  <c r="V224" i="6"/>
  <c r="M224" i="6"/>
  <c r="AW223" i="6"/>
  <c r="AN223" i="6"/>
  <c r="AE223" i="6"/>
  <c r="V223" i="6"/>
  <c r="M223" i="6"/>
  <c r="AW222" i="6"/>
  <c r="AN222" i="6"/>
  <c r="AE222" i="6"/>
  <c r="V222" i="6"/>
  <c r="M222" i="6"/>
  <c r="AW221" i="6"/>
  <c r="AN221" i="6"/>
  <c r="AE221" i="6"/>
  <c r="V221" i="6"/>
  <c r="M221" i="6"/>
  <c r="AW220" i="6"/>
  <c r="AN220" i="6"/>
  <c r="AE220" i="6"/>
  <c r="V220" i="6"/>
  <c r="M220" i="6"/>
  <c r="AW219" i="6"/>
  <c r="AN219" i="6"/>
  <c r="AE219" i="6"/>
  <c r="V219" i="6"/>
  <c r="M219" i="6"/>
  <c r="AW218" i="6"/>
  <c r="AN218" i="6"/>
  <c r="AE218" i="6"/>
  <c r="V218" i="6"/>
  <c r="M218" i="6"/>
  <c r="AW217" i="6"/>
  <c r="AN217" i="6"/>
  <c r="AE217" i="6"/>
  <c r="V217" i="6"/>
  <c r="M217" i="6"/>
  <c r="AW216" i="6"/>
  <c r="AN216" i="6"/>
  <c r="AE216" i="6"/>
  <c r="V216" i="6"/>
  <c r="M216" i="6"/>
  <c r="AW215" i="6"/>
  <c r="AN215" i="6"/>
  <c r="AE215" i="6"/>
  <c r="V215" i="6"/>
  <c r="M215" i="6"/>
  <c r="AW214" i="6"/>
  <c r="AN214" i="6"/>
  <c r="AE214" i="6"/>
  <c r="V214" i="6"/>
  <c r="M214" i="6"/>
  <c r="AW213" i="6"/>
  <c r="AN213" i="6"/>
  <c r="AE213" i="6"/>
  <c r="V213" i="6"/>
  <c r="M213" i="6"/>
  <c r="AW212" i="6"/>
  <c r="AN212" i="6"/>
  <c r="AE212" i="6"/>
  <c r="V212" i="6"/>
  <c r="M212" i="6"/>
  <c r="AW211" i="6"/>
  <c r="AN211" i="6"/>
  <c r="AE211" i="6"/>
  <c r="V211" i="6"/>
  <c r="M211" i="6"/>
  <c r="AW210" i="6"/>
  <c r="AN210" i="6"/>
  <c r="AE210" i="6"/>
  <c r="V210" i="6"/>
  <c r="M210" i="6"/>
  <c r="AW209" i="6"/>
  <c r="AN209" i="6"/>
  <c r="AE209" i="6"/>
  <c r="V209" i="6"/>
  <c r="M209" i="6"/>
  <c r="AW208" i="6"/>
  <c r="AN208" i="6"/>
  <c r="AE208" i="6"/>
  <c r="V208" i="6"/>
  <c r="M208" i="6"/>
  <c r="AW207" i="6"/>
  <c r="AN207" i="6"/>
  <c r="AE207" i="6"/>
  <c r="V207" i="6"/>
  <c r="M207" i="6"/>
  <c r="AW206" i="6"/>
  <c r="AN206" i="6"/>
  <c r="AE206" i="6"/>
  <c r="V206" i="6"/>
  <c r="M206" i="6"/>
  <c r="AW205" i="6"/>
  <c r="AN205" i="6"/>
  <c r="AE205" i="6"/>
  <c r="V205" i="6"/>
  <c r="M205" i="6"/>
  <c r="AW204" i="6"/>
  <c r="AN204" i="6"/>
  <c r="AE204" i="6"/>
  <c r="V204" i="6"/>
  <c r="M204" i="6"/>
  <c r="AW203" i="6"/>
  <c r="AN203" i="6"/>
  <c r="AE203" i="6"/>
  <c r="V203" i="6"/>
  <c r="M203" i="6"/>
  <c r="AW202" i="6"/>
  <c r="AN202" i="6"/>
  <c r="AE202" i="6"/>
  <c r="V202" i="6"/>
  <c r="M202" i="6"/>
  <c r="AW201" i="6"/>
  <c r="AN201" i="6"/>
  <c r="AE201" i="6"/>
  <c r="V201" i="6"/>
  <c r="M201" i="6"/>
  <c r="AW200" i="6"/>
  <c r="AN200" i="6"/>
  <c r="AE200" i="6"/>
  <c r="V200" i="6"/>
  <c r="M200" i="6"/>
  <c r="AW199" i="6"/>
  <c r="AN199" i="6"/>
  <c r="AE199" i="6"/>
  <c r="V199" i="6"/>
  <c r="M199" i="6"/>
  <c r="AW198" i="6"/>
  <c r="AN198" i="6"/>
  <c r="AE198" i="6"/>
  <c r="V198" i="6"/>
  <c r="M198" i="6"/>
  <c r="AW197" i="6"/>
  <c r="AN197" i="6"/>
  <c r="AE197" i="6"/>
  <c r="V197" i="6"/>
  <c r="M197" i="6"/>
  <c r="AW196" i="6"/>
  <c r="AN196" i="6"/>
  <c r="AE196" i="6"/>
  <c r="V196" i="6"/>
  <c r="M196" i="6"/>
  <c r="AW195" i="6"/>
  <c r="AN195" i="6"/>
  <c r="AE195" i="6"/>
  <c r="V195" i="6"/>
  <c r="M195" i="6"/>
  <c r="AW194" i="6"/>
  <c r="AN194" i="6"/>
  <c r="AE194" i="6"/>
  <c r="V194" i="6"/>
  <c r="M194" i="6"/>
  <c r="AW193" i="6"/>
  <c r="AN193" i="6"/>
  <c r="AE193" i="6"/>
  <c r="V193" i="6"/>
  <c r="M193" i="6"/>
  <c r="AW192" i="6"/>
  <c r="AN192" i="6"/>
  <c r="AE192" i="6"/>
  <c r="V192" i="6"/>
  <c r="M192" i="6"/>
  <c r="AW191" i="6"/>
  <c r="AN191" i="6"/>
  <c r="AE191" i="6"/>
  <c r="V191" i="6"/>
  <c r="M191" i="6"/>
  <c r="AW190" i="6"/>
  <c r="AN190" i="6"/>
  <c r="AE190" i="6"/>
  <c r="V190" i="6"/>
  <c r="M190" i="6"/>
  <c r="AW189" i="6"/>
  <c r="AN189" i="6"/>
  <c r="AE189" i="6"/>
  <c r="V189" i="6"/>
  <c r="M189" i="6"/>
  <c r="AW188" i="6"/>
  <c r="AN188" i="6"/>
  <c r="AE188" i="6"/>
  <c r="V188" i="6"/>
  <c r="M188" i="6"/>
  <c r="AW187" i="6"/>
  <c r="AN187" i="6"/>
  <c r="AE187" i="6"/>
  <c r="V187" i="6"/>
  <c r="M187" i="6"/>
  <c r="AW186" i="6"/>
  <c r="AN186" i="6"/>
  <c r="AE186" i="6"/>
  <c r="V186" i="6"/>
  <c r="M186" i="6"/>
  <c r="AW185" i="6"/>
  <c r="AN185" i="6"/>
  <c r="AE185" i="6"/>
  <c r="V185" i="6"/>
  <c r="M185" i="6"/>
  <c r="AW184" i="6"/>
  <c r="AN184" i="6"/>
  <c r="AE184" i="6"/>
  <c r="V184" i="6"/>
  <c r="M184" i="6"/>
  <c r="AW183" i="6"/>
  <c r="AN183" i="6"/>
  <c r="AE183" i="6"/>
  <c r="V183" i="6"/>
  <c r="M183" i="6"/>
  <c r="AW182" i="6"/>
  <c r="AN182" i="6"/>
  <c r="AE182" i="6"/>
  <c r="V182" i="6"/>
  <c r="M182" i="6"/>
  <c r="AW181" i="6"/>
  <c r="AN181" i="6"/>
  <c r="AE181" i="6"/>
  <c r="V181" i="6"/>
  <c r="M181" i="6"/>
  <c r="AW180" i="6"/>
  <c r="AN180" i="6"/>
  <c r="AE180" i="6"/>
  <c r="V180" i="6"/>
  <c r="M180" i="6"/>
  <c r="AW179" i="6"/>
  <c r="AN179" i="6"/>
  <c r="AE179" i="6"/>
  <c r="V179" i="6"/>
  <c r="M179" i="6"/>
  <c r="AW178" i="6"/>
  <c r="AN178" i="6"/>
  <c r="AE178" i="6"/>
  <c r="V178" i="6"/>
  <c r="M178" i="6"/>
  <c r="AW177" i="6"/>
  <c r="AN177" i="6"/>
  <c r="AE177" i="6"/>
  <c r="V177" i="6"/>
  <c r="M177" i="6"/>
  <c r="AW176" i="6"/>
  <c r="AN176" i="6"/>
  <c r="AE176" i="6"/>
  <c r="V176" i="6"/>
  <c r="M176" i="6"/>
  <c r="AW175" i="6"/>
  <c r="AN175" i="6"/>
  <c r="AE175" i="6"/>
  <c r="V175" i="6"/>
  <c r="M175" i="6"/>
  <c r="AW174" i="6"/>
  <c r="AN174" i="6"/>
  <c r="AE174" i="6"/>
  <c r="V174" i="6"/>
  <c r="M174" i="6"/>
  <c r="AW173" i="6"/>
  <c r="AN173" i="6"/>
  <c r="AE173" i="6"/>
  <c r="V173" i="6"/>
  <c r="M173" i="6"/>
  <c r="AW172" i="6"/>
  <c r="AN172" i="6"/>
  <c r="AE172" i="6"/>
  <c r="V172" i="6"/>
  <c r="M172" i="6"/>
  <c r="AW171" i="6"/>
  <c r="AN171" i="6"/>
  <c r="AE171" i="6"/>
  <c r="V171" i="6"/>
  <c r="M171" i="6"/>
  <c r="AW170" i="6"/>
  <c r="AN170" i="6"/>
  <c r="AE170" i="6"/>
  <c r="V170" i="6"/>
  <c r="M170" i="6"/>
  <c r="AW169" i="6"/>
  <c r="AN169" i="6"/>
  <c r="AE169" i="6"/>
  <c r="V169" i="6"/>
  <c r="M169" i="6"/>
  <c r="AW168" i="6"/>
  <c r="AN168" i="6"/>
  <c r="AE168" i="6"/>
  <c r="V168" i="6"/>
  <c r="M168" i="6"/>
  <c r="AW167" i="6"/>
  <c r="AN167" i="6"/>
  <c r="AE167" i="6"/>
  <c r="V167" i="6"/>
  <c r="M167" i="6"/>
  <c r="AW166" i="6"/>
  <c r="AN166" i="6"/>
  <c r="AE166" i="6"/>
  <c r="V166" i="6"/>
  <c r="M166" i="6"/>
  <c r="AW165" i="6"/>
  <c r="AN165" i="6"/>
  <c r="AE165" i="6"/>
  <c r="V165" i="6"/>
  <c r="M165" i="6"/>
  <c r="AW164" i="6"/>
  <c r="AN164" i="6"/>
  <c r="AE164" i="6"/>
  <c r="V164" i="6"/>
  <c r="M164" i="6"/>
  <c r="AW163" i="6"/>
  <c r="AN163" i="6"/>
  <c r="AE163" i="6"/>
  <c r="V163" i="6"/>
  <c r="M163" i="6"/>
  <c r="AW162" i="6"/>
  <c r="AN162" i="6"/>
  <c r="AE162" i="6"/>
  <c r="V162" i="6"/>
  <c r="M162" i="6"/>
  <c r="AW161" i="6"/>
  <c r="AN161" i="6"/>
  <c r="AE161" i="6"/>
  <c r="V161" i="6"/>
  <c r="M161" i="6"/>
  <c r="AW160" i="6"/>
  <c r="AN160" i="6"/>
  <c r="AE160" i="6"/>
  <c r="V160" i="6"/>
  <c r="M160" i="6"/>
  <c r="AW159" i="6"/>
  <c r="AN159" i="6"/>
  <c r="AE159" i="6"/>
  <c r="V159" i="6"/>
  <c r="M159" i="6"/>
  <c r="AW158" i="6"/>
  <c r="AN158" i="6"/>
  <c r="AE158" i="6"/>
  <c r="V158" i="6"/>
  <c r="M158" i="6"/>
  <c r="AW157" i="6"/>
  <c r="AN157" i="6"/>
  <c r="AE157" i="6"/>
  <c r="V157" i="6"/>
  <c r="M157" i="6"/>
  <c r="AW156" i="6"/>
  <c r="AN156" i="6"/>
  <c r="AE156" i="6"/>
  <c r="V156" i="6"/>
  <c r="M156" i="6"/>
  <c r="AW155" i="6"/>
  <c r="AN155" i="6"/>
  <c r="AE155" i="6"/>
  <c r="V155" i="6"/>
  <c r="M155" i="6"/>
  <c r="AW154" i="6"/>
  <c r="AN154" i="6"/>
  <c r="AE154" i="6"/>
  <c r="V154" i="6"/>
  <c r="M154" i="6"/>
  <c r="AW153" i="6"/>
  <c r="AN153" i="6"/>
  <c r="AE153" i="6"/>
  <c r="V153" i="6"/>
  <c r="M153" i="6"/>
  <c r="AW152" i="6"/>
  <c r="AN152" i="6"/>
  <c r="AE152" i="6"/>
  <c r="V152" i="6"/>
  <c r="M152" i="6"/>
  <c r="AW151" i="6"/>
  <c r="AN151" i="6"/>
  <c r="AE151" i="6"/>
  <c r="V151" i="6"/>
  <c r="M151" i="6"/>
  <c r="AW150" i="6"/>
  <c r="AN150" i="6"/>
  <c r="AE150" i="6"/>
  <c r="V150" i="6"/>
  <c r="M150" i="6"/>
  <c r="AW149" i="6"/>
  <c r="AN149" i="6"/>
  <c r="AE149" i="6"/>
  <c r="V149" i="6"/>
  <c r="M149" i="6"/>
  <c r="AW148" i="6"/>
  <c r="AN148" i="6"/>
  <c r="AE148" i="6"/>
  <c r="V148" i="6"/>
  <c r="M148" i="6"/>
  <c r="AW147" i="6"/>
  <c r="AN147" i="6"/>
  <c r="AE147" i="6"/>
  <c r="V147" i="6"/>
  <c r="M147" i="6"/>
  <c r="AW146" i="6"/>
  <c r="AN146" i="6"/>
  <c r="AE146" i="6"/>
  <c r="V146" i="6"/>
  <c r="M146" i="6"/>
  <c r="AW145" i="6"/>
  <c r="AN145" i="6"/>
  <c r="AE145" i="6"/>
  <c r="V145" i="6"/>
  <c r="M145" i="6"/>
  <c r="AW144" i="6"/>
  <c r="AN144" i="6"/>
  <c r="AE144" i="6"/>
  <c r="V144" i="6"/>
  <c r="M144" i="6"/>
  <c r="AW143" i="6"/>
  <c r="AN143" i="6"/>
  <c r="AE143" i="6"/>
  <c r="V143" i="6"/>
  <c r="M143" i="6"/>
  <c r="AW142" i="6"/>
  <c r="AN142" i="6"/>
  <c r="AE142" i="6"/>
  <c r="V142" i="6"/>
  <c r="M142" i="6"/>
  <c r="AW141" i="6"/>
  <c r="AN141" i="6"/>
  <c r="AE141" i="6"/>
  <c r="V141" i="6"/>
  <c r="M141" i="6"/>
  <c r="AW140" i="6"/>
  <c r="AN140" i="6"/>
  <c r="AE140" i="6"/>
  <c r="V140" i="6"/>
  <c r="M140" i="6"/>
  <c r="AW139" i="6"/>
  <c r="AN139" i="6"/>
  <c r="AE139" i="6"/>
  <c r="V139" i="6"/>
  <c r="M139" i="6"/>
  <c r="AW138" i="6"/>
  <c r="AN138" i="6"/>
  <c r="AE138" i="6"/>
  <c r="V138" i="6"/>
  <c r="M138" i="6"/>
  <c r="AW137" i="6"/>
  <c r="AN137" i="6"/>
  <c r="AE137" i="6"/>
  <c r="V137" i="6"/>
  <c r="M137" i="6"/>
  <c r="AW136" i="6"/>
  <c r="AN136" i="6"/>
  <c r="AE136" i="6"/>
  <c r="V136" i="6"/>
  <c r="M136" i="6"/>
  <c r="AW135" i="6"/>
  <c r="AN135" i="6"/>
  <c r="AE135" i="6"/>
  <c r="V135" i="6"/>
  <c r="M135" i="6"/>
  <c r="AW134" i="6"/>
  <c r="AN134" i="6"/>
  <c r="AE134" i="6"/>
  <c r="V134" i="6"/>
  <c r="M134" i="6"/>
  <c r="AW133" i="6"/>
  <c r="AN133" i="6"/>
  <c r="AE133" i="6"/>
  <c r="V133" i="6"/>
  <c r="M133" i="6"/>
  <c r="AW132" i="6"/>
  <c r="AN132" i="6"/>
  <c r="AE132" i="6"/>
  <c r="V132" i="6"/>
  <c r="M132" i="6"/>
  <c r="AW131" i="6"/>
  <c r="AN131" i="6"/>
  <c r="AE131" i="6"/>
  <c r="V131" i="6"/>
  <c r="M131" i="6"/>
  <c r="AW130" i="6"/>
  <c r="AN130" i="6"/>
  <c r="AE130" i="6"/>
  <c r="V130" i="6"/>
  <c r="M130" i="6"/>
  <c r="AW129" i="6"/>
  <c r="AN129" i="6"/>
  <c r="AE129" i="6"/>
  <c r="V129" i="6"/>
  <c r="M129" i="6"/>
  <c r="AW128" i="6"/>
  <c r="AN128" i="6"/>
  <c r="AE128" i="6"/>
  <c r="V128" i="6"/>
  <c r="M128" i="6"/>
  <c r="AW127" i="6"/>
  <c r="AN127" i="6"/>
  <c r="AE127" i="6"/>
  <c r="V127" i="6"/>
  <c r="M127" i="6"/>
  <c r="AW126" i="6"/>
  <c r="AN126" i="6"/>
  <c r="AE126" i="6"/>
  <c r="V126" i="6"/>
  <c r="M126" i="6"/>
  <c r="AW125" i="6"/>
  <c r="AN125" i="6"/>
  <c r="AE125" i="6"/>
  <c r="V125" i="6"/>
  <c r="M125" i="6"/>
  <c r="AW124" i="6"/>
  <c r="AN124" i="6"/>
  <c r="AE124" i="6"/>
  <c r="V124" i="6"/>
  <c r="M124" i="6"/>
  <c r="AW123" i="6"/>
  <c r="AN123" i="6"/>
  <c r="AE123" i="6"/>
  <c r="V123" i="6"/>
  <c r="M123" i="6"/>
  <c r="AW122" i="6"/>
  <c r="AN122" i="6"/>
  <c r="AE122" i="6"/>
  <c r="V122" i="6"/>
  <c r="M122" i="6"/>
  <c r="AW121" i="6"/>
  <c r="AN121" i="6"/>
  <c r="AE121" i="6"/>
  <c r="V121" i="6"/>
  <c r="M121" i="6"/>
  <c r="AW120" i="6"/>
  <c r="AN120" i="6"/>
  <c r="AE120" i="6"/>
  <c r="V120" i="6"/>
  <c r="M120" i="6"/>
  <c r="AW119" i="6"/>
  <c r="AN119" i="6"/>
  <c r="AE119" i="6"/>
  <c r="V119" i="6"/>
  <c r="M119" i="6"/>
  <c r="AW118" i="6"/>
  <c r="AN118" i="6"/>
  <c r="AE118" i="6"/>
  <c r="V118" i="6"/>
  <c r="M118" i="6"/>
  <c r="AW117" i="6"/>
  <c r="AN117" i="6"/>
  <c r="AE117" i="6"/>
  <c r="V117" i="6"/>
  <c r="M117" i="6"/>
  <c r="AW116" i="6"/>
  <c r="AN116" i="6"/>
  <c r="AE116" i="6"/>
  <c r="V116" i="6"/>
  <c r="M116" i="6"/>
  <c r="AW115" i="6"/>
  <c r="AN115" i="6"/>
  <c r="AE115" i="6"/>
  <c r="V115" i="6"/>
  <c r="M115" i="6"/>
  <c r="AW114" i="6"/>
  <c r="AN114" i="6"/>
  <c r="AE114" i="6"/>
  <c r="V114" i="6"/>
  <c r="M114" i="6"/>
  <c r="AW113" i="6"/>
  <c r="AN113" i="6"/>
  <c r="AE113" i="6"/>
  <c r="V113" i="6"/>
  <c r="M113" i="6"/>
  <c r="AW112" i="6"/>
  <c r="AN112" i="6"/>
  <c r="AE112" i="6"/>
  <c r="V112" i="6"/>
  <c r="M112" i="6"/>
  <c r="AW111" i="6"/>
  <c r="AN111" i="6"/>
  <c r="AE111" i="6"/>
  <c r="V111" i="6"/>
  <c r="M111" i="6"/>
  <c r="AW110" i="6"/>
  <c r="AN110" i="6"/>
  <c r="AE110" i="6"/>
  <c r="V110" i="6"/>
  <c r="M110" i="6"/>
  <c r="AW109" i="6"/>
  <c r="AN109" i="6"/>
  <c r="AE109" i="6"/>
  <c r="V109" i="6"/>
  <c r="M109" i="6"/>
  <c r="AW108" i="6"/>
  <c r="AN108" i="6"/>
  <c r="AE108" i="6"/>
  <c r="V108" i="6"/>
  <c r="M108" i="6"/>
  <c r="AW107" i="6"/>
  <c r="AN107" i="6"/>
  <c r="AE107" i="6"/>
  <c r="V107" i="6"/>
  <c r="M107" i="6"/>
  <c r="AW106" i="6"/>
  <c r="AN106" i="6"/>
  <c r="AE106" i="6"/>
  <c r="V106" i="6"/>
  <c r="M106" i="6"/>
  <c r="AW105" i="6"/>
  <c r="AN105" i="6"/>
  <c r="AE105" i="6"/>
  <c r="V105" i="6"/>
  <c r="M105" i="6"/>
  <c r="AW104" i="6"/>
  <c r="AN104" i="6"/>
  <c r="AE104" i="6"/>
  <c r="V104" i="6"/>
  <c r="M104" i="6"/>
  <c r="AW103" i="6"/>
  <c r="AN103" i="6"/>
  <c r="AE103" i="6"/>
  <c r="V103" i="6"/>
  <c r="M103" i="6"/>
  <c r="AW102" i="6"/>
  <c r="AN102" i="6"/>
  <c r="AE102" i="6"/>
  <c r="V102" i="6"/>
  <c r="M102" i="6"/>
  <c r="AW101" i="6"/>
  <c r="AN101" i="6"/>
  <c r="AE101" i="6"/>
  <c r="V101" i="6"/>
  <c r="M101" i="6"/>
  <c r="AW100" i="6"/>
  <c r="AN100" i="6"/>
  <c r="AE100" i="6"/>
  <c r="V100" i="6"/>
  <c r="M100" i="6"/>
  <c r="AW99" i="6"/>
  <c r="AN99" i="6"/>
  <c r="AE99" i="6"/>
  <c r="V99" i="6"/>
  <c r="M99" i="6"/>
  <c r="AW98" i="6"/>
  <c r="AN98" i="6"/>
  <c r="AE98" i="6"/>
  <c r="V98" i="6"/>
  <c r="M98" i="6"/>
  <c r="AW97" i="6"/>
  <c r="AN97" i="6"/>
  <c r="AE97" i="6"/>
  <c r="V97" i="6"/>
  <c r="M97" i="6"/>
  <c r="AW96" i="6"/>
  <c r="AN96" i="6"/>
  <c r="AE96" i="6"/>
  <c r="V96" i="6"/>
  <c r="M96" i="6"/>
  <c r="AW95" i="6"/>
  <c r="AN95" i="6"/>
  <c r="AE95" i="6"/>
  <c r="V95" i="6"/>
  <c r="M95" i="6"/>
  <c r="AW94" i="6"/>
  <c r="AN94" i="6"/>
  <c r="AE94" i="6"/>
  <c r="V94" i="6"/>
  <c r="M94" i="6"/>
  <c r="AW93" i="6"/>
  <c r="AN93" i="6"/>
  <c r="AE93" i="6"/>
  <c r="V93" i="6"/>
  <c r="M93" i="6"/>
  <c r="AW92" i="6"/>
  <c r="AN92" i="6"/>
  <c r="AE92" i="6"/>
  <c r="V92" i="6"/>
  <c r="M92" i="6"/>
  <c r="AW91" i="6"/>
  <c r="AN91" i="6"/>
  <c r="AE91" i="6"/>
  <c r="V91" i="6"/>
  <c r="M91" i="6"/>
  <c r="AW90" i="6"/>
  <c r="AN90" i="6"/>
  <c r="AE90" i="6"/>
  <c r="V90" i="6"/>
  <c r="M90" i="6"/>
  <c r="AW89" i="6"/>
  <c r="AN89" i="6"/>
  <c r="AE89" i="6"/>
  <c r="V89" i="6"/>
  <c r="M89" i="6"/>
  <c r="AW88" i="6"/>
  <c r="AN88" i="6"/>
  <c r="AE88" i="6"/>
  <c r="V88" i="6"/>
  <c r="M88" i="6"/>
  <c r="AW87" i="6"/>
  <c r="AN87" i="6"/>
  <c r="AE87" i="6"/>
  <c r="V87" i="6"/>
  <c r="M87" i="6"/>
  <c r="AW86" i="6"/>
  <c r="AN86" i="6"/>
  <c r="AE86" i="6"/>
  <c r="V86" i="6"/>
  <c r="M86" i="6"/>
  <c r="AW85" i="6"/>
  <c r="AN85" i="6"/>
  <c r="AE85" i="6"/>
  <c r="V85" i="6"/>
  <c r="M85" i="6"/>
  <c r="AW84" i="6"/>
  <c r="AN84" i="6"/>
  <c r="AE84" i="6"/>
  <c r="V84" i="6"/>
  <c r="M84" i="6"/>
  <c r="AW83" i="6"/>
  <c r="AN83" i="6"/>
  <c r="AE83" i="6"/>
  <c r="V83" i="6"/>
  <c r="M83" i="6"/>
  <c r="AW82" i="6"/>
  <c r="AN82" i="6"/>
  <c r="AE82" i="6"/>
  <c r="V82" i="6"/>
  <c r="M82" i="6"/>
  <c r="AW81" i="6"/>
  <c r="AN81" i="6"/>
  <c r="AE81" i="6"/>
  <c r="V81" i="6"/>
  <c r="M81" i="6"/>
  <c r="AW80" i="6"/>
  <c r="AN80" i="6"/>
  <c r="AE80" i="6"/>
  <c r="V80" i="6"/>
  <c r="M80" i="6"/>
  <c r="AW79" i="6"/>
  <c r="AN79" i="6"/>
  <c r="AE79" i="6"/>
  <c r="V79" i="6"/>
  <c r="M79" i="6"/>
  <c r="AW78" i="6"/>
  <c r="AN78" i="6"/>
  <c r="AE78" i="6"/>
  <c r="V78" i="6"/>
  <c r="M78" i="6"/>
  <c r="AW77" i="6"/>
  <c r="AN77" i="6"/>
  <c r="AE77" i="6"/>
  <c r="V77" i="6"/>
  <c r="M77" i="6"/>
  <c r="AW76" i="6"/>
  <c r="AN76" i="6"/>
  <c r="AE76" i="6"/>
  <c r="V76" i="6"/>
  <c r="M76" i="6"/>
  <c r="AW75" i="6"/>
  <c r="AN75" i="6"/>
  <c r="AE75" i="6"/>
  <c r="V75" i="6"/>
  <c r="M75" i="6"/>
  <c r="AW74" i="6"/>
  <c r="AN74" i="6"/>
  <c r="AE74" i="6"/>
  <c r="V74" i="6"/>
  <c r="M74" i="6"/>
  <c r="AW73" i="6"/>
  <c r="AN73" i="6"/>
  <c r="AE73" i="6"/>
  <c r="V73" i="6"/>
  <c r="M73" i="6"/>
  <c r="AW72" i="6"/>
  <c r="AN72" i="6"/>
  <c r="AE72" i="6"/>
  <c r="V72" i="6"/>
  <c r="M72" i="6"/>
  <c r="AW71" i="6"/>
  <c r="AN71" i="6"/>
  <c r="AE71" i="6"/>
  <c r="V71" i="6"/>
  <c r="M71" i="6"/>
  <c r="AW70" i="6"/>
  <c r="AN70" i="6"/>
  <c r="AE70" i="6"/>
  <c r="V70" i="6"/>
  <c r="M70" i="6"/>
  <c r="AW69" i="6"/>
  <c r="AN69" i="6"/>
  <c r="AE69" i="6"/>
  <c r="V69" i="6"/>
  <c r="M69" i="6"/>
  <c r="AW68" i="6"/>
  <c r="AN68" i="6"/>
  <c r="AE68" i="6"/>
  <c r="V68" i="6"/>
  <c r="M68" i="6"/>
  <c r="AW67" i="6"/>
  <c r="AN67" i="6"/>
  <c r="AE67" i="6"/>
  <c r="V67" i="6"/>
  <c r="M67" i="6"/>
  <c r="AW66" i="6"/>
  <c r="AN66" i="6"/>
  <c r="AE66" i="6"/>
  <c r="V66" i="6"/>
  <c r="M66" i="6"/>
  <c r="AW65" i="6"/>
  <c r="AN65" i="6"/>
  <c r="AE65" i="6"/>
  <c r="V65" i="6"/>
  <c r="M65" i="6"/>
  <c r="AW64" i="6"/>
  <c r="AN64" i="6"/>
  <c r="AE64" i="6"/>
  <c r="V64" i="6"/>
  <c r="M64" i="6"/>
  <c r="AW63" i="6"/>
  <c r="AN63" i="6"/>
  <c r="AE63" i="6"/>
  <c r="V63" i="6"/>
  <c r="M63" i="6"/>
  <c r="AW62" i="6"/>
  <c r="AN62" i="6"/>
  <c r="AE62" i="6"/>
  <c r="V62" i="6"/>
  <c r="M62" i="6"/>
  <c r="AW61" i="6"/>
  <c r="AN61" i="6"/>
  <c r="AE61" i="6"/>
  <c r="V61" i="6"/>
  <c r="M61" i="6"/>
  <c r="AW60" i="6"/>
  <c r="AN60" i="6"/>
  <c r="AE60" i="6"/>
  <c r="V60" i="6"/>
  <c r="M60" i="6"/>
  <c r="AW59" i="6"/>
  <c r="AN59" i="6"/>
  <c r="AE59" i="6"/>
  <c r="V59" i="6"/>
  <c r="M59" i="6"/>
  <c r="AW58" i="6"/>
  <c r="AN58" i="6"/>
  <c r="AE58" i="6"/>
  <c r="V58" i="6"/>
  <c r="M58" i="6"/>
  <c r="AW57" i="6"/>
  <c r="AN57" i="6"/>
  <c r="AE57" i="6"/>
  <c r="V57" i="6"/>
  <c r="M57" i="6"/>
  <c r="AW56" i="6"/>
  <c r="AN56" i="6"/>
  <c r="AE56" i="6"/>
  <c r="V56" i="6"/>
  <c r="M56" i="6"/>
  <c r="AW55" i="6"/>
  <c r="AN55" i="6"/>
  <c r="AE55" i="6"/>
  <c r="V55" i="6"/>
  <c r="M55" i="6"/>
  <c r="AW54" i="6"/>
  <c r="AN54" i="6"/>
  <c r="AE54" i="6"/>
  <c r="V54" i="6"/>
  <c r="M54" i="6"/>
  <c r="AW53" i="6"/>
  <c r="AN53" i="6"/>
  <c r="AE53" i="6"/>
  <c r="V53" i="6"/>
  <c r="M53" i="6"/>
  <c r="AW52" i="6"/>
  <c r="AN52" i="6"/>
  <c r="AE52" i="6"/>
  <c r="V52" i="6"/>
  <c r="M52" i="6"/>
  <c r="AW51" i="6"/>
  <c r="AN51" i="6"/>
  <c r="AE51" i="6"/>
  <c r="V51" i="6"/>
  <c r="M51" i="6"/>
  <c r="AW50" i="6"/>
  <c r="AN50" i="6"/>
  <c r="AE50" i="6"/>
  <c r="V50" i="6"/>
  <c r="M50" i="6"/>
  <c r="AW49" i="6"/>
  <c r="AN49" i="6"/>
  <c r="AE49" i="6"/>
  <c r="V49" i="6"/>
  <c r="M49" i="6"/>
  <c r="AW48" i="6"/>
  <c r="AN48" i="6"/>
  <c r="AE48" i="6"/>
  <c r="V48" i="6"/>
  <c r="M48" i="6"/>
  <c r="AW47" i="6"/>
  <c r="AN47" i="6"/>
  <c r="AE47" i="6"/>
  <c r="V47" i="6"/>
  <c r="M47" i="6"/>
  <c r="AW46" i="6"/>
  <c r="AN46" i="6"/>
  <c r="AE46" i="6"/>
  <c r="V46" i="6"/>
  <c r="M46" i="6"/>
  <c r="AW45" i="6"/>
  <c r="AN45" i="6"/>
  <c r="AE45" i="6"/>
  <c r="V45" i="6"/>
  <c r="M45" i="6"/>
  <c r="AW44" i="6"/>
  <c r="AN44" i="6"/>
  <c r="AE44" i="6"/>
  <c r="V44" i="6"/>
  <c r="M44" i="6"/>
  <c r="AW43" i="6"/>
  <c r="AN43" i="6"/>
  <c r="AE43" i="6"/>
  <c r="V43" i="6"/>
  <c r="M43" i="6"/>
  <c r="AW42" i="6"/>
  <c r="AN42" i="6"/>
  <c r="AE42" i="6"/>
  <c r="V42" i="6"/>
  <c r="M42" i="6"/>
  <c r="AW41" i="6"/>
  <c r="AN41" i="6"/>
  <c r="AE41" i="6"/>
  <c r="V41" i="6"/>
  <c r="M41" i="6"/>
  <c r="AW40" i="6"/>
  <c r="AN40" i="6"/>
  <c r="AE40" i="6"/>
  <c r="V40" i="6"/>
  <c r="M40" i="6"/>
  <c r="AW39" i="6"/>
  <c r="AN39" i="6"/>
  <c r="AE39" i="6"/>
  <c r="V39" i="6"/>
  <c r="M39" i="6"/>
  <c r="AW38" i="6"/>
  <c r="AN38" i="6"/>
  <c r="AE38" i="6"/>
  <c r="V38" i="6"/>
  <c r="M38" i="6"/>
  <c r="AW37" i="6"/>
  <c r="AN37" i="6"/>
  <c r="AE37" i="6"/>
  <c r="V37" i="6"/>
  <c r="M37" i="6"/>
  <c r="AW36" i="6"/>
  <c r="AN36" i="6"/>
  <c r="AE36" i="6"/>
  <c r="V36" i="6"/>
  <c r="M36" i="6"/>
  <c r="AW35" i="6"/>
  <c r="AN35" i="6"/>
  <c r="AE35" i="6"/>
  <c r="V35" i="6"/>
  <c r="M35" i="6"/>
  <c r="AW34" i="6"/>
  <c r="AN34" i="6"/>
  <c r="AE34" i="6"/>
  <c r="V34" i="6"/>
  <c r="M34" i="6"/>
  <c r="AW33" i="6"/>
  <c r="AN33" i="6"/>
  <c r="AE33" i="6"/>
  <c r="V33" i="6"/>
  <c r="M33" i="6"/>
  <c r="AW32" i="6"/>
  <c r="AN32" i="6"/>
  <c r="AE32" i="6"/>
  <c r="V32" i="6"/>
  <c r="M32" i="6"/>
  <c r="AW31" i="6"/>
  <c r="AN31" i="6"/>
  <c r="AE31" i="6"/>
  <c r="V31" i="6"/>
  <c r="M31" i="6"/>
  <c r="AW30" i="6"/>
  <c r="AN30" i="6"/>
  <c r="AE30" i="6"/>
  <c r="V30" i="6"/>
  <c r="M30" i="6"/>
  <c r="AW29" i="6"/>
  <c r="AN29" i="6"/>
  <c r="AE29" i="6"/>
  <c r="V29" i="6"/>
  <c r="M29" i="6"/>
  <c r="AW28" i="6"/>
  <c r="AN28" i="6"/>
  <c r="AE28" i="6"/>
  <c r="V28" i="6"/>
  <c r="M28" i="6"/>
  <c r="AW27" i="6"/>
  <c r="AN27" i="6"/>
  <c r="AE27" i="6"/>
  <c r="V27" i="6"/>
  <c r="M27" i="6"/>
  <c r="AW26" i="6"/>
  <c r="AN26" i="6"/>
  <c r="AE26" i="6"/>
  <c r="V26" i="6"/>
  <c r="M26" i="6"/>
  <c r="AW25" i="6"/>
  <c r="AN25" i="6"/>
  <c r="AE25" i="6"/>
  <c r="V25" i="6"/>
  <c r="M25" i="6"/>
  <c r="AW24" i="6"/>
  <c r="AN24" i="6"/>
  <c r="AE24" i="6"/>
  <c r="V24" i="6"/>
  <c r="M24" i="6"/>
  <c r="AW23" i="6"/>
  <c r="AN23" i="6"/>
  <c r="AE23" i="6"/>
  <c r="V23" i="6"/>
  <c r="M23" i="6"/>
  <c r="AW22" i="6"/>
  <c r="AN22" i="6"/>
  <c r="AE22" i="6"/>
  <c r="V22" i="6"/>
  <c r="M22" i="6"/>
  <c r="AW21" i="6"/>
  <c r="AN21" i="6"/>
  <c r="AE21" i="6"/>
  <c r="V21" i="6"/>
  <c r="M21" i="6"/>
  <c r="AW20" i="6"/>
  <c r="AN20" i="6"/>
  <c r="AE20" i="6"/>
  <c r="V20" i="6"/>
  <c r="M20" i="6"/>
  <c r="AW19" i="6"/>
  <c r="AN19" i="6"/>
  <c r="AE19" i="6"/>
  <c r="V19" i="6"/>
  <c r="M19" i="6"/>
  <c r="AW18" i="6"/>
  <c r="AN18" i="6"/>
  <c r="AE18" i="6"/>
  <c r="V18" i="6"/>
  <c r="M18" i="6"/>
  <c r="AW17" i="6"/>
  <c r="AN17" i="6"/>
  <c r="AE17" i="6"/>
  <c r="V17" i="6"/>
  <c r="M17" i="6"/>
  <c r="AW16" i="6"/>
  <c r="AN16" i="6"/>
  <c r="AE16" i="6"/>
  <c r="V16" i="6"/>
  <c r="M16" i="6"/>
  <c r="AW15" i="6"/>
  <c r="AN15" i="6"/>
  <c r="AE15" i="6"/>
  <c r="V15" i="6"/>
  <c r="M15" i="6"/>
  <c r="AW14" i="6"/>
  <c r="AN14" i="6"/>
  <c r="AE14" i="6"/>
  <c r="V14" i="6"/>
  <c r="M14" i="6"/>
  <c r="AW13" i="6"/>
  <c r="AN13" i="6"/>
  <c r="AE13" i="6"/>
  <c r="V13" i="6"/>
  <c r="M13" i="6"/>
  <c r="AW12" i="6"/>
  <c r="AN12" i="6"/>
  <c r="AE12" i="6"/>
  <c r="V12" i="6"/>
  <c r="M12" i="6"/>
  <c r="D10" i="1" s="1"/>
  <c r="AW11" i="6"/>
  <c r="AN11" i="6"/>
  <c r="AE11" i="6"/>
  <c r="V11" i="6"/>
  <c r="M11" i="6"/>
  <c r="AW10" i="6"/>
  <c r="AN10" i="6"/>
  <c r="AE10" i="6"/>
  <c r="M10" i="1" s="1"/>
  <c r="V10" i="6"/>
  <c r="M10" i="6"/>
  <c r="AW9" i="6"/>
  <c r="AN9" i="6"/>
  <c r="AE9" i="6"/>
  <c r="V9" i="6"/>
  <c r="M9" i="6"/>
  <c r="AW8" i="6"/>
  <c r="U10" i="1" s="1"/>
  <c r="AN8" i="6"/>
  <c r="AE8" i="6"/>
  <c r="V8" i="6"/>
  <c r="M8" i="6"/>
  <c r="AW7" i="6"/>
  <c r="AN7" i="6"/>
  <c r="AE7" i="6"/>
  <c r="V7" i="6"/>
  <c r="M7" i="6"/>
  <c r="AW6" i="6"/>
  <c r="AN6" i="6"/>
  <c r="AE6" i="6"/>
  <c r="V6" i="6"/>
  <c r="M6" i="6"/>
  <c r="AW5" i="6"/>
  <c r="AN5" i="6"/>
  <c r="Q10" i="1" s="1"/>
  <c r="AE5" i="6"/>
  <c r="V5" i="6"/>
  <c r="M5" i="6"/>
  <c r="AW168" i="5"/>
  <c r="AN168" i="5"/>
  <c r="AE168" i="5"/>
  <c r="V168" i="5"/>
  <c r="M168" i="5"/>
  <c r="AW167" i="5"/>
  <c r="AN167" i="5"/>
  <c r="AE167" i="5"/>
  <c r="V167" i="5"/>
  <c r="M167" i="5"/>
  <c r="AW166" i="5"/>
  <c r="AN166" i="5"/>
  <c r="AE166" i="5"/>
  <c r="V166" i="5"/>
  <c r="M166" i="5"/>
  <c r="AW165" i="5"/>
  <c r="AN165" i="5"/>
  <c r="AE165" i="5"/>
  <c r="V165" i="5"/>
  <c r="M165" i="5"/>
  <c r="AW164" i="5"/>
  <c r="AN164" i="5"/>
  <c r="AE164" i="5"/>
  <c r="V164" i="5"/>
  <c r="M164" i="5"/>
  <c r="AW163" i="5"/>
  <c r="AN163" i="5"/>
  <c r="AE163" i="5"/>
  <c r="V163" i="5"/>
  <c r="M163" i="5"/>
  <c r="AW162" i="5"/>
  <c r="AN162" i="5"/>
  <c r="AE162" i="5"/>
  <c r="V162" i="5"/>
  <c r="M162" i="5"/>
  <c r="AW161" i="5"/>
  <c r="AN161" i="5"/>
  <c r="AE161" i="5"/>
  <c r="V161" i="5"/>
  <c r="M161" i="5"/>
  <c r="AW160" i="5"/>
  <c r="AN160" i="5"/>
  <c r="AE160" i="5"/>
  <c r="V160" i="5"/>
  <c r="M160" i="5"/>
  <c r="AW159" i="5"/>
  <c r="AN159" i="5"/>
  <c r="AE159" i="5"/>
  <c r="V159" i="5"/>
  <c r="M159" i="5"/>
  <c r="AW158" i="5"/>
  <c r="AN158" i="5"/>
  <c r="AE158" i="5"/>
  <c r="V158" i="5"/>
  <c r="M158" i="5"/>
  <c r="AW157" i="5"/>
  <c r="AN157" i="5"/>
  <c r="AE157" i="5"/>
  <c r="V157" i="5"/>
  <c r="M157" i="5"/>
  <c r="AW156" i="5"/>
  <c r="AN156" i="5"/>
  <c r="AE156" i="5"/>
  <c r="V156" i="5"/>
  <c r="M156" i="5"/>
  <c r="AW155" i="5"/>
  <c r="AN155" i="5"/>
  <c r="AE155" i="5"/>
  <c r="V155" i="5"/>
  <c r="M155" i="5"/>
  <c r="AW154" i="5"/>
  <c r="AN154" i="5"/>
  <c r="AE154" i="5"/>
  <c r="V154" i="5"/>
  <c r="M154" i="5"/>
  <c r="AW153" i="5"/>
  <c r="AN153" i="5"/>
  <c r="AE153" i="5"/>
  <c r="V153" i="5"/>
  <c r="M153" i="5"/>
  <c r="AW152" i="5"/>
  <c r="AN152" i="5"/>
  <c r="AE152" i="5"/>
  <c r="V152" i="5"/>
  <c r="M152" i="5"/>
  <c r="AW151" i="5"/>
  <c r="AN151" i="5"/>
  <c r="AE151" i="5"/>
  <c r="V151" i="5"/>
  <c r="M151" i="5"/>
  <c r="AW150" i="5"/>
  <c r="AN150" i="5"/>
  <c r="AE150" i="5"/>
  <c r="V150" i="5"/>
  <c r="M150" i="5"/>
  <c r="AW149" i="5"/>
  <c r="AN149" i="5"/>
  <c r="AE149" i="5"/>
  <c r="V149" i="5"/>
  <c r="M149" i="5"/>
  <c r="AW148" i="5"/>
  <c r="AN148" i="5"/>
  <c r="AE148" i="5"/>
  <c r="V148" i="5"/>
  <c r="M148" i="5"/>
  <c r="AW147" i="5"/>
  <c r="AN147" i="5"/>
  <c r="AE147" i="5"/>
  <c r="V147" i="5"/>
  <c r="M147" i="5"/>
  <c r="AW146" i="5"/>
  <c r="AN146" i="5"/>
  <c r="AE146" i="5"/>
  <c r="V146" i="5"/>
  <c r="M146" i="5"/>
  <c r="AW145" i="5"/>
  <c r="AN145" i="5"/>
  <c r="AE145" i="5"/>
  <c r="V145" i="5"/>
  <c r="M145" i="5"/>
  <c r="AW144" i="5"/>
  <c r="AN144" i="5"/>
  <c r="AE144" i="5"/>
  <c r="V144" i="5"/>
  <c r="M144" i="5"/>
  <c r="AW143" i="5"/>
  <c r="AN143" i="5"/>
  <c r="AE143" i="5"/>
  <c r="V143" i="5"/>
  <c r="M143" i="5"/>
  <c r="AW142" i="5"/>
  <c r="AN142" i="5"/>
  <c r="AE142" i="5"/>
  <c r="V142" i="5"/>
  <c r="M142" i="5"/>
  <c r="AW141" i="5"/>
  <c r="AN141" i="5"/>
  <c r="AE141" i="5"/>
  <c r="V141" i="5"/>
  <c r="M141" i="5"/>
  <c r="AW140" i="5"/>
  <c r="AN140" i="5"/>
  <c r="AE140" i="5"/>
  <c r="V140" i="5"/>
  <c r="M140" i="5"/>
  <c r="AW139" i="5"/>
  <c r="AN139" i="5"/>
  <c r="AE139" i="5"/>
  <c r="V139" i="5"/>
  <c r="M139" i="5"/>
  <c r="AW138" i="5"/>
  <c r="AN138" i="5"/>
  <c r="AE138" i="5"/>
  <c r="V138" i="5"/>
  <c r="M138" i="5"/>
  <c r="AW137" i="5"/>
  <c r="AN137" i="5"/>
  <c r="AE137" i="5"/>
  <c r="V137" i="5"/>
  <c r="M137" i="5"/>
  <c r="AW136" i="5"/>
  <c r="AN136" i="5"/>
  <c r="AE136" i="5"/>
  <c r="V136" i="5"/>
  <c r="M136" i="5"/>
  <c r="AW135" i="5"/>
  <c r="AN135" i="5"/>
  <c r="AE135" i="5"/>
  <c r="V135" i="5"/>
  <c r="M135" i="5"/>
  <c r="AW134" i="5"/>
  <c r="AN134" i="5"/>
  <c r="AE134" i="5"/>
  <c r="V134" i="5"/>
  <c r="M134" i="5"/>
  <c r="AW133" i="5"/>
  <c r="AN133" i="5"/>
  <c r="AE133" i="5"/>
  <c r="V133" i="5"/>
  <c r="M133" i="5"/>
  <c r="AW132" i="5"/>
  <c r="AN132" i="5"/>
  <c r="AE132" i="5"/>
  <c r="V132" i="5"/>
  <c r="M132" i="5"/>
  <c r="AW131" i="5"/>
  <c r="AN131" i="5"/>
  <c r="AE131" i="5"/>
  <c r="V131" i="5"/>
  <c r="M131" i="5"/>
  <c r="AW130" i="5"/>
  <c r="AN130" i="5"/>
  <c r="AE130" i="5"/>
  <c r="V130" i="5"/>
  <c r="M130" i="5"/>
  <c r="AW129" i="5"/>
  <c r="AN129" i="5"/>
  <c r="AE129" i="5"/>
  <c r="V129" i="5"/>
  <c r="M129" i="5"/>
  <c r="AW128" i="5"/>
  <c r="AN128" i="5"/>
  <c r="AE128" i="5"/>
  <c r="V128" i="5"/>
  <c r="M128" i="5"/>
  <c r="AW127" i="5"/>
  <c r="AN127" i="5"/>
  <c r="AE127" i="5"/>
  <c r="V127" i="5"/>
  <c r="M127" i="5"/>
  <c r="AW126" i="5"/>
  <c r="AN126" i="5"/>
  <c r="AE126" i="5"/>
  <c r="V126" i="5"/>
  <c r="M126" i="5"/>
  <c r="AW125" i="5"/>
  <c r="AN125" i="5"/>
  <c r="AE125" i="5"/>
  <c r="V125" i="5"/>
  <c r="M125" i="5"/>
  <c r="AW124" i="5"/>
  <c r="AN124" i="5"/>
  <c r="AE124" i="5"/>
  <c r="V124" i="5"/>
  <c r="M124" i="5"/>
  <c r="AW123" i="5"/>
  <c r="AN123" i="5"/>
  <c r="AE123" i="5"/>
  <c r="V123" i="5"/>
  <c r="M123" i="5"/>
  <c r="AW122" i="5"/>
  <c r="AN122" i="5"/>
  <c r="AE122" i="5"/>
  <c r="V122" i="5"/>
  <c r="M122" i="5"/>
  <c r="AW121" i="5"/>
  <c r="AN121" i="5"/>
  <c r="AE121" i="5"/>
  <c r="V121" i="5"/>
  <c r="M121" i="5"/>
  <c r="AW120" i="5"/>
  <c r="AN120" i="5"/>
  <c r="AE120" i="5"/>
  <c r="V120" i="5"/>
  <c r="M120" i="5"/>
  <c r="AW119" i="5"/>
  <c r="AN119" i="5"/>
  <c r="AE119" i="5"/>
  <c r="V119" i="5"/>
  <c r="M119" i="5"/>
  <c r="AW118" i="5"/>
  <c r="AN118" i="5"/>
  <c r="AE118" i="5"/>
  <c r="V118" i="5"/>
  <c r="M118" i="5"/>
  <c r="AW117" i="5"/>
  <c r="AN117" i="5"/>
  <c r="AE117" i="5"/>
  <c r="V117" i="5"/>
  <c r="M117" i="5"/>
  <c r="AW116" i="5"/>
  <c r="AN116" i="5"/>
  <c r="AE116" i="5"/>
  <c r="V116" i="5"/>
  <c r="M116" i="5"/>
  <c r="AW115" i="5"/>
  <c r="AN115" i="5"/>
  <c r="AE115" i="5"/>
  <c r="V115" i="5"/>
  <c r="M115" i="5"/>
  <c r="AW114" i="5"/>
  <c r="AN114" i="5"/>
  <c r="AE114" i="5"/>
  <c r="V114" i="5"/>
  <c r="M114" i="5"/>
  <c r="AW113" i="5"/>
  <c r="AN113" i="5"/>
  <c r="AE113" i="5"/>
  <c r="V113" i="5"/>
  <c r="M113" i="5"/>
  <c r="AW112" i="5"/>
  <c r="AN112" i="5"/>
  <c r="AE112" i="5"/>
  <c r="V112" i="5"/>
  <c r="M112" i="5"/>
  <c r="AW111" i="5"/>
  <c r="AN111" i="5"/>
  <c r="AE111" i="5"/>
  <c r="V111" i="5"/>
  <c r="M111" i="5"/>
  <c r="AW110" i="5"/>
  <c r="AN110" i="5"/>
  <c r="AE110" i="5"/>
  <c r="V110" i="5"/>
  <c r="M110" i="5"/>
  <c r="AW109" i="5"/>
  <c r="AN109" i="5"/>
  <c r="AE109" i="5"/>
  <c r="V109" i="5"/>
  <c r="M109" i="5"/>
  <c r="AW108" i="5"/>
  <c r="AN108" i="5"/>
  <c r="AE108" i="5"/>
  <c r="V108" i="5"/>
  <c r="M108" i="5"/>
  <c r="AW107" i="5"/>
  <c r="AN107" i="5"/>
  <c r="AE107" i="5"/>
  <c r="V107" i="5"/>
  <c r="M107" i="5"/>
  <c r="AW106" i="5"/>
  <c r="AN106" i="5"/>
  <c r="AE106" i="5"/>
  <c r="V106" i="5"/>
  <c r="M106" i="5"/>
  <c r="AW105" i="5"/>
  <c r="AN105" i="5"/>
  <c r="AE105" i="5"/>
  <c r="V105" i="5"/>
  <c r="M105" i="5"/>
  <c r="AW104" i="5"/>
  <c r="AN104" i="5"/>
  <c r="AE104" i="5"/>
  <c r="V104" i="5"/>
  <c r="M104" i="5"/>
  <c r="AW103" i="5"/>
  <c r="AN103" i="5"/>
  <c r="AE103" i="5"/>
  <c r="V103" i="5"/>
  <c r="M103" i="5"/>
  <c r="AW102" i="5"/>
  <c r="AN102" i="5"/>
  <c r="AE102" i="5"/>
  <c r="V102" i="5"/>
  <c r="M102" i="5"/>
  <c r="AW101" i="5"/>
  <c r="AN101" i="5"/>
  <c r="AE101" i="5"/>
  <c r="V101" i="5"/>
  <c r="M101" i="5"/>
  <c r="AW100" i="5"/>
  <c r="AN100" i="5"/>
  <c r="AE100" i="5"/>
  <c r="V100" i="5"/>
  <c r="M100" i="5"/>
  <c r="AW99" i="5"/>
  <c r="AN99" i="5"/>
  <c r="AE99" i="5"/>
  <c r="V99" i="5"/>
  <c r="M99" i="5"/>
  <c r="AW98" i="5"/>
  <c r="AN98" i="5"/>
  <c r="AE98" i="5"/>
  <c r="V98" i="5"/>
  <c r="M98" i="5"/>
  <c r="AW97" i="5"/>
  <c r="AN97" i="5"/>
  <c r="AE97" i="5"/>
  <c r="V97" i="5"/>
  <c r="M97" i="5"/>
  <c r="AW96" i="5"/>
  <c r="AN96" i="5"/>
  <c r="AE96" i="5"/>
  <c r="V96" i="5"/>
  <c r="M96" i="5"/>
  <c r="AW95" i="5"/>
  <c r="AN95" i="5"/>
  <c r="AE95" i="5"/>
  <c r="V95" i="5"/>
  <c r="M95" i="5"/>
  <c r="AW94" i="5"/>
  <c r="AN94" i="5"/>
  <c r="AE94" i="5"/>
  <c r="V94" i="5"/>
  <c r="M94" i="5"/>
  <c r="AW93" i="5"/>
  <c r="AN93" i="5"/>
  <c r="AE93" i="5"/>
  <c r="V93" i="5"/>
  <c r="M93" i="5"/>
  <c r="AW92" i="5"/>
  <c r="AN92" i="5"/>
  <c r="AE92" i="5"/>
  <c r="V92" i="5"/>
  <c r="M92" i="5"/>
  <c r="AW91" i="5"/>
  <c r="AN91" i="5"/>
  <c r="AE91" i="5"/>
  <c r="V91" i="5"/>
  <c r="M91" i="5"/>
  <c r="AW90" i="5"/>
  <c r="AN90" i="5"/>
  <c r="AE90" i="5"/>
  <c r="V90" i="5"/>
  <c r="M90" i="5"/>
  <c r="AW89" i="5"/>
  <c r="AN89" i="5"/>
  <c r="AE89" i="5"/>
  <c r="V89" i="5"/>
  <c r="M89" i="5"/>
  <c r="AW88" i="5"/>
  <c r="AN88" i="5"/>
  <c r="AE88" i="5"/>
  <c r="V88" i="5"/>
  <c r="M88" i="5"/>
  <c r="AW87" i="5"/>
  <c r="AN87" i="5"/>
  <c r="AE87" i="5"/>
  <c r="V87" i="5"/>
  <c r="M87" i="5"/>
  <c r="AW86" i="5"/>
  <c r="AN86" i="5"/>
  <c r="AE86" i="5"/>
  <c r="V86" i="5"/>
  <c r="M86" i="5"/>
  <c r="AW85" i="5"/>
  <c r="AN85" i="5"/>
  <c r="AE85" i="5"/>
  <c r="V85" i="5"/>
  <c r="M85" i="5"/>
  <c r="AW84" i="5"/>
  <c r="AN84" i="5"/>
  <c r="AE84" i="5"/>
  <c r="V84" i="5"/>
  <c r="M84" i="5"/>
  <c r="AW83" i="5"/>
  <c r="AN83" i="5"/>
  <c r="AE83" i="5"/>
  <c r="V83" i="5"/>
  <c r="M83" i="5"/>
  <c r="AW82" i="5"/>
  <c r="AN82" i="5"/>
  <c r="AE82" i="5"/>
  <c r="V82" i="5"/>
  <c r="M82" i="5"/>
  <c r="AW81" i="5"/>
  <c r="AN81" i="5"/>
  <c r="AE81" i="5"/>
  <c r="V81" i="5"/>
  <c r="M81" i="5"/>
  <c r="AW80" i="5"/>
  <c r="AN80" i="5"/>
  <c r="AE80" i="5"/>
  <c r="V80" i="5"/>
  <c r="M80" i="5"/>
  <c r="AW79" i="5"/>
  <c r="AN79" i="5"/>
  <c r="AE79" i="5"/>
  <c r="V79" i="5"/>
  <c r="M79" i="5"/>
  <c r="AW78" i="5"/>
  <c r="AN78" i="5"/>
  <c r="AE78" i="5"/>
  <c r="V78" i="5"/>
  <c r="M78" i="5"/>
  <c r="AW77" i="5"/>
  <c r="AN77" i="5"/>
  <c r="AE77" i="5"/>
  <c r="V77" i="5"/>
  <c r="M77" i="5"/>
  <c r="AW76" i="5"/>
  <c r="AN76" i="5"/>
  <c r="AE76" i="5"/>
  <c r="V76" i="5"/>
  <c r="M76" i="5"/>
  <c r="AW75" i="5"/>
  <c r="AN75" i="5"/>
  <c r="AE75" i="5"/>
  <c r="V75" i="5"/>
  <c r="M75" i="5"/>
  <c r="AW74" i="5"/>
  <c r="AN74" i="5"/>
  <c r="AE74" i="5"/>
  <c r="V74" i="5"/>
  <c r="M74" i="5"/>
  <c r="AW73" i="5"/>
  <c r="AN73" i="5"/>
  <c r="AE73" i="5"/>
  <c r="V73" i="5"/>
  <c r="M73" i="5"/>
  <c r="AW72" i="5"/>
  <c r="AN72" i="5"/>
  <c r="AE72" i="5"/>
  <c r="V72" i="5"/>
  <c r="M72" i="5"/>
  <c r="AW71" i="5"/>
  <c r="AN71" i="5"/>
  <c r="AE71" i="5"/>
  <c r="V71" i="5"/>
  <c r="M71" i="5"/>
  <c r="AW70" i="5"/>
  <c r="AN70" i="5"/>
  <c r="AE70" i="5"/>
  <c r="V70" i="5"/>
  <c r="M70" i="5"/>
  <c r="AW69" i="5"/>
  <c r="AN69" i="5"/>
  <c r="AE69" i="5"/>
  <c r="V69" i="5"/>
  <c r="M69" i="5"/>
  <c r="AW68" i="5"/>
  <c r="AN68" i="5"/>
  <c r="AE68" i="5"/>
  <c r="V68" i="5"/>
  <c r="M68" i="5"/>
  <c r="AW67" i="5"/>
  <c r="AN67" i="5"/>
  <c r="AE67" i="5"/>
  <c r="V67" i="5"/>
  <c r="M67" i="5"/>
  <c r="AW66" i="5"/>
  <c r="AN66" i="5"/>
  <c r="AE66" i="5"/>
  <c r="V66" i="5"/>
  <c r="M66" i="5"/>
  <c r="AW65" i="5"/>
  <c r="AN65" i="5"/>
  <c r="AE65" i="5"/>
  <c r="V65" i="5"/>
  <c r="M65" i="5"/>
  <c r="AW64" i="5"/>
  <c r="AN64" i="5"/>
  <c r="AE64" i="5"/>
  <c r="V64" i="5"/>
  <c r="M64" i="5"/>
  <c r="AW63" i="5"/>
  <c r="AN63" i="5"/>
  <c r="AE63" i="5"/>
  <c r="V63" i="5"/>
  <c r="M63" i="5"/>
  <c r="AW62" i="5"/>
  <c r="AN62" i="5"/>
  <c r="AE62" i="5"/>
  <c r="V62" i="5"/>
  <c r="M62" i="5"/>
  <c r="AW61" i="5"/>
  <c r="AN61" i="5"/>
  <c r="AE61" i="5"/>
  <c r="V61" i="5"/>
  <c r="M61" i="5"/>
  <c r="AW60" i="5"/>
  <c r="AN60" i="5"/>
  <c r="AE60" i="5"/>
  <c r="V60" i="5"/>
  <c r="M60" i="5"/>
  <c r="AW59" i="5"/>
  <c r="AN59" i="5"/>
  <c r="AE59" i="5"/>
  <c r="V59" i="5"/>
  <c r="M59" i="5"/>
  <c r="AW58" i="5"/>
  <c r="AN58" i="5"/>
  <c r="AE58" i="5"/>
  <c r="V58" i="5"/>
  <c r="M58" i="5"/>
  <c r="AW57" i="5"/>
  <c r="AN57" i="5"/>
  <c r="AE57" i="5"/>
  <c r="V57" i="5"/>
  <c r="M57" i="5"/>
  <c r="AW56" i="5"/>
  <c r="AN56" i="5"/>
  <c r="AE56" i="5"/>
  <c r="V56" i="5"/>
  <c r="M56" i="5"/>
  <c r="AW55" i="5"/>
  <c r="AN55" i="5"/>
  <c r="AE55" i="5"/>
  <c r="V55" i="5"/>
  <c r="M55" i="5"/>
  <c r="AW54" i="5"/>
  <c r="AN54" i="5"/>
  <c r="AE54" i="5"/>
  <c r="V54" i="5"/>
  <c r="M54" i="5"/>
  <c r="AW53" i="5"/>
  <c r="AN53" i="5"/>
  <c r="AE53" i="5"/>
  <c r="V53" i="5"/>
  <c r="M53" i="5"/>
  <c r="AW52" i="5"/>
  <c r="AN52" i="5"/>
  <c r="AE52" i="5"/>
  <c r="V52" i="5"/>
  <c r="M52" i="5"/>
  <c r="AW51" i="5"/>
  <c r="AN51" i="5"/>
  <c r="AE51" i="5"/>
  <c r="V51" i="5"/>
  <c r="M51" i="5"/>
  <c r="AW50" i="5"/>
  <c r="AN50" i="5"/>
  <c r="AE50" i="5"/>
  <c r="V50" i="5"/>
  <c r="M50" i="5"/>
  <c r="AW49" i="5"/>
  <c r="AN49" i="5"/>
  <c r="AE49" i="5"/>
  <c r="V49" i="5"/>
  <c r="M49" i="5"/>
  <c r="AW48" i="5"/>
  <c r="AN48" i="5"/>
  <c r="AE48" i="5"/>
  <c r="V48" i="5"/>
  <c r="M48" i="5"/>
  <c r="AW47" i="5"/>
  <c r="AN47" i="5"/>
  <c r="AE47" i="5"/>
  <c r="V47" i="5"/>
  <c r="M47" i="5"/>
  <c r="AW46" i="5"/>
  <c r="AN46" i="5"/>
  <c r="AE46" i="5"/>
  <c r="V46" i="5"/>
  <c r="M46" i="5"/>
  <c r="AW45" i="5"/>
  <c r="AN45" i="5"/>
  <c r="AE45" i="5"/>
  <c r="V45" i="5"/>
  <c r="M45" i="5"/>
  <c r="AW44" i="5"/>
  <c r="AN44" i="5"/>
  <c r="AE44" i="5"/>
  <c r="V44" i="5"/>
  <c r="M44" i="5"/>
  <c r="AW43" i="5"/>
  <c r="AN43" i="5"/>
  <c r="AE43" i="5"/>
  <c r="V43" i="5"/>
  <c r="M43" i="5"/>
  <c r="AW42" i="5"/>
  <c r="AN42" i="5"/>
  <c r="AE42" i="5"/>
  <c r="V42" i="5"/>
  <c r="M42" i="5"/>
  <c r="AW41" i="5"/>
  <c r="AN41" i="5"/>
  <c r="AE41" i="5"/>
  <c r="V41" i="5"/>
  <c r="M41" i="5"/>
  <c r="AW40" i="5"/>
  <c r="AN40" i="5"/>
  <c r="AE40" i="5"/>
  <c r="V40" i="5"/>
  <c r="M40" i="5"/>
  <c r="AW39" i="5"/>
  <c r="AN39" i="5"/>
  <c r="AE39" i="5"/>
  <c r="V39" i="5"/>
  <c r="M39" i="5"/>
  <c r="AW38" i="5"/>
  <c r="AN38" i="5"/>
  <c r="AE38" i="5"/>
  <c r="V38" i="5"/>
  <c r="M38" i="5"/>
  <c r="AW37" i="5"/>
  <c r="AN37" i="5"/>
  <c r="AE37" i="5"/>
  <c r="V37" i="5"/>
  <c r="M37" i="5"/>
  <c r="AW36" i="5"/>
  <c r="AN36" i="5"/>
  <c r="AE36" i="5"/>
  <c r="V36" i="5"/>
  <c r="M36" i="5"/>
  <c r="AW35" i="5"/>
  <c r="AN35" i="5"/>
  <c r="AE35" i="5"/>
  <c r="V35" i="5"/>
  <c r="M35" i="5"/>
  <c r="AW34" i="5"/>
  <c r="AN34" i="5"/>
  <c r="AE34" i="5"/>
  <c r="V34" i="5"/>
  <c r="M34" i="5"/>
  <c r="AW33" i="5"/>
  <c r="AN33" i="5"/>
  <c r="AE33" i="5"/>
  <c r="V33" i="5"/>
  <c r="M33" i="5"/>
  <c r="AW32" i="5"/>
  <c r="AN32" i="5"/>
  <c r="AE32" i="5"/>
  <c r="V32" i="5"/>
  <c r="M32" i="5"/>
  <c r="AW31" i="5"/>
  <c r="AN31" i="5"/>
  <c r="AE31" i="5"/>
  <c r="V31" i="5"/>
  <c r="M31" i="5"/>
  <c r="AW30" i="5"/>
  <c r="AN30" i="5"/>
  <c r="AE30" i="5"/>
  <c r="V30" i="5"/>
  <c r="M30" i="5"/>
  <c r="AW29" i="5"/>
  <c r="AN29" i="5"/>
  <c r="AE29" i="5"/>
  <c r="V29" i="5"/>
  <c r="M29" i="5"/>
  <c r="AW28" i="5"/>
  <c r="AN28" i="5"/>
  <c r="AE28" i="5"/>
  <c r="V28" i="5"/>
  <c r="M28" i="5"/>
  <c r="AW27" i="5"/>
  <c r="AN27" i="5"/>
  <c r="AE27" i="5"/>
  <c r="V27" i="5"/>
  <c r="M27" i="5"/>
  <c r="AW26" i="5"/>
  <c r="AN26" i="5"/>
  <c r="AE26" i="5"/>
  <c r="V26" i="5"/>
  <c r="M26" i="5"/>
  <c r="AW25" i="5"/>
  <c r="AN25" i="5"/>
  <c r="AE25" i="5"/>
  <c r="V25" i="5"/>
  <c r="M25" i="5"/>
  <c r="AW24" i="5"/>
  <c r="AN24" i="5"/>
  <c r="AE24" i="5"/>
  <c r="V24" i="5"/>
  <c r="M24" i="5"/>
  <c r="AW23" i="5"/>
  <c r="AN23" i="5"/>
  <c r="AE23" i="5"/>
  <c r="V23" i="5"/>
  <c r="M23" i="5"/>
  <c r="AW22" i="5"/>
  <c r="AN22" i="5"/>
  <c r="AE22" i="5"/>
  <c r="V22" i="5"/>
  <c r="M22" i="5"/>
  <c r="AW21" i="5"/>
  <c r="AN21" i="5"/>
  <c r="AE21" i="5"/>
  <c r="V21" i="5"/>
  <c r="M21" i="5"/>
  <c r="AW20" i="5"/>
  <c r="AN20" i="5"/>
  <c r="AE20" i="5"/>
  <c r="V20" i="5"/>
  <c r="M20" i="5"/>
  <c r="AW19" i="5"/>
  <c r="AN19" i="5"/>
  <c r="AE19" i="5"/>
  <c r="V19" i="5"/>
  <c r="M19" i="5"/>
  <c r="AW18" i="5"/>
  <c r="AN18" i="5"/>
  <c r="AE18" i="5"/>
  <c r="V18" i="5"/>
  <c r="M18" i="5"/>
  <c r="AW17" i="5"/>
  <c r="AN17" i="5"/>
  <c r="AE17" i="5"/>
  <c r="V17" i="5"/>
  <c r="M17" i="5"/>
  <c r="AW16" i="5"/>
  <c r="AN16" i="5"/>
  <c r="AE16" i="5"/>
  <c r="V16" i="5"/>
  <c r="M16" i="5"/>
  <c r="AW15" i="5"/>
  <c r="AN15" i="5"/>
  <c r="AE15" i="5"/>
  <c r="V15" i="5"/>
  <c r="M15" i="5"/>
  <c r="AW14" i="5"/>
  <c r="AN14" i="5"/>
  <c r="AE14" i="5"/>
  <c r="V14" i="5"/>
  <c r="M14" i="5"/>
  <c r="AW13" i="5"/>
  <c r="AN13" i="5"/>
  <c r="AE13" i="5"/>
  <c r="V13" i="5"/>
  <c r="M13" i="5"/>
  <c r="AW12" i="5"/>
  <c r="T9" i="1" s="1"/>
  <c r="AN12" i="5"/>
  <c r="AE12" i="5"/>
  <c r="V12" i="5"/>
  <c r="M12" i="5"/>
  <c r="AW11" i="5"/>
  <c r="AN11" i="5"/>
  <c r="AE11" i="5"/>
  <c r="V11" i="5"/>
  <c r="I9" i="1" s="1"/>
  <c r="M11" i="5"/>
  <c r="AW10" i="5"/>
  <c r="AN10" i="5"/>
  <c r="AE10" i="5"/>
  <c r="V10" i="5"/>
  <c r="M10" i="5"/>
  <c r="AW9" i="5"/>
  <c r="AN9" i="5"/>
  <c r="P9" i="1" s="1"/>
  <c r="AE9" i="5"/>
  <c r="V9" i="5"/>
  <c r="M9" i="5"/>
  <c r="AW8" i="5"/>
  <c r="AN8" i="5"/>
  <c r="AE8" i="5"/>
  <c r="V8" i="5"/>
  <c r="M8" i="5"/>
  <c r="E9" i="1" s="1"/>
  <c r="AW7" i="5"/>
  <c r="AN7" i="5"/>
  <c r="AE7" i="5"/>
  <c r="V7" i="5"/>
  <c r="M7" i="5"/>
  <c r="AW6" i="5"/>
  <c r="AN6" i="5"/>
  <c r="AE6" i="5"/>
  <c r="M9" i="1" s="1"/>
  <c r="V6" i="5"/>
  <c r="M6" i="5"/>
  <c r="AW5" i="5"/>
  <c r="AN5" i="5"/>
  <c r="AE5" i="5"/>
  <c r="V5" i="5"/>
  <c r="M5" i="5"/>
  <c r="AW85" i="4"/>
  <c r="AN85" i="4"/>
  <c r="AE85" i="4"/>
  <c r="V85" i="4"/>
  <c r="M85" i="4"/>
  <c r="AW84" i="4"/>
  <c r="AN84" i="4"/>
  <c r="AE84" i="4"/>
  <c r="V84" i="4"/>
  <c r="M84" i="4"/>
  <c r="AW83" i="4"/>
  <c r="AN83" i="4"/>
  <c r="AE83" i="4"/>
  <c r="V83" i="4"/>
  <c r="M83" i="4"/>
  <c r="AW82" i="4"/>
  <c r="AN82" i="4"/>
  <c r="AE82" i="4"/>
  <c r="V82" i="4"/>
  <c r="M82" i="4"/>
  <c r="AW81" i="4"/>
  <c r="AN81" i="4"/>
  <c r="AE81" i="4"/>
  <c r="V81" i="4"/>
  <c r="M81" i="4"/>
  <c r="AW80" i="4"/>
  <c r="AN80" i="4"/>
  <c r="AE80" i="4"/>
  <c r="V80" i="4"/>
  <c r="M80" i="4"/>
  <c r="AW79" i="4"/>
  <c r="AN79" i="4"/>
  <c r="AE79" i="4"/>
  <c r="V79" i="4"/>
  <c r="M79" i="4"/>
  <c r="AW78" i="4"/>
  <c r="AN78" i="4"/>
  <c r="AE78" i="4"/>
  <c r="V78" i="4"/>
  <c r="M78" i="4"/>
  <c r="AW77" i="4"/>
  <c r="AN77" i="4"/>
  <c r="AE77" i="4"/>
  <c r="V77" i="4"/>
  <c r="M77" i="4"/>
  <c r="AW76" i="4"/>
  <c r="AN76" i="4"/>
  <c r="AE76" i="4"/>
  <c r="V76" i="4"/>
  <c r="M76" i="4"/>
  <c r="AW75" i="4"/>
  <c r="AN75" i="4"/>
  <c r="AE75" i="4"/>
  <c r="V75" i="4"/>
  <c r="M75" i="4"/>
  <c r="AW74" i="4"/>
  <c r="AN74" i="4"/>
  <c r="AE74" i="4"/>
  <c r="V74" i="4"/>
  <c r="M74" i="4"/>
  <c r="AW73" i="4"/>
  <c r="AN73" i="4"/>
  <c r="AE73" i="4"/>
  <c r="V73" i="4"/>
  <c r="M73" i="4"/>
  <c r="AW72" i="4"/>
  <c r="AN72" i="4"/>
  <c r="AE72" i="4"/>
  <c r="V72" i="4"/>
  <c r="M72" i="4"/>
  <c r="AW71" i="4"/>
  <c r="AN71" i="4"/>
  <c r="AE71" i="4"/>
  <c r="V71" i="4"/>
  <c r="M71" i="4"/>
  <c r="AW70" i="4"/>
  <c r="AN70" i="4"/>
  <c r="AE70" i="4"/>
  <c r="V70" i="4"/>
  <c r="M70" i="4"/>
  <c r="AW69" i="4"/>
  <c r="AN69" i="4"/>
  <c r="AE69" i="4"/>
  <c r="V69" i="4"/>
  <c r="M69" i="4"/>
  <c r="AW68" i="4"/>
  <c r="AN68" i="4"/>
  <c r="AE68" i="4"/>
  <c r="V68" i="4"/>
  <c r="M68" i="4"/>
  <c r="AW67" i="4"/>
  <c r="AN67" i="4"/>
  <c r="AE67" i="4"/>
  <c r="V67" i="4"/>
  <c r="M67" i="4"/>
  <c r="AW66" i="4"/>
  <c r="AN66" i="4"/>
  <c r="AE66" i="4"/>
  <c r="V66" i="4"/>
  <c r="M66" i="4"/>
  <c r="AW65" i="4"/>
  <c r="AN65" i="4"/>
  <c r="AE65" i="4"/>
  <c r="V65" i="4"/>
  <c r="M65" i="4"/>
  <c r="AW64" i="4"/>
  <c r="AN64" i="4"/>
  <c r="AE64" i="4"/>
  <c r="V64" i="4"/>
  <c r="M64" i="4"/>
  <c r="AW63" i="4"/>
  <c r="AN63" i="4"/>
  <c r="AE63" i="4"/>
  <c r="V63" i="4"/>
  <c r="M63" i="4"/>
  <c r="AW62" i="4"/>
  <c r="AN62" i="4"/>
  <c r="AE62" i="4"/>
  <c r="V62" i="4"/>
  <c r="M62" i="4"/>
  <c r="AW61" i="4"/>
  <c r="AN61" i="4"/>
  <c r="AE61" i="4"/>
  <c r="V61" i="4"/>
  <c r="M61" i="4"/>
  <c r="AW60" i="4"/>
  <c r="AN60" i="4"/>
  <c r="AE60" i="4"/>
  <c r="V60" i="4"/>
  <c r="M60" i="4"/>
  <c r="AW59" i="4"/>
  <c r="AN59" i="4"/>
  <c r="AE59" i="4"/>
  <c r="V59" i="4"/>
  <c r="M59" i="4"/>
  <c r="AW58" i="4"/>
  <c r="AN58" i="4"/>
  <c r="AE58" i="4"/>
  <c r="V58" i="4"/>
  <c r="M58" i="4"/>
  <c r="AW57" i="4"/>
  <c r="AN57" i="4"/>
  <c r="AE57" i="4"/>
  <c r="V57" i="4"/>
  <c r="M57" i="4"/>
  <c r="AW56" i="4"/>
  <c r="AN56" i="4"/>
  <c r="AE56" i="4"/>
  <c r="V56" i="4"/>
  <c r="M56" i="4"/>
  <c r="AW55" i="4"/>
  <c r="AN55" i="4"/>
  <c r="AE55" i="4"/>
  <c r="V55" i="4"/>
  <c r="M55" i="4"/>
  <c r="AW54" i="4"/>
  <c r="AN54" i="4"/>
  <c r="AE54" i="4"/>
  <c r="V54" i="4"/>
  <c r="M54" i="4"/>
  <c r="AW53" i="4"/>
  <c r="AN53" i="4"/>
  <c r="AE53" i="4"/>
  <c r="V53" i="4"/>
  <c r="M53" i="4"/>
  <c r="AW52" i="4"/>
  <c r="AN52" i="4"/>
  <c r="AE52" i="4"/>
  <c r="V52" i="4"/>
  <c r="M52" i="4"/>
  <c r="AW51" i="4"/>
  <c r="AN51" i="4"/>
  <c r="AE51" i="4"/>
  <c r="V51" i="4"/>
  <c r="M51" i="4"/>
  <c r="AW50" i="4"/>
  <c r="AN50" i="4"/>
  <c r="AE50" i="4"/>
  <c r="V50" i="4"/>
  <c r="M50" i="4"/>
  <c r="AW49" i="4"/>
  <c r="AN49" i="4"/>
  <c r="AE49" i="4"/>
  <c r="V49" i="4"/>
  <c r="M49" i="4"/>
  <c r="AW48" i="4"/>
  <c r="AN48" i="4"/>
  <c r="AE48" i="4"/>
  <c r="V48" i="4"/>
  <c r="M48" i="4"/>
  <c r="AW47" i="4"/>
  <c r="AN47" i="4"/>
  <c r="AE47" i="4"/>
  <c r="V47" i="4"/>
  <c r="M47" i="4"/>
  <c r="AW46" i="4"/>
  <c r="AN46" i="4"/>
  <c r="AE46" i="4"/>
  <c r="V46" i="4"/>
  <c r="M46" i="4"/>
  <c r="AW45" i="4"/>
  <c r="AN45" i="4"/>
  <c r="AE45" i="4"/>
  <c r="V45" i="4"/>
  <c r="M45" i="4"/>
  <c r="AW44" i="4"/>
  <c r="AN44" i="4"/>
  <c r="AE44" i="4"/>
  <c r="V44" i="4"/>
  <c r="M44" i="4"/>
  <c r="AW43" i="4"/>
  <c r="AN43" i="4"/>
  <c r="AE43" i="4"/>
  <c r="V43" i="4"/>
  <c r="M43" i="4"/>
  <c r="AW42" i="4"/>
  <c r="AN42" i="4"/>
  <c r="AE42" i="4"/>
  <c r="V42" i="4"/>
  <c r="M42" i="4"/>
  <c r="AW41" i="4"/>
  <c r="AN41" i="4"/>
  <c r="AE41" i="4"/>
  <c r="V41" i="4"/>
  <c r="M41" i="4"/>
  <c r="AW40" i="4"/>
  <c r="AN40" i="4"/>
  <c r="AE40" i="4"/>
  <c r="V40" i="4"/>
  <c r="M40" i="4"/>
  <c r="AW39" i="4"/>
  <c r="AN39" i="4"/>
  <c r="AE39" i="4"/>
  <c r="V39" i="4"/>
  <c r="M39" i="4"/>
  <c r="AW38" i="4"/>
  <c r="AN38" i="4"/>
  <c r="AE38" i="4"/>
  <c r="V38" i="4"/>
  <c r="M38" i="4"/>
  <c r="AW37" i="4"/>
  <c r="AN37" i="4"/>
  <c r="AE37" i="4"/>
  <c r="V37" i="4"/>
  <c r="M37" i="4"/>
  <c r="AW36" i="4"/>
  <c r="AN36" i="4"/>
  <c r="AE36" i="4"/>
  <c r="V36" i="4"/>
  <c r="M36" i="4"/>
  <c r="AW35" i="4"/>
  <c r="AN35" i="4"/>
  <c r="AE35" i="4"/>
  <c r="V35" i="4"/>
  <c r="M35" i="4"/>
  <c r="AW34" i="4"/>
  <c r="AN34" i="4"/>
  <c r="AE34" i="4"/>
  <c r="V34" i="4"/>
  <c r="M34" i="4"/>
  <c r="AW33" i="4"/>
  <c r="AN33" i="4"/>
  <c r="AE33" i="4"/>
  <c r="V33" i="4"/>
  <c r="M33" i="4"/>
  <c r="AW32" i="4"/>
  <c r="AN32" i="4"/>
  <c r="AE32" i="4"/>
  <c r="V32" i="4"/>
  <c r="M32" i="4"/>
  <c r="AW31" i="4"/>
  <c r="AN31" i="4"/>
  <c r="AE31" i="4"/>
  <c r="V31" i="4"/>
  <c r="M31" i="4"/>
  <c r="AW30" i="4"/>
  <c r="AN30" i="4"/>
  <c r="AE30" i="4"/>
  <c r="V30" i="4"/>
  <c r="M30" i="4"/>
  <c r="AW29" i="4"/>
  <c r="AN29" i="4"/>
  <c r="AE29" i="4"/>
  <c r="V29" i="4"/>
  <c r="M29" i="4"/>
  <c r="AW28" i="4"/>
  <c r="AN28" i="4"/>
  <c r="AE28" i="4"/>
  <c r="V28" i="4"/>
  <c r="M28" i="4"/>
  <c r="AW27" i="4"/>
  <c r="AN27" i="4"/>
  <c r="AE27" i="4"/>
  <c r="V27" i="4"/>
  <c r="M27" i="4"/>
  <c r="AW26" i="4"/>
  <c r="AN26" i="4"/>
  <c r="AE26" i="4"/>
  <c r="V26" i="4"/>
  <c r="M26" i="4"/>
  <c r="AW25" i="4"/>
  <c r="AN25" i="4"/>
  <c r="AE25" i="4"/>
  <c r="V25" i="4"/>
  <c r="M25" i="4"/>
  <c r="AW24" i="4"/>
  <c r="AN24" i="4"/>
  <c r="AE24" i="4"/>
  <c r="V24" i="4"/>
  <c r="M24" i="4"/>
  <c r="AW23" i="4"/>
  <c r="AN23" i="4"/>
  <c r="AE23" i="4"/>
  <c r="V23" i="4"/>
  <c r="M23" i="4"/>
  <c r="AW22" i="4"/>
  <c r="AN22" i="4"/>
  <c r="AE22" i="4"/>
  <c r="V22" i="4"/>
  <c r="M22" i="4"/>
  <c r="AW21" i="4"/>
  <c r="AN21" i="4"/>
  <c r="AE21" i="4"/>
  <c r="V21" i="4"/>
  <c r="M21" i="4"/>
  <c r="AW20" i="4"/>
  <c r="AN20" i="4"/>
  <c r="AE20" i="4"/>
  <c r="V20" i="4"/>
  <c r="M20" i="4"/>
  <c r="AW19" i="4"/>
  <c r="AN19" i="4"/>
  <c r="AE19" i="4"/>
  <c r="V19" i="4"/>
  <c r="M19" i="4"/>
  <c r="AW18" i="4"/>
  <c r="AN18" i="4"/>
  <c r="AE18" i="4"/>
  <c r="V18" i="4"/>
  <c r="M18" i="4"/>
  <c r="AW17" i="4"/>
  <c r="AN17" i="4"/>
  <c r="AE17" i="4"/>
  <c r="V17" i="4"/>
  <c r="M17" i="4"/>
  <c r="AW16" i="4"/>
  <c r="AN16" i="4"/>
  <c r="AE16" i="4"/>
  <c r="V16" i="4"/>
  <c r="M16" i="4"/>
  <c r="AW15" i="4"/>
  <c r="AN15" i="4"/>
  <c r="AE15" i="4"/>
  <c r="V15" i="4"/>
  <c r="M15" i="4"/>
  <c r="AW14" i="4"/>
  <c r="AN14" i="4"/>
  <c r="AE14" i="4"/>
  <c r="V14" i="4"/>
  <c r="M14" i="4"/>
  <c r="AW13" i="4"/>
  <c r="AN13" i="4"/>
  <c r="AE13" i="4"/>
  <c r="V13" i="4"/>
  <c r="M13" i="4"/>
  <c r="AW12" i="4"/>
  <c r="AN12" i="4"/>
  <c r="AE12" i="4"/>
  <c r="V12" i="4"/>
  <c r="H8" i="1" s="1"/>
  <c r="M12" i="4"/>
  <c r="AW11" i="4"/>
  <c r="AN11" i="4"/>
  <c r="AE11" i="4"/>
  <c r="V11" i="4"/>
  <c r="M11" i="4"/>
  <c r="AW10" i="4"/>
  <c r="AN10" i="4"/>
  <c r="AE10" i="4"/>
  <c r="V10" i="4"/>
  <c r="M10" i="4"/>
  <c r="AW9" i="4"/>
  <c r="AN9" i="4"/>
  <c r="AE9" i="4"/>
  <c r="V9" i="4"/>
  <c r="M9" i="4"/>
  <c r="D8" i="1" s="1"/>
  <c r="AW8" i="4"/>
  <c r="AN8" i="4"/>
  <c r="AE8" i="4"/>
  <c r="V8" i="4"/>
  <c r="M8" i="4"/>
  <c r="AW7" i="4"/>
  <c r="AN7" i="4"/>
  <c r="AE7" i="4"/>
  <c r="L8" i="1" s="1"/>
  <c r="V7" i="4"/>
  <c r="M7" i="4"/>
  <c r="AW6" i="4"/>
  <c r="AN6" i="4"/>
  <c r="AE6" i="4"/>
  <c r="V6" i="4"/>
  <c r="M6" i="4"/>
  <c r="AW5" i="4"/>
  <c r="U8" i="1" s="1"/>
  <c r="AN5" i="4"/>
  <c r="AE5" i="4"/>
  <c r="V5" i="4"/>
  <c r="M5" i="4"/>
  <c r="AW67" i="3"/>
  <c r="AN67" i="3"/>
  <c r="AE67" i="3"/>
  <c r="V67" i="3"/>
  <c r="M67" i="3"/>
  <c r="AW66" i="3"/>
  <c r="AN66" i="3"/>
  <c r="AE66" i="3"/>
  <c r="V66" i="3"/>
  <c r="M66" i="3"/>
  <c r="AW65" i="3"/>
  <c r="AN65" i="3"/>
  <c r="AE65" i="3"/>
  <c r="V65" i="3"/>
  <c r="M65" i="3"/>
  <c r="AW64" i="3"/>
  <c r="AN64" i="3"/>
  <c r="AE64" i="3"/>
  <c r="V64" i="3"/>
  <c r="M64" i="3"/>
  <c r="AW63" i="3"/>
  <c r="AN63" i="3"/>
  <c r="AE63" i="3"/>
  <c r="V63" i="3"/>
  <c r="M63" i="3"/>
  <c r="AW62" i="3"/>
  <c r="AN62" i="3"/>
  <c r="AE62" i="3"/>
  <c r="V62" i="3"/>
  <c r="M62" i="3"/>
  <c r="AW61" i="3"/>
  <c r="AN61" i="3"/>
  <c r="AE61" i="3"/>
  <c r="V61" i="3"/>
  <c r="M61" i="3"/>
  <c r="AW60" i="3"/>
  <c r="AN60" i="3"/>
  <c r="AE60" i="3"/>
  <c r="V60" i="3"/>
  <c r="M60" i="3"/>
  <c r="AW59" i="3"/>
  <c r="AN59" i="3"/>
  <c r="AE59" i="3"/>
  <c r="V59" i="3"/>
  <c r="M59" i="3"/>
  <c r="AW58" i="3"/>
  <c r="AN58" i="3"/>
  <c r="AE58" i="3"/>
  <c r="V58" i="3"/>
  <c r="M58" i="3"/>
  <c r="AW57" i="3"/>
  <c r="AN57" i="3"/>
  <c r="AE57" i="3"/>
  <c r="V57" i="3"/>
  <c r="M57" i="3"/>
  <c r="AW56" i="3"/>
  <c r="AN56" i="3"/>
  <c r="AE56" i="3"/>
  <c r="V56" i="3"/>
  <c r="M56" i="3"/>
  <c r="AW55" i="3"/>
  <c r="AN55" i="3"/>
  <c r="AE55" i="3"/>
  <c r="V55" i="3"/>
  <c r="M55" i="3"/>
  <c r="AW54" i="3"/>
  <c r="AN54" i="3"/>
  <c r="AE54" i="3"/>
  <c r="V54" i="3"/>
  <c r="M54" i="3"/>
  <c r="AW53" i="3"/>
  <c r="AN53" i="3"/>
  <c r="AE53" i="3"/>
  <c r="V53" i="3"/>
  <c r="M53" i="3"/>
  <c r="AW52" i="3"/>
  <c r="AN52" i="3"/>
  <c r="AE52" i="3"/>
  <c r="V52" i="3"/>
  <c r="M52" i="3"/>
  <c r="AW51" i="3"/>
  <c r="AN51" i="3"/>
  <c r="AE51" i="3"/>
  <c r="V51" i="3"/>
  <c r="M51" i="3"/>
  <c r="AW50" i="3"/>
  <c r="AN50" i="3"/>
  <c r="AE50" i="3"/>
  <c r="V50" i="3"/>
  <c r="M50" i="3"/>
  <c r="AW49" i="3"/>
  <c r="AN49" i="3"/>
  <c r="AE49" i="3"/>
  <c r="V49" i="3"/>
  <c r="M49" i="3"/>
  <c r="AW48" i="3"/>
  <c r="AN48" i="3"/>
  <c r="AE48" i="3"/>
  <c r="V48" i="3"/>
  <c r="M48" i="3"/>
  <c r="AW47" i="3"/>
  <c r="AN47" i="3"/>
  <c r="AE47" i="3"/>
  <c r="V47" i="3"/>
  <c r="M47" i="3"/>
  <c r="AW46" i="3"/>
  <c r="AN46" i="3"/>
  <c r="AE46" i="3"/>
  <c r="V46" i="3"/>
  <c r="M46" i="3"/>
  <c r="AW45" i="3"/>
  <c r="AN45" i="3"/>
  <c r="AE45" i="3"/>
  <c r="V45" i="3"/>
  <c r="M45" i="3"/>
  <c r="AW44" i="3"/>
  <c r="AN44" i="3"/>
  <c r="AE44" i="3"/>
  <c r="V44" i="3"/>
  <c r="M44" i="3"/>
  <c r="AW43" i="3"/>
  <c r="AN43" i="3"/>
  <c r="AE43" i="3"/>
  <c r="V43" i="3"/>
  <c r="M43" i="3"/>
  <c r="AW42" i="3"/>
  <c r="AN42" i="3"/>
  <c r="AE42" i="3"/>
  <c r="V42" i="3"/>
  <c r="M42" i="3"/>
  <c r="AW41" i="3"/>
  <c r="AN41" i="3"/>
  <c r="AE41" i="3"/>
  <c r="V41" i="3"/>
  <c r="M41" i="3"/>
  <c r="AW40" i="3"/>
  <c r="AN40" i="3"/>
  <c r="AE40" i="3"/>
  <c r="V40" i="3"/>
  <c r="M40" i="3"/>
  <c r="AW39" i="3"/>
  <c r="AN39" i="3"/>
  <c r="AE39" i="3"/>
  <c r="V39" i="3"/>
  <c r="M39" i="3"/>
  <c r="AW38" i="3"/>
  <c r="AN38" i="3"/>
  <c r="AE38" i="3"/>
  <c r="V38" i="3"/>
  <c r="M38" i="3"/>
  <c r="AW37" i="3"/>
  <c r="AN37" i="3"/>
  <c r="AE37" i="3"/>
  <c r="V37" i="3"/>
  <c r="M37" i="3"/>
  <c r="AW36" i="3"/>
  <c r="AN36" i="3"/>
  <c r="AE36" i="3"/>
  <c r="V36" i="3"/>
  <c r="M36" i="3"/>
  <c r="AW35" i="3"/>
  <c r="AN35" i="3"/>
  <c r="AE35" i="3"/>
  <c r="V35" i="3"/>
  <c r="M35" i="3"/>
  <c r="AW34" i="3"/>
  <c r="AN34" i="3"/>
  <c r="AE34" i="3"/>
  <c r="V34" i="3"/>
  <c r="M34" i="3"/>
  <c r="AW33" i="3"/>
  <c r="AN33" i="3"/>
  <c r="AE33" i="3"/>
  <c r="V33" i="3"/>
  <c r="M33" i="3"/>
  <c r="AW32" i="3"/>
  <c r="AN32" i="3"/>
  <c r="AE32" i="3"/>
  <c r="V32" i="3"/>
  <c r="M32" i="3"/>
  <c r="AW31" i="3"/>
  <c r="AN31" i="3"/>
  <c r="AE31" i="3"/>
  <c r="V31" i="3"/>
  <c r="M31" i="3"/>
  <c r="AW30" i="3"/>
  <c r="AN30" i="3"/>
  <c r="AE30" i="3"/>
  <c r="V30" i="3"/>
  <c r="M30" i="3"/>
  <c r="AW29" i="3"/>
  <c r="AN29" i="3"/>
  <c r="AE29" i="3"/>
  <c r="V29" i="3"/>
  <c r="M29" i="3"/>
  <c r="AW28" i="3"/>
  <c r="AN28" i="3"/>
  <c r="AE28" i="3"/>
  <c r="V28" i="3"/>
  <c r="M28" i="3"/>
  <c r="AW27" i="3"/>
  <c r="AN27" i="3"/>
  <c r="AE27" i="3"/>
  <c r="V27" i="3"/>
  <c r="M27" i="3"/>
  <c r="AW26" i="3"/>
  <c r="AN26" i="3"/>
  <c r="AE26" i="3"/>
  <c r="V26" i="3"/>
  <c r="M26" i="3"/>
  <c r="AW25" i="3"/>
  <c r="AN25" i="3"/>
  <c r="AE25" i="3"/>
  <c r="V25" i="3"/>
  <c r="M25" i="3"/>
  <c r="AW24" i="3"/>
  <c r="AN24" i="3"/>
  <c r="AE24" i="3"/>
  <c r="V24" i="3"/>
  <c r="M24" i="3"/>
  <c r="AW23" i="3"/>
  <c r="AN23" i="3"/>
  <c r="AE23" i="3"/>
  <c r="V23" i="3"/>
  <c r="M23" i="3"/>
  <c r="AW22" i="3"/>
  <c r="AN22" i="3"/>
  <c r="AE22" i="3"/>
  <c r="V22" i="3"/>
  <c r="M22" i="3"/>
  <c r="AW21" i="3"/>
  <c r="AN21" i="3"/>
  <c r="AE21" i="3"/>
  <c r="V21" i="3"/>
  <c r="M21" i="3"/>
  <c r="AW20" i="3"/>
  <c r="AN20" i="3"/>
  <c r="AE20" i="3"/>
  <c r="V20" i="3"/>
  <c r="M20" i="3"/>
  <c r="AW19" i="3"/>
  <c r="AN19" i="3"/>
  <c r="AE19" i="3"/>
  <c r="V19" i="3"/>
  <c r="M19" i="3"/>
  <c r="AW18" i="3"/>
  <c r="AN18" i="3"/>
  <c r="AE18" i="3"/>
  <c r="V18" i="3"/>
  <c r="M18" i="3"/>
  <c r="AW17" i="3"/>
  <c r="AN17" i="3"/>
  <c r="AE17" i="3"/>
  <c r="V17" i="3"/>
  <c r="M17" i="3"/>
  <c r="AW16" i="3"/>
  <c r="AN16" i="3"/>
  <c r="AE16" i="3"/>
  <c r="V16" i="3"/>
  <c r="M16" i="3"/>
  <c r="AW15" i="3"/>
  <c r="AN15" i="3"/>
  <c r="AE15" i="3"/>
  <c r="V15" i="3"/>
  <c r="M15" i="3"/>
  <c r="AW14" i="3"/>
  <c r="AN14" i="3"/>
  <c r="AE14" i="3"/>
  <c r="V14" i="3"/>
  <c r="M14" i="3"/>
  <c r="AW13" i="3"/>
  <c r="AN13" i="3"/>
  <c r="AE13" i="3"/>
  <c r="V13" i="3"/>
  <c r="M13" i="3"/>
  <c r="AW12" i="3"/>
  <c r="U7" i="1" s="1"/>
  <c r="AN12" i="3"/>
  <c r="AE12" i="3"/>
  <c r="V12" i="3"/>
  <c r="M12" i="3"/>
  <c r="AW11" i="3"/>
  <c r="AN11" i="3"/>
  <c r="AE11" i="3"/>
  <c r="V11" i="3"/>
  <c r="I7" i="1" s="1"/>
  <c r="M11" i="3"/>
  <c r="AW10" i="3"/>
  <c r="AN10" i="3"/>
  <c r="AE10" i="3"/>
  <c r="V10" i="3"/>
  <c r="M10" i="3"/>
  <c r="AW9" i="3"/>
  <c r="AN9" i="3"/>
  <c r="Q7" i="1" s="1"/>
  <c r="AE9" i="3"/>
  <c r="V9" i="3"/>
  <c r="M9" i="3"/>
  <c r="AW8" i="3"/>
  <c r="AN8" i="3"/>
  <c r="AE8" i="3"/>
  <c r="V8" i="3"/>
  <c r="M8" i="3"/>
  <c r="AW7" i="3"/>
  <c r="AN7" i="3"/>
  <c r="AE7" i="3"/>
  <c r="V7" i="3"/>
  <c r="M7" i="3"/>
  <c r="AW6" i="3"/>
  <c r="AN6" i="3"/>
  <c r="AE6" i="3"/>
  <c r="M7" i="1" s="1"/>
  <c r="V6" i="3"/>
  <c r="M6" i="3"/>
  <c r="AW5" i="3"/>
  <c r="AN5" i="3"/>
  <c r="AE5" i="3"/>
  <c r="V5" i="3"/>
  <c r="M5" i="3"/>
  <c r="AW288" i="2"/>
  <c r="AN288" i="2"/>
  <c r="AE288" i="2"/>
  <c r="V288" i="2"/>
  <c r="M288" i="2"/>
  <c r="AW287" i="2"/>
  <c r="AN287" i="2"/>
  <c r="AE287" i="2"/>
  <c r="V287" i="2"/>
  <c r="M287" i="2"/>
  <c r="AW286" i="2"/>
  <c r="AN286" i="2"/>
  <c r="AE286" i="2"/>
  <c r="V286" i="2"/>
  <c r="M286" i="2"/>
  <c r="AW285" i="2"/>
  <c r="AN285" i="2"/>
  <c r="AE285" i="2"/>
  <c r="V285" i="2"/>
  <c r="M285" i="2"/>
  <c r="AW284" i="2"/>
  <c r="AN284" i="2"/>
  <c r="AE284" i="2"/>
  <c r="V284" i="2"/>
  <c r="M284" i="2"/>
  <c r="AW283" i="2"/>
  <c r="AN283" i="2"/>
  <c r="AE283" i="2"/>
  <c r="V283" i="2"/>
  <c r="M283" i="2"/>
  <c r="AW282" i="2"/>
  <c r="AN282" i="2"/>
  <c r="AE282" i="2"/>
  <c r="V282" i="2"/>
  <c r="M282" i="2"/>
  <c r="AW281" i="2"/>
  <c r="AN281" i="2"/>
  <c r="AE281" i="2"/>
  <c r="V281" i="2"/>
  <c r="M281" i="2"/>
  <c r="AW280" i="2"/>
  <c r="AN280" i="2"/>
  <c r="AE280" i="2"/>
  <c r="V280" i="2"/>
  <c r="M280" i="2"/>
  <c r="AW279" i="2"/>
  <c r="AN279" i="2"/>
  <c r="AE279" i="2"/>
  <c r="V279" i="2"/>
  <c r="M279" i="2"/>
  <c r="AW278" i="2"/>
  <c r="AN278" i="2"/>
  <c r="AE278" i="2"/>
  <c r="V278" i="2"/>
  <c r="M278" i="2"/>
  <c r="AW277" i="2"/>
  <c r="AN277" i="2"/>
  <c r="AE277" i="2"/>
  <c r="V277" i="2"/>
  <c r="M277" i="2"/>
  <c r="AW276" i="2"/>
  <c r="AN276" i="2"/>
  <c r="AE276" i="2"/>
  <c r="V276" i="2"/>
  <c r="M276" i="2"/>
  <c r="AW275" i="2"/>
  <c r="AN275" i="2"/>
  <c r="AE275" i="2"/>
  <c r="V275" i="2"/>
  <c r="M275" i="2"/>
  <c r="AW274" i="2"/>
  <c r="AN274" i="2"/>
  <c r="AE274" i="2"/>
  <c r="V274" i="2"/>
  <c r="M274" i="2"/>
  <c r="AW273" i="2"/>
  <c r="AN273" i="2"/>
  <c r="AE273" i="2"/>
  <c r="V273" i="2"/>
  <c r="M273" i="2"/>
  <c r="AW272" i="2"/>
  <c r="AN272" i="2"/>
  <c r="AE272" i="2"/>
  <c r="V272" i="2"/>
  <c r="M272" i="2"/>
  <c r="AW271" i="2"/>
  <c r="AN271" i="2"/>
  <c r="AE271" i="2"/>
  <c r="V271" i="2"/>
  <c r="M271" i="2"/>
  <c r="AW270" i="2"/>
  <c r="AN270" i="2"/>
  <c r="AE270" i="2"/>
  <c r="V270" i="2"/>
  <c r="M270" i="2"/>
  <c r="AW269" i="2"/>
  <c r="AN269" i="2"/>
  <c r="AE269" i="2"/>
  <c r="V269" i="2"/>
  <c r="M269" i="2"/>
  <c r="AW268" i="2"/>
  <c r="AN268" i="2"/>
  <c r="AE268" i="2"/>
  <c r="V268" i="2"/>
  <c r="M268" i="2"/>
  <c r="AW267" i="2"/>
  <c r="AN267" i="2"/>
  <c r="AE267" i="2"/>
  <c r="V267" i="2"/>
  <c r="M267" i="2"/>
  <c r="AW266" i="2"/>
  <c r="AN266" i="2"/>
  <c r="AE266" i="2"/>
  <c r="V266" i="2"/>
  <c r="M266" i="2"/>
  <c r="AW265" i="2"/>
  <c r="AN265" i="2"/>
  <c r="AE265" i="2"/>
  <c r="V265" i="2"/>
  <c r="M265" i="2"/>
  <c r="AW264" i="2"/>
  <c r="AN264" i="2"/>
  <c r="AE264" i="2"/>
  <c r="V264" i="2"/>
  <c r="M264" i="2"/>
  <c r="AW263" i="2"/>
  <c r="AN263" i="2"/>
  <c r="AE263" i="2"/>
  <c r="V263" i="2"/>
  <c r="M263" i="2"/>
  <c r="AW262" i="2"/>
  <c r="AN262" i="2"/>
  <c r="AE262" i="2"/>
  <c r="V262" i="2"/>
  <c r="M262" i="2"/>
  <c r="AW261" i="2"/>
  <c r="AN261" i="2"/>
  <c r="AE261" i="2"/>
  <c r="V261" i="2"/>
  <c r="M261" i="2"/>
  <c r="AW260" i="2"/>
  <c r="AN260" i="2"/>
  <c r="AE260" i="2"/>
  <c r="V260" i="2"/>
  <c r="M260" i="2"/>
  <c r="AW259" i="2"/>
  <c r="AN259" i="2"/>
  <c r="AE259" i="2"/>
  <c r="V259" i="2"/>
  <c r="M259" i="2"/>
  <c r="AW258" i="2"/>
  <c r="AN258" i="2"/>
  <c r="AE258" i="2"/>
  <c r="V258" i="2"/>
  <c r="M258" i="2"/>
  <c r="AW257" i="2"/>
  <c r="AN257" i="2"/>
  <c r="AE257" i="2"/>
  <c r="V257" i="2"/>
  <c r="M257" i="2"/>
  <c r="AW256" i="2"/>
  <c r="AN256" i="2"/>
  <c r="AE256" i="2"/>
  <c r="V256" i="2"/>
  <c r="M256" i="2"/>
  <c r="AW255" i="2"/>
  <c r="AN255" i="2"/>
  <c r="AE255" i="2"/>
  <c r="V255" i="2"/>
  <c r="M255" i="2"/>
  <c r="AW254" i="2"/>
  <c r="AN254" i="2"/>
  <c r="AE254" i="2"/>
  <c r="V254" i="2"/>
  <c r="M254" i="2"/>
  <c r="AW253" i="2"/>
  <c r="AN253" i="2"/>
  <c r="AE253" i="2"/>
  <c r="V253" i="2"/>
  <c r="M253" i="2"/>
  <c r="AW252" i="2"/>
  <c r="AN252" i="2"/>
  <c r="AE252" i="2"/>
  <c r="V252" i="2"/>
  <c r="M252" i="2"/>
  <c r="AW251" i="2"/>
  <c r="AN251" i="2"/>
  <c r="AE251" i="2"/>
  <c r="V251" i="2"/>
  <c r="M251" i="2"/>
  <c r="AW250" i="2"/>
  <c r="AN250" i="2"/>
  <c r="AE250" i="2"/>
  <c r="V250" i="2"/>
  <c r="M250" i="2"/>
  <c r="AW249" i="2"/>
  <c r="AN249" i="2"/>
  <c r="AE249" i="2"/>
  <c r="V249" i="2"/>
  <c r="M249" i="2"/>
  <c r="AW248" i="2"/>
  <c r="AN248" i="2"/>
  <c r="AE248" i="2"/>
  <c r="V248" i="2"/>
  <c r="M248" i="2"/>
  <c r="AW247" i="2"/>
  <c r="AN247" i="2"/>
  <c r="AE247" i="2"/>
  <c r="V247" i="2"/>
  <c r="M247" i="2"/>
  <c r="AW246" i="2"/>
  <c r="AN246" i="2"/>
  <c r="AE246" i="2"/>
  <c r="V246" i="2"/>
  <c r="M246" i="2"/>
  <c r="AW245" i="2"/>
  <c r="AN245" i="2"/>
  <c r="AE245" i="2"/>
  <c r="V245" i="2"/>
  <c r="M245" i="2"/>
  <c r="AW244" i="2"/>
  <c r="AN244" i="2"/>
  <c r="AE244" i="2"/>
  <c r="V244" i="2"/>
  <c r="M244" i="2"/>
  <c r="AW243" i="2"/>
  <c r="AN243" i="2"/>
  <c r="AE243" i="2"/>
  <c r="V243" i="2"/>
  <c r="M243" i="2"/>
  <c r="AW242" i="2"/>
  <c r="AN242" i="2"/>
  <c r="AE242" i="2"/>
  <c r="V242" i="2"/>
  <c r="M242" i="2"/>
  <c r="AW241" i="2"/>
  <c r="AN241" i="2"/>
  <c r="AE241" i="2"/>
  <c r="V241" i="2"/>
  <c r="M241" i="2"/>
  <c r="AW240" i="2"/>
  <c r="AN240" i="2"/>
  <c r="AE240" i="2"/>
  <c r="V240" i="2"/>
  <c r="M240" i="2"/>
  <c r="AW239" i="2"/>
  <c r="AN239" i="2"/>
  <c r="AE239" i="2"/>
  <c r="V239" i="2"/>
  <c r="M239" i="2"/>
  <c r="AW238" i="2"/>
  <c r="AN238" i="2"/>
  <c r="AE238" i="2"/>
  <c r="V238" i="2"/>
  <c r="M238" i="2"/>
  <c r="AW237" i="2"/>
  <c r="AN237" i="2"/>
  <c r="AE237" i="2"/>
  <c r="V237" i="2"/>
  <c r="M237" i="2"/>
  <c r="AW236" i="2"/>
  <c r="AN236" i="2"/>
  <c r="AE236" i="2"/>
  <c r="V236" i="2"/>
  <c r="M236" i="2"/>
  <c r="AW235" i="2"/>
  <c r="AN235" i="2"/>
  <c r="AE235" i="2"/>
  <c r="V235" i="2"/>
  <c r="M235" i="2"/>
  <c r="AW234" i="2"/>
  <c r="AN234" i="2"/>
  <c r="AE234" i="2"/>
  <c r="V234" i="2"/>
  <c r="M234" i="2"/>
  <c r="AW233" i="2"/>
  <c r="AN233" i="2"/>
  <c r="AE233" i="2"/>
  <c r="V233" i="2"/>
  <c r="M233" i="2"/>
  <c r="AW232" i="2"/>
  <c r="AN232" i="2"/>
  <c r="AE232" i="2"/>
  <c r="V232" i="2"/>
  <c r="M232" i="2"/>
  <c r="AW231" i="2"/>
  <c r="AN231" i="2"/>
  <c r="AE231" i="2"/>
  <c r="V231" i="2"/>
  <c r="M231" i="2"/>
  <c r="AW230" i="2"/>
  <c r="AN230" i="2"/>
  <c r="AE230" i="2"/>
  <c r="V230" i="2"/>
  <c r="M230" i="2"/>
  <c r="AW229" i="2"/>
  <c r="AN229" i="2"/>
  <c r="AE229" i="2"/>
  <c r="V229" i="2"/>
  <c r="M229" i="2"/>
  <c r="AW228" i="2"/>
  <c r="AN228" i="2"/>
  <c r="AE228" i="2"/>
  <c r="V228" i="2"/>
  <c r="M228" i="2"/>
  <c r="AW227" i="2"/>
  <c r="AN227" i="2"/>
  <c r="AE227" i="2"/>
  <c r="V227" i="2"/>
  <c r="M227" i="2"/>
  <c r="AW226" i="2"/>
  <c r="AN226" i="2"/>
  <c r="AE226" i="2"/>
  <c r="V226" i="2"/>
  <c r="M226" i="2"/>
  <c r="AW225" i="2"/>
  <c r="AN225" i="2"/>
  <c r="AE225" i="2"/>
  <c r="V225" i="2"/>
  <c r="M225" i="2"/>
  <c r="AW224" i="2"/>
  <c r="AN224" i="2"/>
  <c r="AE224" i="2"/>
  <c r="V224" i="2"/>
  <c r="M224" i="2"/>
  <c r="AW223" i="2"/>
  <c r="AN223" i="2"/>
  <c r="AE223" i="2"/>
  <c r="V223" i="2"/>
  <c r="M223" i="2"/>
  <c r="AW222" i="2"/>
  <c r="AN222" i="2"/>
  <c r="AE222" i="2"/>
  <c r="V222" i="2"/>
  <c r="M222" i="2"/>
  <c r="AW221" i="2"/>
  <c r="AN221" i="2"/>
  <c r="AE221" i="2"/>
  <c r="V221" i="2"/>
  <c r="M221" i="2"/>
  <c r="AW220" i="2"/>
  <c r="AN220" i="2"/>
  <c r="AE220" i="2"/>
  <c r="V220" i="2"/>
  <c r="M220" i="2"/>
  <c r="AW219" i="2"/>
  <c r="AN219" i="2"/>
  <c r="AE219" i="2"/>
  <c r="V219" i="2"/>
  <c r="M219" i="2"/>
  <c r="AW218" i="2"/>
  <c r="AN218" i="2"/>
  <c r="AE218" i="2"/>
  <c r="V218" i="2"/>
  <c r="M218" i="2"/>
  <c r="AW217" i="2"/>
  <c r="AN217" i="2"/>
  <c r="AE217" i="2"/>
  <c r="V217" i="2"/>
  <c r="M217" i="2"/>
  <c r="AW216" i="2"/>
  <c r="AN216" i="2"/>
  <c r="AE216" i="2"/>
  <c r="V216" i="2"/>
  <c r="M216" i="2"/>
  <c r="AW215" i="2"/>
  <c r="AN215" i="2"/>
  <c r="AE215" i="2"/>
  <c r="V215" i="2"/>
  <c r="M215" i="2"/>
  <c r="AW214" i="2"/>
  <c r="AN214" i="2"/>
  <c r="AE214" i="2"/>
  <c r="V214" i="2"/>
  <c r="M214" i="2"/>
  <c r="AW213" i="2"/>
  <c r="AN213" i="2"/>
  <c r="AE213" i="2"/>
  <c r="V213" i="2"/>
  <c r="M213" i="2"/>
  <c r="AW212" i="2"/>
  <c r="AN212" i="2"/>
  <c r="AE212" i="2"/>
  <c r="V212" i="2"/>
  <c r="M212" i="2"/>
  <c r="AW211" i="2"/>
  <c r="AN211" i="2"/>
  <c r="AE211" i="2"/>
  <c r="V211" i="2"/>
  <c r="M211" i="2"/>
  <c r="AW210" i="2"/>
  <c r="AN210" i="2"/>
  <c r="AE210" i="2"/>
  <c r="V210" i="2"/>
  <c r="M210" i="2"/>
  <c r="AW209" i="2"/>
  <c r="AN209" i="2"/>
  <c r="AE209" i="2"/>
  <c r="V209" i="2"/>
  <c r="M209" i="2"/>
  <c r="AW208" i="2"/>
  <c r="AN208" i="2"/>
  <c r="AE208" i="2"/>
  <c r="V208" i="2"/>
  <c r="M208" i="2"/>
  <c r="AW207" i="2"/>
  <c r="AN207" i="2"/>
  <c r="AE207" i="2"/>
  <c r="V207" i="2"/>
  <c r="M207" i="2"/>
  <c r="AW206" i="2"/>
  <c r="AN206" i="2"/>
  <c r="AE206" i="2"/>
  <c r="V206" i="2"/>
  <c r="M206" i="2"/>
  <c r="AW205" i="2"/>
  <c r="AN205" i="2"/>
  <c r="AE205" i="2"/>
  <c r="V205" i="2"/>
  <c r="M205" i="2"/>
  <c r="AW204" i="2"/>
  <c r="AN204" i="2"/>
  <c r="AE204" i="2"/>
  <c r="V204" i="2"/>
  <c r="M204" i="2"/>
  <c r="AW203" i="2"/>
  <c r="AN203" i="2"/>
  <c r="AE203" i="2"/>
  <c r="V203" i="2"/>
  <c r="M203" i="2"/>
  <c r="AW202" i="2"/>
  <c r="AN202" i="2"/>
  <c r="AE202" i="2"/>
  <c r="V202" i="2"/>
  <c r="M202" i="2"/>
  <c r="AW201" i="2"/>
  <c r="AN201" i="2"/>
  <c r="AE201" i="2"/>
  <c r="V201" i="2"/>
  <c r="M201" i="2"/>
  <c r="AW200" i="2"/>
  <c r="AN200" i="2"/>
  <c r="AE200" i="2"/>
  <c r="V200" i="2"/>
  <c r="M200" i="2"/>
  <c r="AW199" i="2"/>
  <c r="AN199" i="2"/>
  <c r="AE199" i="2"/>
  <c r="V199" i="2"/>
  <c r="M199" i="2"/>
  <c r="AW198" i="2"/>
  <c r="AN198" i="2"/>
  <c r="AE198" i="2"/>
  <c r="V198" i="2"/>
  <c r="M198" i="2"/>
  <c r="AW197" i="2"/>
  <c r="AN197" i="2"/>
  <c r="AE197" i="2"/>
  <c r="V197" i="2"/>
  <c r="M197" i="2"/>
  <c r="AW196" i="2"/>
  <c r="AN196" i="2"/>
  <c r="AE196" i="2"/>
  <c r="V196" i="2"/>
  <c r="M196" i="2"/>
  <c r="AW195" i="2"/>
  <c r="AN195" i="2"/>
  <c r="AE195" i="2"/>
  <c r="V195" i="2"/>
  <c r="M195" i="2"/>
  <c r="AW194" i="2"/>
  <c r="AN194" i="2"/>
  <c r="AE194" i="2"/>
  <c r="V194" i="2"/>
  <c r="M194" i="2"/>
  <c r="AW193" i="2"/>
  <c r="AN193" i="2"/>
  <c r="AE193" i="2"/>
  <c r="V193" i="2"/>
  <c r="M193" i="2"/>
  <c r="AW192" i="2"/>
  <c r="AN192" i="2"/>
  <c r="AE192" i="2"/>
  <c r="V192" i="2"/>
  <c r="M192" i="2"/>
  <c r="AW191" i="2"/>
  <c r="AN191" i="2"/>
  <c r="AE191" i="2"/>
  <c r="V191" i="2"/>
  <c r="M191" i="2"/>
  <c r="AW190" i="2"/>
  <c r="AN190" i="2"/>
  <c r="AE190" i="2"/>
  <c r="V190" i="2"/>
  <c r="M190" i="2"/>
  <c r="AW189" i="2"/>
  <c r="AN189" i="2"/>
  <c r="AE189" i="2"/>
  <c r="V189" i="2"/>
  <c r="M189" i="2"/>
  <c r="AW188" i="2"/>
  <c r="AN188" i="2"/>
  <c r="AE188" i="2"/>
  <c r="V188" i="2"/>
  <c r="M188" i="2"/>
  <c r="AW187" i="2"/>
  <c r="AN187" i="2"/>
  <c r="AE187" i="2"/>
  <c r="V187" i="2"/>
  <c r="M187" i="2"/>
  <c r="AW186" i="2"/>
  <c r="AN186" i="2"/>
  <c r="AE186" i="2"/>
  <c r="V186" i="2"/>
  <c r="M186" i="2"/>
  <c r="AW185" i="2"/>
  <c r="AN185" i="2"/>
  <c r="AE185" i="2"/>
  <c r="V185" i="2"/>
  <c r="M185" i="2"/>
  <c r="AW184" i="2"/>
  <c r="AN184" i="2"/>
  <c r="AE184" i="2"/>
  <c r="V184" i="2"/>
  <c r="M184" i="2"/>
  <c r="AW183" i="2"/>
  <c r="AN183" i="2"/>
  <c r="AE183" i="2"/>
  <c r="V183" i="2"/>
  <c r="M183" i="2"/>
  <c r="AW182" i="2"/>
  <c r="AN182" i="2"/>
  <c r="AE182" i="2"/>
  <c r="V182" i="2"/>
  <c r="M182" i="2"/>
  <c r="AW181" i="2"/>
  <c r="AN181" i="2"/>
  <c r="AE181" i="2"/>
  <c r="V181" i="2"/>
  <c r="M181" i="2"/>
  <c r="AW180" i="2"/>
  <c r="AN180" i="2"/>
  <c r="AE180" i="2"/>
  <c r="V180" i="2"/>
  <c r="M180" i="2"/>
  <c r="AW179" i="2"/>
  <c r="AN179" i="2"/>
  <c r="AE179" i="2"/>
  <c r="V179" i="2"/>
  <c r="M179" i="2"/>
  <c r="AW178" i="2"/>
  <c r="AN178" i="2"/>
  <c r="AE178" i="2"/>
  <c r="V178" i="2"/>
  <c r="M178" i="2"/>
  <c r="AW177" i="2"/>
  <c r="AN177" i="2"/>
  <c r="AE177" i="2"/>
  <c r="V177" i="2"/>
  <c r="M177" i="2"/>
  <c r="AW176" i="2"/>
  <c r="AN176" i="2"/>
  <c r="AE176" i="2"/>
  <c r="V176" i="2"/>
  <c r="M176" i="2"/>
  <c r="AW175" i="2"/>
  <c r="AN175" i="2"/>
  <c r="AE175" i="2"/>
  <c r="V175" i="2"/>
  <c r="M175" i="2"/>
  <c r="AW174" i="2"/>
  <c r="AN174" i="2"/>
  <c r="AE174" i="2"/>
  <c r="V174" i="2"/>
  <c r="M174" i="2"/>
  <c r="AW173" i="2"/>
  <c r="AN173" i="2"/>
  <c r="AE173" i="2"/>
  <c r="V173" i="2"/>
  <c r="M173" i="2"/>
  <c r="AW172" i="2"/>
  <c r="AN172" i="2"/>
  <c r="AE172" i="2"/>
  <c r="V172" i="2"/>
  <c r="M172" i="2"/>
  <c r="AW171" i="2"/>
  <c r="AN171" i="2"/>
  <c r="AE171" i="2"/>
  <c r="V171" i="2"/>
  <c r="M171" i="2"/>
  <c r="AW170" i="2"/>
  <c r="AN170" i="2"/>
  <c r="AE170" i="2"/>
  <c r="V170" i="2"/>
  <c r="M170" i="2"/>
  <c r="AW169" i="2"/>
  <c r="AN169" i="2"/>
  <c r="AE169" i="2"/>
  <c r="V169" i="2"/>
  <c r="M169" i="2"/>
  <c r="AW168" i="2"/>
  <c r="AN168" i="2"/>
  <c r="AE168" i="2"/>
  <c r="V168" i="2"/>
  <c r="M168" i="2"/>
  <c r="AW167" i="2"/>
  <c r="AN167" i="2"/>
  <c r="AE167" i="2"/>
  <c r="V167" i="2"/>
  <c r="M167" i="2"/>
  <c r="AW166" i="2"/>
  <c r="AN166" i="2"/>
  <c r="AE166" i="2"/>
  <c r="V166" i="2"/>
  <c r="M166" i="2"/>
  <c r="AW165" i="2"/>
  <c r="AN165" i="2"/>
  <c r="AE165" i="2"/>
  <c r="V165" i="2"/>
  <c r="M165" i="2"/>
  <c r="AW164" i="2"/>
  <c r="AN164" i="2"/>
  <c r="AE164" i="2"/>
  <c r="V164" i="2"/>
  <c r="M164" i="2"/>
  <c r="AW163" i="2"/>
  <c r="AN163" i="2"/>
  <c r="AE163" i="2"/>
  <c r="V163" i="2"/>
  <c r="M163" i="2"/>
  <c r="AW162" i="2"/>
  <c r="AN162" i="2"/>
  <c r="AE162" i="2"/>
  <c r="V162" i="2"/>
  <c r="M162" i="2"/>
  <c r="AW161" i="2"/>
  <c r="AN161" i="2"/>
  <c r="AE161" i="2"/>
  <c r="V161" i="2"/>
  <c r="M161" i="2"/>
  <c r="AW160" i="2"/>
  <c r="AN160" i="2"/>
  <c r="AE160" i="2"/>
  <c r="V160" i="2"/>
  <c r="M160" i="2"/>
  <c r="AW159" i="2"/>
  <c r="AN159" i="2"/>
  <c r="AE159" i="2"/>
  <c r="V159" i="2"/>
  <c r="M159" i="2"/>
  <c r="AW158" i="2"/>
  <c r="AN158" i="2"/>
  <c r="AE158" i="2"/>
  <c r="V158" i="2"/>
  <c r="M158" i="2"/>
  <c r="AW157" i="2"/>
  <c r="AN157" i="2"/>
  <c r="AE157" i="2"/>
  <c r="V157" i="2"/>
  <c r="M157" i="2"/>
  <c r="AW156" i="2"/>
  <c r="AN156" i="2"/>
  <c r="AE156" i="2"/>
  <c r="V156" i="2"/>
  <c r="M156" i="2"/>
  <c r="AW155" i="2"/>
  <c r="AN155" i="2"/>
  <c r="AE155" i="2"/>
  <c r="V155" i="2"/>
  <c r="M155" i="2"/>
  <c r="AW154" i="2"/>
  <c r="AN154" i="2"/>
  <c r="AE154" i="2"/>
  <c r="V154" i="2"/>
  <c r="M154" i="2"/>
  <c r="AW153" i="2"/>
  <c r="AN153" i="2"/>
  <c r="AE153" i="2"/>
  <c r="V153" i="2"/>
  <c r="M153" i="2"/>
  <c r="AW152" i="2"/>
  <c r="AN152" i="2"/>
  <c r="AE152" i="2"/>
  <c r="V152" i="2"/>
  <c r="M152" i="2"/>
  <c r="AW151" i="2"/>
  <c r="AN151" i="2"/>
  <c r="AE151" i="2"/>
  <c r="V151" i="2"/>
  <c r="M151" i="2"/>
  <c r="AW150" i="2"/>
  <c r="AN150" i="2"/>
  <c r="AE150" i="2"/>
  <c r="V150" i="2"/>
  <c r="M150" i="2"/>
  <c r="AW149" i="2"/>
  <c r="AN149" i="2"/>
  <c r="AE149" i="2"/>
  <c r="V149" i="2"/>
  <c r="M149" i="2"/>
  <c r="AW148" i="2"/>
  <c r="AN148" i="2"/>
  <c r="AE148" i="2"/>
  <c r="V148" i="2"/>
  <c r="M148" i="2"/>
  <c r="AW147" i="2"/>
  <c r="AN147" i="2"/>
  <c r="AE147" i="2"/>
  <c r="V147" i="2"/>
  <c r="M147" i="2"/>
  <c r="AW146" i="2"/>
  <c r="AN146" i="2"/>
  <c r="AE146" i="2"/>
  <c r="V146" i="2"/>
  <c r="M146" i="2"/>
  <c r="AW145" i="2"/>
  <c r="AN145" i="2"/>
  <c r="AE145" i="2"/>
  <c r="V145" i="2"/>
  <c r="M145" i="2"/>
  <c r="AW144" i="2"/>
  <c r="AN144" i="2"/>
  <c r="AE144" i="2"/>
  <c r="V144" i="2"/>
  <c r="M144" i="2"/>
  <c r="AW143" i="2"/>
  <c r="AN143" i="2"/>
  <c r="AE143" i="2"/>
  <c r="V143" i="2"/>
  <c r="M143" i="2"/>
  <c r="AW142" i="2"/>
  <c r="AN142" i="2"/>
  <c r="AE142" i="2"/>
  <c r="V142" i="2"/>
  <c r="M142" i="2"/>
  <c r="AW141" i="2"/>
  <c r="AN141" i="2"/>
  <c r="AE141" i="2"/>
  <c r="V141" i="2"/>
  <c r="M141" i="2"/>
  <c r="AW140" i="2"/>
  <c r="AN140" i="2"/>
  <c r="AE140" i="2"/>
  <c r="V140" i="2"/>
  <c r="M140" i="2"/>
  <c r="AW139" i="2"/>
  <c r="AN139" i="2"/>
  <c r="AE139" i="2"/>
  <c r="V139" i="2"/>
  <c r="M139" i="2"/>
  <c r="AW138" i="2"/>
  <c r="AN138" i="2"/>
  <c r="AE138" i="2"/>
  <c r="V138" i="2"/>
  <c r="M138" i="2"/>
  <c r="AW137" i="2"/>
  <c r="AN137" i="2"/>
  <c r="AE137" i="2"/>
  <c r="V137" i="2"/>
  <c r="M137" i="2"/>
  <c r="AW136" i="2"/>
  <c r="AN136" i="2"/>
  <c r="AE136" i="2"/>
  <c r="V136" i="2"/>
  <c r="M136" i="2"/>
  <c r="AW135" i="2"/>
  <c r="AN135" i="2"/>
  <c r="AE135" i="2"/>
  <c r="V135" i="2"/>
  <c r="M135" i="2"/>
  <c r="AW134" i="2"/>
  <c r="AN134" i="2"/>
  <c r="AE134" i="2"/>
  <c r="V134" i="2"/>
  <c r="M134" i="2"/>
  <c r="AW133" i="2"/>
  <c r="AN133" i="2"/>
  <c r="AE133" i="2"/>
  <c r="V133" i="2"/>
  <c r="M133" i="2"/>
  <c r="AW132" i="2"/>
  <c r="AN132" i="2"/>
  <c r="AE132" i="2"/>
  <c r="V132" i="2"/>
  <c r="M132" i="2"/>
  <c r="AW131" i="2"/>
  <c r="AN131" i="2"/>
  <c r="AE131" i="2"/>
  <c r="V131" i="2"/>
  <c r="M131" i="2"/>
  <c r="AW130" i="2"/>
  <c r="AN130" i="2"/>
  <c r="AE130" i="2"/>
  <c r="V130" i="2"/>
  <c r="M130" i="2"/>
  <c r="AW129" i="2"/>
  <c r="AN129" i="2"/>
  <c r="AE129" i="2"/>
  <c r="V129" i="2"/>
  <c r="M129" i="2"/>
  <c r="AW128" i="2"/>
  <c r="AN128" i="2"/>
  <c r="AE128" i="2"/>
  <c r="V128" i="2"/>
  <c r="M128" i="2"/>
  <c r="AW127" i="2"/>
  <c r="AN127" i="2"/>
  <c r="AE127" i="2"/>
  <c r="V127" i="2"/>
  <c r="M127" i="2"/>
  <c r="AW126" i="2"/>
  <c r="AN126" i="2"/>
  <c r="AE126" i="2"/>
  <c r="V126" i="2"/>
  <c r="M126" i="2"/>
  <c r="AW125" i="2"/>
  <c r="AN125" i="2"/>
  <c r="AE125" i="2"/>
  <c r="V125" i="2"/>
  <c r="M125" i="2"/>
  <c r="AW124" i="2"/>
  <c r="AN124" i="2"/>
  <c r="AE124" i="2"/>
  <c r="V124" i="2"/>
  <c r="M124" i="2"/>
  <c r="AW123" i="2"/>
  <c r="AN123" i="2"/>
  <c r="AE123" i="2"/>
  <c r="V123" i="2"/>
  <c r="M123" i="2"/>
  <c r="AW122" i="2"/>
  <c r="AN122" i="2"/>
  <c r="AE122" i="2"/>
  <c r="V122" i="2"/>
  <c r="M122" i="2"/>
  <c r="AW121" i="2"/>
  <c r="AN121" i="2"/>
  <c r="AE121" i="2"/>
  <c r="V121" i="2"/>
  <c r="M121" i="2"/>
  <c r="AW120" i="2"/>
  <c r="AN120" i="2"/>
  <c r="AE120" i="2"/>
  <c r="V120" i="2"/>
  <c r="M120" i="2"/>
  <c r="AW119" i="2"/>
  <c r="AN119" i="2"/>
  <c r="AE119" i="2"/>
  <c r="V119" i="2"/>
  <c r="M119" i="2"/>
  <c r="AW118" i="2"/>
  <c r="AN118" i="2"/>
  <c r="AE118" i="2"/>
  <c r="V118" i="2"/>
  <c r="M118" i="2"/>
  <c r="AW117" i="2"/>
  <c r="AN117" i="2"/>
  <c r="AE117" i="2"/>
  <c r="V117" i="2"/>
  <c r="M117" i="2"/>
  <c r="AW116" i="2"/>
  <c r="AN116" i="2"/>
  <c r="AE116" i="2"/>
  <c r="V116" i="2"/>
  <c r="M116" i="2"/>
  <c r="AW115" i="2"/>
  <c r="AN115" i="2"/>
  <c r="AE115" i="2"/>
  <c r="V115" i="2"/>
  <c r="M115" i="2"/>
  <c r="AW114" i="2"/>
  <c r="AN114" i="2"/>
  <c r="AE114" i="2"/>
  <c r="V114" i="2"/>
  <c r="M114" i="2"/>
  <c r="AW113" i="2"/>
  <c r="AN113" i="2"/>
  <c r="AE113" i="2"/>
  <c r="V113" i="2"/>
  <c r="M113" i="2"/>
  <c r="AW112" i="2"/>
  <c r="AN112" i="2"/>
  <c r="AE112" i="2"/>
  <c r="V112" i="2"/>
  <c r="M112" i="2"/>
  <c r="AW111" i="2"/>
  <c r="AN111" i="2"/>
  <c r="AE111" i="2"/>
  <c r="V111" i="2"/>
  <c r="M111" i="2"/>
  <c r="AW110" i="2"/>
  <c r="AN110" i="2"/>
  <c r="AE110" i="2"/>
  <c r="V110" i="2"/>
  <c r="M110" i="2"/>
  <c r="AW109" i="2"/>
  <c r="AN109" i="2"/>
  <c r="AE109" i="2"/>
  <c r="V109" i="2"/>
  <c r="M109" i="2"/>
  <c r="AW108" i="2"/>
  <c r="AN108" i="2"/>
  <c r="AE108" i="2"/>
  <c r="V108" i="2"/>
  <c r="M108" i="2"/>
  <c r="AW107" i="2"/>
  <c r="AN107" i="2"/>
  <c r="AE107" i="2"/>
  <c r="V107" i="2"/>
  <c r="M107" i="2"/>
  <c r="AW106" i="2"/>
  <c r="AN106" i="2"/>
  <c r="AE106" i="2"/>
  <c r="V106" i="2"/>
  <c r="M106" i="2"/>
  <c r="AW105" i="2"/>
  <c r="AN105" i="2"/>
  <c r="AE105" i="2"/>
  <c r="V105" i="2"/>
  <c r="M105" i="2"/>
  <c r="AW104" i="2"/>
  <c r="AN104" i="2"/>
  <c r="AE104" i="2"/>
  <c r="V104" i="2"/>
  <c r="M104" i="2"/>
  <c r="AW103" i="2"/>
  <c r="AN103" i="2"/>
  <c r="AE103" i="2"/>
  <c r="V103" i="2"/>
  <c r="M103" i="2"/>
  <c r="AW102" i="2"/>
  <c r="AN102" i="2"/>
  <c r="AE102" i="2"/>
  <c r="V102" i="2"/>
  <c r="M102" i="2"/>
  <c r="AW101" i="2"/>
  <c r="AN101" i="2"/>
  <c r="AE101" i="2"/>
  <c r="V101" i="2"/>
  <c r="M101" i="2"/>
  <c r="AW100" i="2"/>
  <c r="AN100" i="2"/>
  <c r="AE100" i="2"/>
  <c r="V100" i="2"/>
  <c r="M100" i="2"/>
  <c r="AW99" i="2"/>
  <c r="AN99" i="2"/>
  <c r="AE99" i="2"/>
  <c r="V99" i="2"/>
  <c r="M99" i="2"/>
  <c r="AW98" i="2"/>
  <c r="AN98" i="2"/>
  <c r="AE98" i="2"/>
  <c r="V98" i="2"/>
  <c r="M98" i="2"/>
  <c r="AW97" i="2"/>
  <c r="AN97" i="2"/>
  <c r="AE97" i="2"/>
  <c r="V97" i="2"/>
  <c r="M97" i="2"/>
  <c r="AW96" i="2"/>
  <c r="AN96" i="2"/>
  <c r="AE96" i="2"/>
  <c r="V96" i="2"/>
  <c r="M96" i="2"/>
  <c r="AW95" i="2"/>
  <c r="AN95" i="2"/>
  <c r="AE95" i="2"/>
  <c r="V95" i="2"/>
  <c r="M95" i="2"/>
  <c r="AW94" i="2"/>
  <c r="AN94" i="2"/>
  <c r="AE94" i="2"/>
  <c r="V94" i="2"/>
  <c r="M94" i="2"/>
  <c r="AW93" i="2"/>
  <c r="AN93" i="2"/>
  <c r="AE93" i="2"/>
  <c r="V93" i="2"/>
  <c r="M93" i="2"/>
  <c r="AW92" i="2"/>
  <c r="AN92" i="2"/>
  <c r="AE92" i="2"/>
  <c r="V92" i="2"/>
  <c r="M92" i="2"/>
  <c r="AW91" i="2"/>
  <c r="AN91" i="2"/>
  <c r="AE91" i="2"/>
  <c r="V91" i="2"/>
  <c r="M91" i="2"/>
  <c r="AW90" i="2"/>
  <c r="AN90" i="2"/>
  <c r="AE90" i="2"/>
  <c r="V90" i="2"/>
  <c r="M90" i="2"/>
  <c r="AW89" i="2"/>
  <c r="AN89" i="2"/>
  <c r="AE89" i="2"/>
  <c r="V89" i="2"/>
  <c r="M89" i="2"/>
  <c r="AW88" i="2"/>
  <c r="AN88" i="2"/>
  <c r="AE88" i="2"/>
  <c r="V88" i="2"/>
  <c r="M88" i="2"/>
  <c r="AW87" i="2"/>
  <c r="AN87" i="2"/>
  <c r="AE87" i="2"/>
  <c r="V87" i="2"/>
  <c r="M87" i="2"/>
  <c r="AW86" i="2"/>
  <c r="AN86" i="2"/>
  <c r="AE86" i="2"/>
  <c r="V86" i="2"/>
  <c r="M86" i="2"/>
  <c r="AW85" i="2"/>
  <c r="AN85" i="2"/>
  <c r="AE85" i="2"/>
  <c r="V85" i="2"/>
  <c r="M85" i="2"/>
  <c r="AW84" i="2"/>
  <c r="AN84" i="2"/>
  <c r="AE84" i="2"/>
  <c r="V84" i="2"/>
  <c r="M84" i="2"/>
  <c r="AW83" i="2"/>
  <c r="AN83" i="2"/>
  <c r="AE83" i="2"/>
  <c r="V83" i="2"/>
  <c r="M83" i="2"/>
  <c r="AW82" i="2"/>
  <c r="AN82" i="2"/>
  <c r="AE82" i="2"/>
  <c r="V82" i="2"/>
  <c r="M82" i="2"/>
  <c r="AW81" i="2"/>
  <c r="AN81" i="2"/>
  <c r="AE81" i="2"/>
  <c r="V81" i="2"/>
  <c r="M81" i="2"/>
  <c r="AW80" i="2"/>
  <c r="AN80" i="2"/>
  <c r="AE80" i="2"/>
  <c r="V80" i="2"/>
  <c r="M80" i="2"/>
  <c r="AW79" i="2"/>
  <c r="AN79" i="2"/>
  <c r="AE79" i="2"/>
  <c r="V79" i="2"/>
  <c r="M79" i="2"/>
  <c r="AW78" i="2"/>
  <c r="AN78" i="2"/>
  <c r="AE78" i="2"/>
  <c r="V78" i="2"/>
  <c r="M78" i="2"/>
  <c r="AW77" i="2"/>
  <c r="AN77" i="2"/>
  <c r="AE77" i="2"/>
  <c r="V77" i="2"/>
  <c r="M77" i="2"/>
  <c r="AW76" i="2"/>
  <c r="AN76" i="2"/>
  <c r="AE76" i="2"/>
  <c r="V76" i="2"/>
  <c r="M76" i="2"/>
  <c r="AW75" i="2"/>
  <c r="AN75" i="2"/>
  <c r="AE75" i="2"/>
  <c r="V75" i="2"/>
  <c r="M75" i="2"/>
  <c r="AW74" i="2"/>
  <c r="AN74" i="2"/>
  <c r="AE74" i="2"/>
  <c r="V74" i="2"/>
  <c r="M74" i="2"/>
  <c r="AW73" i="2"/>
  <c r="AN73" i="2"/>
  <c r="AE73" i="2"/>
  <c r="V73" i="2"/>
  <c r="M73" i="2"/>
  <c r="AW72" i="2"/>
  <c r="AN72" i="2"/>
  <c r="AE72" i="2"/>
  <c r="V72" i="2"/>
  <c r="M72" i="2"/>
  <c r="AW71" i="2"/>
  <c r="AN71" i="2"/>
  <c r="AE71" i="2"/>
  <c r="V71" i="2"/>
  <c r="M71" i="2"/>
  <c r="AW70" i="2"/>
  <c r="AN70" i="2"/>
  <c r="AE70" i="2"/>
  <c r="V70" i="2"/>
  <c r="M70" i="2"/>
  <c r="AW69" i="2"/>
  <c r="AN69" i="2"/>
  <c r="AE69" i="2"/>
  <c r="V69" i="2"/>
  <c r="M69" i="2"/>
  <c r="AW68" i="2"/>
  <c r="AN68" i="2"/>
  <c r="AE68" i="2"/>
  <c r="V68" i="2"/>
  <c r="M68" i="2"/>
  <c r="AW67" i="2"/>
  <c r="AN67" i="2"/>
  <c r="AE67" i="2"/>
  <c r="V67" i="2"/>
  <c r="M67" i="2"/>
  <c r="AW66" i="2"/>
  <c r="AN66" i="2"/>
  <c r="AE66" i="2"/>
  <c r="V66" i="2"/>
  <c r="M66" i="2"/>
  <c r="AW65" i="2"/>
  <c r="AN65" i="2"/>
  <c r="AE65" i="2"/>
  <c r="V65" i="2"/>
  <c r="M65" i="2"/>
  <c r="AW64" i="2"/>
  <c r="AN64" i="2"/>
  <c r="AE64" i="2"/>
  <c r="V64" i="2"/>
  <c r="M64" i="2"/>
  <c r="AW63" i="2"/>
  <c r="AN63" i="2"/>
  <c r="AE63" i="2"/>
  <c r="V63" i="2"/>
  <c r="M63" i="2"/>
  <c r="AW62" i="2"/>
  <c r="AN62" i="2"/>
  <c r="AE62" i="2"/>
  <c r="V62" i="2"/>
  <c r="M62" i="2"/>
  <c r="AW61" i="2"/>
  <c r="AN61" i="2"/>
  <c r="AE61" i="2"/>
  <c r="V61" i="2"/>
  <c r="M61" i="2"/>
  <c r="AW60" i="2"/>
  <c r="AN60" i="2"/>
  <c r="AE60" i="2"/>
  <c r="V60" i="2"/>
  <c r="M60" i="2"/>
  <c r="AW59" i="2"/>
  <c r="AN59" i="2"/>
  <c r="AE59" i="2"/>
  <c r="V59" i="2"/>
  <c r="M59" i="2"/>
  <c r="AW58" i="2"/>
  <c r="AN58" i="2"/>
  <c r="AE58" i="2"/>
  <c r="V58" i="2"/>
  <c r="M58" i="2"/>
  <c r="AW57" i="2"/>
  <c r="AN57" i="2"/>
  <c r="AE57" i="2"/>
  <c r="V57" i="2"/>
  <c r="M57" i="2"/>
  <c r="AW56" i="2"/>
  <c r="AN56" i="2"/>
  <c r="AE56" i="2"/>
  <c r="V56" i="2"/>
  <c r="M56" i="2"/>
  <c r="AW55" i="2"/>
  <c r="AN55" i="2"/>
  <c r="AE55" i="2"/>
  <c r="V55" i="2"/>
  <c r="M55" i="2"/>
  <c r="AW54" i="2"/>
  <c r="AN54" i="2"/>
  <c r="AE54" i="2"/>
  <c r="V54" i="2"/>
  <c r="M54" i="2"/>
  <c r="AW53" i="2"/>
  <c r="AN53" i="2"/>
  <c r="AE53" i="2"/>
  <c r="V53" i="2"/>
  <c r="M53" i="2"/>
  <c r="AW52" i="2"/>
  <c r="AN52" i="2"/>
  <c r="AE52" i="2"/>
  <c r="V52" i="2"/>
  <c r="M52" i="2"/>
  <c r="AW51" i="2"/>
  <c r="AN51" i="2"/>
  <c r="AE51" i="2"/>
  <c r="V51" i="2"/>
  <c r="M51" i="2"/>
  <c r="AW50" i="2"/>
  <c r="AN50" i="2"/>
  <c r="AE50" i="2"/>
  <c r="V50" i="2"/>
  <c r="M50" i="2"/>
  <c r="AW49" i="2"/>
  <c r="AN49" i="2"/>
  <c r="AE49" i="2"/>
  <c r="V49" i="2"/>
  <c r="M49" i="2"/>
  <c r="AW48" i="2"/>
  <c r="AN48" i="2"/>
  <c r="AE48" i="2"/>
  <c r="V48" i="2"/>
  <c r="M48" i="2"/>
  <c r="AW47" i="2"/>
  <c r="AN47" i="2"/>
  <c r="AE47" i="2"/>
  <c r="V47" i="2"/>
  <c r="M47" i="2"/>
  <c r="AW46" i="2"/>
  <c r="AN46" i="2"/>
  <c r="AE46" i="2"/>
  <c r="V46" i="2"/>
  <c r="M46" i="2"/>
  <c r="AW45" i="2"/>
  <c r="AN45" i="2"/>
  <c r="AE45" i="2"/>
  <c r="V45" i="2"/>
  <c r="M45" i="2"/>
  <c r="AW44" i="2"/>
  <c r="AN44" i="2"/>
  <c r="AE44" i="2"/>
  <c r="V44" i="2"/>
  <c r="M44" i="2"/>
  <c r="AW43" i="2"/>
  <c r="AN43" i="2"/>
  <c r="AE43" i="2"/>
  <c r="V43" i="2"/>
  <c r="M43" i="2"/>
  <c r="AW42" i="2"/>
  <c r="AN42" i="2"/>
  <c r="AE42" i="2"/>
  <c r="V42" i="2"/>
  <c r="M42" i="2"/>
  <c r="AW41" i="2"/>
  <c r="AN41" i="2"/>
  <c r="AE41" i="2"/>
  <c r="V41" i="2"/>
  <c r="M41" i="2"/>
  <c r="AW40" i="2"/>
  <c r="AN40" i="2"/>
  <c r="AE40" i="2"/>
  <c r="V40" i="2"/>
  <c r="M40" i="2"/>
  <c r="AW39" i="2"/>
  <c r="AN39" i="2"/>
  <c r="AE39" i="2"/>
  <c r="V39" i="2"/>
  <c r="M39" i="2"/>
  <c r="AW38" i="2"/>
  <c r="AN38" i="2"/>
  <c r="AE38" i="2"/>
  <c r="V38" i="2"/>
  <c r="M38" i="2"/>
  <c r="AW37" i="2"/>
  <c r="AN37" i="2"/>
  <c r="AE37" i="2"/>
  <c r="V37" i="2"/>
  <c r="M37" i="2"/>
  <c r="AW36" i="2"/>
  <c r="AN36" i="2"/>
  <c r="AE36" i="2"/>
  <c r="V36" i="2"/>
  <c r="M36" i="2"/>
  <c r="AW35" i="2"/>
  <c r="AN35" i="2"/>
  <c r="AE35" i="2"/>
  <c r="V35" i="2"/>
  <c r="M35" i="2"/>
  <c r="AW34" i="2"/>
  <c r="AN34" i="2"/>
  <c r="AE34" i="2"/>
  <c r="V34" i="2"/>
  <c r="M34" i="2"/>
  <c r="AW33" i="2"/>
  <c r="AN33" i="2"/>
  <c r="AE33" i="2"/>
  <c r="V33" i="2"/>
  <c r="M33" i="2"/>
  <c r="AW32" i="2"/>
  <c r="AN32" i="2"/>
  <c r="AE32" i="2"/>
  <c r="V32" i="2"/>
  <c r="M32" i="2"/>
  <c r="AW31" i="2"/>
  <c r="AN31" i="2"/>
  <c r="AE31" i="2"/>
  <c r="V31" i="2"/>
  <c r="M31" i="2"/>
  <c r="AW30" i="2"/>
  <c r="AN30" i="2"/>
  <c r="AE30" i="2"/>
  <c r="V30" i="2"/>
  <c r="M30" i="2"/>
  <c r="AW29" i="2"/>
  <c r="AN29" i="2"/>
  <c r="AE29" i="2"/>
  <c r="V29" i="2"/>
  <c r="M29" i="2"/>
  <c r="AW28" i="2"/>
  <c r="AN28" i="2"/>
  <c r="AE28" i="2"/>
  <c r="V28" i="2"/>
  <c r="M28" i="2"/>
  <c r="AW27" i="2"/>
  <c r="AN27" i="2"/>
  <c r="AE27" i="2"/>
  <c r="V27" i="2"/>
  <c r="M27" i="2"/>
  <c r="AW26" i="2"/>
  <c r="AN26" i="2"/>
  <c r="AE26" i="2"/>
  <c r="V26" i="2"/>
  <c r="M26" i="2"/>
  <c r="AW25" i="2"/>
  <c r="AN25" i="2"/>
  <c r="AE25" i="2"/>
  <c r="V25" i="2"/>
  <c r="M25" i="2"/>
  <c r="AW24" i="2"/>
  <c r="AN24" i="2"/>
  <c r="AE24" i="2"/>
  <c r="V24" i="2"/>
  <c r="M24" i="2"/>
  <c r="AW23" i="2"/>
  <c r="AN23" i="2"/>
  <c r="AE23" i="2"/>
  <c r="V23" i="2"/>
  <c r="M23" i="2"/>
  <c r="AW22" i="2"/>
  <c r="AN22" i="2"/>
  <c r="AE22" i="2"/>
  <c r="V22" i="2"/>
  <c r="M22" i="2"/>
  <c r="AW21" i="2"/>
  <c r="AN21" i="2"/>
  <c r="AE21" i="2"/>
  <c r="V21" i="2"/>
  <c r="M21" i="2"/>
  <c r="AW20" i="2"/>
  <c r="AN20" i="2"/>
  <c r="AE20" i="2"/>
  <c r="V20" i="2"/>
  <c r="M20" i="2"/>
  <c r="AW19" i="2"/>
  <c r="AN19" i="2"/>
  <c r="AE19" i="2"/>
  <c r="V19" i="2"/>
  <c r="M19" i="2"/>
  <c r="AW18" i="2"/>
  <c r="AN18" i="2"/>
  <c r="AE18" i="2"/>
  <c r="V18" i="2"/>
  <c r="M18" i="2"/>
  <c r="AW17" i="2"/>
  <c r="AN17" i="2"/>
  <c r="AE17" i="2"/>
  <c r="V17" i="2"/>
  <c r="M17" i="2"/>
  <c r="AW16" i="2"/>
  <c r="AN16" i="2"/>
  <c r="AE16" i="2"/>
  <c r="V16" i="2"/>
  <c r="M16" i="2"/>
  <c r="AW15" i="2"/>
  <c r="AN15" i="2"/>
  <c r="AE15" i="2"/>
  <c r="V15" i="2"/>
  <c r="M15" i="2"/>
  <c r="AW14" i="2"/>
  <c r="AN14" i="2"/>
  <c r="AE14" i="2"/>
  <c r="V14" i="2"/>
  <c r="M14" i="2"/>
  <c r="AW13" i="2"/>
  <c r="AN13" i="2"/>
  <c r="AE13" i="2"/>
  <c r="V13" i="2"/>
  <c r="M13" i="2"/>
  <c r="AW12" i="2"/>
  <c r="AN12" i="2"/>
  <c r="AE12" i="2"/>
  <c r="V12" i="2"/>
  <c r="M12" i="2"/>
  <c r="AW11" i="2"/>
  <c r="AN11" i="2"/>
  <c r="AE11" i="2"/>
  <c r="V11" i="2"/>
  <c r="M11" i="2"/>
  <c r="AW10" i="2"/>
  <c r="AN10" i="2"/>
  <c r="AE10" i="2"/>
  <c r="V10" i="2"/>
  <c r="M10" i="2"/>
  <c r="AW9" i="2"/>
  <c r="AN9" i="2"/>
  <c r="AE9" i="2"/>
  <c r="V9" i="2"/>
  <c r="M9" i="2"/>
  <c r="AW8" i="2"/>
  <c r="AN8" i="2"/>
  <c r="AE8" i="2"/>
  <c r="V8" i="2"/>
  <c r="M8" i="2"/>
  <c r="D6" i="1" s="1"/>
  <c r="AW7" i="2"/>
  <c r="AN7" i="2"/>
  <c r="AE7" i="2"/>
  <c r="V7" i="2"/>
  <c r="M7" i="2"/>
  <c r="AW6" i="2"/>
  <c r="AN6" i="2"/>
  <c r="AE6" i="2"/>
  <c r="M6" i="1" s="1"/>
  <c r="V6" i="2"/>
  <c r="M6" i="2"/>
  <c r="AW5" i="2"/>
  <c r="AN5" i="2"/>
  <c r="AE5" i="2"/>
  <c r="V5" i="2"/>
  <c r="M5" i="2"/>
  <c r="V17" i="1"/>
  <c r="R17" i="1"/>
  <c r="N17" i="1"/>
  <c r="J17" i="1"/>
  <c r="F17" i="1"/>
  <c r="V16" i="1"/>
  <c r="R16" i="1"/>
  <c r="N16" i="1"/>
  <c r="J16" i="1"/>
  <c r="H16" i="1"/>
  <c r="F16" i="1"/>
  <c r="V15" i="1"/>
  <c r="U15" i="1"/>
  <c r="T15" i="1"/>
  <c r="R15" i="1"/>
  <c r="Q15" i="1"/>
  <c r="P15" i="1"/>
  <c r="N15" i="1"/>
  <c r="M15" i="1"/>
  <c r="L15" i="1"/>
  <c r="J15" i="1"/>
  <c r="I15" i="1"/>
  <c r="H15" i="1"/>
  <c r="F15" i="1"/>
  <c r="E15" i="1"/>
  <c r="D15" i="1"/>
  <c r="V14" i="1"/>
  <c r="U14" i="1"/>
  <c r="T14" i="1"/>
  <c r="R14" i="1"/>
  <c r="Q14" i="1"/>
  <c r="P14" i="1"/>
  <c r="N14" i="1"/>
  <c r="M14" i="1"/>
  <c r="L14" i="1"/>
  <c r="J14" i="1"/>
  <c r="I14" i="1"/>
  <c r="H14" i="1"/>
  <c r="F14" i="1"/>
  <c r="E14" i="1"/>
  <c r="D14" i="1"/>
  <c r="V13" i="1"/>
  <c r="U13" i="1"/>
  <c r="T13" i="1"/>
  <c r="R13" i="1"/>
  <c r="Q13" i="1"/>
  <c r="P13" i="1"/>
  <c r="N13" i="1"/>
  <c r="M13" i="1"/>
  <c r="L13" i="1"/>
  <c r="J13" i="1"/>
  <c r="I13" i="1"/>
  <c r="H13" i="1"/>
  <c r="F13" i="1"/>
  <c r="E13" i="1"/>
  <c r="D13" i="1"/>
  <c r="V12" i="1"/>
  <c r="U12" i="1"/>
  <c r="T12" i="1"/>
  <c r="R12" i="1"/>
  <c r="Q12" i="1"/>
  <c r="P12" i="1"/>
  <c r="N12" i="1"/>
  <c r="M12" i="1"/>
  <c r="L12" i="1"/>
  <c r="J12" i="1"/>
  <c r="I12" i="1"/>
  <c r="H12" i="1"/>
  <c r="F12" i="1"/>
  <c r="E12" i="1"/>
  <c r="D12" i="1"/>
  <c r="V11" i="1"/>
  <c r="U11" i="1"/>
  <c r="T11" i="1"/>
  <c r="R11" i="1"/>
  <c r="Q11" i="1"/>
  <c r="P11" i="1"/>
  <c r="N11" i="1"/>
  <c r="M11" i="1"/>
  <c r="L11" i="1"/>
  <c r="J11" i="1"/>
  <c r="I11" i="1"/>
  <c r="H11" i="1"/>
  <c r="F11" i="1"/>
  <c r="E11" i="1"/>
  <c r="D11" i="1"/>
  <c r="V10" i="1"/>
  <c r="T10" i="1"/>
  <c r="R10" i="1"/>
  <c r="P10" i="1"/>
  <c r="N10" i="1"/>
  <c r="L10" i="1"/>
  <c r="J10" i="1"/>
  <c r="I10" i="1"/>
  <c r="H10" i="1"/>
  <c r="F10" i="1"/>
  <c r="E10" i="1"/>
  <c r="V9" i="1"/>
  <c r="U9" i="1"/>
  <c r="R9" i="1"/>
  <c r="Q9" i="1"/>
  <c r="N9" i="1"/>
  <c r="J9" i="1"/>
  <c r="H9" i="1"/>
  <c r="F9" i="1"/>
  <c r="D9" i="1"/>
  <c r="V8" i="1"/>
  <c r="T8" i="1"/>
  <c r="R8" i="1"/>
  <c r="Q8" i="1"/>
  <c r="P8" i="1"/>
  <c r="N8" i="1"/>
  <c r="M8" i="1"/>
  <c r="J8" i="1"/>
  <c r="I8" i="1"/>
  <c r="F8" i="1"/>
  <c r="E8" i="1"/>
  <c r="V7" i="1"/>
  <c r="R7" i="1"/>
  <c r="P7" i="1"/>
  <c r="N7" i="1"/>
  <c r="L7" i="1"/>
  <c r="J7" i="1"/>
  <c r="F7" i="1"/>
  <c r="E7" i="1"/>
  <c r="D7" i="1"/>
  <c r="V6" i="1"/>
  <c r="R6" i="1"/>
  <c r="N6" i="1"/>
  <c r="J6" i="1"/>
  <c r="F6" i="1"/>
  <c r="AW292" i="13"/>
  <c r="AN292" i="13"/>
  <c r="AE292" i="13"/>
  <c r="V292" i="13"/>
  <c r="M292" i="13"/>
  <c r="AW291" i="13"/>
  <c r="AN291" i="13"/>
  <c r="AE291" i="13"/>
  <c r="V291" i="13"/>
  <c r="M291" i="13"/>
  <c r="AW290" i="13"/>
  <c r="AN290" i="13"/>
  <c r="AE290" i="13"/>
  <c r="V290" i="13"/>
  <c r="M290" i="13"/>
  <c r="AW289" i="13"/>
  <c r="AN289" i="13"/>
  <c r="AE289" i="13"/>
  <c r="V289" i="13"/>
  <c r="M289" i="13"/>
  <c r="AW288" i="13"/>
  <c r="AN288" i="13"/>
  <c r="AE288" i="13"/>
  <c r="V288" i="13"/>
  <c r="M288" i="13"/>
  <c r="AW287" i="13"/>
  <c r="AN287" i="13"/>
  <c r="AE287" i="13"/>
  <c r="V287" i="13"/>
  <c r="M287" i="13"/>
  <c r="AW286" i="13"/>
  <c r="AN286" i="13"/>
  <c r="AE286" i="13"/>
  <c r="V286" i="13"/>
  <c r="M286" i="13"/>
  <c r="AW285" i="13"/>
  <c r="AN285" i="13"/>
  <c r="AE285" i="13"/>
  <c r="V285" i="13"/>
  <c r="M285" i="13"/>
  <c r="AW284" i="13"/>
  <c r="AN284" i="13"/>
  <c r="AE284" i="13"/>
  <c r="V284" i="13"/>
  <c r="M284" i="13"/>
  <c r="AW283" i="13"/>
  <c r="AN283" i="13"/>
  <c r="AE283" i="13"/>
  <c r="V283" i="13"/>
  <c r="M283" i="13"/>
  <c r="AW282" i="13"/>
  <c r="AN282" i="13"/>
  <c r="AE282" i="13"/>
  <c r="V282" i="13"/>
  <c r="M282" i="13"/>
  <c r="AW281" i="13"/>
  <c r="AN281" i="13"/>
  <c r="AE281" i="13"/>
  <c r="V281" i="13"/>
  <c r="M281" i="13"/>
  <c r="AW280" i="13"/>
  <c r="AN280" i="13"/>
  <c r="AE280" i="13"/>
  <c r="V280" i="13"/>
  <c r="M280" i="13"/>
  <c r="AW279" i="13"/>
  <c r="AN279" i="13"/>
  <c r="AE279" i="13"/>
  <c r="V279" i="13"/>
  <c r="M279" i="13"/>
  <c r="AW278" i="13"/>
  <c r="AN278" i="13"/>
  <c r="AE278" i="13"/>
  <c r="V278" i="13"/>
  <c r="M278" i="13"/>
  <c r="AW277" i="13"/>
  <c r="AN277" i="13"/>
  <c r="AE277" i="13"/>
  <c r="V277" i="13"/>
  <c r="M277" i="13"/>
  <c r="AW276" i="13"/>
  <c r="AN276" i="13"/>
  <c r="AE276" i="13"/>
  <c r="V276" i="13"/>
  <c r="M276" i="13"/>
  <c r="AW275" i="13"/>
  <c r="AN275" i="13"/>
  <c r="AE275" i="13"/>
  <c r="V275" i="13"/>
  <c r="M275" i="13"/>
  <c r="AW274" i="13"/>
  <c r="AN274" i="13"/>
  <c r="AE274" i="13"/>
  <c r="V274" i="13"/>
  <c r="M274" i="13"/>
  <c r="AW273" i="13"/>
  <c r="AN273" i="13"/>
  <c r="AE273" i="13"/>
  <c r="V273" i="13"/>
  <c r="M273" i="13"/>
  <c r="AW272" i="13"/>
  <c r="AN272" i="13"/>
  <c r="AE272" i="13"/>
  <c r="V272" i="13"/>
  <c r="M272" i="13"/>
  <c r="AW271" i="13"/>
  <c r="AN271" i="13"/>
  <c r="AE271" i="13"/>
  <c r="V271" i="13"/>
  <c r="M271" i="13"/>
  <c r="AW270" i="13"/>
  <c r="AN270" i="13"/>
  <c r="AE270" i="13"/>
  <c r="V270" i="13"/>
  <c r="M270" i="13"/>
  <c r="AW269" i="13"/>
  <c r="AN269" i="13"/>
  <c r="AE269" i="13"/>
  <c r="V269" i="13"/>
  <c r="M269" i="13"/>
  <c r="AW268" i="13"/>
  <c r="AN268" i="13"/>
  <c r="AE268" i="13"/>
  <c r="V268" i="13"/>
  <c r="M268" i="13"/>
  <c r="AW267" i="13"/>
  <c r="AN267" i="13"/>
  <c r="AE267" i="13"/>
  <c r="V267" i="13"/>
  <c r="M267" i="13"/>
  <c r="AW266" i="13"/>
  <c r="AN266" i="13"/>
  <c r="AE266" i="13"/>
  <c r="V266" i="13"/>
  <c r="M266" i="13"/>
  <c r="AW265" i="13"/>
  <c r="AN265" i="13"/>
  <c r="AE265" i="13"/>
  <c r="V265" i="13"/>
  <c r="M265" i="13"/>
  <c r="AW264" i="13"/>
  <c r="AN264" i="13"/>
  <c r="AE264" i="13"/>
  <c r="V264" i="13"/>
  <c r="M264" i="13"/>
  <c r="AW263" i="13"/>
  <c r="AN263" i="13"/>
  <c r="AE263" i="13"/>
  <c r="V263" i="13"/>
  <c r="M263" i="13"/>
  <c r="AW262" i="13"/>
  <c r="AN262" i="13"/>
  <c r="AE262" i="13"/>
  <c r="V262" i="13"/>
  <c r="M262" i="13"/>
  <c r="AW261" i="13"/>
  <c r="AN261" i="13"/>
  <c r="AE261" i="13"/>
  <c r="V261" i="13"/>
  <c r="M261" i="13"/>
  <c r="AW260" i="13"/>
  <c r="AN260" i="13"/>
  <c r="AE260" i="13"/>
  <c r="V260" i="13"/>
  <c r="M260" i="13"/>
  <c r="AW259" i="13"/>
  <c r="AN259" i="13"/>
  <c r="AE259" i="13"/>
  <c r="V259" i="13"/>
  <c r="M259" i="13"/>
  <c r="AW258" i="13"/>
  <c r="AN258" i="13"/>
  <c r="AE258" i="13"/>
  <c r="V258" i="13"/>
  <c r="M258" i="13"/>
  <c r="AW257" i="13"/>
  <c r="AN257" i="13"/>
  <c r="AE257" i="13"/>
  <c r="V257" i="13"/>
  <c r="M257" i="13"/>
  <c r="AW256" i="13"/>
  <c r="AN256" i="13"/>
  <c r="AE256" i="13"/>
  <c r="V256" i="13"/>
  <c r="M256" i="13"/>
  <c r="AW255" i="13"/>
  <c r="AN255" i="13"/>
  <c r="AE255" i="13"/>
  <c r="V255" i="13"/>
  <c r="M255" i="13"/>
  <c r="AW254" i="13"/>
  <c r="AN254" i="13"/>
  <c r="AE254" i="13"/>
  <c r="V254" i="13"/>
  <c r="M254" i="13"/>
  <c r="AW253" i="13"/>
  <c r="AN253" i="13"/>
  <c r="AE253" i="13"/>
  <c r="V253" i="13"/>
  <c r="M253" i="13"/>
  <c r="AW252" i="13"/>
  <c r="AN252" i="13"/>
  <c r="AE252" i="13"/>
  <c r="V252" i="13"/>
  <c r="M252" i="13"/>
  <c r="AW251" i="13"/>
  <c r="AN251" i="13"/>
  <c r="AE251" i="13"/>
  <c r="V251" i="13"/>
  <c r="M251" i="13"/>
  <c r="AW250" i="13"/>
  <c r="AN250" i="13"/>
  <c r="AE250" i="13"/>
  <c r="V250" i="13"/>
  <c r="M250" i="13"/>
  <c r="AW249" i="13"/>
  <c r="AN249" i="13"/>
  <c r="AE249" i="13"/>
  <c r="V249" i="13"/>
  <c r="M249" i="13"/>
  <c r="AW248" i="13"/>
  <c r="AN248" i="13"/>
  <c r="AE248" i="13"/>
  <c r="V248" i="13"/>
  <c r="M248" i="13"/>
  <c r="AW247" i="13"/>
  <c r="AN247" i="13"/>
  <c r="AE247" i="13"/>
  <c r="V247" i="13"/>
  <c r="M247" i="13"/>
  <c r="AW246" i="13"/>
  <c r="AN246" i="13"/>
  <c r="AE246" i="13"/>
  <c r="V246" i="13"/>
  <c r="M246" i="13"/>
  <c r="AW245" i="13"/>
  <c r="AN245" i="13"/>
  <c r="AE245" i="13"/>
  <c r="V245" i="13"/>
  <c r="M245" i="13"/>
  <c r="AW244" i="13"/>
  <c r="AN244" i="13"/>
  <c r="AE244" i="13"/>
  <c r="V244" i="13"/>
  <c r="M244" i="13"/>
  <c r="AW243" i="13"/>
  <c r="AN243" i="13"/>
  <c r="AE243" i="13"/>
  <c r="V243" i="13"/>
  <c r="M243" i="13"/>
  <c r="AW242" i="13"/>
  <c r="AN242" i="13"/>
  <c r="AE242" i="13"/>
  <c r="V242" i="13"/>
  <c r="M242" i="13"/>
  <c r="AW241" i="13"/>
  <c r="AN241" i="13"/>
  <c r="AE241" i="13"/>
  <c r="V241" i="13"/>
  <c r="M241" i="13"/>
  <c r="AW240" i="13"/>
  <c r="AN240" i="13"/>
  <c r="AE240" i="13"/>
  <c r="V240" i="13"/>
  <c r="M240" i="13"/>
  <c r="AW239" i="13"/>
  <c r="AN239" i="13"/>
  <c r="AE239" i="13"/>
  <c r="V239" i="13"/>
  <c r="M239" i="13"/>
  <c r="AW238" i="13"/>
  <c r="AN238" i="13"/>
  <c r="AE238" i="13"/>
  <c r="V238" i="13"/>
  <c r="M238" i="13"/>
  <c r="AW237" i="13"/>
  <c r="AN237" i="13"/>
  <c r="AE237" i="13"/>
  <c r="V237" i="13"/>
  <c r="M237" i="13"/>
  <c r="AW236" i="13"/>
  <c r="AN236" i="13"/>
  <c r="AE236" i="13"/>
  <c r="V236" i="13"/>
  <c r="M236" i="13"/>
  <c r="AW235" i="13"/>
  <c r="AN235" i="13"/>
  <c r="AE235" i="13"/>
  <c r="V235" i="13"/>
  <c r="M235" i="13"/>
  <c r="AW234" i="13"/>
  <c r="AN234" i="13"/>
  <c r="AE234" i="13"/>
  <c r="V234" i="13"/>
  <c r="M234" i="13"/>
  <c r="AW233" i="13"/>
  <c r="AN233" i="13"/>
  <c r="AE233" i="13"/>
  <c r="V233" i="13"/>
  <c r="M233" i="13"/>
  <c r="AW232" i="13"/>
  <c r="AN232" i="13"/>
  <c r="AE232" i="13"/>
  <c r="V232" i="13"/>
  <c r="M232" i="13"/>
  <c r="AW231" i="13"/>
  <c r="AN231" i="13"/>
  <c r="AE231" i="13"/>
  <c r="V231" i="13"/>
  <c r="M231" i="13"/>
  <c r="AW230" i="13"/>
  <c r="AN230" i="13"/>
  <c r="AE230" i="13"/>
  <c r="V230" i="13"/>
  <c r="M230" i="13"/>
  <c r="AW229" i="13"/>
  <c r="AN229" i="13"/>
  <c r="AE229" i="13"/>
  <c r="V229" i="13"/>
  <c r="M229" i="13"/>
  <c r="AW228" i="13"/>
  <c r="AN228" i="13"/>
  <c r="AE228" i="13"/>
  <c r="V228" i="13"/>
  <c r="M228" i="13"/>
  <c r="AW227" i="13"/>
  <c r="AN227" i="13"/>
  <c r="AE227" i="13"/>
  <c r="V227" i="13"/>
  <c r="M227" i="13"/>
  <c r="AW226" i="13"/>
  <c r="AN226" i="13"/>
  <c r="AE226" i="13"/>
  <c r="V226" i="13"/>
  <c r="M226" i="13"/>
  <c r="AW225" i="13"/>
  <c r="AN225" i="13"/>
  <c r="AE225" i="13"/>
  <c r="V225" i="13"/>
  <c r="M225" i="13"/>
  <c r="AW224" i="13"/>
  <c r="AN224" i="13"/>
  <c r="AE224" i="13"/>
  <c r="V224" i="13"/>
  <c r="M224" i="13"/>
  <c r="AW223" i="13"/>
  <c r="AN223" i="13"/>
  <c r="AE223" i="13"/>
  <c r="V223" i="13"/>
  <c r="M223" i="13"/>
  <c r="AW222" i="13"/>
  <c r="AN222" i="13"/>
  <c r="AE222" i="13"/>
  <c r="V222" i="13"/>
  <c r="M222" i="13"/>
  <c r="AW221" i="13"/>
  <c r="AN221" i="13"/>
  <c r="AE221" i="13"/>
  <c r="V221" i="13"/>
  <c r="M221" i="13"/>
  <c r="AW220" i="13"/>
  <c r="AN220" i="13"/>
  <c r="AE220" i="13"/>
  <c r="V220" i="13"/>
  <c r="M220" i="13"/>
  <c r="AW219" i="13"/>
  <c r="AN219" i="13"/>
  <c r="AE219" i="13"/>
  <c r="V219" i="13"/>
  <c r="M219" i="13"/>
  <c r="AW218" i="13"/>
  <c r="AN218" i="13"/>
  <c r="AE218" i="13"/>
  <c r="V218" i="13"/>
  <c r="M218" i="13"/>
  <c r="AW217" i="13"/>
  <c r="AN217" i="13"/>
  <c r="AE217" i="13"/>
  <c r="V217" i="13"/>
  <c r="M217" i="13"/>
  <c r="AW216" i="13"/>
  <c r="AN216" i="13"/>
  <c r="AE216" i="13"/>
  <c r="V216" i="13"/>
  <c r="M216" i="13"/>
  <c r="AW215" i="13"/>
  <c r="AN215" i="13"/>
  <c r="AE215" i="13"/>
  <c r="V215" i="13"/>
  <c r="M215" i="13"/>
  <c r="AW214" i="13"/>
  <c r="AN214" i="13"/>
  <c r="AE214" i="13"/>
  <c r="V214" i="13"/>
  <c r="M214" i="13"/>
  <c r="AW213" i="13"/>
  <c r="AN213" i="13"/>
  <c r="AE213" i="13"/>
  <c r="V213" i="13"/>
  <c r="M213" i="13"/>
  <c r="AW212" i="13"/>
  <c r="AN212" i="13"/>
  <c r="AE212" i="13"/>
  <c r="V212" i="13"/>
  <c r="M212" i="13"/>
  <c r="AW211" i="13"/>
  <c r="AN211" i="13"/>
  <c r="AE211" i="13"/>
  <c r="V211" i="13"/>
  <c r="M211" i="13"/>
  <c r="AW210" i="13"/>
  <c r="AN210" i="13"/>
  <c r="AE210" i="13"/>
  <c r="V210" i="13"/>
  <c r="M210" i="13"/>
  <c r="AW209" i="13"/>
  <c r="AN209" i="13"/>
  <c r="AE209" i="13"/>
  <c r="V209" i="13"/>
  <c r="M209" i="13"/>
  <c r="AW208" i="13"/>
  <c r="AN208" i="13"/>
  <c r="AE208" i="13"/>
  <c r="V208" i="13"/>
  <c r="M208" i="13"/>
  <c r="AW207" i="13"/>
  <c r="AN207" i="13"/>
  <c r="AE207" i="13"/>
  <c r="V207" i="13"/>
  <c r="M207" i="13"/>
  <c r="AW206" i="13"/>
  <c r="AN206" i="13"/>
  <c r="AE206" i="13"/>
  <c r="V206" i="13"/>
  <c r="M206" i="13"/>
  <c r="AW205" i="13"/>
  <c r="AN205" i="13"/>
  <c r="AE205" i="13"/>
  <c r="V205" i="13"/>
  <c r="M205" i="13"/>
  <c r="AW204" i="13"/>
  <c r="AN204" i="13"/>
  <c r="AE204" i="13"/>
  <c r="V204" i="13"/>
  <c r="M204" i="13"/>
  <c r="AW203" i="13"/>
  <c r="AN203" i="13"/>
  <c r="AE203" i="13"/>
  <c r="V203" i="13"/>
  <c r="M203" i="13"/>
  <c r="AW202" i="13"/>
  <c r="AN202" i="13"/>
  <c r="AE202" i="13"/>
  <c r="V202" i="13"/>
  <c r="M202" i="13"/>
  <c r="AW201" i="13"/>
  <c r="AN201" i="13"/>
  <c r="AE201" i="13"/>
  <c r="V201" i="13"/>
  <c r="M201" i="13"/>
  <c r="AW200" i="13"/>
  <c r="AN200" i="13"/>
  <c r="AE200" i="13"/>
  <c r="V200" i="13"/>
  <c r="M200" i="13"/>
  <c r="AW199" i="13"/>
  <c r="AN199" i="13"/>
  <c r="AE199" i="13"/>
  <c r="V199" i="13"/>
  <c r="M199" i="13"/>
  <c r="AW198" i="13"/>
  <c r="AN198" i="13"/>
  <c r="AE198" i="13"/>
  <c r="V198" i="13"/>
  <c r="M198" i="13"/>
  <c r="AW197" i="13"/>
  <c r="AN197" i="13"/>
  <c r="AE197" i="13"/>
  <c r="V197" i="13"/>
  <c r="M197" i="13"/>
  <c r="AW196" i="13"/>
  <c r="AN196" i="13"/>
  <c r="AE196" i="13"/>
  <c r="V196" i="13"/>
  <c r="M196" i="13"/>
  <c r="AW195" i="13"/>
  <c r="AN195" i="13"/>
  <c r="AE195" i="13"/>
  <c r="V195" i="13"/>
  <c r="M195" i="13"/>
  <c r="AW194" i="13"/>
  <c r="AN194" i="13"/>
  <c r="AE194" i="13"/>
  <c r="V194" i="13"/>
  <c r="M194" i="13"/>
  <c r="AW193" i="13"/>
  <c r="AN193" i="13"/>
  <c r="AE193" i="13"/>
  <c r="V193" i="13"/>
  <c r="M193" i="13"/>
  <c r="AW192" i="13"/>
  <c r="AN192" i="13"/>
  <c r="AE192" i="13"/>
  <c r="V192" i="13"/>
  <c r="M192" i="13"/>
  <c r="AW191" i="13"/>
  <c r="AN191" i="13"/>
  <c r="AE191" i="13"/>
  <c r="V191" i="13"/>
  <c r="M191" i="13"/>
  <c r="AW190" i="13"/>
  <c r="AN190" i="13"/>
  <c r="AE190" i="13"/>
  <c r="V190" i="13"/>
  <c r="M190" i="13"/>
  <c r="AW189" i="13"/>
  <c r="AN189" i="13"/>
  <c r="AE189" i="13"/>
  <c r="V189" i="13"/>
  <c r="M189" i="13"/>
  <c r="AW188" i="13"/>
  <c r="AN188" i="13"/>
  <c r="AE188" i="13"/>
  <c r="V188" i="13"/>
  <c r="M188" i="13"/>
  <c r="AW187" i="13"/>
  <c r="AN187" i="13"/>
  <c r="AE187" i="13"/>
  <c r="V187" i="13"/>
  <c r="M187" i="13"/>
  <c r="AW186" i="13"/>
  <c r="AN186" i="13"/>
  <c r="AE186" i="13"/>
  <c r="V186" i="13"/>
  <c r="M186" i="13"/>
  <c r="AW185" i="13"/>
  <c r="AN185" i="13"/>
  <c r="AE185" i="13"/>
  <c r="V185" i="13"/>
  <c r="M185" i="13"/>
  <c r="AW184" i="13"/>
  <c r="AN184" i="13"/>
  <c r="AE184" i="13"/>
  <c r="V184" i="13"/>
  <c r="M184" i="13"/>
  <c r="AW183" i="13"/>
  <c r="AN183" i="13"/>
  <c r="AE183" i="13"/>
  <c r="V183" i="13"/>
  <c r="M183" i="13"/>
  <c r="AW182" i="13"/>
  <c r="AN182" i="13"/>
  <c r="AE182" i="13"/>
  <c r="V182" i="13"/>
  <c r="M182" i="13"/>
  <c r="AW181" i="13"/>
  <c r="AN181" i="13"/>
  <c r="AE181" i="13"/>
  <c r="V181" i="13"/>
  <c r="M181" i="13"/>
  <c r="AW180" i="13"/>
  <c r="AN180" i="13"/>
  <c r="AE180" i="13"/>
  <c r="V180" i="13"/>
  <c r="M180" i="13"/>
  <c r="AW179" i="13"/>
  <c r="AN179" i="13"/>
  <c r="AE179" i="13"/>
  <c r="V179" i="13"/>
  <c r="M179" i="13"/>
  <c r="AW178" i="13"/>
  <c r="AN178" i="13"/>
  <c r="AE178" i="13"/>
  <c r="V178" i="13"/>
  <c r="M178" i="13"/>
  <c r="AW177" i="13"/>
  <c r="AN177" i="13"/>
  <c r="AE177" i="13"/>
  <c r="V177" i="13"/>
  <c r="M177" i="13"/>
  <c r="AW176" i="13"/>
  <c r="AN176" i="13"/>
  <c r="AE176" i="13"/>
  <c r="V176" i="13"/>
  <c r="M176" i="13"/>
  <c r="AW175" i="13"/>
  <c r="AN175" i="13"/>
  <c r="AE175" i="13"/>
  <c r="V175" i="13"/>
  <c r="M175" i="13"/>
  <c r="AW174" i="13"/>
  <c r="AN174" i="13"/>
  <c r="AE174" i="13"/>
  <c r="V174" i="13"/>
  <c r="M174" i="13"/>
  <c r="AW173" i="13"/>
  <c r="AN173" i="13"/>
  <c r="AE173" i="13"/>
  <c r="V173" i="13"/>
  <c r="M173" i="13"/>
  <c r="AW172" i="13"/>
  <c r="AN172" i="13"/>
  <c r="AE172" i="13"/>
  <c r="V172" i="13"/>
  <c r="M172" i="13"/>
  <c r="AW171" i="13"/>
  <c r="AN171" i="13"/>
  <c r="AE171" i="13"/>
  <c r="V171" i="13"/>
  <c r="M171" i="13"/>
  <c r="AW170" i="13"/>
  <c r="AN170" i="13"/>
  <c r="AE170" i="13"/>
  <c r="V170" i="13"/>
  <c r="M170" i="13"/>
  <c r="AW169" i="13"/>
  <c r="AN169" i="13"/>
  <c r="AE169" i="13"/>
  <c r="V169" i="13"/>
  <c r="M169" i="13"/>
  <c r="AW168" i="13"/>
  <c r="AN168" i="13"/>
  <c r="AE168" i="13"/>
  <c r="V168" i="13"/>
  <c r="M168" i="13"/>
  <c r="AW167" i="13"/>
  <c r="AN167" i="13"/>
  <c r="AE167" i="13"/>
  <c r="V167" i="13"/>
  <c r="M167" i="13"/>
  <c r="AW166" i="13"/>
  <c r="AN166" i="13"/>
  <c r="AE166" i="13"/>
  <c r="V166" i="13"/>
  <c r="M166" i="13"/>
  <c r="AW165" i="13"/>
  <c r="AN165" i="13"/>
  <c r="AE165" i="13"/>
  <c r="V165" i="13"/>
  <c r="M165" i="13"/>
  <c r="AW164" i="13"/>
  <c r="AN164" i="13"/>
  <c r="AE164" i="13"/>
  <c r="V164" i="13"/>
  <c r="M164" i="13"/>
  <c r="AW163" i="13"/>
  <c r="AN163" i="13"/>
  <c r="AE163" i="13"/>
  <c r="V163" i="13"/>
  <c r="M163" i="13"/>
  <c r="AW162" i="13"/>
  <c r="AN162" i="13"/>
  <c r="AE162" i="13"/>
  <c r="V162" i="13"/>
  <c r="M162" i="13"/>
  <c r="AW161" i="13"/>
  <c r="AN161" i="13"/>
  <c r="AE161" i="13"/>
  <c r="V161" i="13"/>
  <c r="M161" i="13"/>
  <c r="AW160" i="13"/>
  <c r="AN160" i="13"/>
  <c r="AE160" i="13"/>
  <c r="V160" i="13"/>
  <c r="M160" i="13"/>
  <c r="AW159" i="13"/>
  <c r="AN159" i="13"/>
  <c r="AE159" i="13"/>
  <c r="V159" i="13"/>
  <c r="M159" i="13"/>
  <c r="AW158" i="13"/>
  <c r="AN158" i="13"/>
  <c r="AE158" i="13"/>
  <c r="V158" i="13"/>
  <c r="M158" i="13"/>
  <c r="AW157" i="13"/>
  <c r="AN157" i="13"/>
  <c r="AE157" i="13"/>
  <c r="V157" i="13"/>
  <c r="M157" i="13"/>
  <c r="AW156" i="13"/>
  <c r="AN156" i="13"/>
  <c r="AE156" i="13"/>
  <c r="V156" i="13"/>
  <c r="M156" i="13"/>
  <c r="AW155" i="13"/>
  <c r="AN155" i="13"/>
  <c r="AE155" i="13"/>
  <c r="V155" i="13"/>
  <c r="M155" i="13"/>
  <c r="AW154" i="13"/>
  <c r="AN154" i="13"/>
  <c r="AE154" i="13"/>
  <c r="V154" i="13"/>
  <c r="M154" i="13"/>
  <c r="AW153" i="13"/>
  <c r="AN153" i="13"/>
  <c r="AE153" i="13"/>
  <c r="V153" i="13"/>
  <c r="M153" i="13"/>
  <c r="AW152" i="13"/>
  <c r="AN152" i="13"/>
  <c r="AE152" i="13"/>
  <c r="V152" i="13"/>
  <c r="M152" i="13"/>
  <c r="AW151" i="13"/>
  <c r="AN151" i="13"/>
  <c r="AE151" i="13"/>
  <c r="V151" i="13"/>
  <c r="M151" i="13"/>
  <c r="AW150" i="13"/>
  <c r="AN150" i="13"/>
  <c r="AE150" i="13"/>
  <c r="V150" i="13"/>
  <c r="M150" i="13"/>
  <c r="AW149" i="13"/>
  <c r="AN149" i="13"/>
  <c r="AE149" i="13"/>
  <c r="V149" i="13"/>
  <c r="M149" i="13"/>
  <c r="AW148" i="13"/>
  <c r="AN148" i="13"/>
  <c r="AE148" i="13"/>
  <c r="V148" i="13"/>
  <c r="M148" i="13"/>
  <c r="AW147" i="13"/>
  <c r="AN147" i="13"/>
  <c r="AE147" i="13"/>
  <c r="V147" i="13"/>
  <c r="M147" i="13"/>
  <c r="AW146" i="13"/>
  <c r="AN146" i="13"/>
  <c r="AE146" i="13"/>
  <c r="V146" i="13"/>
  <c r="M146" i="13"/>
  <c r="AW145" i="13"/>
  <c r="AN145" i="13"/>
  <c r="AE145" i="13"/>
  <c r="V145" i="13"/>
  <c r="M145" i="13"/>
  <c r="AW144" i="13"/>
  <c r="AN144" i="13"/>
  <c r="AE144" i="13"/>
  <c r="V144" i="13"/>
  <c r="M144" i="13"/>
  <c r="AW143" i="13"/>
  <c r="AN143" i="13"/>
  <c r="AE143" i="13"/>
  <c r="V143" i="13"/>
  <c r="M143" i="13"/>
  <c r="AW142" i="13"/>
  <c r="AN142" i="13"/>
  <c r="AE142" i="13"/>
  <c r="V142" i="13"/>
  <c r="M142" i="13"/>
  <c r="AW141" i="13"/>
  <c r="AN141" i="13"/>
  <c r="AE141" i="13"/>
  <c r="V141" i="13"/>
  <c r="M141" i="13"/>
  <c r="AW140" i="13"/>
  <c r="AN140" i="13"/>
  <c r="AE140" i="13"/>
  <c r="V140" i="13"/>
  <c r="M140" i="13"/>
  <c r="AW139" i="13"/>
  <c r="AN139" i="13"/>
  <c r="AE139" i="13"/>
  <c r="V139" i="13"/>
  <c r="M139" i="13"/>
  <c r="AW138" i="13"/>
  <c r="AN138" i="13"/>
  <c r="AE138" i="13"/>
  <c r="V138" i="13"/>
  <c r="M138" i="13"/>
  <c r="AW137" i="13"/>
  <c r="AN137" i="13"/>
  <c r="AE137" i="13"/>
  <c r="V137" i="13"/>
  <c r="M137" i="13"/>
  <c r="AW136" i="13"/>
  <c r="AN136" i="13"/>
  <c r="AE136" i="13"/>
  <c r="V136" i="13"/>
  <c r="M136" i="13"/>
  <c r="AW135" i="13"/>
  <c r="AN135" i="13"/>
  <c r="AE135" i="13"/>
  <c r="V135" i="13"/>
  <c r="M135" i="13"/>
  <c r="AW134" i="13"/>
  <c r="AN134" i="13"/>
  <c r="AE134" i="13"/>
  <c r="V134" i="13"/>
  <c r="M134" i="13"/>
  <c r="AW133" i="13"/>
  <c r="AN133" i="13"/>
  <c r="AE133" i="13"/>
  <c r="V133" i="13"/>
  <c r="M133" i="13"/>
  <c r="AW132" i="13"/>
  <c r="AN132" i="13"/>
  <c r="AE132" i="13"/>
  <c r="V132" i="13"/>
  <c r="M132" i="13"/>
  <c r="AW131" i="13"/>
  <c r="AN131" i="13"/>
  <c r="AE131" i="13"/>
  <c r="V131" i="13"/>
  <c r="M131" i="13"/>
  <c r="AW130" i="13"/>
  <c r="AN130" i="13"/>
  <c r="AE130" i="13"/>
  <c r="V130" i="13"/>
  <c r="M130" i="13"/>
  <c r="AW129" i="13"/>
  <c r="AN129" i="13"/>
  <c r="AE129" i="13"/>
  <c r="V129" i="13"/>
  <c r="M129" i="13"/>
  <c r="AW128" i="13"/>
  <c r="AN128" i="13"/>
  <c r="AE128" i="13"/>
  <c r="V128" i="13"/>
  <c r="M128" i="13"/>
  <c r="AW127" i="13"/>
  <c r="AN127" i="13"/>
  <c r="AE127" i="13"/>
  <c r="V127" i="13"/>
  <c r="M127" i="13"/>
  <c r="AW126" i="13"/>
  <c r="AN126" i="13"/>
  <c r="AE126" i="13"/>
  <c r="V126" i="13"/>
  <c r="M126" i="13"/>
  <c r="AW125" i="13"/>
  <c r="AN125" i="13"/>
  <c r="AE125" i="13"/>
  <c r="V125" i="13"/>
  <c r="M125" i="13"/>
  <c r="AW124" i="13"/>
  <c r="AN124" i="13"/>
  <c r="AE124" i="13"/>
  <c r="V124" i="13"/>
  <c r="M124" i="13"/>
  <c r="AW123" i="13"/>
  <c r="AN123" i="13"/>
  <c r="AE123" i="13"/>
  <c r="V123" i="13"/>
  <c r="M123" i="13"/>
  <c r="AW122" i="13"/>
  <c r="AN122" i="13"/>
  <c r="AE122" i="13"/>
  <c r="V122" i="13"/>
  <c r="M122" i="13"/>
  <c r="AW121" i="13"/>
  <c r="AN121" i="13"/>
  <c r="AE121" i="13"/>
  <c r="V121" i="13"/>
  <c r="M121" i="13"/>
  <c r="AW120" i="13"/>
  <c r="AN120" i="13"/>
  <c r="AE120" i="13"/>
  <c r="V120" i="13"/>
  <c r="M120" i="13"/>
  <c r="AW119" i="13"/>
  <c r="AN119" i="13"/>
  <c r="AE119" i="13"/>
  <c r="V119" i="13"/>
  <c r="M119" i="13"/>
  <c r="AW118" i="13"/>
  <c r="AN118" i="13"/>
  <c r="AE118" i="13"/>
  <c r="V118" i="13"/>
  <c r="M118" i="13"/>
  <c r="AW117" i="13"/>
  <c r="AN117" i="13"/>
  <c r="AE117" i="13"/>
  <c r="V117" i="13"/>
  <c r="M117" i="13"/>
  <c r="AW116" i="13"/>
  <c r="AN116" i="13"/>
  <c r="AE116" i="13"/>
  <c r="V116" i="13"/>
  <c r="M116" i="13"/>
  <c r="AW115" i="13"/>
  <c r="AN115" i="13"/>
  <c r="AE115" i="13"/>
  <c r="V115" i="13"/>
  <c r="M115" i="13"/>
  <c r="AW114" i="13"/>
  <c r="AN114" i="13"/>
  <c r="AE114" i="13"/>
  <c r="V114" i="13"/>
  <c r="M114" i="13"/>
  <c r="AW113" i="13"/>
  <c r="AN113" i="13"/>
  <c r="AE113" i="13"/>
  <c r="V113" i="13"/>
  <c r="M113" i="13"/>
  <c r="AW112" i="13"/>
  <c r="AN112" i="13"/>
  <c r="AE112" i="13"/>
  <c r="V112" i="13"/>
  <c r="M112" i="13"/>
  <c r="AW111" i="13"/>
  <c r="AN111" i="13"/>
  <c r="AE111" i="13"/>
  <c r="V111" i="13"/>
  <c r="M111" i="13"/>
  <c r="AW110" i="13"/>
  <c r="AN110" i="13"/>
  <c r="AE110" i="13"/>
  <c r="V110" i="13"/>
  <c r="M110" i="13"/>
  <c r="AW109" i="13"/>
  <c r="AN109" i="13"/>
  <c r="AE109" i="13"/>
  <c r="V109" i="13"/>
  <c r="M109" i="13"/>
  <c r="AW108" i="13"/>
  <c r="AN108" i="13"/>
  <c r="AE108" i="13"/>
  <c r="V108" i="13"/>
  <c r="M108" i="13"/>
  <c r="AW107" i="13"/>
  <c r="AN107" i="13"/>
  <c r="AE107" i="13"/>
  <c r="V107" i="13"/>
  <c r="M107" i="13"/>
  <c r="AW106" i="13"/>
  <c r="AN106" i="13"/>
  <c r="AE106" i="13"/>
  <c r="V106" i="13"/>
  <c r="M106" i="13"/>
  <c r="AW105" i="13"/>
  <c r="AN105" i="13"/>
  <c r="AE105" i="13"/>
  <c r="V105" i="13"/>
  <c r="M105" i="13"/>
  <c r="AW104" i="13"/>
  <c r="AN104" i="13"/>
  <c r="AE104" i="13"/>
  <c r="V104" i="13"/>
  <c r="M104" i="13"/>
  <c r="AW103" i="13"/>
  <c r="AN103" i="13"/>
  <c r="AE103" i="13"/>
  <c r="V103" i="13"/>
  <c r="M103" i="13"/>
  <c r="AW102" i="13"/>
  <c r="AN102" i="13"/>
  <c r="AE102" i="13"/>
  <c r="V102" i="13"/>
  <c r="M102" i="13"/>
  <c r="AW101" i="13"/>
  <c r="AN101" i="13"/>
  <c r="AE101" i="13"/>
  <c r="V101" i="13"/>
  <c r="M101" i="13"/>
  <c r="AW100" i="13"/>
  <c r="AN100" i="13"/>
  <c r="AE100" i="13"/>
  <c r="V100" i="13"/>
  <c r="M100" i="13"/>
  <c r="AW99" i="13"/>
  <c r="AN99" i="13"/>
  <c r="AE99" i="13"/>
  <c r="V99" i="13"/>
  <c r="M99" i="13"/>
  <c r="AW98" i="13"/>
  <c r="AN98" i="13"/>
  <c r="AE98" i="13"/>
  <c r="V98" i="13"/>
  <c r="M98" i="13"/>
  <c r="AW97" i="13"/>
  <c r="AN97" i="13"/>
  <c r="AE97" i="13"/>
  <c r="V97" i="13"/>
  <c r="M97" i="13"/>
  <c r="AW96" i="13"/>
  <c r="AN96" i="13"/>
  <c r="AE96" i="13"/>
  <c r="V96" i="13"/>
  <c r="M96" i="13"/>
  <c r="AW95" i="13"/>
  <c r="AN95" i="13"/>
  <c r="AE95" i="13"/>
  <c r="V95" i="13"/>
  <c r="M95" i="13"/>
  <c r="AW94" i="13"/>
  <c r="AN94" i="13"/>
  <c r="AE94" i="13"/>
  <c r="V94" i="13"/>
  <c r="M94" i="13"/>
  <c r="AW93" i="13"/>
  <c r="AN93" i="13"/>
  <c r="AE93" i="13"/>
  <c r="V93" i="13"/>
  <c r="M93" i="13"/>
  <c r="AW92" i="13"/>
  <c r="AN92" i="13"/>
  <c r="AE92" i="13"/>
  <c r="V92" i="13"/>
  <c r="M92" i="13"/>
  <c r="AW91" i="13"/>
  <c r="AN91" i="13"/>
  <c r="AE91" i="13"/>
  <c r="V91" i="13"/>
  <c r="M91" i="13"/>
  <c r="AW90" i="13"/>
  <c r="AN90" i="13"/>
  <c r="AE90" i="13"/>
  <c r="V90" i="13"/>
  <c r="M90" i="13"/>
  <c r="AW89" i="13"/>
  <c r="AN89" i="13"/>
  <c r="AE89" i="13"/>
  <c r="V89" i="13"/>
  <c r="M89" i="13"/>
  <c r="AW88" i="13"/>
  <c r="AN88" i="13"/>
  <c r="AE88" i="13"/>
  <c r="V88" i="13"/>
  <c r="M88" i="13"/>
  <c r="AW87" i="13"/>
  <c r="AN87" i="13"/>
  <c r="AE87" i="13"/>
  <c r="V87" i="13"/>
  <c r="M87" i="13"/>
  <c r="AW86" i="13"/>
  <c r="AN86" i="13"/>
  <c r="AE86" i="13"/>
  <c r="V86" i="13"/>
  <c r="M86" i="13"/>
  <c r="AW85" i="13"/>
  <c r="AN85" i="13"/>
  <c r="AE85" i="13"/>
  <c r="V85" i="13"/>
  <c r="M85" i="13"/>
  <c r="AW84" i="13"/>
  <c r="AN84" i="13"/>
  <c r="AE84" i="13"/>
  <c r="V84" i="13"/>
  <c r="M84" i="13"/>
  <c r="AW83" i="13"/>
  <c r="AN83" i="13"/>
  <c r="AE83" i="13"/>
  <c r="V83" i="13"/>
  <c r="M83" i="13"/>
  <c r="AW82" i="13"/>
  <c r="AN82" i="13"/>
  <c r="AE82" i="13"/>
  <c r="V82" i="13"/>
  <c r="M82" i="13"/>
  <c r="AW81" i="13"/>
  <c r="AN81" i="13"/>
  <c r="AE81" i="13"/>
  <c r="V81" i="13"/>
  <c r="M81" i="13"/>
  <c r="AW80" i="13"/>
  <c r="AN80" i="13"/>
  <c r="AE80" i="13"/>
  <c r="V80" i="13"/>
  <c r="M80" i="13"/>
  <c r="AW79" i="13"/>
  <c r="AN79" i="13"/>
  <c r="AE79" i="13"/>
  <c r="V79" i="13"/>
  <c r="M79" i="13"/>
  <c r="AW78" i="13"/>
  <c r="AN78" i="13"/>
  <c r="AE78" i="13"/>
  <c r="V78" i="13"/>
  <c r="M78" i="13"/>
  <c r="AW77" i="13"/>
  <c r="AN77" i="13"/>
  <c r="AE77" i="13"/>
  <c r="V77" i="13"/>
  <c r="M77" i="13"/>
  <c r="AW76" i="13"/>
  <c r="AN76" i="13"/>
  <c r="AE76" i="13"/>
  <c r="V76" i="13"/>
  <c r="M76" i="13"/>
  <c r="AW75" i="13"/>
  <c r="AN75" i="13"/>
  <c r="AE75" i="13"/>
  <c r="V75" i="13"/>
  <c r="M75" i="13"/>
  <c r="AW74" i="13"/>
  <c r="AN74" i="13"/>
  <c r="AE74" i="13"/>
  <c r="V74" i="13"/>
  <c r="M74" i="13"/>
  <c r="AW73" i="13"/>
  <c r="AN73" i="13"/>
  <c r="AE73" i="13"/>
  <c r="V73" i="13"/>
  <c r="M73" i="13"/>
  <c r="AW72" i="13"/>
  <c r="AN72" i="13"/>
  <c r="AE72" i="13"/>
  <c r="V72" i="13"/>
  <c r="M72" i="13"/>
  <c r="AW71" i="13"/>
  <c r="AN71" i="13"/>
  <c r="AE71" i="13"/>
  <c r="V71" i="13"/>
  <c r="M71" i="13"/>
  <c r="AW70" i="13"/>
  <c r="AN70" i="13"/>
  <c r="AE70" i="13"/>
  <c r="V70" i="13"/>
  <c r="M70" i="13"/>
  <c r="AW69" i="13"/>
  <c r="AN69" i="13"/>
  <c r="AE69" i="13"/>
  <c r="V69" i="13"/>
  <c r="M69" i="13"/>
  <c r="AW68" i="13"/>
  <c r="AN68" i="13"/>
  <c r="AE68" i="13"/>
  <c r="V68" i="13"/>
  <c r="M68" i="13"/>
  <c r="AW67" i="13"/>
  <c r="AN67" i="13"/>
  <c r="AE67" i="13"/>
  <c r="V67" i="13"/>
  <c r="M67" i="13"/>
  <c r="AW66" i="13"/>
  <c r="AN66" i="13"/>
  <c r="AE66" i="13"/>
  <c r="V66" i="13"/>
  <c r="M66" i="13"/>
  <c r="AW65" i="13"/>
  <c r="AN65" i="13"/>
  <c r="AE65" i="13"/>
  <c r="V65" i="13"/>
  <c r="M65" i="13"/>
  <c r="AW64" i="13"/>
  <c r="AN64" i="13"/>
  <c r="AE64" i="13"/>
  <c r="V64" i="13"/>
  <c r="M64" i="13"/>
  <c r="AW63" i="13"/>
  <c r="AN63" i="13"/>
  <c r="AE63" i="13"/>
  <c r="V63" i="13"/>
  <c r="M63" i="13"/>
  <c r="AW62" i="13"/>
  <c r="AN62" i="13"/>
  <c r="AE62" i="13"/>
  <c r="V62" i="13"/>
  <c r="M62" i="13"/>
  <c r="AW61" i="13"/>
  <c r="AN61" i="13"/>
  <c r="AE61" i="13"/>
  <c r="V61" i="13"/>
  <c r="M61" i="13"/>
  <c r="AW60" i="13"/>
  <c r="AN60" i="13"/>
  <c r="AE60" i="13"/>
  <c r="V60" i="13"/>
  <c r="M60" i="13"/>
  <c r="AW59" i="13"/>
  <c r="AN59" i="13"/>
  <c r="AE59" i="13"/>
  <c r="V59" i="13"/>
  <c r="M59" i="13"/>
  <c r="AW58" i="13"/>
  <c r="AN58" i="13"/>
  <c r="AE58" i="13"/>
  <c r="V58" i="13"/>
  <c r="M58" i="13"/>
  <c r="AW57" i="13"/>
  <c r="AN57" i="13"/>
  <c r="AE57" i="13"/>
  <c r="V57" i="13"/>
  <c r="M57" i="13"/>
  <c r="AW56" i="13"/>
  <c r="AN56" i="13"/>
  <c r="AE56" i="13"/>
  <c r="V56" i="13"/>
  <c r="M56" i="13"/>
  <c r="AW55" i="13"/>
  <c r="AN55" i="13"/>
  <c r="AE55" i="13"/>
  <c r="V55" i="13"/>
  <c r="M55" i="13"/>
  <c r="AW54" i="13"/>
  <c r="AN54" i="13"/>
  <c r="AE54" i="13"/>
  <c r="V54" i="13"/>
  <c r="M54" i="13"/>
  <c r="AW53" i="13"/>
  <c r="AN53" i="13"/>
  <c r="AE53" i="13"/>
  <c r="V53" i="13"/>
  <c r="M53" i="13"/>
  <c r="AW52" i="13"/>
  <c r="AN52" i="13"/>
  <c r="AE52" i="13"/>
  <c r="V52" i="13"/>
  <c r="M52" i="13"/>
  <c r="AW51" i="13"/>
  <c r="AN51" i="13"/>
  <c r="AE51" i="13"/>
  <c r="V51" i="13"/>
  <c r="M51" i="13"/>
  <c r="AW50" i="13"/>
  <c r="AN50" i="13"/>
  <c r="AE50" i="13"/>
  <c r="V50" i="13"/>
  <c r="M50" i="13"/>
  <c r="AW49" i="13"/>
  <c r="AN49" i="13"/>
  <c r="AE49" i="13"/>
  <c r="V49" i="13"/>
  <c r="M49" i="13"/>
  <c r="AW48" i="13"/>
  <c r="AN48" i="13"/>
  <c r="AE48" i="13"/>
  <c r="V48" i="13"/>
  <c r="M48" i="13"/>
  <c r="AW47" i="13"/>
  <c r="AN47" i="13"/>
  <c r="AE47" i="13"/>
  <c r="V47" i="13"/>
  <c r="M47" i="13"/>
  <c r="AW46" i="13"/>
  <c r="AN46" i="13"/>
  <c r="AE46" i="13"/>
  <c r="V46" i="13"/>
  <c r="M46" i="13"/>
  <c r="AW45" i="13"/>
  <c r="AN45" i="13"/>
  <c r="AE45" i="13"/>
  <c r="V45" i="13"/>
  <c r="M45" i="13"/>
  <c r="AW44" i="13"/>
  <c r="AN44" i="13"/>
  <c r="AE44" i="13"/>
  <c r="V44" i="13"/>
  <c r="M44" i="13"/>
  <c r="AW43" i="13"/>
  <c r="AN43" i="13"/>
  <c r="AE43" i="13"/>
  <c r="V43" i="13"/>
  <c r="M43" i="13"/>
  <c r="AW42" i="13"/>
  <c r="AN42" i="13"/>
  <c r="AE42" i="13"/>
  <c r="V42" i="13"/>
  <c r="M42" i="13"/>
  <c r="AW41" i="13"/>
  <c r="AN41" i="13"/>
  <c r="AE41" i="13"/>
  <c r="V41" i="13"/>
  <c r="M41" i="13"/>
  <c r="AW40" i="13"/>
  <c r="AN40" i="13"/>
  <c r="AE40" i="13"/>
  <c r="V40" i="13"/>
  <c r="M40" i="13"/>
  <c r="AW39" i="13"/>
  <c r="AN39" i="13"/>
  <c r="AE39" i="13"/>
  <c r="V39" i="13"/>
  <c r="M39" i="13"/>
  <c r="AW38" i="13"/>
  <c r="AN38" i="13"/>
  <c r="AE38" i="13"/>
  <c r="V38" i="13"/>
  <c r="M38" i="13"/>
  <c r="AW37" i="13"/>
  <c r="AN37" i="13"/>
  <c r="AE37" i="13"/>
  <c r="V37" i="13"/>
  <c r="M37" i="13"/>
  <c r="AW36" i="13"/>
  <c r="AN36" i="13"/>
  <c r="AE36" i="13"/>
  <c r="V36" i="13"/>
  <c r="M36" i="13"/>
  <c r="AW35" i="13"/>
  <c r="AN35" i="13"/>
  <c r="AE35" i="13"/>
  <c r="V35" i="13"/>
  <c r="M35" i="13"/>
  <c r="AW34" i="13"/>
  <c r="AN34" i="13"/>
  <c r="AE34" i="13"/>
  <c r="V34" i="13"/>
  <c r="M34" i="13"/>
  <c r="AW33" i="13"/>
  <c r="AN33" i="13"/>
  <c r="AE33" i="13"/>
  <c r="V33" i="13"/>
  <c r="M33" i="13"/>
  <c r="AW32" i="13"/>
  <c r="AN32" i="13"/>
  <c r="AE32" i="13"/>
  <c r="V32" i="13"/>
  <c r="M32" i="13"/>
  <c r="AW31" i="13"/>
  <c r="AN31" i="13"/>
  <c r="AE31" i="13"/>
  <c r="V31" i="13"/>
  <c r="M31" i="13"/>
  <c r="AW30" i="13"/>
  <c r="AN30" i="13"/>
  <c r="AE30" i="13"/>
  <c r="V30" i="13"/>
  <c r="M30" i="13"/>
  <c r="AW29" i="13"/>
  <c r="AN29" i="13"/>
  <c r="AE29" i="13"/>
  <c r="V29" i="13"/>
  <c r="M29" i="13"/>
  <c r="AW28" i="13"/>
  <c r="AN28" i="13"/>
  <c r="AE28" i="13"/>
  <c r="V28" i="13"/>
  <c r="M28" i="13"/>
  <c r="AW27" i="13"/>
  <c r="AN27" i="13"/>
  <c r="AE27" i="13"/>
  <c r="V27" i="13"/>
  <c r="M27" i="13"/>
  <c r="AW26" i="13"/>
  <c r="AN26" i="13"/>
  <c r="AE26" i="13"/>
  <c r="V26" i="13"/>
  <c r="M26" i="13"/>
  <c r="AW25" i="13"/>
  <c r="AN25" i="13"/>
  <c r="AE25" i="13"/>
  <c r="V25" i="13"/>
  <c r="M25" i="13"/>
  <c r="AW24" i="13"/>
  <c r="AN24" i="13"/>
  <c r="AE24" i="13"/>
  <c r="V24" i="13"/>
  <c r="M24" i="13"/>
  <c r="AW23" i="13"/>
  <c r="AN23" i="13"/>
  <c r="AE23" i="13"/>
  <c r="V23" i="13"/>
  <c r="M23" i="13"/>
  <c r="AW22" i="13"/>
  <c r="AN22" i="13"/>
  <c r="AE22" i="13"/>
  <c r="V22" i="13"/>
  <c r="M22" i="13"/>
  <c r="AW21" i="13"/>
  <c r="AN21" i="13"/>
  <c r="AE21" i="13"/>
  <c r="V21" i="13"/>
  <c r="M21" i="13"/>
  <c r="AW20" i="13"/>
  <c r="AN20" i="13"/>
  <c r="AE20" i="13"/>
  <c r="V20" i="13"/>
  <c r="M20" i="13"/>
  <c r="AW19" i="13"/>
  <c r="AN19" i="13"/>
  <c r="AE19" i="13"/>
  <c r="V19" i="13"/>
  <c r="M19" i="13"/>
  <c r="AW18" i="13"/>
  <c r="AN18" i="13"/>
  <c r="AE18" i="13"/>
  <c r="V18" i="13"/>
  <c r="M18" i="13"/>
  <c r="AW17" i="13"/>
  <c r="AN17" i="13"/>
  <c r="AE17" i="13"/>
  <c r="V17" i="13"/>
  <c r="M17" i="13"/>
  <c r="AW16" i="13"/>
  <c r="AN16" i="13"/>
  <c r="AE16" i="13"/>
  <c r="V16" i="13"/>
  <c r="M16" i="13"/>
  <c r="AW15" i="13"/>
  <c r="AN15" i="13"/>
  <c r="AE15" i="13"/>
  <c r="V15" i="13"/>
  <c r="M15" i="13"/>
  <c r="AW14" i="13"/>
  <c r="AN14" i="13"/>
  <c r="AE14" i="13"/>
  <c r="V14" i="13"/>
  <c r="M14" i="13"/>
  <c r="AW13" i="13"/>
  <c r="AN13" i="13"/>
  <c r="AE13" i="13"/>
  <c r="V13" i="13"/>
  <c r="M13" i="13"/>
  <c r="AW12" i="13"/>
  <c r="AN12" i="13"/>
  <c r="AE12" i="13"/>
  <c r="V12" i="13"/>
  <c r="M12" i="13"/>
  <c r="AW11" i="13"/>
  <c r="AN11" i="13"/>
  <c r="AE11" i="13"/>
  <c r="V11" i="13"/>
  <c r="M11" i="13"/>
  <c r="AW10" i="13"/>
  <c r="AN10" i="13"/>
  <c r="AE10" i="13"/>
  <c r="V10" i="13"/>
  <c r="M10" i="13"/>
  <c r="AW9" i="13"/>
  <c r="AN9" i="13"/>
  <c r="AE9" i="13"/>
  <c r="V9" i="13"/>
  <c r="M9" i="13"/>
  <c r="AW8" i="13"/>
  <c r="AN8" i="13"/>
  <c r="AE8" i="13"/>
  <c r="V8" i="13"/>
  <c r="M8" i="13"/>
  <c r="AW7" i="13"/>
  <c r="AN7" i="13"/>
  <c r="AE7" i="13"/>
  <c r="V7" i="13"/>
  <c r="M7" i="13"/>
  <c r="AW6" i="13"/>
  <c r="AN6" i="13"/>
  <c r="Q17" i="1" s="1"/>
  <c r="AE6" i="13"/>
  <c r="V6" i="13"/>
  <c r="M6" i="13"/>
  <c r="AW5" i="13"/>
  <c r="U17" i="1" s="1"/>
  <c r="AN5" i="13"/>
  <c r="P17" i="1" s="1"/>
  <c r="AE5" i="13"/>
  <c r="M17" i="1" s="1"/>
  <c r="V5" i="13"/>
  <c r="I17" i="1" s="1"/>
  <c r="M5" i="13"/>
  <c r="E17" i="1" s="1"/>
  <c r="U6" i="1" l="1"/>
  <c r="P6" i="1"/>
  <c r="T6" i="1"/>
  <c r="L6" i="1"/>
  <c r="E6" i="1"/>
  <c r="I6" i="1"/>
  <c r="T16" i="1"/>
  <c r="L16" i="1"/>
  <c r="D16" i="1"/>
  <c r="P16" i="1"/>
  <c r="Q6" i="1"/>
  <c r="H7" i="1"/>
  <c r="H6" i="1"/>
  <c r="T7" i="1"/>
  <c r="L9" i="1"/>
  <c r="L17" i="1"/>
  <c r="D17" i="1"/>
  <c r="H17" i="1"/>
  <c r="T17" i="1"/>
</calcChain>
</file>

<file path=xl/sharedStrings.xml><?xml version="1.0" encoding="utf-8"?>
<sst xmlns="http://schemas.openxmlformats.org/spreadsheetml/2006/main" count="86609" uniqueCount="6227">
  <si>
    <t>📋  HRBR EC  —  FABRIC  |  Multi-Round Audit Tracker</t>
  </si>
  <si>
    <t>➤  Fill AUDIT DATE &amp; AUDITOR first in each block  |  Yellow = Comments  |  Status auto-updates  |  Next audit → use next block</t>
  </si>
  <si>
    <t xml:space="preserve">  AUDIT 1</t>
  </si>
  <si>
    <t xml:space="preserve">  AUDIT 2</t>
  </si>
  <si>
    <t xml:space="preserve">  AUDIT 3</t>
  </si>
  <si>
    <t xml:space="preserve">  AUDIT 4</t>
  </si>
  <si>
    <t xml:space="preserve">  AUDIT 5</t>
  </si>
  <si>
    <t>#</t>
  </si>
  <si>
    <t>ERP Code</t>
  </si>
  <si>
    <t>Material / Studio Name</t>
  </si>
  <si>
    <t>Brand</t>
  </si>
  <si>
    <t>Audit Date</t>
  </si>
  <si>
    <t>Auditor</t>
  </si>
  <si>
    <t>Sample
in EC?</t>
  </si>
  <si>
    <t>Discontinued
by Vendor?</t>
  </si>
  <si>
    <t>Visual
Condition</t>
  </si>
  <si>
    <t>Conformance
(Yes/No)</t>
  </si>
  <si>
    <t>COMMENTS / REMARKS</t>
  </si>
  <si>
    <t>Follow-Up Action</t>
  </si>
  <si>
    <t>Status</t>
  </si>
  <si>
    <t>Amber Red Fabric_S49</t>
  </si>
  <si>
    <t>Bonito SCB - Fabric Swatches - Amber Red Fabric</t>
  </si>
  <si>
    <t>Aadeshwar</t>
  </si>
  <si>
    <t>Sunil CR</t>
  </si>
  <si>
    <t>Yes</t>
  </si>
  <si>
    <t>No</t>
  </si>
  <si>
    <t>Good finish</t>
  </si>
  <si>
    <t>18-09-2026</t>
  </si>
  <si>
    <t>Ash Grey Fabric_S40</t>
  </si>
  <si>
    <t>Bonito SCB - Fabric Swatches - Ash Grey Fabric</t>
  </si>
  <si>
    <t>Baby Pink Velvet_S12</t>
  </si>
  <si>
    <t>Bonito SCB - Fabric Swatches - Baby Pink Velvet</t>
  </si>
  <si>
    <t>Beige Fabric_S30</t>
  </si>
  <si>
    <t>Bonito SCB - Fabric Swatches - Beige Fabric</t>
  </si>
  <si>
    <t>Beige-1 Velvet_S20</t>
  </si>
  <si>
    <t>Bonito SCB - Fabric Swatches - Beige-1 Velvet</t>
  </si>
  <si>
    <t>Beige-2 Velvet_S21</t>
  </si>
  <si>
    <t>Bonito SCB - Fabric Swatches - Beige-2 Velvet</t>
  </si>
  <si>
    <t>Berry Red Velvet_S13</t>
  </si>
  <si>
    <t>Bonito SCB - Fabric Swatches - Berry Red Velvet</t>
  </si>
  <si>
    <t>Blush Pink Fabric_S47</t>
  </si>
  <si>
    <t>Bonito SCB - Fabric Swatches - Blush Pink Fabric</t>
  </si>
  <si>
    <t>Blush Pink Velvet_S11</t>
  </si>
  <si>
    <t>Bonito SCB - Fabric Swatches - Blush Pink Velvet</t>
  </si>
  <si>
    <t>Brown Velvet_S19</t>
  </si>
  <si>
    <t>Bonito SCB - Fabric Swatches - Brown Velvet</t>
  </si>
  <si>
    <t>Camel Yellow Fabric_S45</t>
  </si>
  <si>
    <t>Bonito SCB - Fabric Swatches - Camel Yellow Fabric</t>
  </si>
  <si>
    <t>Camel Yellow Velvet_S8</t>
  </si>
  <si>
    <t>Bonito SCB - Fabric Swatches - Camel Yellow Velvet</t>
  </si>
  <si>
    <t>Charcoal Grey Fabric_S40A</t>
  </si>
  <si>
    <t>Bonito SCB - Fabric Swatches - Charcoal Grey Fabric</t>
  </si>
  <si>
    <t>Charcoal Grey Velvet_S18</t>
  </si>
  <si>
    <t>Bonito SCB - Fabric Swatches - Charcoal Grey Velvet</t>
  </si>
  <si>
    <t>Chestnut Brown Fabric_S51</t>
  </si>
  <si>
    <t>Bonito SCB - Fabric Swatches - Chestnut Brown Fabric</t>
  </si>
  <si>
    <t>Cotton Candy Pink Velvet_S11A</t>
  </si>
  <si>
    <t>Bonito SCB - Fabric Swatches - Cotton Candy Pink Velvet</t>
  </si>
  <si>
    <t>Cream-1 Velvet_S22</t>
  </si>
  <si>
    <t>Bonito SCB - Fabric Swatches - Cream-1 Velvet</t>
  </si>
  <si>
    <t>Cream-2 Velvet_S23</t>
  </si>
  <si>
    <t>Bonito SCB - Fabric Swatches - Cream-2 Velvet</t>
  </si>
  <si>
    <t>Denim Blue Fabric_S34</t>
  </si>
  <si>
    <t>Bonito SCB - Fabric Swatches - Denim Blue Fabric</t>
  </si>
  <si>
    <t>Emerald Green Velvet_S5</t>
  </si>
  <si>
    <t>Bonito SCB - Fabric Swatches - Emerald Green Velvet</t>
  </si>
  <si>
    <t>Fog Grey Velvet_S10A</t>
  </si>
  <si>
    <t>Bonito SCB - Fabric Swatches - Fog Grey Velvet</t>
  </si>
  <si>
    <t>Forest Green Velvet_S4</t>
  </si>
  <si>
    <t>Bonito SCB - Fabric Swatches - Forest Green Velvet</t>
  </si>
  <si>
    <t>Fossil Grey Velvet_S10</t>
  </si>
  <si>
    <t>Bonito SCB - Fabric Swatches - Fossil Grey Velvet</t>
  </si>
  <si>
    <t>Garnet Red Fabric_S48</t>
  </si>
  <si>
    <t>Bonito SCB - Fabric Swatches - Garnet Red Fabric</t>
  </si>
  <si>
    <t>Ice Blue Fabric_S33</t>
  </si>
  <si>
    <t>Bonito SCB - Fabric Swatches - Ice Blue Fabric</t>
  </si>
  <si>
    <t>Light Gold Velvet_S24</t>
  </si>
  <si>
    <t>Bonito SCB - Fabric Swatches - Light Gold Velvet</t>
  </si>
  <si>
    <t>Military Green Velvet_S17</t>
  </si>
  <si>
    <t>Bonito SCB - Fabric Swatches - Military Green Velvet</t>
  </si>
  <si>
    <t>Mint Green Fabric_S42</t>
  </si>
  <si>
    <t>Bonito SCB - Fabric Swatches - Mint Green Fabric</t>
  </si>
  <si>
    <t>Mint Green-1 Velvet_S3</t>
  </si>
  <si>
    <t>Bonito SCB - Fabric Swatches - Mint Green-1 Velvet</t>
  </si>
  <si>
    <t>Mint Green-2 Velvet_S16</t>
  </si>
  <si>
    <t>Bonito SCB - Fabric Swatches - Mint Green-2 Velvet</t>
  </si>
  <si>
    <t>Moss Green Velvet_S2A</t>
  </si>
  <si>
    <t>Bonito SCB - Fabric Swatches - Moss Green Velvet</t>
  </si>
  <si>
    <t>Mulberry Velvet_S6</t>
  </si>
  <si>
    <t>Bonito SCB - Fabric Swatches - Mulberry Velvet</t>
  </si>
  <si>
    <t>Mustard Green Fabric_S44</t>
  </si>
  <si>
    <t>Bonito SCB - Fabric Swatches - Mustard Green Fabric</t>
  </si>
  <si>
    <t>Mustard Yellow Velvet_S9</t>
  </si>
  <si>
    <t>Bonito SCB - Fabric Swatches - Mustard Yellow Velvet</t>
  </si>
  <si>
    <t>Navy Blue Fabric_S35</t>
  </si>
  <si>
    <t>Bonito SCB - Fabric Swatches - Navy Blue Fabric</t>
  </si>
  <si>
    <t>Olive Green Fabric_S43</t>
  </si>
  <si>
    <t>Bonito SCB - Fabric Swatches - Olive Green Fabric</t>
  </si>
  <si>
    <t>Olive Green Velvet_S2</t>
  </si>
  <si>
    <t>Bonito SCB - Fabric Swatches - Olive Green Velvet</t>
  </si>
  <si>
    <t>Pibe Green Fabric_S41</t>
  </si>
  <si>
    <t>Bonito SCB - Fabric Swatches - Pibe Green Fabric</t>
  </si>
  <si>
    <t>Powder Blue Velvet_7A</t>
  </si>
  <si>
    <t>Bonito SCB - Fabric Swatches - Powder Blue Velvet</t>
  </si>
  <si>
    <t>Royal Blue Velvet_S7</t>
  </si>
  <si>
    <t>Bonito SCB - Fabric Swatches - Royal Blue Velvet</t>
  </si>
  <si>
    <t>Rust Fabric_S46</t>
  </si>
  <si>
    <t>Bonito SCB - Fabric Swatches - Rust Fabric</t>
  </si>
  <si>
    <t>Rust Velvet_S14A</t>
  </si>
  <si>
    <t>Bonito SCB - Fabric Swatches - Rust Velvet</t>
  </si>
  <si>
    <t>Sandy Brown-1 Fabric_S31</t>
  </si>
  <si>
    <t>Bonito SCB - Fabric Swatches - Sandy Brown-1 Fabric</t>
  </si>
  <si>
    <t>Sandy Brown-2 Fabric_S32</t>
  </si>
  <si>
    <t>Bonito SCB - Fabric Swatches - Sandy Brown-2 Fabric</t>
  </si>
  <si>
    <t>Sea Blue Fabric_S37</t>
  </si>
  <si>
    <t>Bonito SCB - Fabric Swatches - Sea Blue Fabric</t>
  </si>
  <si>
    <t>Sky Blue Velvet_S15</t>
  </si>
  <si>
    <t>Bonito SCB - Fabric Swatches - Sky Blue Velvet</t>
  </si>
  <si>
    <t>Slate Grey Fabric_S38</t>
  </si>
  <si>
    <t>Bonito SCB - Fabric Swatches - Slate Grey Fabric</t>
  </si>
  <si>
    <t>Spruce Blue Fabric_S36</t>
  </si>
  <si>
    <t>Bonito SCB - Fabric Swatches - Spruce Blue Fabric</t>
  </si>
  <si>
    <t>Steel Grey Fabric_S39</t>
  </si>
  <si>
    <t>Bonito SCB - Fabric Swatches - Steel Grey Fabric</t>
  </si>
  <si>
    <t>Teal Blue Velvet_S1</t>
  </si>
  <si>
    <t>Bonito SCB - Fabric Swatches - Teal Blue Velvet</t>
  </si>
  <si>
    <t>Textured Fawn Velvet_S25</t>
  </si>
  <si>
    <t>Bonito SCB - Fabric Swatches - Textured Fawn Velvet</t>
  </si>
  <si>
    <t>Textured Suede Velvet_S26</t>
  </si>
  <si>
    <t>Bonito SCB - Fabric Swatches - Textured Suede Velvet</t>
  </si>
  <si>
    <t>Wine Red Velvet_S14</t>
  </si>
  <si>
    <t>Bonito SCB - Fabric Swatches - Wine Red Velvet</t>
  </si>
  <si>
    <t>Apple Green -138</t>
  </si>
  <si>
    <t>Febonic Fabric - Buckle - Apple Green -138</t>
  </si>
  <si>
    <t>Febonic</t>
  </si>
  <si>
    <t>Discontinued</t>
  </si>
  <si>
    <t>Bark Green -118</t>
  </si>
  <si>
    <t>Febonic Fabric - Buckle - Bark Green -118</t>
  </si>
  <si>
    <t>Candy Red -119</t>
  </si>
  <si>
    <t>Febonic Fabric - Buckle - Candy Red -119</t>
  </si>
  <si>
    <t>Classic Blue -111</t>
  </si>
  <si>
    <t>Febonic Fabric - Buckle - Classic Blue -111</t>
  </si>
  <si>
    <t>Daisy Yellow-107</t>
  </si>
  <si>
    <t>Febonic Fabric - Buckle - Daisy Yellow-107</t>
  </si>
  <si>
    <t>Fog Grey -102</t>
  </si>
  <si>
    <t>Febonic Fabric - Buckle - Fog Grey -102</t>
  </si>
  <si>
    <t>Hunter Green -108</t>
  </si>
  <si>
    <t>Febonic Fabric - Buckle - Hunter Green -108</t>
  </si>
  <si>
    <t>Lava Grey -132</t>
  </si>
  <si>
    <t>Febonic Fabric - Buckle - Lava Grey -132</t>
  </si>
  <si>
    <t>Light Orange -137</t>
  </si>
  <si>
    <t>Febonic Fabric - Buckle - Light Orange -137</t>
  </si>
  <si>
    <t>Macy Grey - 131</t>
  </si>
  <si>
    <t>Febonic Fabric - Buckle - Macy Grey - 131</t>
  </si>
  <si>
    <t>Moon Grey -117</t>
  </si>
  <si>
    <t>Febonic Fabric - Buckle - Moon Grey -117</t>
  </si>
  <si>
    <t>Mushroom Beige -133</t>
  </si>
  <si>
    <t>Febonic Fabric - Buckle - Mushroom Beige -133</t>
  </si>
  <si>
    <t>Ocean Blue -126</t>
  </si>
  <si>
    <t>Febonic Fabric - Buckle - Ocean Blue -126</t>
  </si>
  <si>
    <t>Rose Pink -114</t>
  </si>
  <si>
    <t>Febonic Fabric - Buckle - Rose Pink -114</t>
  </si>
  <si>
    <t>Rust Orange -103</t>
  </si>
  <si>
    <t>Febonic Fabric - Buckle - Rust Orange -103</t>
  </si>
  <si>
    <t>Shadow Grey -115</t>
  </si>
  <si>
    <t>Febonic Fabric - Buckle - Shadow Grey -115</t>
  </si>
  <si>
    <t>Shell White -104</t>
  </si>
  <si>
    <t>Febonic Fabric - Buckle - Shell White -104</t>
  </si>
  <si>
    <t>Stormy Blue -139</t>
  </si>
  <si>
    <t>Febonic Fabric - Buckle - Stormy Blue -139</t>
  </si>
  <si>
    <t>Truffle Brown -106</t>
  </si>
  <si>
    <t>Febonic Fabric - Buckle - Truffle Brown -106</t>
  </si>
  <si>
    <t>Arabian Green - 126</t>
  </si>
  <si>
    <t>Febonic Fabric - Velvet - Arabian Green - 126</t>
  </si>
  <si>
    <t>Azura Blue -111</t>
  </si>
  <si>
    <t>Febonic Fabric - Velvet - Azura Blue -111</t>
  </si>
  <si>
    <t>Barmunda Aqua - 139</t>
  </si>
  <si>
    <t>Febonic Fabric - Velvet - Barmunda Aqua - 139</t>
  </si>
  <si>
    <t>Blush Pink - 114</t>
  </si>
  <si>
    <t>Febonic Fabric - Velvet - Blush Pink - 114</t>
  </si>
  <si>
    <t>Bone Grey - 102</t>
  </si>
  <si>
    <t>Febonic Fabric - Velvet - Bone Grey - 102</t>
  </si>
  <si>
    <t>Camel Beige - 110</t>
  </si>
  <si>
    <t>Febonic Fabric - Velvet - Camel Beige - 110</t>
  </si>
  <si>
    <t>Concrete Grey - 156</t>
  </si>
  <si>
    <t>Febonic Fabric - Velvet - Concrete Grey - 156</t>
  </si>
  <si>
    <t>Cream Beige - 133</t>
  </si>
  <si>
    <t>Febonic Fabric - Velvet - Cream Beige - 133</t>
  </si>
  <si>
    <t>Davy Grey - 132</t>
  </si>
  <si>
    <t>Febonic Fabric - Velvet - Davy Grey - 132</t>
  </si>
  <si>
    <t>Echo Grey - 131</t>
  </si>
  <si>
    <t>Febonic Fabric - Velvet - Echo Grey - 131</t>
  </si>
  <si>
    <t>Forest Green - 128</t>
  </si>
  <si>
    <t>Febonic Fabric - Velvet - Forest Green - 128</t>
  </si>
  <si>
    <t>Imperial Blue</t>
  </si>
  <si>
    <t>Febonic Fabric - Velvet - Imperial Blue</t>
  </si>
  <si>
    <t>Light Grey - 117</t>
  </si>
  <si>
    <t>Febonic Fabric - Velvet - Light Grey - 117</t>
  </si>
  <si>
    <t>Mocha Brown - 134</t>
  </si>
  <si>
    <t>Febonic Fabric - Velvet - Mocha Brown - 134</t>
  </si>
  <si>
    <t>Mocha Mouse - 116</t>
  </si>
  <si>
    <t>Febonic Fabric - Velvet - Mocha Mouse - 116</t>
  </si>
  <si>
    <t>Oxford Blue - 109</t>
  </si>
  <si>
    <t>Febonic Fabric - Velvet - Oxford Blue - 109</t>
  </si>
  <si>
    <t>Rose Pink - 161</t>
  </si>
  <si>
    <t>Febonic Fabric - Velvet - Rose Pink - 161</t>
  </si>
  <si>
    <t>Shade Brown - 127</t>
  </si>
  <si>
    <t>Febonic Fabric - Velvet - Shade Brown - 127</t>
  </si>
  <si>
    <t>Turmeric Yellow - 147</t>
  </si>
  <si>
    <t>Febonic Fabric - Velvet - Turmeric Yellow - 147</t>
  </si>
  <si>
    <t>Warm White - 104</t>
  </si>
  <si>
    <t>Febonic Fabric - Velvet - Warm White - 104</t>
  </si>
  <si>
    <t>Yam Orange - 137</t>
  </si>
  <si>
    <t>Febonic Fabric - Velvet - Yam Orange - 137</t>
  </si>
  <si>
    <t>Aria_701</t>
  </si>
  <si>
    <t>Sarom - Aria Fabric(Platinum) - Aria_701</t>
  </si>
  <si>
    <t>Sarom</t>
  </si>
  <si>
    <t>Aria_702</t>
  </si>
  <si>
    <t>Sarom - Aria Fabric(Platinum) - Aria_702</t>
  </si>
  <si>
    <t>Aria_703</t>
  </si>
  <si>
    <t>Sarom - Aria Fabric(Platinum) - Aria_703</t>
  </si>
  <si>
    <t>Aria_704</t>
  </si>
  <si>
    <t>Sarom - Aria Fabric(Platinum) - Aria_704</t>
  </si>
  <si>
    <t>Aria_705</t>
  </si>
  <si>
    <t>Sarom - Aria Fabric(Platinum) - Aria_705</t>
  </si>
  <si>
    <t>Aria_706</t>
  </si>
  <si>
    <t>Sarom - Aria Fabric(Platinum) - Aria_706</t>
  </si>
  <si>
    <t>Aria_707</t>
  </si>
  <si>
    <t>Sarom - Aria Fabric(Platinum) - Aria_707</t>
  </si>
  <si>
    <t>Aria_708</t>
  </si>
  <si>
    <t>Sarom - Aria Fabric(Platinum) - Aria_708</t>
  </si>
  <si>
    <t>Aria_709</t>
  </si>
  <si>
    <t>Sarom - Aria Fabric(Platinum) - Aria_709</t>
  </si>
  <si>
    <t>Aria_710</t>
  </si>
  <si>
    <t>Sarom - Aria Fabric(Platinum) - Aria_710</t>
  </si>
  <si>
    <t>Aria_711</t>
  </si>
  <si>
    <t>Sarom - Aria Fabric(Platinum) - Aria_711</t>
  </si>
  <si>
    <t>Aria_712</t>
  </si>
  <si>
    <t>Sarom - Aria Fabric(Platinum) - Aria_712</t>
  </si>
  <si>
    <t>Aria_713</t>
  </si>
  <si>
    <t>Sarom - Aria Fabric(Platinum) - Aria_713</t>
  </si>
  <si>
    <t>Aria_714</t>
  </si>
  <si>
    <t>Sarom - Aria Fabric(Platinum) - Aria_714</t>
  </si>
  <si>
    <t>Aria_715</t>
  </si>
  <si>
    <t>Sarom - Aria Fabric(Platinum) - Aria_715</t>
  </si>
  <si>
    <t>Aria_716</t>
  </si>
  <si>
    <t>Sarom - Aria Fabric(Platinum) - Aria_716</t>
  </si>
  <si>
    <t>Aria_717</t>
  </si>
  <si>
    <t>Sarom - Aria Fabric(Platinum) - Aria_717</t>
  </si>
  <si>
    <t>Aria_718</t>
  </si>
  <si>
    <t>Sarom - Aria Fabric(Platinum) - Aria_718</t>
  </si>
  <si>
    <t>Asaba_701</t>
  </si>
  <si>
    <t>Sarom - Asaba Fabric(Diamond) - Asaba_701</t>
  </si>
  <si>
    <t>Asaba_702</t>
  </si>
  <si>
    <t>Sarom - Asaba Fabric(Diamond) - Asaba_702</t>
  </si>
  <si>
    <t>Asaba_703</t>
  </si>
  <si>
    <t>Sarom - Asaba Fabric(Diamond) - Asaba_703</t>
  </si>
  <si>
    <t>Asaba_704</t>
  </si>
  <si>
    <t>Sarom - Asaba Fabric(Diamond) - Asaba_704</t>
  </si>
  <si>
    <t>Asaba_705</t>
  </si>
  <si>
    <t>Sarom - Asaba Fabric(Diamond) - Asaba_705</t>
  </si>
  <si>
    <t>Asaba_706</t>
  </si>
  <si>
    <t>Sarom - Asaba Fabric(Diamond) - Asaba_706</t>
  </si>
  <si>
    <t>Asaba_707</t>
  </si>
  <si>
    <t>Sarom - Asaba Fabric(Diamond) - Asaba_707</t>
  </si>
  <si>
    <t>Asaba_708</t>
  </si>
  <si>
    <t>Sarom - Asaba Fabric(Diamond) - Asaba_708</t>
  </si>
  <si>
    <t>Asaba_709</t>
  </si>
  <si>
    <t>Sarom - Asaba Fabric(Diamond) - Asaba_709</t>
  </si>
  <si>
    <t>Asaba_711</t>
  </si>
  <si>
    <t>Sarom - Asaba Fabric(Diamond) - Asaba_711</t>
  </si>
  <si>
    <t>Asaba_712</t>
  </si>
  <si>
    <t>Sarom - Asaba Fabric(Diamond) - Asaba_712</t>
  </si>
  <si>
    <t>Asaba_713</t>
  </si>
  <si>
    <t>Sarom - Asaba Fabric(Diamond) - Asaba_713</t>
  </si>
  <si>
    <t>Asaba_714</t>
  </si>
  <si>
    <t>Sarom - Asaba Fabric(Diamond) - Asaba_714</t>
  </si>
  <si>
    <t>Asaba_715</t>
  </si>
  <si>
    <t>Sarom - Asaba Fabric(Diamond) - Asaba_715</t>
  </si>
  <si>
    <t>Asaba_716</t>
  </si>
  <si>
    <t>Sarom - Asaba Fabric(Diamond) - Asaba_716</t>
  </si>
  <si>
    <t>Asaba_717</t>
  </si>
  <si>
    <t>Sarom - Asaba Fabric(Diamond) - Asaba_717</t>
  </si>
  <si>
    <t>Asaba_718</t>
  </si>
  <si>
    <t>Sarom - Asaba Fabric(Diamond) - Asaba_718</t>
  </si>
  <si>
    <t>Asaba_719</t>
  </si>
  <si>
    <t>Sarom - Asaba Fabric(Diamond) - Asaba_719</t>
  </si>
  <si>
    <t>Asaba_720</t>
  </si>
  <si>
    <t>Sarom - Asaba Fabric(Diamond) - Asaba_720</t>
  </si>
  <si>
    <t>Asaba_721</t>
  </si>
  <si>
    <t>Sarom - Asaba Fabric(Diamond) - Asaba_721</t>
  </si>
  <si>
    <t>Asaba_722</t>
  </si>
  <si>
    <t>Sarom - Asaba Fabric(Diamond) - Asaba_722</t>
  </si>
  <si>
    <t>Asaba_723</t>
  </si>
  <si>
    <t>Sarom - Asaba Fabric(Diamond) - Asaba_723</t>
  </si>
  <si>
    <t>Asaba_724</t>
  </si>
  <si>
    <t>Sarom - Asaba Fabric(Diamond) - Asaba_724</t>
  </si>
  <si>
    <t>Asaba_725</t>
  </si>
  <si>
    <t>Sarom - Asaba Fabric(Diamond) - Asaba_725</t>
  </si>
  <si>
    <t>Asaba_726</t>
  </si>
  <si>
    <t>Sarom - Asaba Fabric(Diamond) - Asaba_726</t>
  </si>
  <si>
    <t>Asaba_727</t>
  </si>
  <si>
    <t>Sarom - Asaba Fabric(Diamond) - Asaba_727</t>
  </si>
  <si>
    <t>Asaba_728</t>
  </si>
  <si>
    <t>Sarom - Asaba Fabric(Diamond) - Asaba_728</t>
  </si>
  <si>
    <t>Asaba_729</t>
  </si>
  <si>
    <t>Sarom - Asaba Fabric(Diamond) - Asaba_729</t>
  </si>
  <si>
    <t>Asaba_730</t>
  </si>
  <si>
    <t>Sarom - Asaba Fabric(Diamond) - Asaba_730</t>
  </si>
  <si>
    <t>Asaba_731</t>
  </si>
  <si>
    <t>Sarom - Asaba Fabric(Diamond) - Asaba_731</t>
  </si>
  <si>
    <t>Asaba_732</t>
  </si>
  <si>
    <t>Sarom - Asaba Fabric(Diamond) - Asaba_732</t>
  </si>
  <si>
    <t>Asaba_733</t>
  </si>
  <si>
    <t>Sarom - Asaba Fabric(Diamond) - Asaba_733</t>
  </si>
  <si>
    <t>Asaba_734</t>
  </si>
  <si>
    <t>Sarom - Asaba Fabric(Diamond) - Asaba_734</t>
  </si>
  <si>
    <t>Asaba_735</t>
  </si>
  <si>
    <t>Sarom - Asaba Fabric(Diamond) - Asaba_735</t>
  </si>
  <si>
    <t>Asaba_736</t>
  </si>
  <si>
    <t>Sarom - Asaba Fabric(Diamond) - Asaba_736</t>
  </si>
  <si>
    <t>Keiba_901</t>
  </si>
  <si>
    <t>Sarom - Keiba Fabric(Diamond) - Keiba_901</t>
  </si>
  <si>
    <t>Keiba_902</t>
  </si>
  <si>
    <t>Sarom - Keiba Fabric(Diamond) - Keiba_902</t>
  </si>
  <si>
    <t>Keiba_903</t>
  </si>
  <si>
    <t>Sarom - Keiba Fabric(Diamond) - Keiba_903</t>
  </si>
  <si>
    <t>Keiba_904</t>
  </si>
  <si>
    <t>Sarom - Keiba Fabric(Diamond) - Keiba_904</t>
  </si>
  <si>
    <t>Keiba_905</t>
  </si>
  <si>
    <t>Sarom - Keiba Fabric(Diamond) - Keiba_905</t>
  </si>
  <si>
    <t>Keiba_906</t>
  </si>
  <si>
    <t>Sarom - Keiba Fabric(Diamond) - Keiba_906</t>
  </si>
  <si>
    <t>Keiba_907</t>
  </si>
  <si>
    <t>Sarom - Keiba Fabric(Diamond) - Keiba_907</t>
  </si>
  <si>
    <t>Keiba_908</t>
  </si>
  <si>
    <t>Sarom - Keiba Fabric(Diamond) - Keiba_908</t>
  </si>
  <si>
    <t>Keiba_909</t>
  </si>
  <si>
    <t>Sarom - Keiba Fabric(Diamond) - Keiba_909</t>
  </si>
  <si>
    <t>Keiba_910</t>
  </si>
  <si>
    <t>Sarom - Keiba Fabric(Diamond) - Keiba_910</t>
  </si>
  <si>
    <t>Keiba_911</t>
  </si>
  <si>
    <t>Sarom - Keiba Fabric(Diamond) - Keiba_911</t>
  </si>
  <si>
    <t>Keiba_912</t>
  </si>
  <si>
    <t>Sarom - Keiba Fabric(Diamond) - Keiba_912</t>
  </si>
  <si>
    <t>Keiba_913</t>
  </si>
  <si>
    <t>Sarom - Keiba Fabric(Diamond) - Keiba_913</t>
  </si>
  <si>
    <t>Keiba_914</t>
  </si>
  <si>
    <t>Sarom - Keiba Fabric(Diamond) - Keiba_914</t>
  </si>
  <si>
    <t>Keiba_915</t>
  </si>
  <si>
    <t>Sarom - Keiba Fabric(Diamond) - Keiba_915</t>
  </si>
  <si>
    <t>Keiba_916</t>
  </si>
  <si>
    <t>Sarom - Keiba Fabric(Diamond) - Keiba_916</t>
  </si>
  <si>
    <t>Keiba_917</t>
  </si>
  <si>
    <t>Sarom - Keiba Fabric(Diamond) - Keiba_917</t>
  </si>
  <si>
    <t>Keiba_918</t>
  </si>
  <si>
    <t>Sarom - Keiba Fabric(Diamond) - Keiba_918</t>
  </si>
  <si>
    <t>Keiba_919</t>
  </si>
  <si>
    <t>Sarom - Keiba Fabric(Diamond) - Keiba_919</t>
  </si>
  <si>
    <t>Keiba_920</t>
  </si>
  <si>
    <t>Sarom - Keiba Fabric(Diamond) - Keiba_920</t>
  </si>
  <si>
    <t>Keiba_921</t>
  </si>
  <si>
    <t>Sarom - Keiba Fabric(Diamond) - Keiba_921</t>
  </si>
  <si>
    <t>Libra_701</t>
  </si>
  <si>
    <t>Sarom - Libra Fabric(Gold) - Libra_701</t>
  </si>
  <si>
    <t>Libra_702</t>
  </si>
  <si>
    <t>Sarom - Libra Fabric(Gold) - Libra_702</t>
  </si>
  <si>
    <t>Libra_703</t>
  </si>
  <si>
    <t>Sarom - Libra Fabric(Gold) - Libra_703</t>
  </si>
  <si>
    <t>Libra_704</t>
  </si>
  <si>
    <t>Sarom - Libra Fabric(Gold) - Libra_704</t>
  </si>
  <si>
    <t>Libra_705</t>
  </si>
  <si>
    <t>Sarom - Libra Fabric(Gold) - Libra_705</t>
  </si>
  <si>
    <t>Libra_706</t>
  </si>
  <si>
    <t>Sarom - Libra Fabric(Gold) - Libra_706</t>
  </si>
  <si>
    <t>Libra_707</t>
  </si>
  <si>
    <t>Sarom - Libra Fabric(Gold) - Libra_707</t>
  </si>
  <si>
    <t>Libra_708</t>
  </si>
  <si>
    <t>Sarom - Libra Fabric(Gold) - Libra_708</t>
  </si>
  <si>
    <t>Libra_709</t>
  </si>
  <si>
    <t>Sarom - Libra Fabric(Gold) - Libra_709</t>
  </si>
  <si>
    <t>Libra_710</t>
  </si>
  <si>
    <t>Sarom - Libra Fabric(Gold) - Libra_710</t>
  </si>
  <si>
    <t>Libra_711</t>
  </si>
  <si>
    <t>Sarom - Libra Fabric(Gold) - Libra_711</t>
  </si>
  <si>
    <t>Libra_712</t>
  </si>
  <si>
    <t>Sarom - Libra Fabric(Gold) - Libra_712</t>
  </si>
  <si>
    <t>Phantom_101</t>
  </si>
  <si>
    <t>Sarom - Phantom Fabric(Diamond) - Phantom_101</t>
  </si>
  <si>
    <t>Phantom_102</t>
  </si>
  <si>
    <t>Sarom - Phantom Fabric(Diamond) - Phantom_102</t>
  </si>
  <si>
    <t>Phantom_103</t>
  </si>
  <si>
    <t>Sarom - Phantom Fabric(Diamond) - Phantom_103</t>
  </si>
  <si>
    <t>Phantom_104</t>
  </si>
  <si>
    <t>Sarom - Phantom Fabric(Diamond) - Phantom_104</t>
  </si>
  <si>
    <t>Phantom_105</t>
  </si>
  <si>
    <t>Sarom - Phantom Fabric(Diamond) - Phantom_105</t>
  </si>
  <si>
    <t>Phantom_106</t>
  </si>
  <si>
    <t>Sarom - Phantom Fabric(Diamond) - Phantom_106</t>
  </si>
  <si>
    <t>Phantom_107</t>
  </si>
  <si>
    <t>Sarom - Phantom Fabric(Diamond) - Phantom_107</t>
  </si>
  <si>
    <t>Phantom_108</t>
  </si>
  <si>
    <t>Sarom - Phantom Fabric(Diamond) - Phantom_108</t>
  </si>
  <si>
    <t>Phantom_109</t>
  </si>
  <si>
    <t>Sarom - Phantom Fabric(Diamond) - Phantom_109</t>
  </si>
  <si>
    <t>Phantom_110</t>
  </si>
  <si>
    <t>Sarom - Phantom Fabric(Diamond) - Phantom_110</t>
  </si>
  <si>
    <t>Phantom_111</t>
  </si>
  <si>
    <t>Sarom - Phantom Fabric(Diamond) - Phantom_111</t>
  </si>
  <si>
    <t>Phantom_112</t>
  </si>
  <si>
    <t>Sarom - Phantom Fabric(Diamond) - Phantom_112</t>
  </si>
  <si>
    <t>Phantom_113</t>
  </si>
  <si>
    <t>Sarom - Phantom Fabric(Diamond) - Phantom_113</t>
  </si>
  <si>
    <t>Phantom_114</t>
  </si>
  <si>
    <t>Sarom - Phantom Fabric(Diamond) - Phantom_114</t>
  </si>
  <si>
    <t>Phantom_115</t>
  </si>
  <si>
    <t>Sarom - Phantom Fabric(Diamond) - Phantom_115</t>
  </si>
  <si>
    <t>Phantom_116</t>
  </si>
  <si>
    <t>Sarom - Phantom Fabric(Diamond) - Phantom_116</t>
  </si>
  <si>
    <t>Phantom_117</t>
  </si>
  <si>
    <t>Sarom - Phantom Fabric(Diamond) - Phantom_117</t>
  </si>
  <si>
    <t>Phantom_118</t>
  </si>
  <si>
    <t>Sarom - Phantom Fabric(Diamond) - Phantom_118</t>
  </si>
  <si>
    <t>Phantom_119</t>
  </si>
  <si>
    <t>Sarom - Phantom Fabric(Diamond) - Phantom_119</t>
  </si>
  <si>
    <t>Phantom_120</t>
  </si>
  <si>
    <t>Sarom - Phantom Fabric(Diamond) - Phantom_120</t>
  </si>
  <si>
    <t>Phantom_121</t>
  </si>
  <si>
    <t>Sarom - Phantom Fabric(Diamond) - Phantom_121</t>
  </si>
  <si>
    <t>Phantom_122</t>
  </si>
  <si>
    <t>Sarom - Phantom Fabric(Diamond) - Phantom_122</t>
  </si>
  <si>
    <t>Phantom_123</t>
  </si>
  <si>
    <t>Sarom - Phantom Fabric(Diamond) - Phantom_123</t>
  </si>
  <si>
    <t>Phantom_124</t>
  </si>
  <si>
    <t>Sarom - Phantom Fabric(Diamond) - Phantom_124</t>
  </si>
  <si>
    <t>Phantom_125</t>
  </si>
  <si>
    <t>Sarom - Phantom Fabric(Diamond) - Phantom_125</t>
  </si>
  <si>
    <t>Phantom_126</t>
  </si>
  <si>
    <t>Sarom - Phantom Fabric(Diamond) - Phantom_126</t>
  </si>
  <si>
    <t>Phantom_127</t>
  </si>
  <si>
    <t>Sarom - Phantom Fabric(Diamond) - Phantom_127</t>
  </si>
  <si>
    <t>Phantom_128</t>
  </si>
  <si>
    <t>Sarom - Phantom Fabric(Diamond) - Phantom_128</t>
  </si>
  <si>
    <t>Phantom_129</t>
  </si>
  <si>
    <t>Sarom - Phantom Fabric(Diamond) - Phantom_129</t>
  </si>
  <si>
    <t>Phantom_130</t>
  </si>
  <si>
    <t>Sarom - Phantom Fabric(Diamond) - Phantom_130</t>
  </si>
  <si>
    <t>Phantom_131</t>
  </si>
  <si>
    <t>Sarom - Phantom Fabric(Diamond) - Phantom_131</t>
  </si>
  <si>
    <t>Phantom_132</t>
  </si>
  <si>
    <t>Sarom - Phantom Fabric(Diamond) - Phantom_132</t>
  </si>
  <si>
    <t>Phantom_133</t>
  </si>
  <si>
    <t>Sarom - Phantom Fabric(Diamond) - Phantom_133</t>
  </si>
  <si>
    <t>Phantom_134</t>
  </si>
  <si>
    <t>Sarom - Phantom Fabric(Diamond) - Phantom_134</t>
  </si>
  <si>
    <t>Phantom_135</t>
  </si>
  <si>
    <t>Sarom - Phantom Fabric(Diamond) - Phantom_135</t>
  </si>
  <si>
    <t>Phantom_136</t>
  </si>
  <si>
    <t>Sarom - Phantom Fabric(Diamond) - Phantom_136</t>
  </si>
  <si>
    <t>Phantom_137</t>
  </si>
  <si>
    <t>Sarom - Phantom Fabric(Diamond) - Phantom_137</t>
  </si>
  <si>
    <t>Phantom_138</t>
  </si>
  <si>
    <t>Sarom - Phantom Fabric(Diamond) - Phantom_138</t>
  </si>
  <si>
    <t>Phantom_139</t>
  </si>
  <si>
    <t>Sarom - Phantom Fabric(Diamond) - Phantom_139</t>
  </si>
  <si>
    <t>Phantom_140</t>
  </si>
  <si>
    <t>Sarom - Phantom Fabric(Diamond) - Phantom_140</t>
  </si>
  <si>
    <t>Phantom_141</t>
  </si>
  <si>
    <t>Sarom - Phantom Fabric(Diamond) - Phantom_141</t>
  </si>
  <si>
    <t>Phantom_142</t>
  </si>
  <si>
    <t>Sarom - Phantom Fabric(Diamond) - Phantom_142</t>
  </si>
  <si>
    <t>Soho_701</t>
  </si>
  <si>
    <t>Sarom - Soho Fabric(Platinum) - Soho_701</t>
  </si>
  <si>
    <t>Soho_702</t>
  </si>
  <si>
    <t>Sarom - Soho Fabric(Platinum) - Soho_702</t>
  </si>
  <si>
    <t>Soho_703</t>
  </si>
  <si>
    <t>Sarom - Soho Fabric(Platinum) - Soho_703</t>
  </si>
  <si>
    <t>Soho_704</t>
  </si>
  <si>
    <t>Sarom - Soho Fabric(Platinum) - Soho_704</t>
  </si>
  <si>
    <t>Soho_705</t>
  </si>
  <si>
    <t>Sarom - Soho Fabric(Platinum) - Soho_705</t>
  </si>
  <si>
    <t>Soho_706</t>
  </si>
  <si>
    <t>Sarom - Soho Fabric(Platinum) - Soho_706</t>
  </si>
  <si>
    <t>Soho_707</t>
  </si>
  <si>
    <t>Sarom - Soho Fabric(Platinum) - Soho_707</t>
  </si>
  <si>
    <t>Soho_708</t>
  </si>
  <si>
    <t>Sarom - Soho Fabric(Platinum) - Soho_708</t>
  </si>
  <si>
    <t>Soho_709</t>
  </si>
  <si>
    <t>Sarom - Soho Fabric(Platinum) - Soho_709</t>
  </si>
  <si>
    <t>Soho_710</t>
  </si>
  <si>
    <t>Sarom - Soho Fabric(Platinum) - Soho_710</t>
  </si>
  <si>
    <t>Soho_711</t>
  </si>
  <si>
    <t>Sarom - Soho Fabric(Platinum) - Soho_711</t>
  </si>
  <si>
    <t>Soho_712</t>
  </si>
  <si>
    <t>Sarom - Soho Fabric(Platinum) - Soho_712</t>
  </si>
  <si>
    <t>Soho_713</t>
  </si>
  <si>
    <t>Sarom - Soho Fabric(Platinum) - Soho_713</t>
  </si>
  <si>
    <t>Soho_714</t>
  </si>
  <si>
    <t>Sarom - Soho Fabric(Platinum) - Soho_714</t>
  </si>
  <si>
    <t>Soho_715</t>
  </si>
  <si>
    <t>Sarom - Soho Fabric(Platinum) - Soho_715</t>
  </si>
  <si>
    <t>Soho_716</t>
  </si>
  <si>
    <t>Sarom - Soho Fabric(Platinum) - Soho_716</t>
  </si>
  <si>
    <t>902-Cream</t>
  </si>
  <si>
    <t>Sarom Fabric - New Malfino - NM - 902-Cream</t>
  </si>
  <si>
    <t>903-Ivory</t>
  </si>
  <si>
    <t>Sarom Fabric - New Malfino - NM - 903-Ivory</t>
  </si>
  <si>
    <t>904-Beige</t>
  </si>
  <si>
    <t>Sarom Fabric - New Malfino - NM - 904-Beige</t>
  </si>
  <si>
    <t>905-Almond</t>
  </si>
  <si>
    <t>Sarom Fabric - New Malfino - NM - 905-Almond</t>
  </si>
  <si>
    <t>906-Carmel</t>
  </si>
  <si>
    <t>Sarom Fabric - New Malfino - NM - 906-Carmel</t>
  </si>
  <si>
    <t>907-Khaki</t>
  </si>
  <si>
    <t>Sarom Fabric - New Malfino - NM - 907-Khaki</t>
  </si>
  <si>
    <t>908-Cherry Wood</t>
  </si>
  <si>
    <t>Sarom Fabric - New Malfino - NM - 908-Cherry Wood</t>
  </si>
  <si>
    <t>909-Tan</t>
  </si>
  <si>
    <t>Sarom Fabric - New Malfino - NM - 909-Tan</t>
  </si>
  <si>
    <t>910-Coffee</t>
  </si>
  <si>
    <t>Sarom Fabric - New Malfino - NM - 910-Coffee</t>
  </si>
  <si>
    <t>911-Brown</t>
  </si>
  <si>
    <t>Sarom Fabric - New Malfino - NM - 911-Brown</t>
  </si>
  <si>
    <t>912-Mocha</t>
  </si>
  <si>
    <t>Sarom Fabric - New Malfino - NM - 912-Mocha</t>
  </si>
  <si>
    <t>913-Cacao</t>
  </si>
  <si>
    <t>Sarom Fabric - New Malfino - NM - 913-Cacao</t>
  </si>
  <si>
    <t>914-American Bronze</t>
  </si>
  <si>
    <t>Sarom Fabric - New Malfino - NM - 914-American Bronze</t>
  </si>
  <si>
    <t>915-Chocolate</t>
  </si>
  <si>
    <t>Sarom Fabric - New Malfino - NM - 915-Chocolate</t>
  </si>
  <si>
    <t>916-Red Brown</t>
  </si>
  <si>
    <t>Sarom Fabric - New Malfino - NM - 916-Red Brown</t>
  </si>
  <si>
    <t>917-Copper</t>
  </si>
  <si>
    <t>Sarom Fabric - New Malfino - NM - 917-Copper</t>
  </si>
  <si>
    <t>918-Peanut</t>
  </si>
  <si>
    <t>Sarom Fabric - New Malfino - NM - 918-Peanut</t>
  </si>
  <si>
    <t>919-Honey</t>
  </si>
  <si>
    <t>Sarom Fabric - New Malfino - NM - 919-Honey</t>
  </si>
  <si>
    <t>920-Gold</t>
  </si>
  <si>
    <t>Sarom Fabric - New Malfino - NM - 920-Gold</t>
  </si>
  <si>
    <t>921-Mustrad</t>
  </si>
  <si>
    <t>Sarom Fabric - New Malfino - NM - 921-Mustrad</t>
  </si>
  <si>
    <t>922-Pine</t>
  </si>
  <si>
    <t>Sarom Fabric - New Malfino - NM - 922-Pine</t>
  </si>
  <si>
    <t>923-Sky Blue</t>
  </si>
  <si>
    <t>Sarom Fabric - New Malfino - NM - 923-Sky Blue</t>
  </si>
  <si>
    <t>924-T.Blue</t>
  </si>
  <si>
    <t>Sarom Fabric - New Malfino - NM - 924-T.Blue</t>
  </si>
  <si>
    <t>925-Ocean Blue</t>
  </si>
  <si>
    <t>Sarom Fabric - New Malfino - NM - 925-Ocean Blue</t>
  </si>
  <si>
    <t>926-Indigo</t>
  </si>
  <si>
    <t>Sarom Fabric - New Malfino - NM - 926-Indigo</t>
  </si>
  <si>
    <t>927-Orange</t>
  </si>
  <si>
    <t>Sarom Fabric - New Malfino - NM - 927-Orange</t>
  </si>
  <si>
    <t>928-Scarlet</t>
  </si>
  <si>
    <t>Sarom Fabric - New Malfino - NM - 928-Scarlet</t>
  </si>
  <si>
    <t>929-Red</t>
  </si>
  <si>
    <t>Sarom Fabric - New Malfino - NM - 929-Red</t>
  </si>
  <si>
    <t>930-Mahogany</t>
  </si>
  <si>
    <t>Sarom Fabric - New Malfino - NM - 930-Mahogany</t>
  </si>
  <si>
    <t>931-Chilli Red</t>
  </si>
  <si>
    <t>Sarom Fabric - New Malfino - NM - 931-Chilli Red</t>
  </si>
  <si>
    <t>932-Sangria</t>
  </si>
  <si>
    <t>Sarom Fabric - New Malfino - NM - 932-Sangria</t>
  </si>
  <si>
    <t>933-Pink</t>
  </si>
  <si>
    <t>Sarom Fabric - New Malfino - NM - 933-Pink</t>
  </si>
  <si>
    <t>934-Magenta</t>
  </si>
  <si>
    <t>Sarom Fabric - New Malfino - NM - 934-Magenta</t>
  </si>
  <si>
    <t>935-Plum</t>
  </si>
  <si>
    <t>Sarom Fabric - New Malfino - NM - 935-Plum</t>
  </si>
  <si>
    <t>936-Dark Brown</t>
  </si>
  <si>
    <t>Sarom Fabric - New Malfino - NM - 936-Dark Brown</t>
  </si>
  <si>
    <t>937-Golden Oak</t>
  </si>
  <si>
    <t>Sarom Fabric - New Malfino - NM - 937-Golden Oak</t>
  </si>
  <si>
    <t>938-Sand</t>
  </si>
  <si>
    <t>Sarom Fabric - New Malfino - NM - 938-Sand</t>
  </si>
  <si>
    <t>939-Taupe</t>
  </si>
  <si>
    <t>Sarom Fabric - New Malfino - NM - 939-Taupe</t>
  </si>
  <si>
    <t>940-Camel</t>
  </si>
  <si>
    <t>Sarom Fabric - New Malfino - NM - 940-Camel</t>
  </si>
  <si>
    <t>941-Asphalt Grey</t>
  </si>
  <si>
    <t>Sarom Fabric - New Malfino - NM - 941-Asphalt Grey</t>
  </si>
  <si>
    <t>942-Light Tan</t>
  </si>
  <si>
    <t>Sarom Fabric - New Malfino - NM - 942-Light Tan</t>
  </si>
  <si>
    <t>943-Powder Blue</t>
  </si>
  <si>
    <t>Sarom Fabric - New Malfino - NM - 943-Powder Blue</t>
  </si>
  <si>
    <t>944-Steel Blue</t>
  </si>
  <si>
    <t>Sarom Fabric - New Malfino - NM - 944-Steel Blue</t>
  </si>
  <si>
    <t>945-Midnight Blue</t>
  </si>
  <si>
    <t>Sarom Fabric - New Malfino - NM - 945-Midnight Blue</t>
  </si>
  <si>
    <t>946-Russian Green</t>
  </si>
  <si>
    <t>Sarom Fabric - New Malfino - NM - 946-Russian Green</t>
  </si>
  <si>
    <t>947-T.green</t>
  </si>
  <si>
    <t>Sarom Fabric - New Malfino - NM - 947-T.green</t>
  </si>
  <si>
    <t>948-Melon Orange</t>
  </si>
  <si>
    <t>Sarom Fabric - New Malfino - NM - 948-Melon Orange</t>
  </si>
  <si>
    <t>949-Papaya Orange</t>
  </si>
  <si>
    <t>Sarom Fabric - New Malfino - NM - 949-Papaya Orange</t>
  </si>
  <si>
    <t>950-Candy</t>
  </si>
  <si>
    <t>Sarom Fabric - New Malfino - NM - 950-Candy</t>
  </si>
  <si>
    <t>951-Coffee</t>
  </si>
  <si>
    <t>Sarom Fabric - New Malfino - NM - 951-Coffee</t>
  </si>
  <si>
    <t>952-Lemon Punch</t>
  </si>
  <si>
    <t>Sarom Fabric - New Malfino - NM - 952-Lemon Punch</t>
  </si>
  <si>
    <t>🏭   HRBR EXPERIENCE CENTRE — MATERIAL AUDIT TRACKER</t>
  </si>
  <si>
    <t>Bangalore Location  |  3,067 total SKUs</t>
  </si>
  <si>
    <t>AUDIT 1</t>
  </si>
  <si>
    <t>AUDIT 2</t>
  </si>
  <si>
    <t>AUDIT 3</t>
  </si>
  <si>
    <t>AUDIT 4</t>
  </si>
  <si>
    <t>AUDIT 5</t>
  </si>
  <si>
    <t>Category</t>
  </si>
  <si>
    <t>Total
SKUs</t>
  </si>
  <si>
    <t>✓ OK</t>
  </si>
  <si>
    <t>⚠ Issues</t>
  </si>
  <si>
    <t>Done
%</t>
  </si>
  <si>
    <t>Laminates</t>
  </si>
  <si>
    <t>Acrylic n Crystal Acrylic</t>
  </si>
  <si>
    <t>PU and Membrane</t>
  </si>
  <si>
    <t>Rafters</t>
  </si>
  <si>
    <t>Wallpaper</t>
  </si>
  <si>
    <t>Quartz</t>
  </si>
  <si>
    <t>Granite</t>
  </si>
  <si>
    <t>Wooden Flooring</t>
  </si>
  <si>
    <t>Beading</t>
  </si>
  <si>
    <t>Bonito Legs</t>
  </si>
  <si>
    <t>Handles</t>
  </si>
  <si>
    <t>Fabric</t>
  </si>
  <si>
    <t>TOTAL:  3,067 SKUs across 12 categories</t>
  </si>
  <si>
    <t>HOW TO USE  ▼</t>
  </si>
  <si>
    <t>1.  Click a category tab (e.g. 'Laminates') to open that sheet</t>
  </si>
  <si>
    <t>2.  Each sheet has 5 AUDIT blocks — fill Audit 1 now, Audit 2 next time, and so on</t>
  </si>
  <si>
    <t>3.  Always enter AUDIT DATE and AUDITOR NAME at the start of each audit block</t>
  </si>
  <si>
    <t>4.  Yellow cells = Comments/Remarks — type your notes here</t>
  </si>
  <si>
    <t>5.  Status auto-updates: ✓ OK (green)  |  ⚠ Check (yellow)  |  ⚠ Missing / ❌ Disc (red)</t>
  </si>
  <si>
    <t>6.  This Dashboard auto-counts OK, Issues and % completion per audit round</t>
  </si>
  <si>
    <t>📋  HRBR EC  —  LAMINATES  |  Multi-Round Audit Tracker</t>
  </si>
  <si>
    <t>BD-LAM-2024-0106</t>
  </si>
  <si>
    <t>Calacatta Art - 1540 MI(Diamond)</t>
  </si>
  <si>
    <t>Century Laminates</t>
  </si>
  <si>
    <t>BD-LAM-2024-0107</t>
  </si>
  <si>
    <t>Delight Insignia - 1562 MI(Diamond)</t>
  </si>
  <si>
    <t>BD-LAM-2023-0039</t>
  </si>
  <si>
    <t>Lavante Royale - 1543 MI(Diamond)</t>
  </si>
  <si>
    <t>BD-LAM-2024-0105</t>
  </si>
  <si>
    <t>Rojo Art - 1539 MI(Diamond)</t>
  </si>
  <si>
    <t>BD-LAM-2024-0104</t>
  </si>
  <si>
    <t>Sicilian Art - 1538 MI(Diamond)</t>
  </si>
  <si>
    <t>Lam GL 5373 ARA</t>
  </si>
  <si>
    <t>Aspen Oak(Platinum)</t>
  </si>
  <si>
    <t>GREENLAM</t>
  </si>
  <si>
    <t>Lam GL 5575 SGL</t>
  </si>
  <si>
    <t>Black Marmor(Platinum)</t>
  </si>
  <si>
    <t>Lam GL 401 SGL</t>
  </si>
  <si>
    <t>Black(Platinum)</t>
  </si>
  <si>
    <t>Lam GL 181 SUD</t>
  </si>
  <si>
    <t>Chocolate(Gold)</t>
  </si>
  <si>
    <t>Lam GL 5571 STN</t>
  </si>
  <si>
    <t>Creme Marquina(Platinum)</t>
  </si>
  <si>
    <t>Lam GL 361 SGL</t>
  </si>
  <si>
    <t>Golf Green(Platinum)</t>
  </si>
  <si>
    <t>Lam GL 5372 SUD</t>
  </si>
  <si>
    <t>Grey Magic(Gold)</t>
  </si>
  <si>
    <t>BD-LAM-2026-0017</t>
  </si>
  <si>
    <t>Lam GL - Alliance Oak - 1055 SLT</t>
  </si>
  <si>
    <t>BD-LAM-2026-0001</t>
  </si>
  <si>
    <t>Lam GL - Arctic Wine - 1105 SUD</t>
  </si>
  <si>
    <t>BD-LAM-2026-0010</t>
  </si>
  <si>
    <t>Lam GL - Beige - 1140 PGL</t>
  </si>
  <si>
    <t>BD-LAM-2026-0003</t>
  </si>
  <si>
    <t>Lam GL - Beige - 1140 SUD</t>
  </si>
  <si>
    <t>BD-LAM-2026-0022</t>
  </si>
  <si>
    <t>Lam GL - Butternut Brown - 1508 SUD</t>
  </si>
  <si>
    <t>BD-LAM-2026-0019</t>
  </si>
  <si>
    <t>Lam GL - Camel Herringbone - 1566 TWD</t>
  </si>
  <si>
    <t>BD-LAM-2026-0013</t>
  </si>
  <si>
    <t>Lam GL - Celtic Teak - 1820 SLT</t>
  </si>
  <si>
    <t>BD-LAM-2026-0009</t>
  </si>
  <si>
    <t>Lam GL - Dark Grey - 1261 PGL</t>
  </si>
  <si>
    <t>BD-LAM-2026-0006</t>
  </si>
  <si>
    <t>Lam GL - Dark Grey - 1261 SUD</t>
  </si>
  <si>
    <t>BD-LAM-2026-0008</t>
  </si>
  <si>
    <t>Lam GL - Dust - 1268 PGL</t>
  </si>
  <si>
    <t>BD-LAM-2026-0012</t>
  </si>
  <si>
    <t>Lam GL - Dust - 1268 SNT</t>
  </si>
  <si>
    <t>BD-LAM-2026-0018</t>
  </si>
  <si>
    <t>Lam GL - Emberwood Brown - 1817 SNT</t>
  </si>
  <si>
    <t>BD-LAM-2026-0007</t>
  </si>
  <si>
    <t>Lam GL - Frosty White - 1113 PGL</t>
  </si>
  <si>
    <t>BD-LAM-2026-0011</t>
  </si>
  <si>
    <t>Lam GL - Frosty White - 1113 SNT</t>
  </si>
  <si>
    <t>BD-LAM-2026-0002</t>
  </si>
  <si>
    <t>Lam GL - Frosty White - 1113 SUD</t>
  </si>
  <si>
    <t>BD-LAM-2026-0005</t>
  </si>
  <si>
    <t>Lam GL - Mist - 1302 SUD</t>
  </si>
  <si>
    <t>BD-LAM-2026-0015</t>
  </si>
  <si>
    <t>Lam GL - Origano Wood - 1822 SNT</t>
  </si>
  <si>
    <t>BD-LAM-2026-0020</t>
  </si>
  <si>
    <t>Lam GL - Pale Herringbone - 1565 TWD</t>
  </si>
  <si>
    <t>BD-LAM-2026-0014</t>
  </si>
  <si>
    <t>Lam GL - Sable Walnut - 1818 SLT</t>
  </si>
  <si>
    <t>BD-LAM-2026-0016</t>
  </si>
  <si>
    <t>Lam GL - Spanish Oak - 1438 SLT</t>
  </si>
  <si>
    <t>BD-LAM-2026-0023</t>
  </si>
  <si>
    <t>Lam GL - Tanara Marble - 1584 CLB</t>
  </si>
  <si>
    <t>BD-LAM-2026-0021</t>
  </si>
  <si>
    <t>Lam GL - Tanara Marble - 1584 KRS</t>
  </si>
  <si>
    <t>Lam GL 248 SUD</t>
  </si>
  <si>
    <t>Leaf Green(Gold)</t>
  </si>
  <si>
    <t>Lam GL 165 SUD</t>
  </si>
  <si>
    <t>Light Red(Gold)</t>
  </si>
  <si>
    <t>Lam GL 124 SGL</t>
  </si>
  <si>
    <t>Mysore Ivory(Platinum)</t>
  </si>
  <si>
    <t>Lam GL 169 SUD</t>
  </si>
  <si>
    <t>Rose Pink(Gold)</t>
  </si>
  <si>
    <t>Lam GL 931 SGL</t>
  </si>
  <si>
    <t>Shimmer(Platinum)</t>
  </si>
  <si>
    <t>Lam GL 5431 SUD</t>
  </si>
  <si>
    <t>Sweet Almond(Gold)</t>
  </si>
  <si>
    <t>Lam GL 5006 SUD</t>
  </si>
  <si>
    <t>Thansau Maple(Gold)</t>
  </si>
  <si>
    <t>Lam GL 148 SGL</t>
  </si>
  <si>
    <t>Tidal Sand(Platinum)</t>
  </si>
  <si>
    <t>Lam GL 5581 SUD</t>
  </si>
  <si>
    <t>Torino Pearl(Gold)</t>
  </si>
  <si>
    <t>Lam GL 693 SUD</t>
  </si>
  <si>
    <t>Vancouver Maple(Gold)</t>
  </si>
  <si>
    <t>BD-LAM-2024-0003</t>
  </si>
  <si>
    <t>Royal Touch - RT Crystal Z+ PP 1123 1.25mm(Diamond)</t>
  </si>
  <si>
    <t>Royal Touche</t>
  </si>
  <si>
    <t>Minor defect</t>
  </si>
  <si>
    <t>Categorization sticker is missing</t>
  </si>
  <si>
    <t>BD-LAM-2024-0002</t>
  </si>
  <si>
    <t>Royal Touch - RT Crystal Z+ PP 1166 1.25mm</t>
  </si>
  <si>
    <t>Not Available</t>
  </si>
  <si>
    <t>BD-LAM-2023-0002</t>
  </si>
  <si>
    <t>Royal Touche - BM - 1746 - 1.25mm(Diamond)</t>
  </si>
  <si>
    <t>BD-LAM-2023-0009</t>
  </si>
  <si>
    <t>Royal Touche - CRY - 1164 - 1.25mm(Diamond)</t>
  </si>
  <si>
    <t>Name Sticker to be Changed</t>
  </si>
  <si>
    <t>BD-LAM-2023-0008</t>
  </si>
  <si>
    <t>Royal Touche - CRY - 1174 - 1.25mm(Diamond)</t>
  </si>
  <si>
    <t>BD-LAM-2023-0017</t>
  </si>
  <si>
    <t>Royal Touche - Crystal - 1104 - 1.25mm(Diamond)</t>
  </si>
  <si>
    <t>BD-LAM-2023-0016</t>
  </si>
  <si>
    <t>Royal Touche - Crystal - 1105 - 1.25mm(Diamond)</t>
  </si>
  <si>
    <t>BD-LAM-2023-0023</t>
  </si>
  <si>
    <t>Royal Touche - Crystal - 1244 - 1.25mm(Diamond)</t>
  </si>
  <si>
    <t>BD-LAM-2023-0022</t>
  </si>
  <si>
    <t>Royal Touche - Crystal - Z+BG - 1214 - 1.25mm(Diamond)</t>
  </si>
  <si>
    <t>BD-LAM-2023-0025</t>
  </si>
  <si>
    <t>Royal Touche - Crystal Matty+ - 1249 - 1.25mm(Diamond)</t>
  </si>
  <si>
    <t>BD-LAM-2023-0037</t>
  </si>
  <si>
    <t>Royal Touche - DL - 1112 - 1.25mm(Diamond)</t>
  </si>
  <si>
    <t>BD-LAM-2023-0030</t>
  </si>
  <si>
    <t>Royal Touche - OC - 1691 - 1.25mm(Diamond)</t>
  </si>
  <si>
    <t>BD-LAM-2023-0031</t>
  </si>
  <si>
    <t>Royal Touche - OC - 1692 - 1.25mm(Diamond)</t>
  </si>
  <si>
    <t>BD-LAM-2023-0006</t>
  </si>
  <si>
    <t>Royal Touche - PU - 1628 - 1.25mm(Diamond)</t>
  </si>
  <si>
    <t>BD-LAM-2023-0007</t>
  </si>
  <si>
    <t>Royal Touche - PU - 1721 - 1.25mm(Diamond)</t>
  </si>
  <si>
    <t>BD-LAM-2024-0001</t>
  </si>
  <si>
    <t>Royal Touche - RT Crystal Z+ PP 1129 1.25mm(Diamond)</t>
  </si>
  <si>
    <t>BD-LAM-2024-0097</t>
  </si>
  <si>
    <t>LAM SL AC 1mm 2383 Ktami Oreo Elm(Gold)</t>
  </si>
  <si>
    <t>Stylam</t>
  </si>
  <si>
    <t>BD-LAM-2024-0079</t>
  </si>
  <si>
    <t>Lam SL AC 1mm 2905 Amalfi Tan Oak(Gold)</t>
  </si>
  <si>
    <t>BD-LAM-2023-0144</t>
  </si>
  <si>
    <t>Lam SL AFP 1mm 1005 Creamy White(Diamond)</t>
  </si>
  <si>
    <t>BD-LAM-2024-0054</t>
  </si>
  <si>
    <t>Lam SL AFP 1mm 1014 City Shadow(Diamond)</t>
  </si>
  <si>
    <t>BD-LAM-2023-0188</t>
  </si>
  <si>
    <t>Lam SL AFP 1mm 1017 Jaisalmer Brown(Diamond)</t>
  </si>
  <si>
    <t>BD-LAM-2023-0226</t>
  </si>
  <si>
    <t>Lam SL AFP 1mm 1020 Off White(Diamond)</t>
  </si>
  <si>
    <t>BD-LAM-2023-0275</t>
  </si>
  <si>
    <t>Lam SL AFP 1mm 1037 Soldier Green (Diamond)</t>
  </si>
  <si>
    <t>BD-LAM-2024-0055</t>
  </si>
  <si>
    <t>Lam SL AFP 1mm 1051 Aster Grey(Diamond)</t>
  </si>
  <si>
    <t>BD-LAM-2023-0195</t>
  </si>
  <si>
    <t>Lam SL AFP 1mm 1086 Lam Peach(Diamond)</t>
  </si>
  <si>
    <t>BD-LAM-2023-0208</t>
  </si>
  <si>
    <t>Lam SL AFP 1mm 1098 Mory Yellow(Diamond)</t>
  </si>
  <si>
    <t>BD-LAM-2023-0104</t>
  </si>
  <si>
    <t>Lam SL AFP 1mm 142 Black Magic(Diamond)</t>
  </si>
  <si>
    <t>BD-LAM-2023-0211</t>
  </si>
  <si>
    <t>Lam SL AFP 1mm 1445 Natsu(Diamond)</t>
  </si>
  <si>
    <t>BD-LAM-2024-0053</t>
  </si>
  <si>
    <t>Lam SL AFP 1mm 155 Dark Blue(Diamond)</t>
  </si>
  <si>
    <t>BD-LAM-2023-0287</t>
  </si>
  <si>
    <t>Lam SL AFP 1mm 1588 Tussock Beige(Diamond)</t>
  </si>
  <si>
    <t>BD-LAM-2023-0117</t>
  </si>
  <si>
    <t>Lam SL AFP 1mm 1591 Bronce Metallic(Diamond)</t>
  </si>
  <si>
    <t>BD-LAM-2023-0096</t>
  </si>
  <si>
    <t>Lam SL AFP 1mm 1709 Avio Blue(Diamond)</t>
  </si>
  <si>
    <t>BD-LAM-2024-0056</t>
  </si>
  <si>
    <t>Lam SL AFP 1mm 1715 Beige Arizona(Diamond)</t>
  </si>
  <si>
    <t>BD-LAM-2023-0247</t>
  </si>
  <si>
    <t>Lam SL AFP 1mm 1722 Premium Green(Diamond)</t>
  </si>
  <si>
    <t>BD-LAM-2024-0052</t>
  </si>
  <si>
    <t>Lam SL AFP 1mm 1757 Almond Beige(Diamond)</t>
  </si>
  <si>
    <t>BD-LAM-2023-0086</t>
  </si>
  <si>
    <t>Lam SL AFP 1mm 2590 Amber Horizontal(Diamond)</t>
  </si>
  <si>
    <t>BD-LAM-2024-0057</t>
  </si>
  <si>
    <t>Lam SL AFP 1mm 2601 Jungle Ultra(Diamond)</t>
  </si>
  <si>
    <t>BD-LAM-2023-0187</t>
  </si>
  <si>
    <t>Lam SL AFP 1mm 538 Ivory Grey(Diamond)</t>
  </si>
  <si>
    <t>BD-LAM-2023-0234</t>
  </si>
  <si>
    <t>Lam SL AFP 1mm 7720 Orlando Walnut(Diamond)</t>
  </si>
  <si>
    <t>BD-LAM-2023-0243</t>
  </si>
  <si>
    <t>Lam SL AFP 1mm 8106 Platinum Grey(Diamond)</t>
  </si>
  <si>
    <t>BD-LAM-2023-0280</t>
  </si>
  <si>
    <t>Lam SL AU 1mm 2191 Tiger Skin(Gold)</t>
  </si>
  <si>
    <t>BD-LAM-2023-0077</t>
  </si>
  <si>
    <t>Lam SL AU 1mm 2912 Rincon Beige Oak(Gold)</t>
  </si>
  <si>
    <t>BD-LAM-2023-0217</t>
  </si>
  <si>
    <t>Lam SL AU 1mm 2915 Nelson Grey Oak(Gold)</t>
  </si>
  <si>
    <t>BD-LAM-2023-0199</t>
  </si>
  <si>
    <t>Lam SL AW 1mm 2292 Meraki Walnut (Gold)</t>
  </si>
  <si>
    <t>Available in small book</t>
  </si>
  <si>
    <t>BD-LAM-2023-0158</t>
  </si>
  <si>
    <t>Lam SL AW 1mm 2309 Fairfield Walnut(Gold)</t>
  </si>
  <si>
    <t>BD-LAM-2023-0297</t>
  </si>
  <si>
    <t>Lam SL BC 1mm 2323 Walker Rough(Gold)</t>
  </si>
  <si>
    <t>BD-LAM-2024-0101</t>
  </si>
  <si>
    <t>LAM SL BK 1mm 7601 Ash Linosa(Gold)</t>
  </si>
  <si>
    <t>BD-LAM-2023-0133</t>
  </si>
  <si>
    <t>Lam SL BTS 1mm 1014 City Shadow(Gold)</t>
  </si>
  <si>
    <t>BD-LAM-2024-0071</t>
  </si>
  <si>
    <t>Lam SL BTS 1mm 1521 Rugged Dark(Gold)</t>
  </si>
  <si>
    <t>BD-LAM-2024-0092</t>
  </si>
  <si>
    <t>LAM SL BTS 1mm 2549 Guest Wood(Gold)</t>
  </si>
  <si>
    <t>BD-LAM-2024-0093</t>
  </si>
  <si>
    <t>LAM SL BTS 1mm 2550 Cement Wood(Gold)</t>
  </si>
  <si>
    <t>BD-LAM-2024-0042</t>
  </si>
  <si>
    <t>Lam SL CL 1mm 1033 Tidal Sand(Gold)</t>
  </si>
  <si>
    <t>BD-LAM-2024-0088</t>
  </si>
  <si>
    <t>LAM SL CL 1mm 142 Black Magic(Gold)</t>
  </si>
  <si>
    <t>BD-LAM-2024-0089</t>
  </si>
  <si>
    <t>LAM SL CL 1mm 1590 Wickham Grey(Gold)</t>
  </si>
  <si>
    <t>BD-LAM-2024-0044</t>
  </si>
  <si>
    <t>Lam SL CL 1mm 1702 Dusky Mehndi(Gold)</t>
  </si>
  <si>
    <t>BD-LAM-2023-0225</t>
  </si>
  <si>
    <t>Lam SL CL 1mm 8003 Off White(Gold)</t>
  </si>
  <si>
    <t>BD-LAM-2024-0045</t>
  </si>
  <si>
    <t>Lam SL CL 1mm 8109 Slate Grey(Gold)</t>
  </si>
  <si>
    <t>BD-LAM-2023-0259</t>
  </si>
  <si>
    <t>Lam SL CL 1mm 8206 Rock Brown(Gold)</t>
  </si>
  <si>
    <t>Sticker is missing</t>
  </si>
  <si>
    <t>BD-LAM-2023-0311</t>
  </si>
  <si>
    <t>Lam SL CL 1mm 8221 Yellowish Brown(Gold)</t>
  </si>
  <si>
    <t>BD-LAM-2024-0043</t>
  </si>
  <si>
    <t>Lam SL CL 1mm 8231 Coffee(Gold)</t>
  </si>
  <si>
    <t>BD-LAM-2024-0061</t>
  </si>
  <si>
    <t>Lam SL CN 1mm 2386 Refugee Oak(Platinum)</t>
  </si>
  <si>
    <t>BD-LAM-2024-0082</t>
  </si>
  <si>
    <t>Lam SL CTS 1mm 2903 Paduok Wood(Gold)</t>
  </si>
  <si>
    <t>BD-LAM-2024-0080</t>
  </si>
  <si>
    <t>Lam SL FA 1mm 2309 Fairfield Walnut(Gold)</t>
  </si>
  <si>
    <t>BD-LAM-2024-0081</t>
  </si>
  <si>
    <t>Lam SL FC 1mm 2289 Carolina Rovera(Gold)</t>
  </si>
  <si>
    <t>BD-LAM-2023-0131</t>
  </si>
  <si>
    <t>Lam SL FS 1mm 1014 City Shadow(Gold)</t>
  </si>
  <si>
    <t>BD-LAM-2023-0080</t>
  </si>
  <si>
    <t>Lam SL FS 1mm 1085 Absolute Peach(Gold)</t>
  </si>
  <si>
    <t>BD-LAM-2024-0050</t>
  </si>
  <si>
    <t>Lam SL Gpro+ 1mm 1709 Avio Blue(Platinum)</t>
  </si>
  <si>
    <t>BD-LAM-2024-0051</t>
  </si>
  <si>
    <t>Lam SL Gpro+ 1mm 1771 Velletri Blue(Platinum)</t>
  </si>
  <si>
    <t>BD-LAM-2024-0100</t>
  </si>
  <si>
    <t>LAM SL GW 1mm 2728 Calabo Walnut(Gold)</t>
  </si>
  <si>
    <t>BD-LAM-2023-0088</t>
  </si>
  <si>
    <t>Lam SL GW 1mm 2901 Amberes Oak(Gold)</t>
  </si>
  <si>
    <t>BD-LAM-2023-0118</t>
  </si>
  <si>
    <t>Lam SL GW 1mm 7655 Brown Tokaj(Gold)</t>
  </si>
  <si>
    <t>BD-LAM-2024-0099</t>
  </si>
  <si>
    <t>LAM SL HC 1mm 2605 Horz Grey(Gold)</t>
  </si>
  <si>
    <t>BD-LAM-2023-0143</t>
  </si>
  <si>
    <t>Lam SL HG 1mm 1005 Creamy White(Gold)</t>
  </si>
  <si>
    <t>BD-LAM-2024-0058</t>
  </si>
  <si>
    <t>Lam SL HG 1mm 1018 Cherry Brown(Gold)</t>
  </si>
  <si>
    <t>BD-LAM-2024-0046</t>
  </si>
  <si>
    <t>Lam SL HG 1mm 1408 Grey Aluminium(Gold)</t>
  </si>
  <si>
    <t>BD-LAM-2024-0047</t>
  </si>
  <si>
    <t>Lam SL HG 1mm 1411 Light Aluminium(Gold)</t>
  </si>
  <si>
    <t>BD-LAM-2023-0102</t>
  </si>
  <si>
    <t>Lam SL HG 1mm 142 Black Magic(Gold)</t>
  </si>
  <si>
    <t>BD-LAM-2023-0212</t>
  </si>
  <si>
    <t>Lam SL HG 1mm 1445 Natsu(Gold)</t>
  </si>
  <si>
    <t>BD-LAM-2024-0070</t>
  </si>
  <si>
    <t>Lam SL HG 1mm 1449 Paladine Marble(Gold)</t>
  </si>
  <si>
    <t>BD-LAM-2023-0313</t>
  </si>
  <si>
    <t>Lam SL HG 1mm 1458 Zebrawood Marbel (Gold)</t>
  </si>
  <si>
    <t>BD-LAM-2023-0078</t>
  </si>
  <si>
    <t>Lam SL HG 1mm 1462 Bianco Carrara Venato(Gold)</t>
  </si>
  <si>
    <t>BD-LAM-2023-0146</t>
  </si>
  <si>
    <t>Lam SL HG 1mm 1486 Cross Bar(Gold)</t>
  </si>
  <si>
    <t>BD-LAM-2023-0107</t>
  </si>
  <si>
    <t>Lam SL HG 1mm 1508 Black Sandalwood(Gold)</t>
  </si>
  <si>
    <t>BD-LAM-2023-0286</t>
  </si>
  <si>
    <t>Lam SL HG 1mm 1588 Tussock Beige(Gold)</t>
  </si>
  <si>
    <t>BD-LAM-2023-0240</t>
  </si>
  <si>
    <t>Lam SL HG 1mm 1589 Pearl Metallic(Gold)</t>
  </si>
  <si>
    <t>BD-LAM-2023-0308</t>
  </si>
  <si>
    <t>Lam SL HG 1mm 1590 Wickham Grey(Gold)</t>
  </si>
  <si>
    <t>BD-LAM-2023-0116</t>
  </si>
  <si>
    <t>Lam SL HG 1mm 1591 Bronce Metallic(Gold)</t>
  </si>
  <si>
    <t>BD-LAM-2023-0296</t>
  </si>
  <si>
    <t>Lam SL HG 1mm 1611 Vogue Light Chips(Gold)</t>
  </si>
  <si>
    <t>BD-LAM-2023-0092</t>
  </si>
  <si>
    <t>Lam SL HG 1mm 1614 Ascona White(Gold)</t>
  </si>
  <si>
    <t>BD-LAM-2023-0214</t>
  </si>
  <si>
    <t>Lam SL HG 1mm 2138 Natural Wenge(Gold)</t>
  </si>
  <si>
    <t>BD-LAM-2023-0122</t>
  </si>
  <si>
    <t>Lam SL HG 1mm 2289 Carolina Rovere (Gold)</t>
  </si>
  <si>
    <t>BD-LAM-2023-0201</t>
  </si>
  <si>
    <t>Lam SL HG 1mm 2463 Minor Desert(Gold)</t>
  </si>
  <si>
    <t>BD-LAM-2023-0190</t>
  </si>
  <si>
    <t>Lam SL HG 1mm 2720 Kenny Oak(Gold)</t>
  </si>
  <si>
    <t>BD-LAM-2023-0233</t>
  </si>
  <si>
    <t>Lam SL HG 1mm 7720 Orlando Walnut(Gold)</t>
  </si>
  <si>
    <t>BD-LAM-2023-0084</t>
  </si>
  <si>
    <t>Lam SL HG 1mm 7853 Amazing Antique(Gold)</t>
  </si>
  <si>
    <t>BD-LAM-2023-0306</t>
  </si>
  <si>
    <t>Lam SL HG 1mm White Marker(Gold)</t>
  </si>
  <si>
    <t>BD-LAM-2024-0025</t>
  </si>
  <si>
    <t>Lam SL HM 1mm 1025 Electric Green(Gold)</t>
  </si>
  <si>
    <t>BD-LAM-2024-0023</t>
  </si>
  <si>
    <t>Lam SL HM 1mm 1057 Pale Grey(Gold)</t>
  </si>
  <si>
    <t>BD-LAM-2024-0038</t>
  </si>
  <si>
    <t>Lam SL HM 1mm 1660 Beige Rattan Cane(Gold)</t>
  </si>
  <si>
    <t>BD-LAM-2024-0039</t>
  </si>
  <si>
    <t>Lam SL HM 1mm 1661 Brown Rattan Cane(Gold)</t>
  </si>
  <si>
    <t>BD-LAM-2024-0024</t>
  </si>
  <si>
    <t>Lam SL HM 1mm 1701 British Green(Gold)</t>
  </si>
  <si>
    <t>BD-LAM-2024-0022</t>
  </si>
  <si>
    <t>Lam SL HM 1mm 1754 Verde Green(Gold)</t>
  </si>
  <si>
    <t>BD-LAM-2024-0083</t>
  </si>
  <si>
    <t>Lam SL KL 1mm 7722 Canyon Coastal Olive(Gold)</t>
  </si>
  <si>
    <t>BD-LAM-2024-0063</t>
  </si>
  <si>
    <t>Lam SL KS 1mm 2382 Ktami Elm(Platinum)</t>
  </si>
  <si>
    <t>BD-LAM-2024-0060</t>
  </si>
  <si>
    <t>Lam SL KS 1mm 2383 Ktami Oreo Elm(Platinum)</t>
  </si>
  <si>
    <t>BD-LAM-2024-0062</t>
  </si>
  <si>
    <t>Lam SL KS 1mm 2384 Ktami Rabit(Platinum)</t>
  </si>
  <si>
    <t>BD-LAM-2024-0102</t>
  </si>
  <si>
    <t>LAM SL LM 1mm 2352 Swiss Bark(Gold)</t>
  </si>
  <si>
    <t>BD-LAM-2024-0016</t>
  </si>
  <si>
    <t>Lam SL LUV 1mm 1033 Tidal Sand(Platinum)</t>
  </si>
  <si>
    <t>BD-LAM-2024-0015</t>
  </si>
  <si>
    <t>Lam SL LUV 1mm 1037 Soldier Green(Platinum)</t>
  </si>
  <si>
    <t>BD-LAM-2024-0014</t>
  </si>
  <si>
    <t>Lam SL LUV 1mm 1046 Rock Brown(Platinum)</t>
  </si>
  <si>
    <t>BD-LAM-2024-0011</t>
  </si>
  <si>
    <t>Lam SL LUV 1mm 1051 Aster Grey(Platinum)</t>
  </si>
  <si>
    <t>BD-LAM-2024-0035</t>
  </si>
  <si>
    <t>Lam SL LUV 1mm 1067 Dim Grey(Platinum)</t>
  </si>
  <si>
    <t>BD-LAM-2024-0017</t>
  </si>
  <si>
    <t>Lam SL LUV 1mm 1091 Steel blue(Platinum)</t>
  </si>
  <si>
    <t>BD-LAM-2024-0012</t>
  </si>
  <si>
    <t>Lam SL LUV 1mm 120 Alumina Grey(Platinum)</t>
  </si>
  <si>
    <t>BD-LAM-2024-0013</t>
  </si>
  <si>
    <t>Lam SL LUV 1mm 142 Black Magic(Platinum)</t>
  </si>
  <si>
    <t>BD-LAM-2024-0021</t>
  </si>
  <si>
    <t>Lam SL LUV 1mm 1587 Harley Marble(Platinum)</t>
  </si>
  <si>
    <t>BD-LAM-2024-0020</t>
  </si>
  <si>
    <t>Lam SL LUV 1mm 1638 Sicily Bright(Platinum)</t>
  </si>
  <si>
    <t>BD-LAM-2024-0018</t>
  </si>
  <si>
    <t>Lam SL LUV 1mm 1703 Scrat Pink(Platinum)</t>
  </si>
  <si>
    <t>BD-LAM-2024-0019</t>
  </si>
  <si>
    <t>Lam SL LUV 1mm 1709 Avio Blue(Platinum)</t>
  </si>
  <si>
    <t>BD-LAM-2024-0037</t>
  </si>
  <si>
    <t>Lam SL LUV 1mm 2292 Meraki Walnut(Platinum)</t>
  </si>
  <si>
    <t>BD-LAM-2024-0036</t>
  </si>
  <si>
    <t>Lam SL LUV 1mm 2903 Padouk Wood(Platinum)</t>
  </si>
  <si>
    <t>BD-LAM-2023-0172</t>
  </si>
  <si>
    <t>Lam SL MT 1mm 1488 Fungi Lavant(Gold)</t>
  </si>
  <si>
    <t>BD-LAM-2023-0082</t>
  </si>
  <si>
    <t>Lam SL NS 1mm 2904 Amalfi Beige Oak(Gold)</t>
  </si>
  <si>
    <t>BD-LAM-2023-0153</t>
  </si>
  <si>
    <t>Lam SL QA 1mm 2227 Elegent Nelson(Gold)</t>
  </si>
  <si>
    <t>BD-LAM-2023-0255</t>
  </si>
  <si>
    <t>Lam SL QA 1mm 2256 Rincon Wood(Gold)</t>
  </si>
  <si>
    <t>BD-LAM-2023-0253</t>
  </si>
  <si>
    <t>Lam SL QA 1mm 7422 Red Oak(Gold)</t>
  </si>
  <si>
    <t>BD-LAM-2023-0230</t>
  </si>
  <si>
    <t>Lam SL QA 1mm 7720 Orlando Walnut(Gold)</t>
  </si>
  <si>
    <t>BD-LAM-2023-0292</t>
  </si>
  <si>
    <t>Lam SL RK 1mm 1392 Vesuv Marble(Gold)</t>
  </si>
  <si>
    <t>BD-LAM-2023-0266</t>
  </si>
  <si>
    <t>Lam SL RM 1mm 2164 Salix Oak(Gold)</t>
  </si>
  <si>
    <t>BD-LAM-2024-0095</t>
  </si>
  <si>
    <t>LAM SL RM 1mm 2235 Weddind Cake(Platinum)</t>
  </si>
  <si>
    <t>BD-LAM-2024-0075</t>
  </si>
  <si>
    <t>Lam SL RM 1mm 2287 Maiden Teak(Platinum)</t>
  </si>
  <si>
    <t>BD-LAM-2024-0074</t>
  </si>
  <si>
    <t>Lam SL RM 1mm 2309 Fairfield Walnut(Platinum)</t>
  </si>
  <si>
    <t>BD-LAM-2024-0096</t>
  </si>
  <si>
    <t>LAM SL RM 1mm 2335 Rovere Wood(Platinum)</t>
  </si>
  <si>
    <t>BD-LAM-2024-0072</t>
  </si>
  <si>
    <t>Lam SL RM 1mm 2336 Kendal Wood(Platinum)</t>
  </si>
  <si>
    <t>BD-LAM-2023-0194</t>
  </si>
  <si>
    <t>Lam SL RM 1mm 2383 Ktami Oreo Elm(Gold)</t>
  </si>
  <si>
    <t>BD-LAM-2024-0073</t>
  </si>
  <si>
    <t>Lam SL RM 1mm 2386 Refugee Oak(Platinum)</t>
  </si>
  <si>
    <t>BD-LAM-2023-0202</t>
  </si>
  <si>
    <t>Lam SL RM 1mm 2463 Minor Desert(Gold)</t>
  </si>
  <si>
    <t>BD-LAM-2023-0221</t>
  </si>
  <si>
    <t>Lam SL RM 1mm 2505 Nommad Teak(Gold)</t>
  </si>
  <si>
    <t>BD-LAM-2024-0076</t>
  </si>
  <si>
    <t>Lam SL RM 1mm 7422 Red Oak(Platinum)</t>
  </si>
  <si>
    <t>BD-LAM-2023-0300</t>
  </si>
  <si>
    <t>Lam SL RM 1mm 7705 Walnut Bronze(Gold)</t>
  </si>
  <si>
    <t>BD-LAM-2023-0272</t>
  </si>
  <si>
    <t>Lam SL RW 1mm 2725 Slovenian Oak (Gold)</t>
  </si>
  <si>
    <t>BD-LAM-2023-0151</t>
  </si>
  <si>
    <t>Lam SL SD 1mm 1003 Egg White(Gold) [BBP]</t>
  </si>
  <si>
    <t>BD-LAM-2023-0142</t>
  </si>
  <si>
    <t>Lam SL SD 1mm 1005 Creamy White(Gold) [BBP]</t>
  </si>
  <si>
    <t>BD-LAM-2023-0150</t>
  </si>
  <si>
    <t>Lam SL SD 1mm 1011 Dove Grey(Gold) [BBP]</t>
  </si>
  <si>
    <t>BD-LAM-2023-0193</t>
  </si>
  <si>
    <t>Lam SL SD 1mm 1024 Khaki Brown(Gold) [BBP]</t>
  </si>
  <si>
    <t>BD-LAM-2023-0152</t>
  </si>
  <si>
    <t>Lam SL SD 1mm 1025 Electric Green(Gold) [BBP]</t>
  </si>
  <si>
    <t>BD-LAM-2023-0279</t>
  </si>
  <si>
    <t>Lam SL SD 1mm 1033 Tidal Sand(Gold)</t>
  </si>
  <si>
    <t>BD-LAM-2023-0304</t>
  </si>
  <si>
    <t>Lam SL SD 1mm 1044 Weed Green(Gold)</t>
  </si>
  <si>
    <t>BD-LAM-2023-0258</t>
  </si>
  <si>
    <t>Lam SL SD 1mm 1046 Rock brown(Gold) [BBP]</t>
  </si>
  <si>
    <t>BD-LAM-2023-0094</t>
  </si>
  <si>
    <t>Lam SL SD 1mm 1051 Aster Grey(Gold) [BBP]</t>
  </si>
  <si>
    <t>BD-LAM-2023-0238</t>
  </si>
  <si>
    <t>Lam SL SD 1mm 1052 Peach(Gold)</t>
  </si>
  <si>
    <t>BD-LAM-2023-0244</t>
  </si>
  <si>
    <t>Lam SL SD 1mm 1053 Plum(Gold) [BBP]</t>
  </si>
  <si>
    <t>BD-LAM-2023-0216</t>
  </si>
  <si>
    <t>Lam SL SD 1mm 1056 Navy blue(Gold)</t>
  </si>
  <si>
    <t>BD-LAM-2023-0218</t>
  </si>
  <si>
    <t>Lam SL SD 1mm 1061 Nero White(Gold)</t>
  </si>
  <si>
    <t>BD-LAM-2023-0248</t>
  </si>
  <si>
    <t>Lam SL SD 1mm 1159 Purple dye(Gold) [BBP]</t>
  </si>
  <si>
    <t>BD-LAM-2023-0197</t>
  </si>
  <si>
    <t>Lam SL SD 1mm 1415 Light Plano(Gold) [BBP]</t>
  </si>
  <si>
    <t>BD-LAM-2023-0210</t>
  </si>
  <si>
    <t>Lam SL SD 1mm 1445 Natsu(Gold)</t>
  </si>
  <si>
    <t>BD-LAM-2024-0069</t>
  </si>
  <si>
    <t>Lam SL SD 1mm 1449 Paladine Marble(Gold)</t>
  </si>
  <si>
    <t>BD-LAM-2023-0289</t>
  </si>
  <si>
    <t>Lam SL SD 1mm 1461 Uliano Venato Stone(Gold)</t>
  </si>
  <si>
    <t>BD-LAM-2023-0229</t>
  </si>
  <si>
    <t>Lam SL SD 1mm 1467 Opera Fantastico Stone(Gold)</t>
  </si>
  <si>
    <t>BD-LAM-2023-0175</t>
  </si>
  <si>
    <t>Lam SL SD 1mm 1473 Giallo Brooklyn(Gold)</t>
  </si>
  <si>
    <t>BD-LAM-2023-0171</t>
  </si>
  <si>
    <t>Lam SL SD 1mm 1488 Fungi Lavant(Gold)</t>
  </si>
  <si>
    <t>BD-LAM-2023-0134</t>
  </si>
  <si>
    <t>Lam SL SD 1mm 1560 Cloud Concrete(Gold) [BBP]</t>
  </si>
  <si>
    <t>BD-LAM-2023-0119</t>
  </si>
  <si>
    <t>Lam SL SD 1mm 1566 Burmese Lotus(Gold)</t>
  </si>
  <si>
    <t>BD-LAM-2024-0066</t>
  </si>
  <si>
    <t>Lam SL SD 1mm 1587 Harley Marble(Gold)</t>
  </si>
  <si>
    <t>BD-LAM-2024-0049</t>
  </si>
  <si>
    <t>Lam SL SD 1mm 1588 Tussock Beige(Gold)</t>
  </si>
  <si>
    <t>BD-LAM-2023-0239</t>
  </si>
  <si>
    <t>Lam SL SD 1mm 1589 Pearl Metallic(Gold) [BBP]</t>
  </si>
  <si>
    <t>BD-LAM-2023-0307</t>
  </si>
  <si>
    <t>Lam SL SD 1mm 1590 Wickham Grey(Gold)</t>
  </si>
  <si>
    <t>BD-LAM-2024-0048</t>
  </si>
  <si>
    <t>Lam SL SD 1mm 1591 Bronce Metallic(Gold)</t>
  </si>
  <si>
    <t>BD-LAM-2023-0281</t>
  </si>
  <si>
    <t>Lam SL SD 1mm 1644 Tonnies fabric(Gold)</t>
  </si>
  <si>
    <t>BD-LAM-2023-0115</t>
  </si>
  <si>
    <t>Lam SL SD 1mm 1701 British green(Gold)</t>
  </si>
  <si>
    <t>BD-LAM-2024-0086</t>
  </si>
  <si>
    <t>Lam SL SD 1mm 1769 Rachele Light(Gold)</t>
  </si>
  <si>
    <t>BD-LAM-2023-0198</t>
  </si>
  <si>
    <t>Lam SL SD 1mm 193 Magic move(Gold) [BBP]</t>
  </si>
  <si>
    <t>BD-LAM-2023-0112</t>
  </si>
  <si>
    <t>Lam SL SD 1mm 199 Bottle green(Gold)</t>
  </si>
  <si>
    <t>BD-LAM-2023-0155</t>
  </si>
  <si>
    <t>Lam SL SD 1mm 2128 European cherry(Gold)</t>
  </si>
  <si>
    <t>BD-LAM-2023-0264</t>
  </si>
  <si>
    <t>Lam SL SD 1mm 2164 Salix Oak(Gold)</t>
  </si>
  <si>
    <t>BD-LAM-2024-0094</t>
  </si>
  <si>
    <t>LAM SL SD 1mm 2233 Frozen Wood(Gold)</t>
  </si>
  <si>
    <t>BD-LAM-2024-0098</t>
  </si>
  <si>
    <t>LAM SL SD 1mm 2245 Twilight Banana Wood(Gold)</t>
  </si>
  <si>
    <t>BD-LAM-2023-0268</t>
  </si>
  <si>
    <t>Lam SL SD 1mm 2285 Scots Elm (Gold)</t>
  </si>
  <si>
    <t>BD-LAM-2023-0121</t>
  </si>
  <si>
    <t>Lam SL SD 1mm 2289 Carolina Rovere (Gold) [BBP]</t>
  </si>
  <si>
    <t>BD-LAM-2024-0085</t>
  </si>
  <si>
    <t>Lam SL SD 1mm 2312 Season Wood(Gold)</t>
  </si>
  <si>
    <t>BD-LAM-2023-0196</t>
  </si>
  <si>
    <t>Lam SL SD 1mm 2399 Legno vertigrain(Gold) [BBP]</t>
  </si>
  <si>
    <t>BD-LAM-2023-0200</t>
  </si>
  <si>
    <t>Lam SL SD 1mm 2463 Minor Desert(Gold) [BBP]</t>
  </si>
  <si>
    <t>BD-LAM-2023-0219</t>
  </si>
  <si>
    <t>Lam SL SD 1mm 2505 Nommad Teak(Gold)</t>
  </si>
  <si>
    <t>BD-LAM-2023-0177</t>
  </si>
  <si>
    <t>Lam SL SD 1mm 2549 Guest Wood(Gold)</t>
  </si>
  <si>
    <t>BD-LAM-2024-0084</t>
  </si>
  <si>
    <t>Lam SL SD 1mm 2601 Jungle Ultra(Gold)</t>
  </si>
  <si>
    <t>BD-LAM-2023-0161</t>
  </si>
  <si>
    <t>Lam SL SD 1mm 2623 Finest Verti (Gold)</t>
  </si>
  <si>
    <t>BD-LAM-2023-0261</t>
  </si>
  <si>
    <t>Lam SL SD 1mm 2637 Rust Light Fabric(Gold)</t>
  </si>
  <si>
    <t>BD-LAM-2023-0189</t>
  </si>
  <si>
    <t>Lam SL SD 1mm 2720 Kenny Oak(Gold) [BBP]</t>
  </si>
  <si>
    <t>BD-LAM-2023-0273</t>
  </si>
  <si>
    <t>Lam SL SD 1mm 2725 Slovenian Oak (Gold)</t>
  </si>
  <si>
    <t>BD-LAM-2023-0140</t>
  </si>
  <si>
    <t>Lam SL SD 1mm 2730 Cracked Oak(Gold) [BBP]</t>
  </si>
  <si>
    <t>BD-LAM-2023-0257</t>
  </si>
  <si>
    <t>Lam SL SD 1mm 2808 Riva Wood(Gold) [BBP]</t>
  </si>
  <si>
    <t>BD-LAM-2023-0301</t>
  </si>
  <si>
    <t>Lam SL SD 1mm 2831 Walnut Tex(Gold)</t>
  </si>
  <si>
    <t>BD-LAM-2023-0137</t>
  </si>
  <si>
    <t>Lam SL SD 1mm 2843 Coco teak(Gold) [BBP]</t>
  </si>
  <si>
    <t>BD-LAM-2023-0159</t>
  </si>
  <si>
    <t>Lam SL SD 1mm 2864 Fedara Wood(Gold)</t>
  </si>
  <si>
    <t>BD-LAM-2023-0087</t>
  </si>
  <si>
    <t>Lam SL SD 1mm 2901 Amberes Oak(Gold) [BBP]</t>
  </si>
  <si>
    <t>BD-LAM-2023-0184</t>
  </si>
  <si>
    <t>Lam SL SD 1mm 5133 Ivary Denim (Gold) [BBP]</t>
  </si>
  <si>
    <t>BD-LAM-2023-0097</t>
  </si>
  <si>
    <t>Lam SL SD 1mm 526 Azure(Gold) [BBP]</t>
  </si>
  <si>
    <t>BD-LAM-2024-0087</t>
  </si>
  <si>
    <t>Lam SL SD 1mm 531 Smoke Grey(Gold)</t>
  </si>
  <si>
    <t>BD-LAM-2023-0186</t>
  </si>
  <si>
    <t>Lam SL SD 1mm 538 Ivory grey(Gold) [BBP]</t>
  </si>
  <si>
    <t>BD-LAM-2023-0276</t>
  </si>
  <si>
    <t>Lam SL SD 1mm 7254 Straight Pine(Gold)</t>
  </si>
  <si>
    <t>BD-LAM-2023-0291</t>
  </si>
  <si>
    <t>Lam SL SD 1mm 7652 Ulmus(Gold)</t>
  </si>
  <si>
    <t>BD-LAM-2023-0298</t>
  </si>
  <si>
    <t>Lam SL SD 1mm 7705 Walnut Bronze(Gold)</t>
  </si>
  <si>
    <t>BD-LAM-2023-0113</t>
  </si>
  <si>
    <t>Lam SL SD 1mm 7706 Brick Wood(Gold)</t>
  </si>
  <si>
    <t>BD-LAM-2024-0078</t>
  </si>
  <si>
    <t>Lam SL SD 1mm 7710 Lorraine Walnut(Gold)</t>
  </si>
  <si>
    <t>BD-LAM-2023-0232</t>
  </si>
  <si>
    <t>Lam SL SD 1mm 7720 Orlando Walnut(Gold)</t>
  </si>
  <si>
    <t>BD-LAM-2023-0083</t>
  </si>
  <si>
    <t>Lam SL SD 1mm 7853 Amazing Antique(Gold) [BBP]</t>
  </si>
  <si>
    <t>BD-LAM-2023-0249</t>
  </si>
  <si>
    <t>Lam SL SD 1mm 8082 Radiant(Gold) [BBP]</t>
  </si>
  <si>
    <t>BD-LAM-2023-0242</t>
  </si>
  <si>
    <t>Lam SL SD 1mm 8106 Platinum grey(Gold) [BBP]</t>
  </si>
  <si>
    <t>BD-LAM-2023-0099</t>
  </si>
  <si>
    <t>Lam SL SD 1mm 8107 Barnwood(Gold) [BBP]</t>
  </si>
  <si>
    <t>BD-LAM-2023-0120</t>
  </si>
  <si>
    <t>Lam SL SD 1mm 8151 Carnation(Gold)</t>
  </si>
  <si>
    <t>BD-LAM-2023-0126</t>
  </si>
  <si>
    <t>Lam SL SD 1mm 8204 Chamoise brown(Gold) [BBP]</t>
  </si>
  <si>
    <t>BD-LAM-2023-0173</t>
  </si>
  <si>
    <t>Lam SL SD 1mm 8222(Gold)</t>
  </si>
  <si>
    <t>BD-LAM-2023-0149</t>
  </si>
  <si>
    <t>Lam SL SD 1mm 8321 Deep pink(Gold) [BBP]</t>
  </si>
  <si>
    <t>BD-LAM-2023-0271</t>
  </si>
  <si>
    <t>Lam SL SD 1mm 8403 Sky blue(Gold)</t>
  </si>
  <si>
    <t>BD-LAM-2024-0029</t>
  </si>
  <si>
    <t>Lam SL SM 1mm 1014 City Shadow(Gold)</t>
  </si>
  <si>
    <t>BD-LAM-2024-0034</t>
  </si>
  <si>
    <t>Lam SL SM 1mm 1037 Soldier Green(Gold)</t>
  </si>
  <si>
    <t>BD-LAM-2024-0028</t>
  </si>
  <si>
    <t>Lam SL SM 1mm 1066 Dull Grey(Gold)</t>
  </si>
  <si>
    <t>BD-LAM-2023-0314</t>
  </si>
  <si>
    <t>Lam SL SM 1mm 1458 Zebrawood Marbel (Gold)</t>
  </si>
  <si>
    <t>BD-LAM-2023-0079</t>
  </si>
  <si>
    <t>Lam SL SM 1mm 1462 Bianco Carrara Venato(Gold)</t>
  </si>
  <si>
    <t>BD-LAM-2024-0031</t>
  </si>
  <si>
    <t>Lam SL SM 1mm 1702 Dusky Mehndi(Gold)</t>
  </si>
  <si>
    <t>BD-LAM-2024-0032</t>
  </si>
  <si>
    <t>Lam SL SM 1mm 1716 Dark Olive(Gold)</t>
  </si>
  <si>
    <t>BD-LAM-2024-0026</t>
  </si>
  <si>
    <t>Lam SL SM 1mm 538 Ivory Grey(Gold)</t>
  </si>
  <si>
    <t>BD-LAM-2024-0027</t>
  </si>
  <si>
    <t>Lam SL SM 1mm 8121 Chalk Grey(Gold)</t>
  </si>
  <si>
    <t>BD-LAM-2024-0030</t>
  </si>
  <si>
    <t>Lam SL SM 1mm 8151 Canartion(Gold)</t>
  </si>
  <si>
    <t>BD-LAM-2024-0033</t>
  </si>
  <si>
    <t>Lam SL SM 1mm 8442 Purple(Gold)</t>
  </si>
  <si>
    <t>BD-LAM-2024-0091</t>
  </si>
  <si>
    <t>LAM SL STS 1mm 1445 Natsu(Gold)</t>
  </si>
  <si>
    <t>BD-LAM-2024-0068</t>
  </si>
  <si>
    <t>Lam SL STS 1mm 1449 Paladine Marble(Gold)</t>
  </si>
  <si>
    <t>BD-LAM-2023-0235</t>
  </si>
  <si>
    <t>Lam SL STS 1mm 1451 Oxid Mont (Gold)</t>
  </si>
  <si>
    <t>BD-LAM-2023-0284</t>
  </si>
  <si>
    <t>Lam SL STS 1mm 1453 Tuscan Travertine(Gold)</t>
  </si>
  <si>
    <t>BD-LAM-2023-0228</t>
  </si>
  <si>
    <t>Lam SL STS 1mm 1467 Opera Fantastico Stone(Gold)</t>
  </si>
  <si>
    <t>BD-LAM-2024-0065</t>
  </si>
  <si>
    <t>Lam SL STS 1mm 1473 Giallo Brooklyn(Gold)</t>
  </si>
  <si>
    <t>BD-LAM-2024-0064</t>
  </si>
  <si>
    <t>Lam SL STS 1mm 1483 Cream Lavant(Gold)</t>
  </si>
  <si>
    <t>BD-LAM-2023-0136</t>
  </si>
  <si>
    <t>Lam SL STS 1mm 1560 Cloud Concrete(Gold)</t>
  </si>
  <si>
    <t>BD-LAM-2023-0179</t>
  </si>
  <si>
    <t>Lam SL STS 1mm 1587 Harley Marble(Gold)</t>
  </si>
  <si>
    <t>BD-LAM-2023-0192</t>
  </si>
  <si>
    <t>Lam SL TT 1mm 5166 Khadi Grey(Gold)</t>
  </si>
  <si>
    <t>BD-LAM-2023-0191</t>
  </si>
  <si>
    <t>Lam SL TT 1mm 5167 Khadi Brown(Gold)</t>
  </si>
  <si>
    <t>BD-LAM-2024-0040</t>
  </si>
  <si>
    <t>Lam SL VS 1mm 1020 Off White(Gold)</t>
  </si>
  <si>
    <t>BD-LAM-2024-0041</t>
  </si>
  <si>
    <t>Lam SL VS 1mm 1713 Anthracite Grey(Gold)</t>
  </si>
  <si>
    <t>BD-LAM-2023-0081</t>
  </si>
  <si>
    <t>Lam SL WV 1mm 120 Alumina Grey(Gold)</t>
  </si>
  <si>
    <t>📋  HRBR EC  —  ACRYLIC N CRYSTAL ACRYLIC  |  Multi-Round Audit Tracker</t>
  </si>
  <si>
    <t>BD-ACR-2025-0020</t>
  </si>
  <si>
    <t>Rehau - Acrylic - Biscotti Gloss - 5008P</t>
  </si>
  <si>
    <t>Rehau</t>
  </si>
  <si>
    <t>BD-ACR-2025-0010</t>
  </si>
  <si>
    <t>Rehau - Acrylic - Blue Spirulina Gloss - 5015P</t>
  </si>
  <si>
    <t>BD-ACR-2025-0011</t>
  </si>
  <si>
    <t>Rehau - Acrylic - Blue Spirulina Matt - 2015N</t>
  </si>
  <si>
    <t>BD-ACR-2025-0016</t>
  </si>
  <si>
    <t>Rehau - Acrylic - Creme Gloss - 5002P</t>
  </si>
  <si>
    <t>BD-ACR-2025-0017</t>
  </si>
  <si>
    <t>Rehau - Acrylic - Creme Matt - 2002N</t>
  </si>
  <si>
    <t>BD-ACR-2025-0027</t>
  </si>
  <si>
    <t>Rehau - Acrylic - Earl Grey Gloss - 5006P</t>
  </si>
  <si>
    <t>BD-ACR-2025-0028</t>
  </si>
  <si>
    <t>Rehau - Acrylic - Earl Grey Matt - 2006N</t>
  </si>
  <si>
    <t>BD-ACR-2025-0003</t>
  </si>
  <si>
    <t>Rehau - Acrylic - French Vanilla Matt - 2004N</t>
  </si>
  <si>
    <t>BD-ACR-2025-0012</t>
  </si>
  <si>
    <t>Rehau - Acrylic - Gold Dust Gloss - 7003P</t>
  </si>
  <si>
    <t>BD-ACR-2025-0008</t>
  </si>
  <si>
    <t>Rehau - Acrylic - Grey Flesh Gloss - 5005P</t>
  </si>
  <si>
    <t>BD-ACR-2025-0009</t>
  </si>
  <si>
    <t>Rehau - Acrylic - Grey Flesh Matt - 2005N</t>
  </si>
  <si>
    <t>BD-ACR-2025-0001</t>
  </si>
  <si>
    <t>Rehau - Acrylic - Marshmallow Gloss - 5001P</t>
  </si>
  <si>
    <t>BD-ACR-2025-0002</t>
  </si>
  <si>
    <t>Rehau - Acrylic - Marshmallow Matt - 2001N</t>
  </si>
  <si>
    <t>BD-ACR-2025-0025</t>
  </si>
  <si>
    <t>Rehau - Acrylic - Pink Oyster Gloss - 5014P</t>
  </si>
  <si>
    <t>BD-ACR-2025-0026</t>
  </si>
  <si>
    <t>Rehau - Acrylic - Pink Oyster Matt - 2014N</t>
  </si>
  <si>
    <t>BD-ACR-2025-0023</t>
  </si>
  <si>
    <t>Rehau - Acrylic - Roasted Chestnut Gloss - 5009P</t>
  </si>
  <si>
    <t>BD-ACR-2025-0024</t>
  </si>
  <si>
    <t>Rehau - Acrylic - Roasted Chestnut Matt - 2009N</t>
  </si>
  <si>
    <t>BD-ACR-2025-0006</t>
  </si>
  <si>
    <t>Rehau - Acrylic - Seafoam Gloss - 5012P</t>
  </si>
  <si>
    <t>BD-ACR-2025-0007</t>
  </si>
  <si>
    <t>Rehau - Acrylic - Seafoam Matt - 2012N</t>
  </si>
  <si>
    <t>BD-ACR-2025-0022</t>
  </si>
  <si>
    <t>Rehau - Acrylic - Shiitake Matt - 2010N</t>
  </si>
  <si>
    <t>BD-ACR-2025-0014</t>
  </si>
  <si>
    <t>Rehau - Acrylic - Silver Dust Gloss - 7002P</t>
  </si>
  <si>
    <t>BD-ACR-2025-0015</t>
  </si>
  <si>
    <t>Rehau - Acrylic - Silver Dust Matt - 4002N</t>
  </si>
  <si>
    <t>BD-ACR-2025-0018</t>
  </si>
  <si>
    <t>Rehau - Acrylic - Sweet Latte Gloss - 5003P</t>
  </si>
  <si>
    <t>BD-ACR-2025-0019</t>
  </si>
  <si>
    <t>Rehau - Acrylic - Sweet Latte Matt - 2003N</t>
  </si>
  <si>
    <t>BD-ACR-2023-0032</t>
  </si>
  <si>
    <t>Spacewood - Crystal Acrylic Aqua High Gloss</t>
  </si>
  <si>
    <t>Spacewood</t>
  </si>
  <si>
    <t>BD-ACR-2023-0013</t>
  </si>
  <si>
    <t>Spacewood - Crystal Acrylic Aqua Super Matt</t>
  </si>
  <si>
    <t>BD-ACR-2023-0031</t>
  </si>
  <si>
    <t>Spacewood - Crystal Acrylic Army Green High Gloss</t>
  </si>
  <si>
    <t>BD-ACR-2023-0012</t>
  </si>
  <si>
    <t>Spacewood - Crystal Acrylic Army Green Super Matt</t>
  </si>
  <si>
    <t>BD-ACR-2023-0037</t>
  </si>
  <si>
    <t>Spacewood - Crystal Acrylic Basalt grey High Gloss</t>
  </si>
  <si>
    <t>BD-ACR-2023-0018</t>
  </si>
  <si>
    <t>Spacewood - Crystal Acrylic Basalt Grey Super Matt</t>
  </si>
  <si>
    <t>BD-ACR-2023-0020</t>
  </si>
  <si>
    <t>Spacewood - Crystal Acrylic Bianco High Gloss</t>
  </si>
  <si>
    <t>BD-ACR-2023-0001</t>
  </si>
  <si>
    <t>Spacewood - Crystal Acrylic Bianco Super Matt</t>
  </si>
  <si>
    <t>BD-ACR-2023-0035</t>
  </si>
  <si>
    <t>Spacewood - Crystal Acrylic Coral High Gloss</t>
  </si>
  <si>
    <t>BD-ACR-2023-0016</t>
  </si>
  <si>
    <t>Spacewood - Crystal Acrylic Coral Super Matt</t>
  </si>
  <si>
    <t>BD-ACR-2023-0022</t>
  </si>
  <si>
    <t>Spacewood - Crystal Acrylic Fog High Gloss</t>
  </si>
  <si>
    <t>BD-ACR-2023-0003</t>
  </si>
  <si>
    <t>Spacewood - Crystal Acrylic Fog Super Matt</t>
  </si>
  <si>
    <t>BD-ACR-2023-0033</t>
  </si>
  <si>
    <t>Spacewood - Crystal Acrylic Fumo High Gloss</t>
  </si>
  <si>
    <t>BD-ACR-2023-0014</t>
  </si>
  <si>
    <t>Spacewood - Crystal Acrylic Fumo Super Matt</t>
  </si>
  <si>
    <t>BD-ACR-2023-0034</t>
  </si>
  <si>
    <t>Spacewood - Crystal Acrylic Lagoon High Gloss</t>
  </si>
  <si>
    <t>BD-ACR-2023-0015</t>
  </si>
  <si>
    <t>Spacewood - Crystal Acrylic Lagoon Super Matt</t>
  </si>
  <si>
    <t>BD-ACR-2023-0024</t>
  </si>
  <si>
    <t>Spacewood - Crystal Acrylic Magnolia High Gloss</t>
  </si>
  <si>
    <t>BD-ACR-2023-0005</t>
  </si>
  <si>
    <t>Spacewood - Crystal Acrylic Magnolia Super Matt</t>
  </si>
  <si>
    <t>BD-ACR-2023-0025</t>
  </si>
  <si>
    <t>Spacewood - Crystal Acrylic Millet Beige High Gloss</t>
  </si>
  <si>
    <t>BD-ACR-2023-0006</t>
  </si>
  <si>
    <t>Spacewood - Crystal Acrylic Millet Beige Super Matt</t>
  </si>
  <si>
    <t>BD-ACR-2023-0029</t>
  </si>
  <si>
    <t>Spacewood - Crystal Acrylic Mint High Gloss</t>
  </si>
  <si>
    <t>BD-ACR-2023-0010</t>
  </si>
  <si>
    <t>Spacewood - Crystal Acrylic Mint Super Matt</t>
  </si>
  <si>
    <t>BD-ACR-2023-0038</t>
  </si>
  <si>
    <t>Spacewood - Crystal Acrylic Nero High Gloss</t>
  </si>
  <si>
    <t>BD-ACR-2023-0019</t>
  </si>
  <si>
    <t>Spacewood - Crystal Acrylic Nero Super Matt</t>
  </si>
  <si>
    <t>BD-ACR-2023-0028</t>
  </si>
  <si>
    <t>Spacewood - Crystal Acrylic Nutmeg Brown High Gloss</t>
  </si>
  <si>
    <t>BD-ACR-2023-0009</t>
  </si>
  <si>
    <t>Spacewood - Crystal Acrylic Nutmeg Brown Super Matt</t>
  </si>
  <si>
    <t>BD-ACR-2023-0030</t>
  </si>
  <si>
    <t>Spacewood - Crystal Acrylic Oyster Green High Gloss</t>
  </si>
  <si>
    <t>BD-ACR-2023-0011</t>
  </si>
  <si>
    <t>Spacewood - Crystal Acrylic Oyster Green Super Matt</t>
  </si>
  <si>
    <t>BD-ACR-2023-0023</t>
  </si>
  <si>
    <t>Spacewood - Crystal Acrylic Pearl High Gloss</t>
  </si>
  <si>
    <t>BD-ACR-2023-0004</t>
  </si>
  <si>
    <t>Spacewood - Crystal Acrylic Pearl Super Matt</t>
  </si>
  <si>
    <t>BD-ACR-2023-0026</t>
  </si>
  <si>
    <t>Spacewood - Crystal Acrylic Sand High Gloss</t>
  </si>
  <si>
    <t>BD-ACR-2023-0007</t>
  </si>
  <si>
    <t>Spacewood - Crystal Acrylic Sand Super Matt</t>
  </si>
  <si>
    <t>BD-ACR-2023-0027</t>
  </si>
  <si>
    <t>Spacewood - Crystal Acrylic Sasso High Gloss</t>
  </si>
  <si>
    <t>BD-ACR-2023-0008</t>
  </si>
  <si>
    <t>Spacewood - Crystal Acrylic Sasso Super Matt</t>
  </si>
  <si>
    <t>BD-ACR-2023-0021</t>
  </si>
  <si>
    <t>Spacewood - Crystal Acrylic Satin White High Gloss</t>
  </si>
  <si>
    <t>BD-ACR-2023-0002</t>
  </si>
  <si>
    <t>Spacewood - Crystal Acrylic Satin White Super Matt</t>
  </si>
  <si>
    <t>BD-ACR-2023-0036</t>
  </si>
  <si>
    <t>Spacewood - Crystal Acrylic Topo Grey High Gloss</t>
  </si>
  <si>
    <t>BD-ACR-2023-0017</t>
  </si>
  <si>
    <t>Spacewood - Crystal Acrylic Topo Grey Super Matt</t>
  </si>
  <si>
    <t>BD-ACR-2023-0039</t>
  </si>
  <si>
    <t>Spacewood - Crystal Acrylic Zevic High Gloss</t>
  </si>
  <si>
    <t>📋  HRBR EC  —  PU AND MEMBRANE  |  Multi-Round Audit Tracker</t>
  </si>
  <si>
    <t>PU 3014 GL</t>
  </si>
  <si>
    <t>PU - Antique Pink (Gloss) 3014</t>
  </si>
  <si>
    <t>DESIGNORX PRIVATE LIMITED</t>
  </si>
  <si>
    <t>PJ,P1</t>
  </si>
  <si>
    <t>PU 3014 MT</t>
  </si>
  <si>
    <t>PU - Antique Pink (Matte) 3014</t>
  </si>
  <si>
    <t>Represented by Sample</t>
  </si>
  <si>
    <t>PU 1011 GL</t>
  </si>
  <si>
    <t>PU - Brown beige (Gloss) 1011</t>
  </si>
  <si>
    <t>PU 1011 MT</t>
  </si>
  <si>
    <t>PU - Brown beige (Matte) 1011</t>
  </si>
  <si>
    <t>PU 1007 GL</t>
  </si>
  <si>
    <t>PU - Daffodil yellow (Gloss) 1007</t>
  </si>
  <si>
    <t>PU 1007 MT</t>
  </si>
  <si>
    <t>PU - Daffodil yellow (Matte) 1007</t>
  </si>
  <si>
    <t>P3,P2</t>
  </si>
  <si>
    <t>PU 5023 GL</t>
  </si>
  <si>
    <t>PU - Distant Blue (Gloss) 5023</t>
  </si>
  <si>
    <t>P1</t>
  </si>
  <si>
    <t>PU 5023 MT</t>
  </si>
  <si>
    <t>PU - Distant Blue (Matte) 5023</t>
  </si>
  <si>
    <t>PU 6025 GL</t>
  </si>
  <si>
    <t>PU - Fern Green (Gloss) 6025</t>
  </si>
  <si>
    <t>PU 6025 MT</t>
  </si>
  <si>
    <t>PU - Fern Green (Matte) 6025</t>
  </si>
  <si>
    <t>P1,P2</t>
  </si>
  <si>
    <t>PU 1000 GL</t>
  </si>
  <si>
    <t>PU - Green beige (Gloss) 1000</t>
  </si>
  <si>
    <t>PU 1000 MT</t>
  </si>
  <si>
    <t>PU - Green beige (Matt) 1000</t>
  </si>
  <si>
    <t>P5,P1</t>
  </si>
  <si>
    <t>PU 7002 GL</t>
  </si>
  <si>
    <t>PU - Olive Grey (Gloss) 7002</t>
  </si>
  <si>
    <t>PU 7002 MT</t>
  </si>
  <si>
    <t>PU - Olive Grey (Matte) 7002</t>
  </si>
  <si>
    <t>PU 4009 GL</t>
  </si>
  <si>
    <t>PU - Pastel Violet (Gloss) 4009</t>
  </si>
  <si>
    <t>PU 4009 MT</t>
  </si>
  <si>
    <t>PU - Pastel Violet (Matte) 4009</t>
  </si>
  <si>
    <t>PU 6000 GL</t>
  </si>
  <si>
    <t>PU - Patina Green (Gloss) 6000</t>
  </si>
  <si>
    <t>P2</t>
  </si>
  <si>
    <t>PU 6000 MT</t>
  </si>
  <si>
    <t>PU - Patina Green (Matte) 6000</t>
  </si>
  <si>
    <t>PU 4001 GL</t>
  </si>
  <si>
    <t>PU - Red lilac (Gloss) 4001</t>
  </si>
  <si>
    <t>PU 4001 MT</t>
  </si>
  <si>
    <t>PU - Red lilac (Matte) 4001</t>
  </si>
  <si>
    <t>P6,P2</t>
  </si>
  <si>
    <t>PU 5011 GL</t>
  </si>
  <si>
    <t>PU - Steel Blue (Gloss) 5011</t>
  </si>
  <si>
    <t>PU 5011 MT</t>
  </si>
  <si>
    <t>PU - Steel Blue (Matte) 5011</t>
  </si>
  <si>
    <t>PU 5018 GL</t>
  </si>
  <si>
    <t>PU - Turquoise Blue (Gloss) 5018</t>
  </si>
  <si>
    <t>P1,PJ</t>
  </si>
  <si>
    <t>PU 5018 MT</t>
  </si>
  <si>
    <t>PU - Turquoise Blue (Matte) 5018</t>
  </si>
  <si>
    <t>PU 6014 GL</t>
  </si>
  <si>
    <t>PU - Yellow Olive (Gloss) 6014</t>
  </si>
  <si>
    <t>PU 6014 MT</t>
  </si>
  <si>
    <t>PU - Yellow Olive (Matte) 6014</t>
  </si>
  <si>
    <t>aubergine-highgloss</t>
  </si>
  <si>
    <t>Aubergine (High Gloss)</t>
  </si>
  <si>
    <t>SPACEWOOD FURNISHERS PVT LTD</t>
  </si>
  <si>
    <t>beige-highgloss</t>
  </si>
  <si>
    <t>Beige (High Gloss)</t>
  </si>
  <si>
    <t>cashmere-highgloss</t>
  </si>
  <si>
    <t>Cashmere (High Gloss)</t>
  </si>
  <si>
    <t>cubanitgreypremier-matt</t>
  </si>
  <si>
    <t>Cubanit Grey Premier (Matt)</t>
  </si>
  <si>
    <t>dustgreypremier-matt</t>
  </si>
  <si>
    <t>Dust Grey Premier (Matt)</t>
  </si>
  <si>
    <t>elmoverlingableached-matt</t>
  </si>
  <si>
    <t>Elmo Verlinga Bleached (Matt)</t>
  </si>
  <si>
    <t>esmarticwhite-matt</t>
  </si>
  <si>
    <t>ESM Arctic White Matt (SM-1)</t>
  </si>
  <si>
    <t>esmbeaublue</t>
  </si>
  <si>
    <t>ESM Beau Blue (Matt)</t>
  </si>
  <si>
    <t>esmcorn-matt</t>
  </si>
  <si>
    <t>ESM Corn (Matt)</t>
  </si>
  <si>
    <t>esmhighlandgreen-matt</t>
  </si>
  <si>
    <t>ESM Highland Green (Matt)</t>
  </si>
  <si>
    <t>esmmarine-matt</t>
  </si>
  <si>
    <t>ESM Marine (Matt)</t>
  </si>
  <si>
    <t>esmriverstone-matt</t>
  </si>
  <si>
    <t>ESM River Stone (Matt)</t>
  </si>
  <si>
    <t>esmriverstonewp</t>
  </si>
  <si>
    <t>ESM River Stone (WP) (Matt)</t>
  </si>
  <si>
    <t>esmsaharabeige-matt</t>
  </si>
  <si>
    <t>ESM Sahara Beige (Matt)</t>
  </si>
  <si>
    <t>esmsandsatin-matt</t>
  </si>
  <si>
    <t>ESM Sand Satin (Matt)</t>
  </si>
  <si>
    <t>fumedoak-matt</t>
  </si>
  <si>
    <t>Fumed Oak (Matt)</t>
  </si>
  <si>
    <t>highlandgreen-matt</t>
  </si>
  <si>
    <t>Highland Green (Matt)</t>
  </si>
  <si>
    <t>indigobluepaintflowpremier-matt</t>
  </si>
  <si>
    <t>Indigo Blue Paint Flow Premier (Matt)</t>
  </si>
  <si>
    <t>lagoon-highgloss</t>
  </si>
  <si>
    <t>Lagoon (High Gloss)</t>
  </si>
  <si>
    <t>lightgreypremier-matt</t>
  </si>
  <si>
    <t>Light Grey Premier (Matt)</t>
  </si>
  <si>
    <t>marbledark(brown)-matt</t>
  </si>
  <si>
    <t>Marble Dark (Brown) (Matt)</t>
  </si>
  <si>
    <t>MEM Amatic PD</t>
  </si>
  <si>
    <t>MEM Amati PD Matt (RM-3)</t>
  </si>
  <si>
    <t>MEM Artisan Oak</t>
  </si>
  <si>
    <t>MEM Artisan Oak (Matt)</t>
  </si>
  <si>
    <t>MEM Basalt Grey</t>
  </si>
  <si>
    <t>MEM Basalt Grey (High Gloss)</t>
  </si>
  <si>
    <t>MEM Black (High Gloss)</t>
  </si>
  <si>
    <t>MEM Capaccino High Gloss</t>
  </si>
  <si>
    <t>MEM Capaccino (High Gloss)</t>
  </si>
  <si>
    <t>MEM Denim Suedette Matt</t>
  </si>
  <si>
    <t>MEM Denim Suedette (Matt)</t>
  </si>
  <si>
    <t>MEM ESM Blue</t>
  </si>
  <si>
    <t>MEM ESM Blue (Matt)</t>
  </si>
  <si>
    <t>MEM ESM Pumic Grey</t>
  </si>
  <si>
    <t>MEM ESM Pumic Grey (Matt)</t>
  </si>
  <si>
    <t>MEM SM Slate</t>
  </si>
  <si>
    <t>MEM ESM Slate Matt (SM-1)</t>
  </si>
  <si>
    <t>MEM Furniture White</t>
  </si>
  <si>
    <t>MEM Furniture White (High Gloss)</t>
  </si>
  <si>
    <t>MEM Latte Cashmere</t>
  </si>
  <si>
    <t>MEM Latte Cashmere (Matt)</t>
  </si>
  <si>
    <t>MEM Magnolia Fine High Gloss</t>
  </si>
  <si>
    <t>MEM Magnolia Fine (High Gloss)</t>
  </si>
  <si>
    <t>MEM Oak Endgrain Delight</t>
  </si>
  <si>
    <t>MEM Oak Endgrain Delight (Matt)</t>
  </si>
  <si>
    <t>MEM PT - Stone Dust (Matt)</t>
  </si>
  <si>
    <t>MEM PT Daisy</t>
  </si>
  <si>
    <t>MEM PT Daisy (Matt)</t>
  </si>
  <si>
    <t>MEM PT Graphite</t>
  </si>
  <si>
    <t>MEM PT Graphite (Matt)</t>
  </si>
  <si>
    <t>MEM PT Marine</t>
  </si>
  <si>
    <t>MEM PT Marine (Matt)</t>
  </si>
  <si>
    <t>MEM Sand Satin</t>
  </si>
  <si>
    <t>MEM Sand Satin (Matt)</t>
  </si>
  <si>
    <t>150x2400mm Snow White MT</t>
  </si>
  <si>
    <t>MEM Snow White (Matt)</t>
  </si>
  <si>
    <t>MEM Sonoma Ash</t>
  </si>
  <si>
    <t>MEM Sonoma Ash (Matt)</t>
  </si>
  <si>
    <t>MEM Stone Grey Ash</t>
  </si>
  <si>
    <t>MEM Stone Grey Modern Ash (Matt)</t>
  </si>
  <si>
    <t>MEM Urban Walnut</t>
  </si>
  <si>
    <t>MEM Urban Walnut (Matt)</t>
  </si>
  <si>
    <t>MEM Walnut Bronze</t>
  </si>
  <si>
    <t>MEM Walnut Bronze (Matt)</t>
  </si>
  <si>
    <t>MEM Wolfram Grey (High Gloss)</t>
  </si>
  <si>
    <t>naturalteak-matt</t>
  </si>
  <si>
    <t>Natural Teak (Matt)</t>
  </si>
  <si>
    <t>newivory-1-matt</t>
  </si>
  <si>
    <t>New Ivory-1 (Matt)</t>
  </si>
  <si>
    <t>oriabluepremier-matt</t>
  </si>
  <si>
    <t>Oria Blue Premier (Matt)</t>
  </si>
  <si>
    <t>ptalpinewhite-matt</t>
  </si>
  <si>
    <t>PT Alpine White (Matt)</t>
  </si>
  <si>
    <t>purewhite-matt</t>
  </si>
  <si>
    <t>Pure White (Matt)</t>
  </si>
  <si>
    <t>reedgreenpaintflow-matt</t>
  </si>
  <si>
    <t>Reed Green Paint Flow (Matt)</t>
  </si>
  <si>
    <t>sheesham-matt</t>
  </si>
  <si>
    <t>Sheesham (Matt)</t>
  </si>
  <si>
    <t>tuscanredpremier-matt</t>
  </si>
  <si>
    <t>Tuscan Red Premier (Matt)</t>
  </si>
  <si>
    <t>walnutregato(wp)-matt</t>
  </si>
  <si>
    <t>Walnut Regato (WP) (Matt)</t>
  </si>
  <si>
    <t>woodytan-matt</t>
  </si>
  <si>
    <t>Woody Tan (Matt)</t>
  </si>
  <si>
    <t>📋  HRBR EC  —  RAFTERS  |  Multi-Round Audit Tracker</t>
  </si>
  <si>
    <t>BD-VRM-2025-0842</t>
  </si>
  <si>
    <t>Euro Pratik - Pastelite Louvers - 18101 - Paintable</t>
  </si>
  <si>
    <t>Europratik</t>
  </si>
  <si>
    <t>BD-VRM-2025-0844</t>
  </si>
  <si>
    <t>Euro Pratik - Pastelite Louvers - 18102 - Paintable</t>
  </si>
  <si>
    <t>BD-VRM-2025-0845</t>
  </si>
  <si>
    <t>Euro Pratik - Pastelite Louvers - 18103 - Paintable</t>
  </si>
  <si>
    <t>BD-VRM-2025-0846</t>
  </si>
  <si>
    <t>Euro Pratik - Pastelite Louvers - 18104 - Paintable</t>
  </si>
  <si>
    <t>BD-VRM-2025-0848</t>
  </si>
  <si>
    <t>Euro Pratik - Pastelite Louvers - 18105 - Paintable</t>
  </si>
  <si>
    <t>BD-VRM-2025-0849</t>
  </si>
  <si>
    <t>Euro Pratik - Pastelite Louvers - 18106 - Paintable</t>
  </si>
  <si>
    <t>BD-VRM-2025-0851</t>
  </si>
  <si>
    <t>Euro Pratik - Pastelite Louvers - 18107 - Paintable</t>
  </si>
  <si>
    <t>BD-VRM-2025-0852</t>
  </si>
  <si>
    <t>Euro Pratik - Pastelite Louvers - 18108 - Paintable</t>
  </si>
  <si>
    <t>BD-VRM-2025-0854</t>
  </si>
  <si>
    <t>Euro Pratik - Pastelite Louvers - 18109 - Textured</t>
  </si>
  <si>
    <t>BD-VRM-2025-0855</t>
  </si>
  <si>
    <t>Euro Pratik - Pastelite Louvers - 18110 - Textured</t>
  </si>
  <si>
    <t>BD-VRM-2025-0857</t>
  </si>
  <si>
    <t>Euro Pratik - Pastelite Louvers - 18111 - Textured</t>
  </si>
  <si>
    <t>BD-VRM-2025-0858</t>
  </si>
  <si>
    <t>Euro Pratik - Pastelite Louvers - 18112 - Textured</t>
  </si>
  <si>
    <t>BD-VRM-2025-0859</t>
  </si>
  <si>
    <t>Euro Pratik - Pastelite Louvers - 18113 - Paintable</t>
  </si>
  <si>
    <t>BD-VRM-2025-0860</t>
  </si>
  <si>
    <t>Euro Pratik - Pastelite Louvers - 18114 - Paintable</t>
  </si>
  <si>
    <t>BD-VRM-2025-0862</t>
  </si>
  <si>
    <t>Euro Pratik - Pastelite Louvers - 18115 - Textured</t>
  </si>
  <si>
    <t>BD-VRM-2025-0863</t>
  </si>
  <si>
    <t>Euro Pratik - Pastelite Louvers - 18116 - Paintable</t>
  </si>
  <si>
    <t>BD-VRM-2025-0864</t>
  </si>
  <si>
    <t>Euro Pratik - Pastelite Louvers - 18117 - Paintable</t>
  </si>
  <si>
    <t>BD-VRM-2025-0865</t>
  </si>
  <si>
    <t>Euro Pratik - Pastelite Louvers - 18118 - Paintable</t>
  </si>
  <si>
    <t>BD-VRM-2025-0866</t>
  </si>
  <si>
    <t>Euro Pratik - Pastelite Louvers - 18119 - Paintable</t>
  </si>
  <si>
    <t>BD-VRM-2025-0867</t>
  </si>
  <si>
    <t>Euro Pratik - Pastelite Louvers - 18120 - Paintable</t>
  </si>
  <si>
    <t>BD-VRM-2025-0868</t>
  </si>
  <si>
    <t>Euro Pratik - Pastelite Louvers - 18121 - Paintable</t>
  </si>
  <si>
    <t>BD-VRM-2025-0869</t>
  </si>
  <si>
    <t>Euro Pratik - Pastelite Louvers - 18122 - Paintable</t>
  </si>
  <si>
    <t>BD-VRM-2025-0870</t>
  </si>
  <si>
    <t>Euro Pratik - Pastelite Louvers - 19101 - Textured</t>
  </si>
  <si>
    <t>BD-VRM-2025-0871</t>
  </si>
  <si>
    <t>Euro Pratik - Pastelite Louvers - 19102 - Textured</t>
  </si>
  <si>
    <t>BD-VRM-2025-0873</t>
  </si>
  <si>
    <t>Euro Pratik - Pastelite Louvers - 19104 - Textured</t>
  </si>
  <si>
    <t>BD-VRM-2025-0875</t>
  </si>
  <si>
    <t>Euro Pratik - Pastelite Louvers - 19105 - Textured</t>
  </si>
  <si>
    <t>BD-VRM-2025-0876</t>
  </si>
  <si>
    <t>Euro Pratik - Pastelite Louvers - 19106 - Textured</t>
  </si>
  <si>
    <t>BD-VRM-2025-0877</t>
  </si>
  <si>
    <t>Euro Pratik - Pastelite Louvers - 19107 - Paintable</t>
  </si>
  <si>
    <t>BD-VRM-2025-0878</t>
  </si>
  <si>
    <t>Euro Pratik - Pastelite Louvers - 19108 - Textured</t>
  </si>
  <si>
    <t>BD-VRM-2025-0879</t>
  </si>
  <si>
    <t>Euro Pratik - Pastelite Louvers - 19109 - Paintable</t>
  </si>
  <si>
    <t>BD-VRM-2025-0880</t>
  </si>
  <si>
    <t>Euro Pratik - Pastelite Louvers - 19110 - Paintable</t>
  </si>
  <si>
    <t>BD-VRM-2025-0881</t>
  </si>
  <si>
    <t>Euro Pratik - Pastelite Louvers - 19111 - Textured</t>
  </si>
  <si>
    <t>BD-VRM-2025-0882</t>
  </si>
  <si>
    <t>Euro Pratik - Pastelite Louvers - 19112 - Paintable</t>
  </si>
  <si>
    <t>BD-VRM-2025-0883</t>
  </si>
  <si>
    <t>Euro Pratik - Pastelite Louvers - 20501 - Paintable</t>
  </si>
  <si>
    <t>BD-VRM-2025-0885</t>
  </si>
  <si>
    <t>Euro Pratik - Pastelite Louvers - 20502 - Paintable</t>
  </si>
  <si>
    <t>BD-VRM-2025-0887</t>
  </si>
  <si>
    <t>Euro Pratik - Pastelite Louvers - 20503 - Paintable</t>
  </si>
  <si>
    <t>BD-VRM-2025-0889</t>
  </si>
  <si>
    <t>Euro Pratik - Pastelite Louvers - 20504 - Paintable</t>
  </si>
  <si>
    <t>BD-VRM-2025-0884</t>
  </si>
  <si>
    <t>Euro Pratik - Pastelite Louvers - 20601 - Paintable</t>
  </si>
  <si>
    <t>BD-VRM-2025-0886</t>
  </si>
  <si>
    <t>Euro Pratik - Pastelite Louvers - 20602 - Paintable</t>
  </si>
  <si>
    <t>BD-VRM-2025-0888</t>
  </si>
  <si>
    <t>Euro Pratik - Pastelite Louvers - 20603 - Paintable</t>
  </si>
  <si>
    <t>BD-VRM-2025-0890</t>
  </si>
  <si>
    <t>Euro Pratik - Pastelite Louvers - 20604 - Paintable</t>
  </si>
  <si>
    <t>BD-VRM-2025-0843</t>
  </si>
  <si>
    <t>Euro Pratik - Pastelite Louvers - 918101 - Paintable</t>
  </si>
  <si>
    <t>BD-VRM-2025-0847</t>
  </si>
  <si>
    <t>Euro Pratik - Pastelite Louvers - 918104 - Paintable</t>
  </si>
  <si>
    <t>BD-VRM-2025-0850</t>
  </si>
  <si>
    <t>Euro Pratik - Pastelite Louvers - 918106 - Paintable</t>
  </si>
  <si>
    <t>BD-VRM-2025-0853</t>
  </si>
  <si>
    <t>Euro Pratik - Pastelite Louvers - 918108 - Paintable</t>
  </si>
  <si>
    <t>BD-VRM-2025-0856</t>
  </si>
  <si>
    <t>Euro Pratik - Pastelite Louvers - 918110 - Textured</t>
  </si>
  <si>
    <t>BD-VRM-2025-0861</t>
  </si>
  <si>
    <t>Euro Pratik - Pastelite Louvers - 918114 - Paintable</t>
  </si>
  <si>
    <t>BD-VRM-2025-0872</t>
  </si>
  <si>
    <t>Euro Pratik - Pastelite Louvers - 919102 - Textured</t>
  </si>
  <si>
    <t>BD-VRM-2025-0874</t>
  </si>
  <si>
    <t>Euro Pratik - Pastelite Louvers - 919104 - Textured</t>
  </si>
  <si>
    <t>BD-VRM-2024-3166</t>
  </si>
  <si>
    <t>Flava Louvers - Luxury - TL CL 4206 9.5ft X 8 inch</t>
  </si>
  <si>
    <t>Flava</t>
  </si>
  <si>
    <t>BD-VRM-2024-3165</t>
  </si>
  <si>
    <t>Flava Louvers - Luxury - TL CL 4208 9.5ft X 8 inch</t>
  </si>
  <si>
    <t>BD-VRM-2024-3163</t>
  </si>
  <si>
    <t>Flava Louvers - Luxury - TL CL 4211 9.5ft X 8 inch</t>
  </si>
  <si>
    <t>BD-VRM-2024-3162</t>
  </si>
  <si>
    <t>Flava Louvers - Luxury - TL CL 4212 9.5ft X 8 inch</t>
  </si>
  <si>
    <t>BD-VRM-2024-3161</t>
  </si>
  <si>
    <t>Flava Louvers - Luxury - TL CL 4213 9.5ft X 8 inch</t>
  </si>
  <si>
    <t>BD-VRM-2024-3159</t>
  </si>
  <si>
    <t>Flava Louvers - Luxury - TL CL 4215  9.5ft X 8 inch</t>
  </si>
  <si>
    <t>BD-VRM-2024-3158</t>
  </si>
  <si>
    <t>Flava Louvers - Luxury - TL CL 4216 9.5ft X 8 inch</t>
  </si>
  <si>
    <t>BD-VRM-2024-3157</t>
  </si>
  <si>
    <t>Flava Louvers - Luxury - TL CL 4217 9.5ft X 8 inch</t>
  </si>
  <si>
    <t>BD-VRM-2024-3156</t>
  </si>
  <si>
    <t>Flava Louvers - Luxury - TL CL 4218 9.5ft X 8 inch</t>
  </si>
  <si>
    <t>BD-VRM-2024-3155</t>
  </si>
  <si>
    <t>Flava Louvers - Luxury - TL CL 4219 9.5ft X 8 inch</t>
  </si>
  <si>
    <t>BD-VRM-2024-3142</t>
  </si>
  <si>
    <t>Flava Louvers - Preminum - TL FL 2002 - 9.5ftx6in</t>
  </si>
  <si>
    <t>BD-VRM-2024-3137</t>
  </si>
  <si>
    <t>Flava Louvers - Preminum - TL FL 2003 - 9.5ftx6in</t>
  </si>
  <si>
    <t>BD-VRM-2024-3135</t>
  </si>
  <si>
    <t>Flava Louvers - Preminum - TL FL 2004 - 9.5ftx6in</t>
  </si>
  <si>
    <t>BD-VRM-2024-3132</t>
  </si>
  <si>
    <t>Flava Louvers - Preminum - TL FL 2005 - 9.5ftx6in</t>
  </si>
  <si>
    <t>BD-VRM-2024-3139</t>
  </si>
  <si>
    <t>Flava Louvers - Preminum - TL FL 2006 - 9.5ftx6in</t>
  </si>
  <si>
    <t>BD-VRM-2024-3136</t>
  </si>
  <si>
    <t>Flava Louvers - Preminum - TL FL 2007 - 9.5ftx6in</t>
  </si>
  <si>
    <t>BD-VRM-2024-3134</t>
  </si>
  <si>
    <t>Flava Louvers - Preminum - TL FL 2009 - 9.5ftx6in</t>
  </si>
  <si>
    <t>BD-VRM-2024-3153</t>
  </si>
  <si>
    <t>Flava Louvers - Preminum - TL FL 2024 - 9.5ftx6in</t>
  </si>
  <si>
    <t>BD-VRM-2024-3152</t>
  </si>
  <si>
    <t>Flava Louvers - Preminum - TL FL 2025 - 9.5ftx6in</t>
  </si>
  <si>
    <t>BD-VRM-2024-3120</t>
  </si>
  <si>
    <t>Flava Louvers - Preminum - TL FL 3001 - 9.5ftx6in</t>
  </si>
  <si>
    <t>BD-VRM-2024-3119</t>
  </si>
  <si>
    <t>Flava Louvers - Preminum - TL FL 3002 - 9.5ftx6in</t>
  </si>
  <si>
    <t>BD-VRM-2024-3117</t>
  </si>
  <si>
    <t>Flava Louvers - Preminum - TL FL 3003 - 9.5ftx6in</t>
  </si>
  <si>
    <t>BD-VRM-2024-3118</t>
  </si>
  <si>
    <t>Flava Louvers - Preminum - TL FL 3004 - 9.5ftx6in</t>
  </si>
  <si>
    <t>BD-VRM-2024-3116</t>
  </si>
  <si>
    <t>Flava Louvers - Preminum - TL FL 3005 - 9.5ftx6in</t>
  </si>
  <si>
    <t>BD-VRM-2024-3141</t>
  </si>
  <si>
    <t>Flava Louvers - Preminum - TL FL 3006  - 9.5ftx6in</t>
  </si>
  <si>
    <t>BD-VRM-2024-3114</t>
  </si>
  <si>
    <t>Flava Louvers - Preminum - TL FL 3008 - 9.5ftx6in</t>
  </si>
  <si>
    <t>BD-VRM-2024-3113</t>
  </si>
  <si>
    <t>Flava Louvers - Preminum - TL FL 3009 - 9.5ftx6in</t>
  </si>
  <si>
    <t>BD-VRM-2024-3112</t>
  </si>
  <si>
    <t>Flava Louvers - Preminum - TL FL 3011 - 9.5ftx6in</t>
  </si>
  <si>
    <t>BD-VRM-2024-3111</t>
  </si>
  <si>
    <t>Flava Louvers - Preminum - TL FL 3012 - 9.5ftx6in</t>
  </si>
  <si>
    <t>BD-VRM-2024-3115</t>
  </si>
  <si>
    <t>Flava Louvers - Preminum - TL FL 3015 - 9.5ftx6in</t>
  </si>
  <si>
    <t>BD-VRM-2024-3140</t>
  </si>
  <si>
    <t>Flava Louvers - Preminum - TL FL 3016 - 9.5ftx6in</t>
  </si>
  <si>
    <t>BD-VRM-2024-3138</t>
  </si>
  <si>
    <t>Flava Louvers - Preminum - TL FL 3017 - 9.5ftx6in</t>
  </si>
  <si>
    <t>BD-VRM-2024-3128</t>
  </si>
  <si>
    <t>Flava Louvers - Preminum - TL FL 6101 - 9.5ftx6in</t>
  </si>
  <si>
    <t>BD-VRM-2024-3127</t>
  </si>
  <si>
    <t>Flava Louvers - Preminum - TL FL 6102 - 9.5ftx6in</t>
  </si>
  <si>
    <t>BD-VRM-2024-3124</t>
  </si>
  <si>
    <t>Flava Louvers - Preminum - TL FL 6103 - 9.5ftx6in</t>
  </si>
  <si>
    <t>BD-VRM-2024-3125</t>
  </si>
  <si>
    <t>Flava Louvers - Preminum - TL FL 6104 - 9.5ftx6in</t>
  </si>
  <si>
    <t>BD-VRM-2024-3123</t>
  </si>
  <si>
    <t>Flava Louvers - Preminum - TL FL 6105 - 9.5ftx6in</t>
  </si>
  <si>
    <t>BD-VRM-2024-3122</t>
  </si>
  <si>
    <t>Flava Louvers - Preminum - TL FL 6107 - 9.5ftx6in</t>
  </si>
  <si>
    <t>BD-VRM-2024-3121</t>
  </si>
  <si>
    <t>Flava Louvers - Preminum - TL FL 6109 - 9.5ftx6in</t>
  </si>
  <si>
    <t>BD-VRM-2024-3129</t>
  </si>
  <si>
    <t>Flava Louvers - Preminum - TL FL 6110 - 9.5ftx6in</t>
  </si>
  <si>
    <t>BD-VRM-2024-3126</t>
  </si>
  <si>
    <t>Flava Louvers - Preminum - TL FL 6111 - 9.5ftx6in</t>
  </si>
  <si>
    <t>BD-VRM-2024-3133</t>
  </si>
  <si>
    <t>Flava Louvers - Preminum - TL FL 6112 - 9.5ftx6in</t>
  </si>
  <si>
    <t>BD-VRM-2024-3131</t>
  </si>
  <si>
    <t>Flava Louvers - Preminum - TL FL 6113 - 9.5ftx6in</t>
  </si>
  <si>
    <t>BD-VRM-2024-3130</t>
  </si>
  <si>
    <t>Flava Louvers - Preminum - TL FL 6114  - 9.5ftx6in</t>
  </si>
  <si>
    <t>BD-VRM-2024-3145</t>
  </si>
  <si>
    <t>Flava Louvers - Preminum - TL FL 6117 - 9.5ftx6in</t>
  </si>
  <si>
    <t>BD-VRM-2024-3143</t>
  </si>
  <si>
    <t>Flava Louvers - Preminum - TL FL 6118 - 9.5ftx6in</t>
  </si>
  <si>
    <t>BD-VRM-2024-3144</t>
  </si>
  <si>
    <t>Flava Louvers - Preminum - TL FL 6119 - 9.5ftx6in</t>
  </si>
  <si>
    <t>BD-VRM-2024-3151</t>
  </si>
  <si>
    <t>Flava Louvers - Preminum - TL FL 6123 - 9.5ftx6in</t>
  </si>
  <si>
    <t>BD-VRM-2024-3150</t>
  </si>
  <si>
    <t>Flava Louvers - Preminum - TL FL 6125 - 9.5ftx6in</t>
  </si>
  <si>
    <t>BD-VRM-2024-3146</t>
  </si>
  <si>
    <t>Flava Louvers - Preminum - TL FL 6126 - 9.5ftx6in</t>
  </si>
  <si>
    <t>BD-VRM-2024-3147</t>
  </si>
  <si>
    <t>Flava Louvers - Preminum - TL FL 6127 - 9.5ftx6in</t>
  </si>
  <si>
    <t>BD-VRM-2024-3148</t>
  </si>
  <si>
    <t>Flava Louvers - Preminum - TL FL 6128 - 9.5ftx6in</t>
  </si>
  <si>
    <t>BD-VRM-2024-3149</t>
  </si>
  <si>
    <t>Flava Louvers - Preminum - TL FL 6129 - 9.5ftx6in</t>
  </si>
  <si>
    <t>BD-VRM-2024-3090</t>
  </si>
  <si>
    <t>Flava Louvers - Standard - TL WL 1601 9.5ft X 120mm</t>
  </si>
  <si>
    <t>BD-VRM-2024-3092</t>
  </si>
  <si>
    <t>Flava Louvers - Standard - TL WL 1603 9.5ft X 120mm</t>
  </si>
  <si>
    <t>BD-VRM-2024-3093</t>
  </si>
  <si>
    <t>Flava Louvers - Standard - TL WL 1604 9.5ft X 120mm</t>
  </si>
  <si>
    <t>BD-VRM-2024-3094</t>
  </si>
  <si>
    <t>Flava Louvers - Standard - TL WL 1605 9.5ft X 120mm</t>
  </si>
  <si>
    <t>BD-VRM-2024-3095</t>
  </si>
  <si>
    <t>Flava Louvers - Standard - TL WL 1606 9.5ft X 120mm</t>
  </si>
  <si>
    <t>BD-VRM-2024-3088</t>
  </si>
  <si>
    <t>Flava Louvers - Standard - TL WL 1607 9.5ft X 120mm</t>
  </si>
  <si>
    <t>BD-VRM-2024-3086</t>
  </si>
  <si>
    <t>Flava Louvers - Standard - TL WL 1609  9.5ft X 120mm</t>
  </si>
  <si>
    <t>BD-VRM-2024-3082</t>
  </si>
  <si>
    <t>Flava Louvers - Standard - TL WL 1613 9.5ft X 120mm</t>
  </si>
  <si>
    <t>BD-VRM-2024-3083</t>
  </si>
  <si>
    <t>Flava Louvers - Standard - TL WL 1614 9.5ft X 120mm</t>
  </si>
  <si>
    <t>BD-VRM-2024-3084</t>
  </si>
  <si>
    <t>Flava Louvers - Standard - TL WL 1615 9.5ft X 120mm</t>
  </si>
  <si>
    <t>BD-VRM-2024-3085</t>
  </si>
  <si>
    <t>Flava Louvers - Standard - TL WL 1616 9.5ft X 120mm</t>
  </si>
  <si>
    <t>BD-VRM-2024-3076</t>
  </si>
  <si>
    <t>Flava Louvers - Standard - TL WL 1622 9.5ft X 120mm</t>
  </si>
  <si>
    <t>BD-VRM-2024-3074</t>
  </si>
  <si>
    <t>Flava Louvers - Standard - TL WL 1624 9.5ft X 120mm</t>
  </si>
  <si>
    <t>BD-VRM-2024-3072</t>
  </si>
  <si>
    <t>Flava Louvers - Standard - TL WL 1632  9.5ft X 120mm</t>
  </si>
  <si>
    <t>BD-VRM-2024-3096</t>
  </si>
  <si>
    <t>Flava Louvers - Standard - TL WL 1634 9.5ft X 120mm</t>
  </si>
  <si>
    <t>BD-VRM-2024-3097</t>
  </si>
  <si>
    <t>Flava Louvers - Standard - TL WL 1635 9.5ft X 120mm</t>
  </si>
  <si>
    <t>BD-VRM-2024-3098</t>
  </si>
  <si>
    <t>Flava Louvers - Standard - TL WL 1636 9.5ft X 120mm</t>
  </si>
  <si>
    <t>BD-VRM-2024-3099</t>
  </si>
  <si>
    <t>Flava Louvers - Standard - TL WL 1637 9.5ft X 120mm</t>
  </si>
  <si>
    <t>BD-VRM-2024-3100</t>
  </si>
  <si>
    <t>Flava Louvers - Standard - TL WL 1638 9.5ft X 120mm</t>
  </si>
  <si>
    <t>BD-VRM-2024-3101</t>
  </si>
  <si>
    <t>Flava Louvers - Standard - TL WL 1639 9.5ft X 120mm</t>
  </si>
  <si>
    <t>BD-VRM-2024-3102</t>
  </si>
  <si>
    <t>Flava Louvers - Standard - TL WL 1643 9.5ft X 120mm</t>
  </si>
  <si>
    <t>BD-VRM-2024-3103</t>
  </si>
  <si>
    <t>Flava Louvers - Standard - TL WL 1644 9.5ft X 120mm</t>
  </si>
  <si>
    <t>BD-VRM-2024-3064</t>
  </si>
  <si>
    <t>Flava Louvers - Standard - TL WL 1801 9.5ft X 120mm</t>
  </si>
  <si>
    <t>BD-VRM-2024-3065</t>
  </si>
  <si>
    <t>Flava Louvers - Standard - TL WL 1802 9.5ft X 120mm</t>
  </si>
  <si>
    <t>BD-VRM-2024-3067</t>
  </si>
  <si>
    <t>Flava Louvers - Standard - TL WL 1804 9.5ft X 120mm</t>
  </si>
  <si>
    <t>BD-VRM-2024-3068</t>
  </si>
  <si>
    <t>Flava Louvers - Standard - TL WL 1805 9.5ft X 120mm</t>
  </si>
  <si>
    <t>BD-VRM-2024-3070</t>
  </si>
  <si>
    <t>Flava Louvers - Standard - TL WL 1807 9.5ft X 120mm</t>
  </si>
  <si>
    <t>BD-VRM-2024-3071</t>
  </si>
  <si>
    <t>Flava Louvers - Standard - TL WL 1808 9.5ft X 120mm</t>
  </si>
  <si>
    <t>BD-VRM-2024-3057</t>
  </si>
  <si>
    <t>Flava Louvers - Standard - TL WL 1809  9.5ft X 120mm</t>
  </si>
  <si>
    <t>BD-VRM-2024-3058</t>
  </si>
  <si>
    <t>Flava Louvers - Standard - TL WL 1810 9.5ft X 120mm</t>
  </si>
  <si>
    <t>BD-VRM-2024-3059</t>
  </si>
  <si>
    <t>Flava Louvers - Standard - TL WL 1811 9.5ft X 120mm</t>
  </si>
  <si>
    <t>BD-VRM-2024-3060</t>
  </si>
  <si>
    <t>Flava Louvers - Standard - TL WL 1812 9.5ft X 120mm</t>
  </si>
  <si>
    <t>BD-VRM-2024-3061</t>
  </si>
  <si>
    <t>Flava Louvers - Standard - TL WL 1813 9.5ft X 120mm</t>
  </si>
  <si>
    <t>BD-VRM-2024-3063</t>
  </si>
  <si>
    <t>Flava Louvers - Standard - TL WL 1815 9.5ft X 120mm</t>
  </si>
  <si>
    <t>BD-VRM-2024-3048</t>
  </si>
  <si>
    <t>Flava Louvers - Standard - TL WL 1816 9.5ft X 120mm</t>
  </si>
  <si>
    <t>BD-VRM-2024-3049</t>
  </si>
  <si>
    <t>Flava Louvers - Standard - TL WL 1817 9.5ft X 120mm</t>
  </si>
  <si>
    <t>BD-VRM-2024-3050</t>
  </si>
  <si>
    <t>Flava Louvers - Standard - TL WL 1818 9.5ft X 120mm</t>
  </si>
  <si>
    <t>BD-VRM-2024-3051</t>
  </si>
  <si>
    <t>Flava Louvers - Standard - TL WL 1819 9.5ft X 120mm</t>
  </si>
  <si>
    <t>BD-VRM-2024-3055</t>
  </si>
  <si>
    <t>Flava Louvers - Standard - TL WL 1823 9.5ft X 120mm</t>
  </si>
  <si>
    <t>BD-VRM-2024-3106</t>
  </si>
  <si>
    <t>Flava Louvers - Standard - TL WL 3406 9.5ft X 120mm</t>
  </si>
  <si>
    <t>BD-VRM-2024-3109</t>
  </si>
  <si>
    <t>Flava Louvers - Standard - TL WL 3414 9.5ft X 120mm</t>
  </si>
  <si>
    <t>BD-VRM-2024-3110</t>
  </si>
  <si>
    <t>Flava Louvers - Standard - TL WL 3416 9.5ft X 120mm</t>
  </si>
  <si>
    <t>BD-VRM-2024-3045</t>
  </si>
  <si>
    <t>Flava Rafter - Standard - FL PB 9612 9.5ftx120mm</t>
  </si>
  <si>
    <t>BD-VRM-2024-3031</t>
  </si>
  <si>
    <t>Flava Rafter - Standard - FL PB 9615 9.5ftx120mm</t>
  </si>
  <si>
    <t>BD-VRM-2024-3030</t>
  </si>
  <si>
    <t>Flava Rafter - Standard - FL PB 9616 9.5ftx120mm</t>
  </si>
  <si>
    <t>BD-VRM-2024-3044</t>
  </si>
  <si>
    <t>Flava Rafter - Standard - FL PB 9617 9.5ftx120mm</t>
  </si>
  <si>
    <t>BD-VRM-2024-3027</t>
  </si>
  <si>
    <t>Flava Rafter - Standard - FL PB 9619 9.5ftx120mm</t>
  </si>
  <si>
    <t>BD-VRM-2024-3026</t>
  </si>
  <si>
    <t>Flava Rafter - Standard - FL PB 9620 9.5ftx120mm</t>
  </si>
  <si>
    <t>BD-VRM-2024-3034</t>
  </si>
  <si>
    <t>Flava Rafter - Standard - FL PB 9625 9.5ftx120mm</t>
  </si>
  <si>
    <t>BD-VRM-2024-3035</t>
  </si>
  <si>
    <t>Flava Rafter - Standard - FL PB 9627 9.5ftx120mm</t>
  </si>
  <si>
    <t>BD-VRM-2024-3036</t>
  </si>
  <si>
    <t>Flava Rafter - Standard - FL PB 9628 9.5ftx120mm</t>
  </si>
  <si>
    <t>BD-VRM-2024-3032</t>
  </si>
  <si>
    <t>Flava Rafter - Standard - FL PB 9629 9.5ftx120mm</t>
  </si>
  <si>
    <t>BD-VRM-2024-3033</t>
  </si>
  <si>
    <t>Flava Rafter - Standard - FL PB 9630 9.5ftx120mm</t>
  </si>
  <si>
    <t>BD-VRM-2024-3040</t>
  </si>
  <si>
    <t>Flava Rafter - Standard - FL PB 9631 9.5ftx120mm</t>
  </si>
  <si>
    <t>BD-VRM-2024-3029</t>
  </si>
  <si>
    <t>Flava Rafter - Standard - FL PB 9632 9.5ftx120mm</t>
  </si>
  <si>
    <t>BD-VRM-2024-3046</t>
  </si>
  <si>
    <t>Flava Rafter - Standard - FL PB 9633 9.5ftx120mm</t>
  </si>
  <si>
    <t>BD-VRM-2024-3047</t>
  </si>
  <si>
    <t>Flava Rafter - Standard - FL PB 9634 9.5ftx120mm</t>
  </si>
  <si>
    <t>BD-VRM-2024-3041</t>
  </si>
  <si>
    <t>Flava Rafter - Standard - FL PB 9635 9.5ftx120mm</t>
  </si>
  <si>
    <t>BD-VRM-2024-3028</t>
  </si>
  <si>
    <t>Flava Rafter - Standard - FL PB 9637 9.5ftx120mm</t>
  </si>
  <si>
    <t>BD-VRM-2024-3037</t>
  </si>
  <si>
    <t>Flava Rafter - Standard - FL PB 9638 9.5ftx120mm</t>
  </si>
  <si>
    <t>BD-VRM-2024-3042</t>
  </si>
  <si>
    <t>Flava Rafter - Standard - FL PB 9639 9.5ftx120mm</t>
  </si>
  <si>
    <t>BD-VRM-2024-3038</t>
  </si>
  <si>
    <t>Flava Rafter - Standard - FL PB 9640 9.5ftx120mm</t>
  </si>
  <si>
    <t>📋  HRBR EC  —  WALLPAPER  |  Multi-Round Audit Tracker</t>
  </si>
  <si>
    <t>BD-VRM-2026-0079</t>
  </si>
  <si>
    <t>Excel  - Essen Wallpaper 71051-1</t>
  </si>
  <si>
    <t>Excel</t>
  </si>
  <si>
    <t>BD-VRM-2026-0080</t>
  </si>
  <si>
    <t>Excel  - Essen Wallpaper 71051-2</t>
  </si>
  <si>
    <t>BD-VRM-2026-0081</t>
  </si>
  <si>
    <t>Excel  - Essen Wallpaper 71051-3</t>
  </si>
  <si>
    <t>BD-VRM-2026-0082</t>
  </si>
  <si>
    <t>Excel  - Essen Wallpaper 71051-4</t>
  </si>
  <si>
    <t>BD-VRM-2026-0089</t>
  </si>
  <si>
    <t>Excel  - Essen Wallpaper 71052-1</t>
  </si>
  <si>
    <t>BD-VRM-2026-0090</t>
  </si>
  <si>
    <t>Excel  - Essen Wallpaper 71052-2</t>
  </si>
  <si>
    <t>BD-VRM-2026-0091</t>
  </si>
  <si>
    <t>Excel  - Essen Wallpaper 71052-3</t>
  </si>
  <si>
    <t>BD-VRM-2026-0092</t>
  </si>
  <si>
    <t>Excel  - Essen Wallpaper 71052-4</t>
  </si>
  <si>
    <t>BD-VRM-2026-0093</t>
  </si>
  <si>
    <t>Excel  - Essen Wallpaper 71052-5</t>
  </si>
  <si>
    <t>BD-VRM-2026-0083</t>
  </si>
  <si>
    <t>Excel  - Essen Wallpaper 71053-1</t>
  </si>
  <si>
    <t>BD-VRM-2026-0084</t>
  </si>
  <si>
    <t>Excel  - Essen Wallpaper 71053-2</t>
  </si>
  <si>
    <t>BD-VRM-2026-0110</t>
  </si>
  <si>
    <t>Excel  - Essen Wallpaper 71054-1</t>
  </si>
  <si>
    <t>BD-VRM-2026-0111</t>
  </si>
  <si>
    <t>Excel  - Essen Wallpaper 71054-2</t>
  </si>
  <si>
    <t>BD-VRM-2026-0112</t>
  </si>
  <si>
    <t>Excel  - Essen Wallpaper 71054-3</t>
  </si>
  <si>
    <t>BD-VRM-2026-0113</t>
  </si>
  <si>
    <t>Excel  - Essen Wallpaper 71054-4</t>
  </si>
  <si>
    <t>BD-VRM-2026-0114</t>
  </si>
  <si>
    <t>Excel  - Essen Wallpaper 71054-5</t>
  </si>
  <si>
    <t>BD-VRM-2026-0115</t>
  </si>
  <si>
    <t>Excel  - Essen Wallpaper 71054-6</t>
  </si>
  <si>
    <t>BD-VRM-2026-0123</t>
  </si>
  <si>
    <t>Excel  - Essen Wallpaper 71055-1</t>
  </si>
  <si>
    <t>BD-VRM-2026-0124</t>
  </si>
  <si>
    <t>Excel  - Essen Wallpaper 71055-2</t>
  </si>
  <si>
    <t>BD-VRM-2026-0125</t>
  </si>
  <si>
    <t>Excel  - Essen Wallpaper 71055-3</t>
  </si>
  <si>
    <t>BD-VRM-2026-0126</t>
  </si>
  <si>
    <t>Excel  - Essen Wallpaper 71055-4</t>
  </si>
  <si>
    <t>BD-VRM-2026-0127</t>
  </si>
  <si>
    <t>Excel  - Essen Wallpaper 71055-5</t>
  </si>
  <si>
    <t>BD-VRM-2026-0128</t>
  </si>
  <si>
    <t>Excel  - Essen Wallpaper 71055-6</t>
  </si>
  <si>
    <t>BD-VRM-2026-0129</t>
  </si>
  <si>
    <t>Excel  - Essen Wallpaper 71055-7</t>
  </si>
  <si>
    <t>BD-VRM-2026-0102</t>
  </si>
  <si>
    <t>Excel  - Essen Wallpaper 71056-1</t>
  </si>
  <si>
    <t>BD-VRM-2026-0103</t>
  </si>
  <si>
    <t>Excel  - Essen Wallpaper 71056-2</t>
  </si>
  <si>
    <t>BD-VRM-2026-0104</t>
  </si>
  <si>
    <t>Excel  - Essen Wallpaper 71056-3</t>
  </si>
  <si>
    <t>BD-VRM-2026-0105</t>
  </si>
  <si>
    <t>Excel  - Essen Wallpaper 71057-1</t>
  </si>
  <si>
    <t>BD-VRM-2026-0106</t>
  </si>
  <si>
    <t>Excel  - Essen Wallpaper 71057-2</t>
  </si>
  <si>
    <t>BD-VRM-2026-0107</t>
  </si>
  <si>
    <t>Excel  - Essen Wallpaper 71057-3</t>
  </si>
  <si>
    <t>BD-VRM-2026-0108</t>
  </si>
  <si>
    <t>Excel  - Essen Wallpaper 71057-4</t>
  </si>
  <si>
    <t>BD-VRM-2026-0109</t>
  </si>
  <si>
    <t>Excel  - Essen Wallpaper 71057-5</t>
  </si>
  <si>
    <t>BD-VRM-2026-0116</t>
  </si>
  <si>
    <t>Excel  - Essen Wallpaper 71058-1</t>
  </si>
  <si>
    <t>BD-VRM-2026-0117</t>
  </si>
  <si>
    <t>Excel  - Essen Wallpaper 71058-2</t>
  </si>
  <si>
    <t>BD-VRM-2026-0118</t>
  </si>
  <si>
    <t>Excel  - Essen Wallpaper 71058-3</t>
  </si>
  <si>
    <t>BD-VRM-2026-0119</t>
  </si>
  <si>
    <t>Excel  - Essen Wallpaper 71058-4</t>
  </si>
  <si>
    <t>BD-VRM-2026-0120</t>
  </si>
  <si>
    <t>Excel  - Essen Wallpaper 71059-1</t>
  </si>
  <si>
    <t>BD-VRM-2026-0121</t>
  </si>
  <si>
    <t>Excel  - Essen Wallpaper 71059-2</t>
  </si>
  <si>
    <t>BD-VRM-2026-0122</t>
  </si>
  <si>
    <t>Excel  - Essen Wallpaper 71059-3</t>
  </si>
  <si>
    <t>BD-VRM-2026-0085</t>
  </si>
  <si>
    <t>Excel  - Essen Wallpaper 71060-1</t>
  </si>
  <si>
    <t>BD-VRM-2026-0086</t>
  </si>
  <si>
    <t>Excel  - Essen Wallpaper 71060-2</t>
  </si>
  <si>
    <t>BD-VRM-2026-0087</t>
  </si>
  <si>
    <t>Excel  - Essen Wallpaper 71060-3</t>
  </si>
  <si>
    <t>BD-VRM-2026-0088</t>
  </si>
  <si>
    <t>Excel  - Essen Wallpaper 71060-4</t>
  </si>
  <si>
    <t>BD-VRM-2026-0094</t>
  </si>
  <si>
    <t>Excel  - Essen Wallpaper 71061-1</t>
  </si>
  <si>
    <t>BD-VRM-2026-0095</t>
  </si>
  <si>
    <t>Excel  - Essen Wallpaper 71061-2</t>
  </si>
  <si>
    <t>BD-VRM-2026-0096</t>
  </si>
  <si>
    <t>Excel  - Essen Wallpaper 71061-3</t>
  </si>
  <si>
    <t>BD-VRM-2026-0097</t>
  </si>
  <si>
    <t>Excel  - Essen Wallpaper 71061-4</t>
  </si>
  <si>
    <t>BD-VRM-2026-0098</t>
  </si>
  <si>
    <t>Excel  - Essen Wallpaper 71062-1</t>
  </si>
  <si>
    <t>BD-VRM-2026-0099</t>
  </si>
  <si>
    <t>Excel  - Essen Wallpaper 71062-2</t>
  </si>
  <si>
    <t>BD-VRM-2026-0100</t>
  </si>
  <si>
    <t>Excel  - Essen Wallpaper 71062-3</t>
  </si>
  <si>
    <t>BD-VRM-2026-0101</t>
  </si>
  <si>
    <t>Excel  - Essen Wallpaper 71062-4</t>
  </si>
  <si>
    <t>BD-VRM-2026-0134</t>
  </si>
  <si>
    <t>Excel  - Essen Wallpaper 71063-1</t>
  </si>
  <si>
    <t>BD-VRM-2026-0135</t>
  </si>
  <si>
    <t>Excel  - Essen Wallpaper 71063-2</t>
  </si>
  <si>
    <t>BD-VRM-2026-0136</t>
  </si>
  <si>
    <t>Excel  - Essen Wallpaper 71063-3</t>
  </si>
  <si>
    <t>BD-VRM-2026-0137</t>
  </si>
  <si>
    <t>Excel  - Essen Wallpaper 71063-4</t>
  </si>
  <si>
    <t>BD-VRM-2026-0130</t>
  </si>
  <si>
    <t>Excel  - Essen Wallpaper 71064-1</t>
  </si>
  <si>
    <t>BD-VRM-2026-0131</t>
  </si>
  <si>
    <t>Excel  - Essen Wallpaper 71064-2</t>
  </si>
  <si>
    <t>BD-VRM-2026-0132</t>
  </si>
  <si>
    <t>Excel  - Essen Wallpaper 71064-3</t>
  </si>
  <si>
    <t>BD-VRM-2026-0133</t>
  </si>
  <si>
    <t>Excel  - Essen Wallpaper 71064-4</t>
  </si>
  <si>
    <t>BD-VRM-2026-0337</t>
  </si>
  <si>
    <t>Excel  - Hot Spots  Wallpaper 36720-1</t>
  </si>
  <si>
    <t>BD-VRM-2026-0338</t>
  </si>
  <si>
    <t>Excel  - Hot Spots  Wallpaper 36720-2</t>
  </si>
  <si>
    <t>BD-VRM-2026-0339</t>
  </si>
  <si>
    <t>Excel  - Hot Spots  Wallpaper 36720-3</t>
  </si>
  <si>
    <t>BD-VRM-2026-0340</t>
  </si>
  <si>
    <t>Excel  - Hot Spots  Wallpaper 36720-4</t>
  </si>
  <si>
    <t>BD-VRM-2026-0341</t>
  </si>
  <si>
    <t>Excel  - Hot Spots  Wallpaper 36720-6</t>
  </si>
  <si>
    <t>BD-VRM-2026-0342</t>
  </si>
  <si>
    <t>Excel  - Hot Spots  Wallpaper 36720-7</t>
  </si>
  <si>
    <t>BD-VRM-2026-0343</t>
  </si>
  <si>
    <t>Excel  - Hot Spots  Wallpaper 36721-4</t>
  </si>
  <si>
    <t>BD-VRM-2026-0344</t>
  </si>
  <si>
    <t>Excel  - Hot Spots  Wallpaper 36721-5</t>
  </si>
  <si>
    <t>BD-VRM-2026-0345</t>
  </si>
  <si>
    <t>Excel  - Hot Spots  Wallpaper 36721-6</t>
  </si>
  <si>
    <t>BD-VRM-2026-0346</t>
  </si>
  <si>
    <t>Excel  - Hot Spots  Wallpaper 36721-7</t>
  </si>
  <si>
    <t>BD-VRM-2026-0369</t>
  </si>
  <si>
    <t>Excel  - Hot Spots  Wallpaper 36924-1</t>
  </si>
  <si>
    <t>BD-VRM-2026-0370</t>
  </si>
  <si>
    <t>Excel  - Hot Spots  Wallpaper 36924-2</t>
  </si>
  <si>
    <t>BD-VRM-2026-0371</t>
  </si>
  <si>
    <t>Excel  - Hot Spots  Wallpaper 36924-3</t>
  </si>
  <si>
    <t>BD-VRM-2026-0372</t>
  </si>
  <si>
    <t>Excel  - Hot Spots  Wallpaper 36924-4</t>
  </si>
  <si>
    <t>BD-VRM-2026-0373</t>
  </si>
  <si>
    <t>Excel  - Hot Spots  Wallpaper 36924-5</t>
  </si>
  <si>
    <t>BD-VRM-2026-0374</t>
  </si>
  <si>
    <t>Excel  - Hot Spots  Wallpaper 36924-6</t>
  </si>
  <si>
    <t>BD-VRM-2026-0375</t>
  </si>
  <si>
    <t>Excel  - Hot Spots  Wallpaper 36924-7</t>
  </si>
  <si>
    <t>BD-VRM-2026-0376</t>
  </si>
  <si>
    <t>Excel  - Hot Spots  Wallpaper 36924-8</t>
  </si>
  <si>
    <t>BD-VRM-2026-0377</t>
  </si>
  <si>
    <t>Excel  - Hot Spots  Wallpaper 36924-9</t>
  </si>
  <si>
    <t>BD-VRM-2026-0347</t>
  </si>
  <si>
    <t>Excel  - Hot Spots  Wallpaper 39565-2</t>
  </si>
  <si>
    <t>BD-VRM-2026-0348</t>
  </si>
  <si>
    <t>Excel  - Hot Spots  Wallpaper 39565-3</t>
  </si>
  <si>
    <t>BD-VRM-2026-0349</t>
  </si>
  <si>
    <t>Excel  - Hot Spots  Wallpaper 39565-4</t>
  </si>
  <si>
    <t>BD-VRM-2026-0350</t>
  </si>
  <si>
    <t>Excel  - Hot Spots  Wallpaper 39565-5</t>
  </si>
  <si>
    <t>BD-VRM-2026-0351</t>
  </si>
  <si>
    <t>Excel  - Hot Spots  Wallpaper 39565-6</t>
  </si>
  <si>
    <t>BD-VRM-2026-0352</t>
  </si>
  <si>
    <t>Excel  - Hot Spots  Wallpaper 39565-7</t>
  </si>
  <si>
    <t>BD-VRM-2026-0353</t>
  </si>
  <si>
    <t>Excel  - Hot Spots  Wallpaper 39565-8</t>
  </si>
  <si>
    <t>BD-VRM-2026-0354</t>
  </si>
  <si>
    <t>Excel  - Hot Spots  Wallpaper 39565-9</t>
  </si>
  <si>
    <t>BD-VRM-2026-0355</t>
  </si>
  <si>
    <t>Excel  - Hot Spots  Wallpaper 39566-1</t>
  </si>
  <si>
    <t>BD-VRM-2026-0356</t>
  </si>
  <si>
    <t>Excel  - Hot Spots  Wallpaper 39566-3</t>
  </si>
  <si>
    <t>BD-VRM-2026-0357</t>
  </si>
  <si>
    <t>Excel  - Hot Spots  Wallpaper 39566-5</t>
  </si>
  <si>
    <t>BD-VRM-2026-0358</t>
  </si>
  <si>
    <t>Excel  - Hot Spots  Wallpaper 39566-6</t>
  </si>
  <si>
    <t>BD-VRM-2026-0359</t>
  </si>
  <si>
    <t>Excel  - Hot Spots  Wallpaper 39566-7</t>
  </si>
  <si>
    <t>BD-VRM-2026-0360</t>
  </si>
  <si>
    <t>Excel  - Hot Spots  Wallpaper 39566-8</t>
  </si>
  <si>
    <t>BD-VRM-2026-0361</t>
  </si>
  <si>
    <t>Excel  - Hot Spots  Wallpaper 39566-9</t>
  </si>
  <si>
    <t>BD-VRM-2026-0362</t>
  </si>
  <si>
    <t>Excel  - Hot Spots  Wallpaper 39567-2</t>
  </si>
  <si>
    <t>BD-VRM-2026-0282</t>
  </si>
  <si>
    <t>Excel  - Hot Spots  Wallpaper 78198-1</t>
  </si>
  <si>
    <t>BD-VRM-2026-0283</t>
  </si>
  <si>
    <t>Excel  - Hot Spots  Wallpaper 78198-2</t>
  </si>
  <si>
    <t>BD-VRM-2026-0284</t>
  </si>
  <si>
    <t>Excel  - Hot Spots  Wallpaper 78198-3</t>
  </si>
  <si>
    <t>BD-VRM-2026-0285</t>
  </si>
  <si>
    <t>Excel  - Hot Spots  Wallpaper 78198-4</t>
  </si>
  <si>
    <t>BD-VRM-2026-0286</t>
  </si>
  <si>
    <t>Excel  - Hot Spots  Wallpaper 78198-5</t>
  </si>
  <si>
    <t>BD-VRM-2026-0287</t>
  </si>
  <si>
    <t>Excel  - Hot Spots  Wallpaper 78199-1</t>
  </si>
  <si>
    <t>BD-VRM-2026-0288</t>
  </si>
  <si>
    <t>Excel  - Hot Spots  Wallpaper 78199-2</t>
  </si>
  <si>
    <t>BD-VRM-2026-0289</t>
  </si>
  <si>
    <t>Excel  - Hot Spots  Wallpaper 78199-3</t>
  </si>
  <si>
    <t>BD-VRM-2026-0290</t>
  </si>
  <si>
    <t>Excel  - Hot Spots  Wallpaper 78199-4</t>
  </si>
  <si>
    <t>BD-VRM-2026-0291</t>
  </si>
  <si>
    <t>Excel  - Hot Spots  Wallpaper 78199-5</t>
  </si>
  <si>
    <t>BD-VRM-2026-0363</t>
  </si>
  <si>
    <t>Excel  - Hot Spots  Wallpaper 78203-1</t>
  </si>
  <si>
    <t>BD-VRM-2026-0364</t>
  </si>
  <si>
    <t>Excel  - Hot Spots  Wallpaper 78203-2</t>
  </si>
  <si>
    <t>BD-VRM-2026-0365</t>
  </si>
  <si>
    <t>Excel  - Hot Spots  Wallpaper 78203-3</t>
  </si>
  <si>
    <t>BD-VRM-2026-0366</t>
  </si>
  <si>
    <t>Excel  - Hot Spots  Wallpaper 78203-4</t>
  </si>
  <si>
    <t>BD-VRM-2026-0367</t>
  </si>
  <si>
    <t>Excel  - Hot Spots  Wallpaper 78203-5</t>
  </si>
  <si>
    <t>BD-VRM-2026-0368</t>
  </si>
  <si>
    <t>Excel  - Hot Spots  Wallpaper 78203-6</t>
  </si>
  <si>
    <t>BD-VRM-2026-0292</t>
  </si>
  <si>
    <t>Excel  - Hot Spots  Wallpaper 78204-1</t>
  </si>
  <si>
    <t>BD-VRM-2026-0293</t>
  </si>
  <si>
    <t>Excel  - Hot Spots  Wallpaper 78204-2</t>
  </si>
  <si>
    <t>BD-VRM-2026-0294</t>
  </si>
  <si>
    <t>Excel  - Hot Spots  Wallpaper 78204-3</t>
  </si>
  <si>
    <t>BD-VRM-2026-0295</t>
  </si>
  <si>
    <t>Excel  - Hot Spots  Wallpaper 78204-4</t>
  </si>
  <si>
    <t>BD-VRM-2026-0296</t>
  </si>
  <si>
    <t>Excel  - Hot Spots  Wallpaper 78204-5</t>
  </si>
  <si>
    <t>BD-VRM-2026-0297</t>
  </si>
  <si>
    <t>Excel  - Hot Spots  Wallpaper 78204-6</t>
  </si>
  <si>
    <t>BD-VRM-2026-0304</t>
  </si>
  <si>
    <t>Excel  - Hot Spots  Wallpaper 78227-1</t>
  </si>
  <si>
    <t>BD-VRM-2026-0305</t>
  </si>
  <si>
    <t>Excel  - Hot Spots  Wallpaper 78227-2</t>
  </si>
  <si>
    <t>BD-VRM-2026-0306</t>
  </si>
  <si>
    <t>Excel  - Hot Spots  Wallpaper 78227-3</t>
  </si>
  <si>
    <t>BD-VRM-2026-0307</t>
  </si>
  <si>
    <t>Excel  - Hot Spots  Wallpaper 78227-4</t>
  </si>
  <si>
    <t>BD-VRM-2026-0298</t>
  </si>
  <si>
    <t>Excel  - Hot Spots  Wallpaper 78629-1</t>
  </si>
  <si>
    <t>BD-VRM-2026-0299</t>
  </si>
  <si>
    <t>Excel  - Hot Spots  Wallpaper 78629-2</t>
  </si>
  <si>
    <t>BD-VRM-2026-0300</t>
  </si>
  <si>
    <t>Excel  - Hot Spots  Wallpaper 78629-3</t>
  </si>
  <si>
    <t>BD-VRM-2026-0301</t>
  </si>
  <si>
    <t>Excel  - Hot Spots  Wallpaper 78629-4</t>
  </si>
  <si>
    <t>BD-VRM-2026-0302</t>
  </si>
  <si>
    <t>Excel  - Hot Spots  Wallpaper 78629-5</t>
  </si>
  <si>
    <t>BD-VRM-2026-0303</t>
  </si>
  <si>
    <t>Excel  - Hot Spots  Wallpaper 78629-6</t>
  </si>
  <si>
    <t>BD-VRM-2026-0308</t>
  </si>
  <si>
    <t>Excel  - Hot Spots  Wallpaper 78655-1</t>
  </si>
  <si>
    <t>BD-VRM-2026-0309</t>
  </si>
  <si>
    <t>Excel  - Hot Spots  Wallpaper 78655-2</t>
  </si>
  <si>
    <t>BD-VRM-2026-0310</t>
  </si>
  <si>
    <t>Excel  - Hot Spots  Wallpaper 78655-3</t>
  </si>
  <si>
    <t>BD-VRM-2026-0311</t>
  </si>
  <si>
    <t>Excel  - Hot Spots  Wallpaper 78655-4</t>
  </si>
  <si>
    <t>BD-VRM-2026-0312</t>
  </si>
  <si>
    <t>Excel  - Hot Spots  Wallpaper 78655-5</t>
  </si>
  <si>
    <t>BD-VRM-2026-0313</t>
  </si>
  <si>
    <t>Excel  - Hot Spots  Wallpaper 78656-1</t>
  </si>
  <si>
    <t>BD-VRM-2026-0314</t>
  </si>
  <si>
    <t>Excel  - Hot Spots  Wallpaper 78656-2</t>
  </si>
  <si>
    <t>BD-VRM-2026-0315</t>
  </si>
  <si>
    <t>Excel  - Hot Spots  Wallpaper 78656-3</t>
  </si>
  <si>
    <t>BD-VRM-2026-0316</t>
  </si>
  <si>
    <t>Excel  - Hot Spots  Wallpaper 78656-4</t>
  </si>
  <si>
    <t>BD-VRM-2026-0317</t>
  </si>
  <si>
    <t>Excel  - Hot Spots  Wallpaper 78656-5</t>
  </si>
  <si>
    <t>BD-VRM-2026-0318</t>
  </si>
  <si>
    <t>Excel  - Hot Spots  Wallpaper 78656-6</t>
  </si>
  <si>
    <t>BD-VRM-2026-0319</t>
  </si>
  <si>
    <t>Excel  - Hot Spots  Wallpaper 78666-1</t>
  </si>
  <si>
    <t>BD-VRM-2026-0320</t>
  </si>
  <si>
    <t>Excel  - Hot Spots  Wallpaper 78666-2</t>
  </si>
  <si>
    <t>BD-VRM-2026-0321</t>
  </si>
  <si>
    <t>Excel  - Hot Spots  Wallpaper 78666-3</t>
  </si>
  <si>
    <t>BD-VRM-2026-0322</t>
  </si>
  <si>
    <t>Excel  - Hot Spots  Wallpaper 78666-4</t>
  </si>
  <si>
    <t>BD-VRM-2026-0323</t>
  </si>
  <si>
    <t>Excel  - Hot Spots  Wallpaper 78666-5</t>
  </si>
  <si>
    <t>BD-VRM-2026-0324</t>
  </si>
  <si>
    <t>Excel  - Hot Spots  Wallpaper 78666-6</t>
  </si>
  <si>
    <t>BD-VRM-2026-0325</t>
  </si>
  <si>
    <t>Excel  - Hot Spots  Wallpaper 78666-7</t>
  </si>
  <si>
    <t>BD-VRM-2026-0326</t>
  </si>
  <si>
    <t>Excel  - Hot Spots  Wallpaper 78672-1</t>
  </si>
  <si>
    <t>BD-VRM-2026-0327</t>
  </si>
  <si>
    <t>Excel  - Hot Spots  Wallpaper 78672-2</t>
  </si>
  <si>
    <t>BD-VRM-2026-0328</t>
  </si>
  <si>
    <t>Excel  - Hot Spots  Wallpaper 78672-3</t>
  </si>
  <si>
    <t>BD-VRM-2026-0329</t>
  </si>
  <si>
    <t>Excel  - Hot Spots  Wallpaper 78672-4</t>
  </si>
  <si>
    <t>BD-VRM-2026-0330</t>
  </si>
  <si>
    <t>Excel  - Hot Spots  Wallpaper 78672-5</t>
  </si>
  <si>
    <t>BD-VRM-2026-0331</t>
  </si>
  <si>
    <t>Excel  - Hot Spots  Wallpaper 78673-1</t>
  </si>
  <si>
    <t>BD-VRM-2026-0332</t>
  </si>
  <si>
    <t>Excel  - Hot Spots  Wallpaper 78673-2</t>
  </si>
  <si>
    <t>BD-VRM-2026-0333</t>
  </si>
  <si>
    <t>Excel  - Hot Spots  Wallpaper 78673-3</t>
  </si>
  <si>
    <t>BD-VRM-2026-0334</t>
  </si>
  <si>
    <t>Excel  - Hot Spots  Wallpaper 78673-4</t>
  </si>
  <si>
    <t>BD-VRM-2026-0335</t>
  </si>
  <si>
    <t>Excel  - Hot Spots  Wallpaper 78673-5</t>
  </si>
  <si>
    <t>BD-VRM-2026-0336</t>
  </si>
  <si>
    <t>Excel  - Hot Spots  Wallpaper 78673-6</t>
  </si>
  <si>
    <t>BD-VRM-2026-0220</t>
  </si>
  <si>
    <t>Excel - Aurora 2 Wallpaper 4000-1</t>
  </si>
  <si>
    <t>BD-VRM-2026-0221</t>
  </si>
  <si>
    <t>Excel - Aurora 2 Wallpaper 4000-3</t>
  </si>
  <si>
    <t>BD-VRM-2026-0159</t>
  </si>
  <si>
    <t>Excel - Aurora 2 Wallpaper 4016-1</t>
  </si>
  <si>
    <t>BD-VRM-2026-0160</t>
  </si>
  <si>
    <t>Excel - Aurora 2 Wallpaper 4016-3</t>
  </si>
  <si>
    <t>BD-VRM-2026-0196</t>
  </si>
  <si>
    <t>Excel - Aurora 2 Wallpaper 4024-1</t>
  </si>
  <si>
    <t>BD-VRM-2026-0197</t>
  </si>
  <si>
    <t>Excel - Aurora 2 Wallpaper 4024-2</t>
  </si>
  <si>
    <t>BD-VRM-2026-0198</t>
  </si>
  <si>
    <t>Excel - Aurora 2 Wallpaper 4024-3</t>
  </si>
  <si>
    <t>BD-VRM-2026-0199</t>
  </si>
  <si>
    <t>Excel - Aurora 2 Wallpaper 4024-4</t>
  </si>
  <si>
    <t>BD-VRM-2026-0200</t>
  </si>
  <si>
    <t>Excel - Aurora 2 Wallpaper 4024-5</t>
  </si>
  <si>
    <t>BD-VRM-2026-0201</t>
  </si>
  <si>
    <t>Excel - Aurora 2 Wallpaper 4024-6</t>
  </si>
  <si>
    <t>BD-VRM-2026-0202</t>
  </si>
  <si>
    <t>Excel - Aurora 2 Wallpaper 4024-7</t>
  </si>
  <si>
    <t>BD-VRM-2026-0203</t>
  </si>
  <si>
    <t>Excel - Aurora 2 Wallpaper 4025-1</t>
  </si>
  <si>
    <t>BD-VRM-2026-0204</t>
  </si>
  <si>
    <t>Excel - Aurora 2 Wallpaper 4025-2</t>
  </si>
  <si>
    <t>BD-VRM-2026-0205</t>
  </si>
  <si>
    <t>Excel - Aurora 2 Wallpaper 4025-3</t>
  </si>
  <si>
    <t>BD-VRM-2026-0206</t>
  </si>
  <si>
    <t>Excel - Aurora 2 Wallpaper 4026-1</t>
  </si>
  <si>
    <t>BD-VRM-2026-0207</t>
  </si>
  <si>
    <t>Excel - Aurora 2 Wallpaper 4026-2</t>
  </si>
  <si>
    <t>BD-VRM-2026-0208</t>
  </si>
  <si>
    <t>Excel - Aurora 2 Wallpaper 4026-3</t>
  </si>
  <si>
    <t>BD-VRM-2026-0209</t>
  </si>
  <si>
    <t>Excel - Aurora 2 Wallpaper 4026-4</t>
  </si>
  <si>
    <t>BD-VRM-2026-0210</t>
  </si>
  <si>
    <t>Excel - Aurora 2 Wallpaper 4027-1</t>
  </si>
  <si>
    <t>BD-VRM-2026-0211</t>
  </si>
  <si>
    <t>Excel - Aurora 2 Wallpaper 4027-2</t>
  </si>
  <si>
    <t>BD-VRM-2026-0212</t>
  </si>
  <si>
    <t>Excel - Aurora 2 Wallpaper 4028-1</t>
  </si>
  <si>
    <t>BD-VRM-2026-0213</t>
  </si>
  <si>
    <t>Excel - Aurora 2 Wallpaper 4028-2</t>
  </si>
  <si>
    <t>BD-VRM-2026-0214</t>
  </si>
  <si>
    <t>Excel - Aurora 2 Wallpaper 4028-3</t>
  </si>
  <si>
    <t>BD-VRM-2026-0215</t>
  </si>
  <si>
    <t>Excel - Aurora 2 Wallpaper 4028-4</t>
  </si>
  <si>
    <t>BD-VRM-2026-0216</t>
  </si>
  <si>
    <t>Excel - Aurora 2 Wallpaper 4028-5</t>
  </si>
  <si>
    <t>BD-VRM-2026-0217</t>
  </si>
  <si>
    <t>Excel - Aurora 2 Wallpaper 4029-1</t>
  </si>
  <si>
    <t>BD-VRM-2026-0218</t>
  </si>
  <si>
    <t>Excel - Aurora 2 Wallpaper 4029-2</t>
  </si>
  <si>
    <t>BD-VRM-2026-0219</t>
  </si>
  <si>
    <t>Excel - Aurora 2 Wallpaper 4029-3</t>
  </si>
  <si>
    <t>BD-VRM-2026-0187</t>
  </si>
  <si>
    <t>Excel - Aurora 2 Wallpaper 4030-1</t>
  </si>
  <si>
    <t>BD-VRM-2026-0188</t>
  </si>
  <si>
    <t>Excel - Aurora 2 Wallpaper 4030-2</t>
  </si>
  <si>
    <t>BD-VRM-2026-0189</t>
  </si>
  <si>
    <t>Excel - Aurora 2 Wallpaper 4030-3</t>
  </si>
  <si>
    <t>BD-VRM-2026-0190</t>
  </si>
  <si>
    <t>Excel - Aurora 2 Wallpaper 4031-1</t>
  </si>
  <si>
    <t>BD-VRM-2026-0191</t>
  </si>
  <si>
    <t>Excel - Aurora 2 Wallpaper 4031-2</t>
  </si>
  <si>
    <t>BD-VRM-2026-0192</t>
  </si>
  <si>
    <t>Excel - Aurora 2 Wallpaper 4031-3</t>
  </si>
  <si>
    <t>BD-VRM-2026-0193</t>
  </si>
  <si>
    <t>Excel - Aurora 2 Wallpaper 4032-1</t>
  </si>
  <si>
    <t>BD-VRM-2026-0194</t>
  </si>
  <si>
    <t>Excel - Aurora 2 Wallpaper 4032-2</t>
  </si>
  <si>
    <t>BD-VRM-2026-0195</t>
  </si>
  <si>
    <t>Excel - Aurora 2 Wallpaper 4032-3</t>
  </si>
  <si>
    <t>BD-VRM-2026-0163</t>
  </si>
  <si>
    <t>Excel - Aurora 2 Wallpaper 4033-1</t>
  </si>
  <si>
    <t>BD-VRM-2026-0164</t>
  </si>
  <si>
    <t>Excel - Aurora 2 Wallpaper 4033-2</t>
  </si>
  <si>
    <t>BD-VRM-2026-0165</t>
  </si>
  <si>
    <t>Excel - Aurora 2 Wallpaper 4033-3</t>
  </si>
  <si>
    <t>BD-VRM-2026-0166</t>
  </si>
  <si>
    <t>Excel - Aurora 2 Wallpaper 4033-4</t>
  </si>
  <si>
    <t>BD-VRM-2026-0167</t>
  </si>
  <si>
    <t>Excel - Aurora 2 Wallpaper 4033-5</t>
  </si>
  <si>
    <t>BD-VRM-2026-0168</t>
  </si>
  <si>
    <t>Excel - Aurora 2 Wallpaper 4033-6</t>
  </si>
  <si>
    <t>BD-VRM-2026-0182</t>
  </si>
  <si>
    <t>Excel - Aurora 2 Wallpaper 4034-1</t>
  </si>
  <si>
    <t>BD-VRM-2026-0183</t>
  </si>
  <si>
    <t>Excel - Aurora 2 Wallpaper 4034-2</t>
  </si>
  <si>
    <t>BD-VRM-2026-0184</t>
  </si>
  <si>
    <t>Excel - Aurora 2 Wallpaper 4034-3</t>
  </si>
  <si>
    <t>BD-VRM-2026-0185</t>
  </si>
  <si>
    <t>Excel - Aurora 2 Wallpaper 4034-4</t>
  </si>
  <si>
    <t>BD-VRM-2026-0186</t>
  </si>
  <si>
    <t>Excel - Aurora 2 Wallpaper 4034-5</t>
  </si>
  <si>
    <t>BD-VRM-2026-0176</t>
  </si>
  <si>
    <t>Excel - Aurora 2 Wallpaper 4035-1</t>
  </si>
  <si>
    <t>BD-VRM-2026-0177</t>
  </si>
  <si>
    <t>Excel - Aurora 2 Wallpaper 4035-2</t>
  </si>
  <si>
    <t>BD-VRM-2026-0178</t>
  </si>
  <si>
    <t>Excel - Aurora 2 Wallpaper 4035-3</t>
  </si>
  <si>
    <t>BD-VRM-2026-0179</t>
  </si>
  <si>
    <t>Excel - Aurora 2 Wallpaper 4036-1</t>
  </si>
  <si>
    <t>BD-VRM-2026-0180</t>
  </si>
  <si>
    <t>Excel - Aurora 2 Wallpaper 4036-2</t>
  </si>
  <si>
    <t>BD-VRM-2026-0181</t>
  </si>
  <si>
    <t>Excel - Aurora 2 Wallpaper 4036-3</t>
  </si>
  <si>
    <t>BD-VRM-2026-0172</t>
  </si>
  <si>
    <t>Excel - Aurora 2 Wallpaper 4037-1</t>
  </si>
  <si>
    <t>BD-VRM-2026-0173</t>
  </si>
  <si>
    <t>Excel - Aurora 2 Wallpaper 4037-2</t>
  </si>
  <si>
    <t>BD-VRM-2026-0174</t>
  </si>
  <si>
    <t>Excel - Aurora 2 Wallpaper 4037-3</t>
  </si>
  <si>
    <t>BD-VRM-2026-0175</t>
  </si>
  <si>
    <t>Excel - Aurora 2 Wallpaper 4037-4</t>
  </si>
  <si>
    <t>BD-VRM-2026-0169</t>
  </si>
  <si>
    <t>Excel - Aurora 2 Wallpaper 4038-1</t>
  </si>
  <si>
    <t>BD-VRM-2026-0170</t>
  </si>
  <si>
    <t>Excel - Aurora 2 Wallpaper 4038-2</t>
  </si>
  <si>
    <t>BD-VRM-2026-0171</t>
  </si>
  <si>
    <t>Excel - Aurora 2 Wallpaper 4038-3</t>
  </si>
  <si>
    <t>BD-VRM-2026-0161</t>
  </si>
  <si>
    <t>Excel - Aurora 2 Wallpaper 4039-1</t>
  </si>
  <si>
    <t>BD-VRM-2026-0162</t>
  </si>
  <si>
    <t>Excel - Aurora 2 Wallpaper 4039-2</t>
  </si>
  <si>
    <t>BD-VRM-2026-0138</t>
  </si>
  <si>
    <t>Excel - Aurora 2 Wallpaper 4040-1</t>
  </si>
  <si>
    <t>BD-VRM-2026-0139</t>
  </si>
  <si>
    <t>Excel - Aurora 2 Wallpaper 4040-2</t>
  </si>
  <si>
    <t>BD-VRM-2026-0140</t>
  </si>
  <si>
    <t>Excel - Aurora 2 Wallpaper 4040-3</t>
  </si>
  <si>
    <t>BD-VRM-2026-0141</t>
  </si>
  <si>
    <t>Excel - Aurora 2 Wallpaper 4040-4</t>
  </si>
  <si>
    <t>BD-VRM-2026-0142</t>
  </si>
  <si>
    <t>Excel - Aurora 2 Wallpaper 4040-5</t>
  </si>
  <si>
    <t>BD-VRM-2026-0143</t>
  </si>
  <si>
    <t>Excel - Aurora 2 Wallpaper 4040-6</t>
  </si>
  <si>
    <t>BD-VRM-2026-0144</t>
  </si>
  <si>
    <t>Excel - Aurora 2 Wallpaper 4041-1</t>
  </si>
  <si>
    <t>BD-VRM-2026-0145</t>
  </si>
  <si>
    <t>Excel - Aurora 2 Wallpaper 4041-2</t>
  </si>
  <si>
    <t>BD-VRM-2026-0146</t>
  </si>
  <si>
    <t>Excel - Aurora 2 Wallpaper 4041-3</t>
  </si>
  <si>
    <t>BD-VRM-2026-0150</t>
  </si>
  <si>
    <t>Excel - Aurora 2 Wallpaper 4042-1</t>
  </si>
  <si>
    <t>BD-VRM-2026-0151</t>
  </si>
  <si>
    <t>Excel - Aurora 2 Wallpaper 4042-2</t>
  </si>
  <si>
    <t>BD-VRM-2026-0152</t>
  </si>
  <si>
    <t>Excel - Aurora 2 Wallpaper 4042-3</t>
  </si>
  <si>
    <t>BD-VRM-2026-0153</t>
  </si>
  <si>
    <t>Excel - Aurora 2 Wallpaper 4042-4</t>
  </si>
  <si>
    <t>BD-VRM-2026-0154</t>
  </si>
  <si>
    <t>Excel - Aurora 2 Wallpaper 4042-5</t>
  </si>
  <si>
    <t>BD-VRM-2026-0155</t>
  </si>
  <si>
    <t>Excel - Aurora 2 Wallpaper 4042-6</t>
  </si>
  <si>
    <t>BD-VRM-2026-0147</t>
  </si>
  <si>
    <t>Excel - Aurora 2 Wallpaper 4043-1</t>
  </si>
  <si>
    <t>BD-VRM-2026-0148</t>
  </si>
  <si>
    <t>Excel - Aurora 2 Wallpaper 4043-2</t>
  </si>
  <si>
    <t>BD-VRM-2026-0149</t>
  </si>
  <si>
    <t>Excel - Aurora 2 Wallpaper 4043-3</t>
  </si>
  <si>
    <t>BD-VRM-2026-0156</t>
  </si>
  <si>
    <t>Excel - Aurora 2 Wallpaper 4044-1</t>
  </si>
  <si>
    <t>BD-VRM-2026-0157</t>
  </si>
  <si>
    <t>Excel - Aurora 2 Wallpaper 4044-2</t>
  </si>
  <si>
    <t>BD-VRM-2026-0158</t>
  </si>
  <si>
    <t>Excel - Aurora 2 Wallpaper 4044-3</t>
  </si>
  <si>
    <t>BD-VRM-2026-0378</t>
  </si>
  <si>
    <t>Excel - Deshaj Wallpaper 7800-1</t>
  </si>
  <si>
    <t>BD-VRM-2026-0379</t>
  </si>
  <si>
    <t>Excel - Deshaj Wallpaper 7800-2</t>
  </si>
  <si>
    <t>BD-VRM-2026-0380</t>
  </si>
  <si>
    <t>Excel - Deshaj Wallpaper 7800-3</t>
  </si>
  <si>
    <t>BD-VRM-2026-0381</t>
  </si>
  <si>
    <t>Excel - Deshaj Wallpaper 7800-4</t>
  </si>
  <si>
    <t>BD-VRM-2026-0382</t>
  </si>
  <si>
    <t>Excel - Deshaj Wallpaper 7800-5</t>
  </si>
  <si>
    <t>BD-VRM-2026-0383</t>
  </si>
  <si>
    <t>Excel - Deshaj Wallpaper 7801-1</t>
  </si>
  <si>
    <t>BD-VRM-2026-0384</t>
  </si>
  <si>
    <t>Excel - Deshaj Wallpaper 7801-2</t>
  </si>
  <si>
    <t>BD-VRM-2026-0385</t>
  </si>
  <si>
    <t>Excel - Deshaj Wallpaper 7801-3</t>
  </si>
  <si>
    <t>BD-VRM-2026-0386</t>
  </si>
  <si>
    <t>Excel - Deshaj Wallpaper 7801-4</t>
  </si>
  <si>
    <t>BD-VRM-2026-0387</t>
  </si>
  <si>
    <t>Excel - Deshaj Wallpaper 7801-5</t>
  </si>
  <si>
    <t>BD-VRM-2026-0388</t>
  </si>
  <si>
    <t>Excel - Deshaj Wallpaper 7801-6</t>
  </si>
  <si>
    <t>BD-VRM-2026-0389</t>
  </si>
  <si>
    <t>Excel - Deshaj Wallpaper 7802-1</t>
  </si>
  <si>
    <t>BD-VRM-2026-0390</t>
  </si>
  <si>
    <t>Excel - Deshaj Wallpaper 7802-2</t>
  </si>
  <si>
    <t>BD-VRM-2026-0391</t>
  </si>
  <si>
    <t>Excel - Deshaj Wallpaper 7802-3</t>
  </si>
  <si>
    <t>BD-VRM-2026-0392</t>
  </si>
  <si>
    <t>Excel - Deshaj Wallpaper 7802-4</t>
  </si>
  <si>
    <t>BD-VRM-2026-0393</t>
  </si>
  <si>
    <t>Excel - Deshaj Wallpaper 7802-5</t>
  </si>
  <si>
    <t>BD-VRM-2026-0394</t>
  </si>
  <si>
    <t>Excel - Deshaj Wallpaper 7802-6</t>
  </si>
  <si>
    <t>BD-VRM-2026-0395</t>
  </si>
  <si>
    <t>Excel - Deshaj Wallpaper 7803-1</t>
  </si>
  <si>
    <t>BD-VRM-2026-0396</t>
  </si>
  <si>
    <t>Excel - Deshaj Wallpaper 7803-2</t>
  </si>
  <si>
    <t>BD-VRM-2026-0397</t>
  </si>
  <si>
    <t>Excel - Deshaj Wallpaper 7803-3</t>
  </si>
  <si>
    <t>BD-VRM-2026-0398</t>
  </si>
  <si>
    <t>Excel - Deshaj Wallpaper 7803-4</t>
  </si>
  <si>
    <t>BD-VRM-2026-0399</t>
  </si>
  <si>
    <t>Excel - Deshaj Wallpaper 7803-5</t>
  </si>
  <si>
    <t>BD-VRM-2026-0400</t>
  </si>
  <si>
    <t>Excel - Deshaj Wallpaper 7804-1</t>
  </si>
  <si>
    <t>BD-VRM-2026-0401</t>
  </si>
  <si>
    <t>Excel - Deshaj Wallpaper 7804-2</t>
  </si>
  <si>
    <t>BD-VRM-2026-0402</t>
  </si>
  <si>
    <t>Excel - Deshaj Wallpaper 7804-3</t>
  </si>
  <si>
    <t>BD-VRM-2026-0403</t>
  </si>
  <si>
    <t>Excel - Deshaj Wallpaper 7804-4</t>
  </si>
  <si>
    <t>BD-VRM-2026-0404</t>
  </si>
  <si>
    <t>Excel - Deshaj Wallpaper 7804-5</t>
  </si>
  <si>
    <t>BD-VRM-2026-0405</t>
  </si>
  <si>
    <t>Excel - Deshaj Wallpaper 7805-1</t>
  </si>
  <si>
    <t>BD-VRM-2026-0406</t>
  </si>
  <si>
    <t>Excel - Deshaj Wallpaper 7805-2</t>
  </si>
  <si>
    <t>BD-VRM-2026-0407</t>
  </si>
  <si>
    <t>Excel - Deshaj Wallpaper 7805-3</t>
  </si>
  <si>
    <t>BD-VRM-2026-0408</t>
  </si>
  <si>
    <t>Excel - Deshaj Wallpaper 7805-4</t>
  </si>
  <si>
    <t>BD-VRM-2026-0409</t>
  </si>
  <si>
    <t>Excel - Deshaj Wallpaper 7805-5</t>
  </si>
  <si>
    <t>BD-VRM-2026-0410</t>
  </si>
  <si>
    <t>Excel - Deshaj Wallpaper 7805-6</t>
  </si>
  <si>
    <t>BD-VRM-2026-0411</t>
  </si>
  <si>
    <t>Excel - Deshaj Wallpaper 7806-1</t>
  </si>
  <si>
    <t>BD-VRM-2026-0412</t>
  </si>
  <si>
    <t>Excel - Deshaj Wallpaper 7806-2</t>
  </si>
  <si>
    <t>BD-VRM-2026-0413</t>
  </si>
  <si>
    <t>Excel - Deshaj Wallpaper 7806-3</t>
  </si>
  <si>
    <t>BD-VRM-2026-0414</t>
  </si>
  <si>
    <t>Excel - Deshaj Wallpaper 7806-4</t>
  </si>
  <si>
    <t>BD-VRM-2026-0415</t>
  </si>
  <si>
    <t>Excel - Deshaj Wallpaper 7806-5</t>
  </si>
  <si>
    <t>BD-VRM-2026-0416</t>
  </si>
  <si>
    <t>Excel - Deshaj Wallpaper 7807-1</t>
  </si>
  <si>
    <t>BD-VRM-2026-0417</t>
  </si>
  <si>
    <t>Excel - Deshaj Wallpaper 7807-2</t>
  </si>
  <si>
    <t>BD-VRM-2026-0418</t>
  </si>
  <si>
    <t>Excel - Deshaj Wallpaper 7807-3</t>
  </si>
  <si>
    <t>BD-VRM-2026-0419</t>
  </si>
  <si>
    <t>Excel - Deshaj Wallpaper 7807-4</t>
  </si>
  <si>
    <t>BD-VRM-2026-0420</t>
  </si>
  <si>
    <t>Excel - Deshaj Wallpaper 7807-5</t>
  </si>
  <si>
    <t>BD-VRM-2026-0421</t>
  </si>
  <si>
    <t>Excel - Deshaj Wallpaper 7808-1</t>
  </si>
  <si>
    <t>BD-VRM-2026-0422</t>
  </si>
  <si>
    <t>Excel - Deshaj Wallpaper 7808-2</t>
  </si>
  <si>
    <t>BD-VRM-2026-0423</t>
  </si>
  <si>
    <t>Excel - Deshaj Wallpaper 7808-3</t>
  </si>
  <si>
    <t>BD-VRM-2026-0424</t>
  </si>
  <si>
    <t>Excel - Deshaj Wallpaper 7808-4</t>
  </si>
  <si>
    <t>BD-VRM-2026-0425</t>
  </si>
  <si>
    <t>Excel - Deshaj Wallpaper 7808-5</t>
  </si>
  <si>
    <t>BD-VRM-2026-0426</t>
  </si>
  <si>
    <t>Excel - Deshaj Wallpaper 7809-1</t>
  </si>
  <si>
    <t>BD-VRM-2026-0427</t>
  </si>
  <si>
    <t>Excel - Deshaj Wallpaper 7809-2</t>
  </si>
  <si>
    <t>BD-VRM-2026-0428</t>
  </si>
  <si>
    <t>Excel - Deshaj Wallpaper 7809-3</t>
  </si>
  <si>
    <t>BD-VRM-2026-0429</t>
  </si>
  <si>
    <t>Excel - Deshaj Wallpaper 7809-4</t>
  </si>
  <si>
    <t>BD-VRM-2026-0430</t>
  </si>
  <si>
    <t>Excel - Deshaj Wallpaper 7809-5</t>
  </si>
  <si>
    <t>BD-VRM-2026-0454</t>
  </si>
  <si>
    <t>Excel - Joy  Wallpaper FOL105</t>
  </si>
  <si>
    <t>BD-VRM-2026-0455</t>
  </si>
  <si>
    <t>Excel - Joy  Wallpaper FOL109</t>
  </si>
  <si>
    <t>BD-VRM-2026-0456</t>
  </si>
  <si>
    <t>Excel - Joy  Wallpaper FOL111</t>
  </si>
  <si>
    <t>BD-VRM-2026-0444</t>
  </si>
  <si>
    <t>Excel - Joy  Wallpaper JOY001</t>
  </si>
  <si>
    <t>BD-VRM-2026-0451</t>
  </si>
  <si>
    <t>Excel - Joy  Wallpaper JOY002</t>
  </si>
  <si>
    <t>BD-VRM-2026-0431</t>
  </si>
  <si>
    <t>Excel - Joy  Wallpaper JOY003</t>
  </si>
  <si>
    <t>BD-VRM-2026-0439</t>
  </si>
  <si>
    <t>Excel - Joy  Wallpaper JOY004</t>
  </si>
  <si>
    <t>BD-VRM-2026-0436</t>
  </si>
  <si>
    <t>Excel - Joy  Wallpaper JOY005</t>
  </si>
  <si>
    <t>BD-VRM-2026-0447</t>
  </si>
  <si>
    <t>Excel - Joy  Wallpaper JOY201</t>
  </si>
  <si>
    <t>BD-VRM-2026-0448</t>
  </si>
  <si>
    <t>Excel - Joy  Wallpaper JOY202</t>
  </si>
  <si>
    <t>BD-VRM-2026-0442</t>
  </si>
  <si>
    <t>Excel - Joy  Wallpaper JOY203</t>
  </si>
  <si>
    <t>BD-VRM-2026-0435</t>
  </si>
  <si>
    <t>Excel - Joy  Wallpaper JOY204</t>
  </si>
  <si>
    <t>BD-VRM-2026-0445</t>
  </si>
  <si>
    <t>Excel - Joy  Wallpaper JOY301</t>
  </si>
  <si>
    <t>BD-VRM-2026-0446</t>
  </si>
  <si>
    <t>Excel - Joy  Wallpaper JOY302</t>
  </si>
  <si>
    <t>BD-VRM-2026-0443</t>
  </si>
  <si>
    <t>Excel - Joy  Wallpaper JOY303</t>
  </si>
  <si>
    <t>BD-VRM-2026-0450</t>
  </si>
  <si>
    <t>Excel - Joy  Wallpaper JOY304</t>
  </si>
  <si>
    <t>BD-VRM-2026-0452</t>
  </si>
  <si>
    <t>Excel - Joy  Wallpaper JOY305</t>
  </si>
  <si>
    <t>BD-VRM-2026-0453</t>
  </si>
  <si>
    <t>Excel - Joy  Wallpaper JOY306</t>
  </si>
  <si>
    <t>BD-VRM-2026-0432</t>
  </si>
  <si>
    <t>Excel - Joy  Wallpaper JOY307</t>
  </si>
  <si>
    <t>BD-VRM-2026-0449</t>
  </si>
  <si>
    <t>Excel - Joy  Wallpaper JOY308</t>
  </si>
  <si>
    <t>BD-VRM-2026-0433</t>
  </si>
  <si>
    <t>Excel - Joy  Wallpaper JOY309</t>
  </si>
  <si>
    <t>BD-VRM-2026-0441</t>
  </si>
  <si>
    <t>Excel - Joy  Wallpaper JOY310</t>
  </si>
  <si>
    <t>BD-VRM-2026-0438</t>
  </si>
  <si>
    <t>Excel - Joy  Wallpaper JOY311</t>
  </si>
  <si>
    <t>BD-VRM-2026-0440</t>
  </si>
  <si>
    <t>Excel - Joy  Wallpaper JOY312</t>
  </si>
  <si>
    <t>BD-VRM-2026-0434</t>
  </si>
  <si>
    <t>Excel - Joy  Wallpaper JOY313</t>
  </si>
  <si>
    <t>BD-VRM-2026-0437</t>
  </si>
  <si>
    <t>Excel - Joy  Wallpaper JOY314</t>
  </si>
  <si>
    <t>BD-VRM-2026-0024</t>
  </si>
  <si>
    <t>Excel - Lohas Wallpaper 87456-1</t>
  </si>
  <si>
    <t>BD-VRM-2026-0025</t>
  </si>
  <si>
    <t>Excel - Lohas Wallpaper 87456-2</t>
  </si>
  <si>
    <t>BD-VRM-2026-0026</t>
  </si>
  <si>
    <t>Excel - Lohas Wallpaper 87456-3</t>
  </si>
  <si>
    <t>BD-VRM-2026-0027</t>
  </si>
  <si>
    <t>Excel - Lohas Wallpaper 87456-4</t>
  </si>
  <si>
    <t>BD-VRM-2026-0028</t>
  </si>
  <si>
    <t>Excel - Lohas Wallpaper 87456-5</t>
  </si>
  <si>
    <t>BD-VRM-2026-0029</t>
  </si>
  <si>
    <t>Excel - Lohas Wallpaper 87456-6</t>
  </si>
  <si>
    <t>BD-VRM-2026-0030</t>
  </si>
  <si>
    <t>Excel - Lohas Wallpaper 87456-7</t>
  </si>
  <si>
    <t>BD-VRM-2026-0035</t>
  </si>
  <si>
    <t>Excel - Lohas Wallpaper 87458-2</t>
  </si>
  <si>
    <t>BD-VRM-2026-0057</t>
  </si>
  <si>
    <t>Excel - Lohas Wallpaper 87459-1</t>
  </si>
  <si>
    <t>BD-VRM-2026-0058</t>
  </si>
  <si>
    <t>Excel - Lohas Wallpaper 87459-2</t>
  </si>
  <si>
    <t>BD-VRM-2026-0059</t>
  </si>
  <si>
    <t>Excel - Lohas Wallpaper 87459-3</t>
  </si>
  <si>
    <t>BD-VRM-2026-0060</t>
  </si>
  <si>
    <t>Excel - Lohas Wallpaper 87459-4</t>
  </si>
  <si>
    <t>BD-VRM-2026-0061</t>
  </si>
  <si>
    <t>Excel - Lohas Wallpaper 87459-5</t>
  </si>
  <si>
    <t>BD-VRM-2026-0062</t>
  </si>
  <si>
    <t>Excel - Lohas Wallpaper 87459-6</t>
  </si>
  <si>
    <t>BD-VRM-2026-0071</t>
  </si>
  <si>
    <t>Excel - Lohas Wallpaper 87460-1</t>
  </si>
  <si>
    <t>BD-VRM-2026-0072</t>
  </si>
  <si>
    <t>Excel - Lohas Wallpaper 87460-2</t>
  </si>
  <si>
    <t>BD-VRM-2026-0073</t>
  </si>
  <si>
    <t>Excel - Lohas Wallpaper 87460-3</t>
  </si>
  <si>
    <t>BD-VRM-2026-0074</t>
  </si>
  <si>
    <t>Excel - Lohas Wallpaper 87460-4</t>
  </si>
  <si>
    <t>BD-VRM-2026-0075</t>
  </si>
  <si>
    <t>Excel - Lohas Wallpaper 87460-5</t>
  </si>
  <si>
    <t>BD-VRM-2026-0076</t>
  </si>
  <si>
    <t>Excel - Lohas Wallpaper 87460-6</t>
  </si>
  <si>
    <t>BD-VRM-2026-0077</t>
  </si>
  <si>
    <t>Excel - Lohas Wallpaper 87460-7</t>
  </si>
  <si>
    <t>BD-VRM-2026-0078</t>
  </si>
  <si>
    <t>Excel - Lohas Wallpaper 87460-8</t>
  </si>
  <si>
    <t>BD-VRM-2026-0063</t>
  </si>
  <si>
    <t>Excel - Lohas Wallpaper 87461-1</t>
  </si>
  <si>
    <t>BD-VRM-2026-0064</t>
  </si>
  <si>
    <t>Excel - Lohas Wallpaper 87461-2</t>
  </si>
  <si>
    <t>BD-VRM-2026-0065</t>
  </si>
  <si>
    <t>Excel - Lohas Wallpaper 87461-3</t>
  </si>
  <si>
    <t>BD-VRM-2026-0066</t>
  </si>
  <si>
    <t>Excel - Lohas Wallpaper 87461-4</t>
  </si>
  <si>
    <t>BD-VRM-2026-0067</t>
  </si>
  <si>
    <t>Excel - Lohas Wallpaper 87461-5</t>
  </si>
  <si>
    <t>BD-VRM-2026-0068</t>
  </si>
  <si>
    <t>Excel - Lohas Wallpaper 87461-6</t>
  </si>
  <si>
    <t>BD-VRM-2026-0069</t>
  </si>
  <si>
    <t>Excel - Lohas Wallpaper 87461-7</t>
  </si>
  <si>
    <t>BD-VRM-2026-0070</t>
  </si>
  <si>
    <t>Excel - Lohas Wallpaper 87461-9</t>
  </si>
  <si>
    <t>BD-VRM-2026-0053</t>
  </si>
  <si>
    <t>Excel - Lohas Wallpaper 87464-1</t>
  </si>
  <si>
    <t>BD-VRM-2026-0054</t>
  </si>
  <si>
    <t>Excel - Lohas Wallpaper 87464-2</t>
  </si>
  <si>
    <t>BD-VRM-2026-0055</t>
  </si>
  <si>
    <t>Excel - Lohas Wallpaper 87464-3</t>
  </si>
  <si>
    <t>BD-VRM-2026-0056</t>
  </si>
  <si>
    <t>Excel - Lohas Wallpaper 87464-4</t>
  </si>
  <si>
    <t>BD-VRM-2026-0033</t>
  </si>
  <si>
    <t>Excel - Lohas Wallpaper 87466-1</t>
  </si>
  <si>
    <t>BD-VRM-2026-0034</t>
  </si>
  <si>
    <t>Excel - Lohas Wallpaper 87466-2</t>
  </si>
  <si>
    <t>BD-VRM-2026-0048</t>
  </si>
  <si>
    <t>Excel - Lohas Wallpaper 87467-1</t>
  </si>
  <si>
    <t>BD-VRM-2026-0049</t>
  </si>
  <si>
    <t>Excel - Lohas Wallpaper 87467-2</t>
  </si>
  <si>
    <t>BD-VRM-2026-0050</t>
  </si>
  <si>
    <t>Excel - Lohas Wallpaper 87467-3</t>
  </si>
  <si>
    <t>BD-VRM-2026-0051</t>
  </si>
  <si>
    <t>Excel - Lohas Wallpaper 87467-4</t>
  </si>
  <si>
    <t>BD-VRM-2026-0052</t>
  </si>
  <si>
    <t>Excel - Lohas Wallpaper 87467-5</t>
  </si>
  <si>
    <t>BD-VRM-2026-0041</t>
  </si>
  <si>
    <t>Excel - Lohas Wallpaper 87468-1</t>
  </si>
  <si>
    <t>BD-VRM-2026-0042</t>
  </si>
  <si>
    <t>Excel - Lohas Wallpaper 87468-2</t>
  </si>
  <si>
    <t>BD-VRM-2026-0043</t>
  </si>
  <si>
    <t>Excel - Lohas Wallpaper 87468-3</t>
  </si>
  <si>
    <t>BD-VRM-2026-0044</t>
  </si>
  <si>
    <t>Excel - Lohas Wallpaper 87468-4</t>
  </si>
  <si>
    <t>BD-VRM-2026-0045</t>
  </si>
  <si>
    <t>Excel - Lohas Wallpaper 87468-5</t>
  </si>
  <si>
    <t>BD-VRM-2026-0046</t>
  </si>
  <si>
    <t>Excel - Lohas Wallpaper 87468-6</t>
  </si>
  <si>
    <t>BD-VRM-2026-0047</t>
  </si>
  <si>
    <t>Excel - Lohas Wallpaper 87468-7</t>
  </si>
  <si>
    <t>BD-VRM-2026-0036</t>
  </si>
  <si>
    <t>Excel - Lohas Wallpaper 87469-1</t>
  </si>
  <si>
    <t>BD-VRM-2026-0037</t>
  </si>
  <si>
    <t>Excel - Lohas Wallpaper 87469-2</t>
  </si>
  <si>
    <t>BD-VRM-2026-0038</t>
  </si>
  <si>
    <t>Excel - Lohas Wallpaper 87469-3</t>
  </si>
  <si>
    <t>BD-VRM-2026-0039</t>
  </si>
  <si>
    <t>Excel - Lohas Wallpaper 87469-4</t>
  </si>
  <si>
    <t>BD-VRM-2026-0040</t>
  </si>
  <si>
    <t>Excel - Lohas Wallpaper 87469-5</t>
  </si>
  <si>
    <t>BD-VRM-2026-0020</t>
  </si>
  <si>
    <t>Excel - Lohas Wallpaper 87470-1</t>
  </si>
  <si>
    <t>BD-VRM-2026-0021</t>
  </si>
  <si>
    <t>Excel - Lohas Wallpaper 87470-2</t>
  </si>
  <si>
    <t>BD-VRM-2026-0022</t>
  </si>
  <si>
    <t>Excel - Lohas Wallpaper 87470-3</t>
  </si>
  <si>
    <t>BD-VRM-2026-0023</t>
  </si>
  <si>
    <t>Excel - Lohas Wallpaper 87470-4</t>
  </si>
  <si>
    <t>BD-VRM-2026-0031</t>
  </si>
  <si>
    <t>Excel - Lohas Wallpaper 87473-1</t>
  </si>
  <si>
    <t>BD-VRM-2026-0032</t>
  </si>
  <si>
    <t>Excel - Lohas Wallpaper 87473-2</t>
  </si>
  <si>
    <t>BD-VRM-2026-0016</t>
  </si>
  <si>
    <t>Excel - Lohas Wallpaper 87474-1</t>
  </si>
  <si>
    <t>BD-VRM-2026-0017</t>
  </si>
  <si>
    <t>Excel - Lohas Wallpaper 87474-2</t>
  </si>
  <si>
    <t>BD-VRM-2026-0018</t>
  </si>
  <si>
    <t>Excel - Lohas Wallpaper 87474-3</t>
  </si>
  <si>
    <t>BD-VRM-2026-0019</t>
  </si>
  <si>
    <t>Excel - Lohas Wallpaper 87474-4</t>
  </si>
  <si>
    <t>BD-VRM-2026-0011</t>
  </si>
  <si>
    <t>Excel - Lohas Wallpaper 87475-1</t>
  </si>
  <si>
    <t>BD-VRM-2026-0012</t>
  </si>
  <si>
    <t>Excel - Lohas Wallpaper 87475-2</t>
  </si>
  <si>
    <t>BD-VRM-2026-0013</t>
  </si>
  <si>
    <t>Excel - Lohas Wallpaper 87475-3</t>
  </si>
  <si>
    <t>BD-VRM-2026-0014</t>
  </si>
  <si>
    <t>Excel - Lohas Wallpaper 87475-4</t>
  </si>
  <si>
    <t>BD-VRM-2026-0015</t>
  </si>
  <si>
    <t>Excel - Lohas Wallpaper 87475-5</t>
  </si>
  <si>
    <t>BD-VRM-2026-0005</t>
  </si>
  <si>
    <t>Excel - Lohas Wallpaper 87476-1</t>
  </si>
  <si>
    <t>BD-VRM-2026-0006</t>
  </si>
  <si>
    <t>Excel - Lohas Wallpaper 87476-2</t>
  </si>
  <si>
    <t>BD-VRM-2026-0007</t>
  </si>
  <si>
    <t>Excel - Lohas Wallpaper 87476-3</t>
  </si>
  <si>
    <t>BD-VRM-2026-0008</t>
  </si>
  <si>
    <t>Excel - Lohas Wallpaper 87476-4</t>
  </si>
  <si>
    <t>BD-VRM-2026-0009</t>
  </si>
  <si>
    <t>Excel - Lohas Wallpaper 87476-5</t>
  </si>
  <si>
    <t>BD-VRM-2026-0010</t>
  </si>
  <si>
    <t>Excel - Lohas Wallpaper 87476-6</t>
  </si>
  <si>
    <t>BD-VRM-2026-0001</t>
  </si>
  <si>
    <t>Excel - Lohas Wallpaper 87477-1</t>
  </si>
  <si>
    <t>BD-VRM-2026-0002</t>
  </si>
  <si>
    <t>Excel - Lohas Wallpaper 87477-2</t>
  </si>
  <si>
    <t>BD-VRM-2026-0003</t>
  </si>
  <si>
    <t>Excel - Lohas Wallpaper 87477-3</t>
  </si>
  <si>
    <t>BD-VRM-2026-0004</t>
  </si>
  <si>
    <t>Excel - Lohas Wallpaper 87477-4</t>
  </si>
  <si>
    <t>BD-VRM-2026-0457</t>
  </si>
  <si>
    <t>Excel - Rock  Wallpaper ROC001</t>
  </si>
  <si>
    <t>BD-VRM-2026-0458</t>
  </si>
  <si>
    <t>Excel - Rock  Wallpaper ROC002</t>
  </si>
  <si>
    <t>BD-VRM-2026-0459</t>
  </si>
  <si>
    <t>Excel - Rock  Wallpaper ROC003</t>
  </si>
  <si>
    <t>BD-VRM-2026-0460</t>
  </si>
  <si>
    <t>Excel - Rock  Wallpaper ROC004</t>
  </si>
  <si>
    <t>BD-VRM-2026-0461</t>
  </si>
  <si>
    <t>Excel - Rock  Wallpaper ROC005</t>
  </si>
  <si>
    <t>BD-VRM-2026-0462</t>
  </si>
  <si>
    <t>Excel - Rock  Wallpaper ROC006</t>
  </si>
  <si>
    <t>BD-VRM-2026-0463</t>
  </si>
  <si>
    <t>Excel - Rock  Wallpaper ROC007</t>
  </si>
  <si>
    <t>BD-VRM-2026-0464</t>
  </si>
  <si>
    <t>Excel - Rock  Wallpaper ROC008</t>
  </si>
  <si>
    <t>BD-VRM-2026-0465</t>
  </si>
  <si>
    <t>Excel - Rock  Wallpaper ROC009</t>
  </si>
  <si>
    <t>BD-VRM-2026-0466</t>
  </si>
  <si>
    <t>Excel - Rock  Wallpaper ROC010</t>
  </si>
  <si>
    <t>BD-VRM-2026-0481</t>
  </si>
  <si>
    <t>Excel - Rock  Wallpaper ROC101</t>
  </si>
  <si>
    <t>BD-VRM-2026-0482</t>
  </si>
  <si>
    <t>Excel - Rock  Wallpaper ROC102</t>
  </si>
  <si>
    <t>BD-VRM-2026-0483</t>
  </si>
  <si>
    <t>Excel - Rock  Wallpaper ROC103</t>
  </si>
  <si>
    <t>BD-VRM-2026-0484</t>
  </si>
  <si>
    <t>Excel - Rock  Wallpaper ROC104</t>
  </si>
  <si>
    <t>BD-VRM-2026-0476</t>
  </si>
  <si>
    <t>Excel - Rock  Wallpaper ROC201</t>
  </si>
  <si>
    <t>BD-VRM-2026-0477</t>
  </si>
  <si>
    <t>Excel - Rock  Wallpaper ROC202</t>
  </si>
  <si>
    <t>BD-VRM-2026-0478</t>
  </si>
  <si>
    <t>Excel - Rock  Wallpaper ROC203</t>
  </si>
  <si>
    <t>BD-VRM-2026-0479</t>
  </si>
  <si>
    <t>Excel - Rock  Wallpaper ROC204</t>
  </si>
  <si>
    <t>BD-VRM-2026-0480</t>
  </si>
  <si>
    <t>Excel - Rock  Wallpaper ROC205</t>
  </si>
  <si>
    <t>BD-VRM-2026-0472</t>
  </si>
  <si>
    <t>Excel - Rock  Wallpaper ROC301</t>
  </si>
  <si>
    <t>BD-VRM-2026-0473</t>
  </si>
  <si>
    <t>Excel - Rock  Wallpaper ROC302</t>
  </si>
  <si>
    <t>BD-VRM-2026-0474</t>
  </si>
  <si>
    <t>Excel - Rock  Wallpaper ROC303</t>
  </si>
  <si>
    <t>BD-VRM-2026-0475</t>
  </si>
  <si>
    <t>Excel - Rock  Wallpaper ROC304</t>
  </si>
  <si>
    <t>BD-VRM-2026-0467</t>
  </si>
  <si>
    <t>Excel - Rock  Wallpaper ROC401</t>
  </si>
  <si>
    <t>BD-VRM-2026-0468</t>
  </si>
  <si>
    <t>Excel - Rock  Wallpaper ROC402</t>
  </si>
  <si>
    <t>BD-VRM-2026-0469</t>
  </si>
  <si>
    <t>Excel - Rock  Wallpaper ROC403</t>
  </si>
  <si>
    <t>BD-VRM-2026-0470</t>
  </si>
  <si>
    <t>Excel - Rock  Wallpaper ROC404</t>
  </si>
  <si>
    <t>BD-VRM-2026-0471</t>
  </si>
  <si>
    <t>Excel - Rock  Wallpaper ROC405</t>
  </si>
  <si>
    <t>BD-VRM-2026-0232</t>
  </si>
  <si>
    <t>Excel - Spectrum Wallpaper 5001-1</t>
  </si>
  <si>
    <t>BD-VRM-2026-0233</t>
  </si>
  <si>
    <t>Excel - Spectrum Wallpaper 5001-2</t>
  </si>
  <si>
    <t>BD-VRM-2026-0234</t>
  </si>
  <si>
    <t>Excel - Spectrum Wallpaper 5001-3</t>
  </si>
  <si>
    <t>BD-VRM-2026-0235</t>
  </si>
  <si>
    <t>Excel - Spectrum Wallpaper 5001-4</t>
  </si>
  <si>
    <t>BD-VRM-2026-0236</t>
  </si>
  <si>
    <t>Excel - Spectrum Wallpaper 5001-5</t>
  </si>
  <si>
    <t>BD-VRM-2026-0222</t>
  </si>
  <si>
    <t>Excel - Spectrum Wallpaper 5002-1</t>
  </si>
  <si>
    <t>BD-VRM-2026-0223</t>
  </si>
  <si>
    <t>Excel - Spectrum Wallpaper 5002-2</t>
  </si>
  <si>
    <t>BD-VRM-2026-0224</t>
  </si>
  <si>
    <t>Excel - Spectrum Wallpaper 5002-3</t>
  </si>
  <si>
    <t>BD-VRM-2026-0225</t>
  </si>
  <si>
    <t>Excel - Spectrum Wallpaper 5002-4</t>
  </si>
  <si>
    <t>BD-VRM-2026-0226</t>
  </si>
  <si>
    <t>Excel - Spectrum Wallpaper 5002-5</t>
  </si>
  <si>
    <t>BD-VRM-2026-0258</t>
  </si>
  <si>
    <t>Excel - Spectrum Wallpaper 5003-1</t>
  </si>
  <si>
    <t>BD-VRM-2026-0259</t>
  </si>
  <si>
    <t>Excel - Spectrum Wallpaper 5003-2</t>
  </si>
  <si>
    <t>BD-VRM-2026-0260</t>
  </si>
  <si>
    <t>Excel - Spectrum Wallpaper 5003-3</t>
  </si>
  <si>
    <t>BD-VRM-2026-0261</t>
  </si>
  <si>
    <t>Excel - Spectrum Wallpaper 5003-4</t>
  </si>
  <si>
    <t>BD-VRM-2026-0262</t>
  </si>
  <si>
    <t>Excel - Spectrum Wallpaper 5003-5</t>
  </si>
  <si>
    <t>BD-VRM-2026-0247</t>
  </si>
  <si>
    <t>Excel - Spectrum Wallpaper 5004-1</t>
  </si>
  <si>
    <t>BD-VRM-2026-0248</t>
  </si>
  <si>
    <t>Excel - Spectrum Wallpaper 5004-2</t>
  </si>
  <si>
    <t>BD-VRM-2026-0249</t>
  </si>
  <si>
    <t>Excel - Spectrum Wallpaper 5004-3</t>
  </si>
  <si>
    <t>BD-VRM-2026-0250</t>
  </si>
  <si>
    <t>Excel - Spectrum Wallpaper 5004-4</t>
  </si>
  <si>
    <t>BD-VRM-2026-0251</t>
  </si>
  <si>
    <t>Excel - Spectrum Wallpaper 5004-5</t>
  </si>
  <si>
    <t>BD-VRM-2026-0263</t>
  </si>
  <si>
    <t>Excel - Spectrum Wallpaper 5005-1</t>
  </si>
  <si>
    <t>BD-VRM-2026-0264</t>
  </si>
  <si>
    <t>Excel - Spectrum Wallpaper 5005-2</t>
  </si>
  <si>
    <t>BD-VRM-2026-0265</t>
  </si>
  <si>
    <t>Excel - Spectrum Wallpaper 5005-3</t>
  </si>
  <si>
    <t>BD-VRM-2026-0266</t>
  </si>
  <si>
    <t>Excel - Spectrum Wallpaper 5005-4</t>
  </si>
  <si>
    <t>BD-VRM-2026-0267</t>
  </si>
  <si>
    <t>Excel - Spectrum Wallpaper 5005-5</t>
  </si>
  <si>
    <t>BD-VRM-2026-0252</t>
  </si>
  <si>
    <t>Excel - Spectrum Wallpaper 5006-1</t>
  </si>
  <si>
    <t>BD-VRM-2026-0253</t>
  </si>
  <si>
    <t>Excel - Spectrum Wallpaper 5006-2</t>
  </si>
  <si>
    <t>BD-VRM-2026-0254</t>
  </si>
  <si>
    <t>Excel - Spectrum Wallpaper 5006-3</t>
  </si>
  <si>
    <t>BD-VRM-2026-0255</t>
  </si>
  <si>
    <t>Excel - Spectrum Wallpaper 5006-4</t>
  </si>
  <si>
    <t>BD-VRM-2026-0256</t>
  </si>
  <si>
    <t>Excel - Spectrum Wallpaper 5006-5</t>
  </si>
  <si>
    <t>BD-VRM-2026-0257</t>
  </si>
  <si>
    <t>Excel - Spectrum Wallpaper 5006-6</t>
  </si>
  <si>
    <t>BD-VRM-2026-0242</t>
  </si>
  <si>
    <t>Excel - Spectrum Wallpaper 5007-1</t>
  </si>
  <si>
    <t>BD-VRM-2026-0243</t>
  </si>
  <si>
    <t>Excel - Spectrum Wallpaper 5007-2</t>
  </si>
  <si>
    <t>BD-VRM-2026-0244</t>
  </si>
  <si>
    <t>Excel - Spectrum Wallpaper 5007-3</t>
  </si>
  <si>
    <t>BD-VRM-2026-0245</t>
  </si>
  <si>
    <t>Excel - Spectrum Wallpaper 5007-4</t>
  </si>
  <si>
    <t>BD-VRM-2026-0246</t>
  </si>
  <si>
    <t>Excel - Spectrum Wallpaper 5007-5</t>
  </si>
  <si>
    <t>BD-VRM-2026-0268</t>
  </si>
  <si>
    <t>Excel - Spectrum Wallpaper 5008-1</t>
  </si>
  <si>
    <t>BD-VRM-2026-0269</t>
  </si>
  <si>
    <t>Excel - Spectrum Wallpaper 5008-2</t>
  </si>
  <si>
    <t>BD-VRM-2026-0270</t>
  </si>
  <si>
    <t>Excel - Spectrum Wallpaper 5008-3</t>
  </si>
  <si>
    <t>BD-VRM-2026-0271</t>
  </si>
  <si>
    <t>Excel - Spectrum Wallpaper 5008-4</t>
  </si>
  <si>
    <t>BD-VRM-2026-0272</t>
  </si>
  <si>
    <t>Excel - Spectrum Wallpaper 5008-5</t>
  </si>
  <si>
    <t>BD-VRM-2026-0273</t>
  </si>
  <si>
    <t>Excel - Spectrum Wallpaper 5008-6</t>
  </si>
  <si>
    <t>BD-VRM-2026-0274</t>
  </si>
  <si>
    <t>Excel - Spectrum Wallpaper 5008-7</t>
  </si>
  <si>
    <t>BD-VRM-2026-0275</t>
  </si>
  <si>
    <t>Excel - Spectrum Wallpaper 5009-1</t>
  </si>
  <si>
    <t>BD-VRM-2026-0276</t>
  </si>
  <si>
    <t>Excel - Spectrum Wallpaper 5009-2</t>
  </si>
  <si>
    <t>BD-VRM-2026-0277</t>
  </si>
  <si>
    <t>Excel - Spectrum Wallpaper 5009-3</t>
  </si>
  <si>
    <t>BD-VRM-2026-0278</t>
  </si>
  <si>
    <t>Excel - Spectrum Wallpaper 5009-4</t>
  </si>
  <si>
    <t>BD-VRM-2026-0279</t>
  </si>
  <si>
    <t>Excel - Spectrum Wallpaper 5009-5</t>
  </si>
  <si>
    <t>BD-VRM-2026-0280</t>
  </si>
  <si>
    <t>Excel - Spectrum Wallpaper 5009-6</t>
  </si>
  <si>
    <t>BD-VRM-2026-0281</t>
  </si>
  <si>
    <t>Excel - Spectrum Wallpaper 5009-7</t>
  </si>
  <si>
    <t>BD-VRM-2026-0227</t>
  </si>
  <si>
    <t>Excel - Spectrum Wallpaper 5010-1</t>
  </si>
  <si>
    <t>BD-VRM-2026-0228</t>
  </si>
  <si>
    <t>Excel - Spectrum Wallpaper 5010-2</t>
  </si>
  <si>
    <t>BD-VRM-2026-0229</t>
  </si>
  <si>
    <t>Excel - Spectrum Wallpaper 5010-3</t>
  </si>
  <si>
    <t>BD-VRM-2026-0230</t>
  </si>
  <si>
    <t>Excel - Spectrum Wallpaper 5010-4</t>
  </si>
  <si>
    <t>BD-VRM-2026-0231</t>
  </si>
  <si>
    <t>Excel - Spectrum Wallpaper 5010-5</t>
  </si>
  <si>
    <t>BD-VRM-2026-0237</t>
  </si>
  <si>
    <t>Excel - Spectrum Wallpaper 5011-1</t>
  </si>
  <si>
    <t>BD-VRM-2026-0238</t>
  </si>
  <si>
    <t>Excel - Spectrum Wallpaper 5011-2</t>
  </si>
  <si>
    <t>BD-VRM-2026-0239</t>
  </si>
  <si>
    <t>Excel - Spectrum Wallpaper 5011-3</t>
  </si>
  <si>
    <t>BD-VRM-2026-0240</t>
  </si>
  <si>
    <t>Excel - Spectrum Wallpaper 5011-4</t>
  </si>
  <si>
    <t>BD-VRM-2026-0241</t>
  </si>
  <si>
    <t>Excel - Spectrum Wallpaper 5011-5</t>
  </si>
  <si>
    <t>BD-VRM-2023-4766</t>
  </si>
  <si>
    <t>Bonito Wall Decor - 3D Abstract Floral Pattern Bedroom Wallpaper 601221 - Soft feel paper</t>
  </si>
  <si>
    <t>Life n Colors</t>
  </si>
  <si>
    <t>BD-VRM-2023-4791</t>
  </si>
  <si>
    <t>Bonito Wall Decor - 3D Abstract Floral Pattern Bedroom Wallpaper 601222 - Canvas paper</t>
  </si>
  <si>
    <t>BD-VRM-2023-4760</t>
  </si>
  <si>
    <t>Bonito Wall Decor - 3D Molding Decorative Room Wallpaper, Green 600921 - Soft feel paper</t>
  </si>
  <si>
    <t>BD-VRM-2023-4785</t>
  </si>
  <si>
    <t>Bonito Wall Decor - 3D Molding Decorative Room Wallpaper, Green 600922 - Canvas paper</t>
  </si>
  <si>
    <t>BD-VRM-2023-4745</t>
  </si>
  <si>
    <t>Bonito Wall Decor - Animals Going on Picnic, Kids Room Wallpaper 600211 - Soft feel paper</t>
  </si>
  <si>
    <t>BD-VRM-2023-4770</t>
  </si>
  <si>
    <t>Bonito Wall Decor - Animals Going on Picnic, Kids Room Wallpaper 600212 - Canvas paper</t>
  </si>
  <si>
    <t>BD-VRM-2023-4751</t>
  </si>
  <si>
    <t>Bonito Wall Decor - Beautiful Flying Animals Kids Room Wallpaper 600511 - Soft feel paper [BBP]</t>
  </si>
  <si>
    <t>BD-VRM-2023-4776</t>
  </si>
  <si>
    <t>Bonito Wall Decor - Beautiful Flying Animals Kids Room Wallpaper 600512 - Canvas paper</t>
  </si>
  <si>
    <t>BD-VRM-2024-0521</t>
  </si>
  <si>
    <t>Bonito Wall Decor - Big Floral Wallpaper For Rooms Blossoms In Twilight (Canvas Paper - 603612)</t>
  </si>
  <si>
    <t>BD-VRM-2024-0533</t>
  </si>
  <si>
    <t>Bonito Wall Decor - Big Floral Wallpaper For Rooms Blossoms In Twilight (Handmade Paper - 604222)</t>
  </si>
  <si>
    <t>BD-VRM-2023-4759</t>
  </si>
  <si>
    <t>Bonito Wall Decor - Black and White Abstract Pattern Wallpaper for Walls 600911 - Soft feel paper</t>
  </si>
  <si>
    <t>BD-VRM-2023-4784</t>
  </si>
  <si>
    <t>Bonito Wall Decor - Black and White Abstract Pattern Wallpaper for Walls 600912 - Canvas paper [BBP]</t>
  </si>
  <si>
    <t>BD-VRM-2023-4794</t>
  </si>
  <si>
    <t>Bonito Wall Decor - Blossom, Peach Chinoiserie Wallpaper 601411 - Premium Soft feel paper [BBP]</t>
  </si>
  <si>
    <t>BD-VRM-2023-4800</t>
  </si>
  <si>
    <t>Bonito Wall Decor - Blossom, Peach Chinoiserie Wallpaper 601412 - Premium Canvas paper</t>
  </si>
  <si>
    <t>BD-VRM-2024-0520</t>
  </si>
  <si>
    <t>Bonito Wall Decor - Britannia Oasis European Room Wallpaper Golden Hues (Canvas Paper - 603522)</t>
  </si>
  <si>
    <t>BD-VRM-2023-4754</t>
  </si>
  <si>
    <t>Bonito Wall Decor - Chinoiserie Floral Theme Wallpaper for Walls 600621 - Soft feel paper [BBP]</t>
  </si>
  <si>
    <t>BD-VRM-2023-4779</t>
  </si>
  <si>
    <t>Bonito Wall Decor - Chinoiserie Floral Theme Wallpaper for Walls 600622 - Canvas paper</t>
  </si>
  <si>
    <t>BD-VRM-2024-0517</t>
  </si>
  <si>
    <t>Bonito Wall Decor - Chinoiserie Whispers Artful Wall Mural Customised (Canvas Paper - 603412)</t>
  </si>
  <si>
    <t>BD-VRM-2024-0529</t>
  </si>
  <si>
    <t>Bonito Wall Decor - Chinoiserie Whispers Artful Wall Mural Customised (Handmade Paper - 604022)</t>
  </si>
  <si>
    <t>BD-VRM-2023-4748</t>
  </si>
  <si>
    <t>Bonito Wall Decor - Customised Space Theme Wallpaper for Kids Room, Planets, rockets, Astronauts 600321 - Soft feel paper</t>
  </si>
  <si>
    <t>BD-VRM-2023-4773</t>
  </si>
  <si>
    <t>Bonito Wall Decor - Customised Space Theme Wallpaper for Kids Room, Planets, rockets, Astronauts 600322 - Canvas paper</t>
  </si>
  <si>
    <t>BD-VRM-2023-4750</t>
  </si>
  <si>
    <t>Bonito Wall Decor - Cute Fairies Wallpaper for Girls Room Walls 600421 - Soft feel paper</t>
  </si>
  <si>
    <t>BD-VRM-2023-4775</t>
  </si>
  <si>
    <t>Bonito Wall Decor - Cute Fairies Wallpaper for Girls Room Walls 600422 - Canvas paper [BBP]</t>
  </si>
  <si>
    <t>BD-VRM-2024-0518</t>
  </si>
  <si>
    <t>Bonito Wall Decor - Deep Harmony Abstract Wall Wallpaper Customised (Canvas Paper - 603422)</t>
  </si>
  <si>
    <t>BD-VRM-2024-0530</t>
  </si>
  <si>
    <t>Bonito Wall Decor - Deep Harmony Abstract Wall Wallpaper Customised (Handmade Paper - 604112)</t>
  </si>
  <si>
    <t>BD-VRM-2023-4749</t>
  </si>
  <si>
    <t>Bonito Wall Decor - Dreamy Elephant Design for Kids Room Nursery Wallpaper 600411 - Soft feel paper</t>
  </si>
  <si>
    <t>BD-VRM-2023-4774</t>
  </si>
  <si>
    <t>Bonito Wall Decor - Dreamy Elephant Design for Kids Room Nursery Wallpaper 600412 - Canvas paper</t>
  </si>
  <si>
    <t>BD-VRM-2023-4797</t>
  </si>
  <si>
    <t>Bonito Wall Decor - Ehsaas, Grisaille Foliage Wallpaper 601521 - Premium Soft feel paper</t>
  </si>
  <si>
    <t>BD-VRM-2023-4803</t>
  </si>
  <si>
    <t>Bonito Wall Decor - Ehsaas, Grisaille Foliage Wallpaper 601522 - Premium Canvas paper</t>
  </si>
  <si>
    <t>BD-VRM-2024-0515</t>
  </si>
  <si>
    <t>Bonito Wall Decor - Ethereal Dreams Misty European Wallpaper (Canvas Paper - 603312)</t>
  </si>
  <si>
    <t>BD-VRM-2024-0527</t>
  </si>
  <si>
    <t>Bonito Wall Decor - Ethereal Dreams Misty European Wallpaper (Handmade Paper - 603922)</t>
  </si>
  <si>
    <t>BD-VRM-2023-4767</t>
  </si>
  <si>
    <t>Bonito Wall Decor - Face Art Design, Dirt Brown, Distorted Textured Wallpaper 601311 - Soft feel paper</t>
  </si>
  <si>
    <t>BD-VRM-2023-4792</t>
  </si>
  <si>
    <t>Bonito Wall Decor - Face Art Design, Dirt Brown, Distorted Textured Wallpaper 601312 - Canvas paper</t>
  </si>
  <si>
    <t>BD-VRM-2023-4746</t>
  </si>
  <si>
    <t>Bonito Wall Decor - Fairyland Dreams Girls Room Wallpaper 600221 - Soft feel paper</t>
  </si>
  <si>
    <t>BD-VRM-2023-4771</t>
  </si>
  <si>
    <t>Bonito Wall Decor - Fairyland Dreams Girls Room Wallpaper 600222 - Canvas paper</t>
  </si>
  <si>
    <t>BD-VRM-2024-0525</t>
  </si>
  <si>
    <t>Bonito Wall Decor - Garden Charm European Style Room Wallpaper Customised (Handmade Paper - 603822)</t>
  </si>
  <si>
    <t>BD-VRM-2024-0513</t>
  </si>
  <si>
    <t>Bonito Wall Decor - Garden Charm European Style Room Wallpaper, Customised (Canvas Paper - 603212)</t>
  </si>
  <si>
    <t>BD-VRM-2024-0516</t>
  </si>
  <si>
    <t>Bonito Wall Decor - Garden Elegance Continental Room Wallpaper (Canvas Paper - 603322)</t>
  </si>
  <si>
    <t>BD-VRM-2024-0528</t>
  </si>
  <si>
    <t>Bonito Wall Decor - Garden Elegance Continental Room Wallpaper (Handmade Paper - 604012)</t>
  </si>
  <si>
    <t>BD-VRM-2024-0512</t>
  </si>
  <si>
    <t>Bonito Wall Decor - Geet Madhubani Wallpaper Clay Beige Color (Canvas Paper - 603122)</t>
  </si>
  <si>
    <t>BD-VRM-2024-0524</t>
  </si>
  <si>
    <t>Bonito Wall Decor - Geet Madhubani Wallpaper Clay Beige Color (Handmade Paper - 603812)</t>
  </si>
  <si>
    <t>BD-VRM-2023-4761</t>
  </si>
  <si>
    <t>Bonito Wall Decor - Indian Ethnic Blue print Customized wallpaper 601011 - Soft feel paper</t>
  </si>
  <si>
    <t>BD-VRM-2023-4786</t>
  </si>
  <si>
    <t>Bonito Wall Decor - Indian Ethnic Blue print Customized wallpaper 601012 - Canvas paper</t>
  </si>
  <si>
    <t>BD-VRM-2023-4763</t>
  </si>
  <si>
    <t>Bonito Wall Decor - Indian Multicolor FloralÂ Fusion Customised Wallpaper 601111 - Soft Feel Paper</t>
  </si>
  <si>
    <t>BD-VRM-2023-4788</t>
  </si>
  <si>
    <t>Bonito Wall Decor - Indian Multicolor FloralÂ Fusion Customised Wallpaper 601112 - Canvas Paper</t>
  </si>
  <si>
    <t>BD-VRM-2023-4758</t>
  </si>
  <si>
    <t>Bonito Wall Decor - Indo Persian Carpet Design, Wallpaper for Walls 600821 - Soft feel paper</t>
  </si>
  <si>
    <t>BD-VRM-2023-4783</t>
  </si>
  <si>
    <t>Bonito Wall Decor - Indo Persian Carpet Design, Wallpaper for Walls 600822 - Canvas paper</t>
  </si>
  <si>
    <t>BD-VRM-2023-4795</t>
  </si>
  <si>
    <t>Bonito Wall Decor - Industrial Look Ikat Pattern Fusion Design Wallpaper 601421 - Premium Soft feel paper [BBP]</t>
  </si>
  <si>
    <t>BD-VRM-2023-4801</t>
  </si>
  <si>
    <t>Bonito Wall Decor - Industrial Look Ikat Pattern Fusion Design Wallpaper 601422 - Premium Canvas paper</t>
  </si>
  <si>
    <t>BD-VRM-2024-0519</t>
  </si>
  <si>
    <t>Bonito Wall Decor - Japanese Garden Wallpaper For Luxury Homes In Gold Colors (Canvas Paper - 603512)</t>
  </si>
  <si>
    <t>BD-VRM-2024-0531</t>
  </si>
  <si>
    <t>Bonito Wall Decor - Japanese Garden Wallpaper For Luxury Homes In Gold Colors (Handmade Paper - 604122)</t>
  </si>
  <si>
    <t>BD-VRM-2024-0510</t>
  </si>
  <si>
    <t>Bonito Wall Decor - Kesari Blossom Indian Motifs Room Wallpaper (Canvas Paper - 603112)</t>
  </si>
  <si>
    <t>BD-VRM-2024-0507</t>
  </si>
  <si>
    <t>Bonito Wall Decor - Kesari Blossom Indian Motifs Room Wallpaper (Soft Feel Paper - 602322)</t>
  </si>
  <si>
    <t>BD-VRM-2023-4793</t>
  </si>
  <si>
    <t>Bonito Wall Decor - Khoob, Tropical Trees Black and White Wallpaper 601321 - Premium Soft feel paper</t>
  </si>
  <si>
    <t>BD-VRM-2023-4799</t>
  </si>
  <si>
    <t>Bonito Wall Decor - Khoob, Tropical Trees Black and White Wallpaper 601322 - Premium Canvas paper</t>
  </si>
  <si>
    <t>BD-VRM-2023-4743</t>
  </si>
  <si>
    <t>Bonito Wall Decor - Lets go on a moon walk, Cute kids room wallpaper 600111 - Soft feel paper</t>
  </si>
  <si>
    <t>BD-VRM-2023-4768</t>
  </si>
  <si>
    <t>Bonito Wall Decor - Lets go on a moon walk, Cute kids room wallpaper 600112 - Canvas paper</t>
  </si>
  <si>
    <t>BD-VRM-2024-0522</t>
  </si>
  <si>
    <t>Bonito Wall Decor - Medieval Majesty European Theme Wall Wallpaper (Canvas Paper - 603622)</t>
  </si>
  <si>
    <t>BD-VRM-2024-0514</t>
  </si>
  <si>
    <t>Bonito Wall Decor - Mint Blossom Vintage Chinoiserie Wallpaper For Walls (Canvas Paper - 603222)</t>
  </si>
  <si>
    <t>BD-VRM-2024-0526</t>
  </si>
  <si>
    <t>Bonito Wall Decor - Mint Blossom Vintage Chinoiserie Wallpaper For Walls (Handmade Paper - 603912)</t>
  </si>
  <si>
    <t>BD-VRM-2023-4764</t>
  </si>
  <si>
    <t>Bonito Wall Decor - Mint Pastel Geometric Minimalist Customised Wallpaper 601121 - Soft Feel Paper</t>
  </si>
  <si>
    <t>BD-VRM-2023-4789</t>
  </si>
  <si>
    <t>Bonito Wall Decor - Mint Pastel Geometric Minimalist Customised Wallpaper 601122 - Canvas Paper</t>
  </si>
  <si>
    <t>BD-VRM-2024-0535</t>
  </si>
  <si>
    <t>Bonito Wall Decor - Morni Peacock And Flowers Chinoiserie Design For Walls, Yellow (Handmade Paper - 604322)</t>
  </si>
  <si>
    <t>BD-VRM-2024-0523</t>
  </si>
  <si>
    <t>Bonito Wall Decor - Morni, Peacock And Flowers Chinoiserie Design For Walls Yellow (Canvas Paper - 604412)</t>
  </si>
  <si>
    <t>BD-VRM-2023-4757</t>
  </si>
  <si>
    <t>Bonito Wall Decor - Mystic India Striped Wallpaper for Rooms 600811 - Soft feel paper</t>
  </si>
  <si>
    <t>BD-VRM-2023-4782</t>
  </si>
  <si>
    <t>Bonito Wall Decor - Mystic India Striped Wallpaper for Rooms 600812 - Canvas paper</t>
  </si>
  <si>
    <t>BD-VRM-2024-0148</t>
  </si>
  <si>
    <t>Bonito Wall Decor - Pen Sketch Wallpaper,City Look Design Customised - Canvas Texture Paper</t>
  </si>
  <si>
    <t>BD-VRM-2024-0147</t>
  </si>
  <si>
    <t>Bonito Wall Decor - Pen Sketch Wallpaper,City Look Design Customised - Soft Feel</t>
  </si>
  <si>
    <t>BD-VRM-2023-4755</t>
  </si>
  <si>
    <t>Bonito Wall Decor - Pink Large Floral Print Wallpaper for Rooms 600711 - Soft feel paper</t>
  </si>
  <si>
    <t>BD-VRM-2023-4780</t>
  </si>
  <si>
    <t>Bonito Wall Decor - Pink Large Floral Print Wallpaper for Rooms 600712 - Canvas paper</t>
  </si>
  <si>
    <t>BD-VRM-2024-0511</t>
  </si>
  <si>
    <t>Bonito Wall Decor - Plum Blossom Chinoiserie Style Wallpaper For Rooms (Canvas Paper - 603712)</t>
  </si>
  <si>
    <t>BD-VRM-2024-0508</t>
  </si>
  <si>
    <t>Bonito Wall Decor - Plum Blossom Chinoiserie Style Wallpaper For Rooms (Soft Feel Paper - 603722)</t>
  </si>
  <si>
    <t>BD-VRM-2023-4796</t>
  </si>
  <si>
    <t>Bonito Wall Decor - Poetry, Modern Wallpaper for Homes 601511 - Premium Soft feel paper [BBP]</t>
  </si>
  <si>
    <t>BD-VRM-2023-4802</t>
  </si>
  <si>
    <t>Bonito Wall Decor - Poetry, Modern Wallpaper for Homes 601512 - Premium Canvas paper</t>
  </si>
  <si>
    <t>BD-VRM-2023-4747</t>
  </si>
  <si>
    <t>Bonito Wall Decor - Rainbow &amp; Hot Air Balloons Themes Children Room Wall Designs, Custom Wallpaper 600311 - Soft feel paper</t>
  </si>
  <si>
    <t>BD-VRM-2023-4772</t>
  </si>
  <si>
    <t>Bonito Wall Decor - Rainbow &amp; Hot Air Balloons Themes Children Room Wall Designs, Custom Wallpaper 600312 - Canvas paper</t>
  </si>
  <si>
    <t>BD-VRM-2023-4798</t>
  </si>
  <si>
    <t>Bonito Wall Decor - Shalimar - Mughal Inspired Colorful Wallpaper 601611 - Premium Soft feel paper</t>
  </si>
  <si>
    <t>BD-VRM-2023-4804</t>
  </si>
  <si>
    <t>Bonito Wall Decor - Shalimar - Mughal Inspired Colorful Wallpaper 601612 - Premium Canvas paper</t>
  </si>
  <si>
    <t>BD-VRM-2023-4744</t>
  </si>
  <si>
    <t>Bonito Wall Decor - The Sea Voyage, Kids Room Wallpaper 600121 - Soft feel paper</t>
  </si>
  <si>
    <t>BD-VRM-2023-4769</t>
  </si>
  <si>
    <t>Bonito Wall Decor - The Sea Voyage, Kids Room Wallpaper 600122 - Canvas paper [BBP]</t>
  </si>
  <si>
    <t>BD-VRM-2023-4753</t>
  </si>
  <si>
    <t>Bonito Wall Decor - Tropical Leaf Pattern Background Customised Wallpaper 600611 - Soft feel paper [BBP]</t>
  </si>
  <si>
    <t>BD-VRM-2023-4778</t>
  </si>
  <si>
    <t>Bonito Wall Decor - Tropical Leaf Pattern Background Customised Wallpaper 600612 - Canvas paper</t>
  </si>
  <si>
    <t>BD-VRM-2023-4756</t>
  </si>
  <si>
    <t>Bonito Wall Decor - Unique Hanging Floral and Bird Wallpaper for Bedrooms 600721 - Soft feel paper</t>
  </si>
  <si>
    <t>BD-VRM-2023-4781</t>
  </si>
  <si>
    <t>Bonito Wall Decor - Unique Hanging Floral and Bird Wallpaper for Bedrooms 600722 - Canvas paper</t>
  </si>
  <si>
    <t>BD-VRM-2023-4752</t>
  </si>
  <si>
    <t>Bonito Wall Decor - Vintage Style Floral Pattern Wallpaper for Rooms 600521 - Soft feel paper</t>
  </si>
  <si>
    <t>BD-VRM-2023-4777</t>
  </si>
  <si>
    <t>Bonito Wall Decor - Vintage Style Floral Pattern Wallpaper for Rooms 600522 - Canvas paper</t>
  </si>
  <si>
    <t>BD-VRM-2024-0509</t>
  </si>
  <si>
    <t>Bonito Wall Decor - Water Colors Look Floral Wallpaper (Canvas Paper - 602412)</t>
  </si>
  <si>
    <t>BD-VRM-2024-0506</t>
  </si>
  <si>
    <t>Bonito Wall Decor - Water Colors Look Floral Wallpaper (Soft Feel Paper - 601622)</t>
  </si>
  <si>
    <t>BD-VRM-2023-4762</t>
  </si>
  <si>
    <t>Bonito Wall Decor - Whimsical Waves Blue Watercolor Serenity Wallpaper for Bedroom 601021 - Soft feel paper</t>
  </si>
  <si>
    <t>BD-VRM-2023-4787</t>
  </si>
  <si>
    <t>Bonito Wall Decor - Whimsical Waves Blue Watercolor Serenity Wallpaper for Bedroom 601022 - Canvas paper</t>
  </si>
  <si>
    <t>WP LNCCN1126157</t>
  </si>
  <si>
    <t>Life n Colors - 3D Abstract Pattern Using Geometric Blocks for Walls  -  Canvas - a texture paper</t>
  </si>
  <si>
    <t>WP LNCSF1126157</t>
  </si>
  <si>
    <t>Life n Colors - 3D Abstract Pattern Using Geometric Blocks for Walls  - Non-woven - a soft feel paper</t>
  </si>
  <si>
    <t>WP LNCCN1046952</t>
  </si>
  <si>
    <t>Life n Colors - 3D Chevron Wallpaper, Pastel Blue, Customised  -  Canvas - a texture paper</t>
  </si>
  <si>
    <t>WP LNCSF1046952</t>
  </si>
  <si>
    <t>Life n Colors - 3D Chevron Wallpaper, Pastel Blue, Customised  - Non-woven - a soft feel paper</t>
  </si>
  <si>
    <t>WP LNCCN1045184</t>
  </si>
  <si>
    <t>Life n Colors - 3D Chevron Wallpaper, Pastel Pink, Customised  -  Canvas - a texture paper</t>
  </si>
  <si>
    <t>WP LNCSF1045184</t>
  </si>
  <si>
    <t>Life n Colors - 3D Chevron Wallpaper, Pastel Pink, Customised  - Non-woven - a soft feel paper</t>
  </si>
  <si>
    <t>WP LNCCN1007601</t>
  </si>
  <si>
    <t>Life n Colors - 3D Exposed Red Brick Look Wallpapers  -  Canvas - a texture paper</t>
  </si>
  <si>
    <t>WP LNCSF1007601</t>
  </si>
  <si>
    <t>Life n Colors - 3D Exposed Red Brick Look Wallpapers  - Non-woven - a soft feel paper</t>
  </si>
  <si>
    <t>WP LNCCN1023339</t>
  </si>
  <si>
    <t>Life n Colors - 3D Green and Golden Geometric Panels Wallpaper  -  Canvas - a texture paper</t>
  </si>
  <si>
    <t>WP LNCSF1023339</t>
  </si>
  <si>
    <t>Life n Colors - 3D Green and Golden Geometric Panels Wallpaper  - Non-woven - a soft feel paper</t>
  </si>
  <si>
    <t>WP LNCCN1088023</t>
  </si>
  <si>
    <t>Life n Colors - 3D Grey Tile Texture Wallpaper for Rooms  -  Canvas - a texture paper</t>
  </si>
  <si>
    <t>WP LNCSF1088023</t>
  </si>
  <si>
    <t>Life n Colors - 3D Grey Tile Texture Wallpaper for Rooms  - Non-woven - a soft feel paper</t>
  </si>
  <si>
    <t>WP LNCCN1050249</t>
  </si>
  <si>
    <t>Life n Colors - 3D Look Geometric Pattern, Brown &amp; Green, Customised  -  Canvas - a texture paper</t>
  </si>
  <si>
    <t>WP LNCSF1050249</t>
  </si>
  <si>
    <t>Life n Colors - 3D Look Geometric Pattern, Brown &amp; Green, Customised  - Non-woven - a soft feel paper</t>
  </si>
  <si>
    <t>WP LNCCN1040226</t>
  </si>
  <si>
    <t>Life n Colors - 3D Look Marble Wallpaper with Gold Color Lines  -  Canvas - a texture paper</t>
  </si>
  <si>
    <t>WP LNCSF1040226</t>
  </si>
  <si>
    <t>Life n Colors - 3D Look Marble Wallpaper with Gold Color Lines  - Non-woven - a soft feel paper</t>
  </si>
  <si>
    <t>WP LNCCN1026255</t>
  </si>
  <si>
    <t>Life n Colors - 3D Look Stone in Concrete Wallpaper  -  Canvas - a texture paper</t>
  </si>
  <si>
    <t>WP LNCSF1026255</t>
  </si>
  <si>
    <t>Life n Colors - 3D Look Stone in Concrete Wallpaper  - Non-woven - a soft feel paper</t>
  </si>
  <si>
    <t>WP LNCCN1043458</t>
  </si>
  <si>
    <t>Life n Colors - 3D Moulding Design Wallpaper, Customised for Walls  -  Canvas - a texture paper</t>
  </si>
  <si>
    <t>WP LNCSF1043458</t>
  </si>
  <si>
    <t>Life n Colors - 3D Moulding Design Wallpaper, Customised for Walls  - Non-woven - a soft feel paper</t>
  </si>
  <si>
    <t>WP LNCCN1124405</t>
  </si>
  <si>
    <t>Life n Colors - 3D Moulding Wall Panel Theme Wallpaper  -  Canvas - a texture paper</t>
  </si>
  <si>
    <t>WP LNCSF1124405</t>
  </si>
  <si>
    <t>Life n Colors - 3D Moulding Wall Panel Theme Wallpaper  - Non-woven - a soft feel paper</t>
  </si>
  <si>
    <t>WP LNCCN1005893</t>
  </si>
  <si>
    <t>Life n Colors - 3D Red Brick Wallpaper for Home and Office  -  Canvas - a texture paper</t>
  </si>
  <si>
    <t>WP LNCSF1005893</t>
  </si>
  <si>
    <t>Life n Colors - 3D Red Brick Wallpaper for Home and Office  - Non-woven - a soft feel paper</t>
  </si>
  <si>
    <t>WP LNCCN1004041</t>
  </si>
  <si>
    <t>Life n Colors - 3D Stone Tiles Themed Wallpaper for Walls  -  Canvas - a texture paper</t>
  </si>
  <si>
    <t>WP LNCSF1004041</t>
  </si>
  <si>
    <t>Life n Colors - 3D Stone Tiles Themed Wallpaper for Walls  - Non-woven - a soft feel paper</t>
  </si>
  <si>
    <t>WP LNCCN1008273</t>
  </si>
  <si>
    <t>Life n Colors - 3D Wooden Looks Geometric Panels for Room Walls, Customised  -  Canvas - a texture paper</t>
  </si>
  <si>
    <t>WP LNCSF1008273</t>
  </si>
  <si>
    <t>Life n Colors - 3D Wooden Looks Geometric Panels for Room Walls, Customised  - Non-woven - a soft feel paper</t>
  </si>
  <si>
    <t>WP LNCCN320686</t>
  </si>
  <si>
    <t>Life n Colors - A Jungle Village, Nature Theme Wallpaper  -  Canvas - a texture paper</t>
  </si>
  <si>
    <t>WP LNCCN388711</t>
  </si>
  <si>
    <t>Life n Colors - A Story by the Garden Wallpaper  -  Canvas - a texture paper</t>
  </si>
  <si>
    <t>WP LNCCN1147777</t>
  </si>
  <si>
    <t>Life n Colors - Abstract Batik Print Wallpaper, Customised for Walls  -  Canvas - a texture paper</t>
  </si>
  <si>
    <t>WP LNCSF1147777</t>
  </si>
  <si>
    <t>Life n Colors - Abstract Batik Print Wallpaper, Customised for Walls  - Non-woven - a soft feel paper</t>
  </si>
  <si>
    <t>WP LNCCN1177622</t>
  </si>
  <si>
    <t>Life n Colors - Abstract Color Gradient Wall Art, Pink and Blue  -  Canvas - a texture paper</t>
  </si>
  <si>
    <t>WP LNCSF1177622</t>
  </si>
  <si>
    <t>Life n Colors - Abstract Color Gradient Wall Art, Pink and Blue  - Non-woven - a soft feel paper</t>
  </si>
  <si>
    <t>WP LNCCN1067158</t>
  </si>
  <si>
    <t>Life n Colors - Abstract Modern Art Wallpaper, Customised for Homes  -  Canvas - a texture paper</t>
  </si>
  <si>
    <t>WP LNCSF1067158</t>
  </si>
  <si>
    <t>Life n Colors - Abstract Modern Art Wallpaper, Customised for Homes  - Non-woven - a soft feel paper</t>
  </si>
  <si>
    <t>WP LNCCN1089108</t>
  </si>
  <si>
    <t>Life n Colors - Abstract Painting Based Wallpaper  -  Canvas - a texture paper</t>
  </si>
  <si>
    <t>WP LNCSF1089108</t>
  </si>
  <si>
    <t>Life n Colors - Abstract Painting Based Wallpaper  - Non-woven - a soft feel paper</t>
  </si>
  <si>
    <t>WP LNCCN1046515</t>
  </si>
  <si>
    <t>Life n Colors - Abstract Repeat Pattern, Customised Wallpaper for Rooms  -  Canvas - a texture paper</t>
  </si>
  <si>
    <t>WP LNCSF1046515</t>
  </si>
  <si>
    <t>Life n Colors - Abstract Repeat Pattern, Customised Wallpaper for Rooms  - Non-woven - a soft feel paper</t>
  </si>
  <si>
    <t>WP LNCCN376698</t>
  </si>
  <si>
    <t>Life n Colors - Anandvan, Jungle Theme Wallpaper  -  Canvas - a texture paper</t>
  </si>
  <si>
    <t>WP LNCCN1036697</t>
  </si>
  <si>
    <t>Life n Colors - Animals in Big Jungle, Children Room Wallpaper  -  Canvas - a texture paper</t>
  </si>
  <si>
    <t>WP LNCSF1036697</t>
  </si>
  <si>
    <t>Life n Colors - Animals in Big Jungle, Children Room Wallpaper  - Non-woven - a soft feel paper</t>
  </si>
  <si>
    <t>WP LNCCN1029188</t>
  </si>
  <si>
    <t>Life n Colors - Around the Town, Cute Train Wallpaper Design for Kids  -  Canvas - a texture paper</t>
  </si>
  <si>
    <t>WP LNCSF1029188</t>
  </si>
  <si>
    <t>Life n Colors - Around the Town, Cute Train Wallpaper Design for Kids - Non-woven - a soft feel paper</t>
  </si>
  <si>
    <t>WP LNCCN392514</t>
  </si>
  <si>
    <t>Life n Colors - Bageecha- Indian Garden Wallpaper  -  Canvas - a texture paper</t>
  </si>
  <si>
    <t>WP LNCCN1075865</t>
  </si>
  <si>
    <t>Life n Colors - Balloons &amp; Gliders Pastel Colors Children Room Wall Paper  -  Canvas - a texture paper</t>
  </si>
  <si>
    <t>WP LNCSF1075865</t>
  </si>
  <si>
    <t>Life n Colors - Balloons &amp; Gliders Pastel Colors Children Room Wall Paper  - Non-woven - a soft feel paper</t>
  </si>
  <si>
    <t>WP LNCCN300216</t>
  </si>
  <si>
    <t>Life n Colors - Banaras, Indian Carpet Design Wallpaper  -  Canvas - a texture paper</t>
  </si>
  <si>
    <t>WP LNCCN1129489</t>
  </si>
  <si>
    <t>Life n Colors - Beautiful Floral &amp; Leaves Wallpaper Design  -  Canvas - a texture paper</t>
  </si>
  <si>
    <t>WP LNCSF1129489</t>
  </si>
  <si>
    <t>Life n Colors - Beautiful Floral &amp; Leaves Wallpaper Design  - Non-woven - a soft feel paper</t>
  </si>
  <si>
    <t>WP LNCCN1098496</t>
  </si>
  <si>
    <t>Life n Colors - Beige and Grey Background Tropical Leaves Wallpaper  -  Canvas - a texture paper</t>
  </si>
  <si>
    <t>WP LNCSF1098496</t>
  </si>
  <si>
    <t>Life n Colors - Beige and Grey Background Tropical Leaves Wallpaper  - Non-woven - a soft feel paper</t>
  </si>
  <si>
    <t>WP LNCCN1070998</t>
  </si>
  <si>
    <t>Life n Colors - Beige Indian Ikkat Pattern Bedroom Wallpaper  -  Canvas - a texture paper</t>
  </si>
  <si>
    <t>WP LNCSF1070998</t>
  </si>
  <si>
    <t>Life n Colors - Beige Indian Ikkat Pattern Bedroom Wallpaper  - Non-woven - a soft feel paper</t>
  </si>
  <si>
    <t>WP LNCCN1198672</t>
  </si>
  <si>
    <t>Life n Colors - Beige Vintage Antique World Map for Walls, Customised  -  Canvas - a texture paper</t>
  </si>
  <si>
    <t>WP LNCSF1198672</t>
  </si>
  <si>
    <t>Life n Colors - Beige Vintage Antique World Map for Walls, Customised  - Non-woven - a soft feel paper</t>
  </si>
  <si>
    <t>WP LNCCN321525</t>
  </si>
  <si>
    <t>Life n Colors - Bharat, Rich Indian Wallpaper Design  -  Canvas - a texture paper</t>
  </si>
  <si>
    <t>WP LNCCN1074412</t>
  </si>
  <si>
    <t>Life n Colors - Big Floral Pattern on Walls, Hand Painted Look  -  Canvas - a texture paper</t>
  </si>
  <si>
    <t>WP LNCSF1074412</t>
  </si>
  <si>
    <t>Life n Colors - Big Floral Pattern on Walls, Hand Painted Look  - Non-woven - a soft feel paper</t>
  </si>
  <si>
    <t>WP LNCCN1093077</t>
  </si>
  <si>
    <t>Life n Colors - Big Lotus Leaves, Premium Indian Wallpaper Design  -  Canvas - a texture paper</t>
  </si>
  <si>
    <t>WP LNCSF1093077</t>
  </si>
  <si>
    <t>Life n Colors - Big Lotus Leaves, Premium Indian Wallpaper Design  - Non-woven - a soft feel paper</t>
  </si>
  <si>
    <t>WP LNCCN1108034</t>
  </si>
  <si>
    <t>Life n Colors - Big Lotuses in Vintage Theme Wallpaper  -  Canvas - a texture paper</t>
  </si>
  <si>
    <t>WP LNCSF1108034</t>
  </si>
  <si>
    <t>Life n Colors - Big Lotuses in Vintage Theme Wallpaper  - Non-woven - a soft feel paper</t>
  </si>
  <si>
    <t>WP LNCCN1151328</t>
  </si>
  <si>
    <t>Life n Colors - Big Pastel Green World Map for Kids Room Walls  -  Canvas - a texture paper</t>
  </si>
  <si>
    <t>WP LNCSF1151328</t>
  </si>
  <si>
    <t>Life n Colors - Big Pastel Green World Map for Kids Room Walls  - Non-woven - a soft feel paper</t>
  </si>
  <si>
    <t>WP LNCCN1025104</t>
  </si>
  <si>
    <t>Life n Colors - Black &amp; White Indian Art Wallpaper for Rooms  -  Canvas - a texture paper</t>
  </si>
  <si>
    <t>WP LNCSF1025104</t>
  </si>
  <si>
    <t>Life n Colors - Black &amp; White Indian Art Wallpaper for Rooms  - Non-woven - a soft feel paper</t>
  </si>
  <si>
    <t>WP LNCCN1130150</t>
  </si>
  <si>
    <t>Life n Colors - Black and Golden Vintage World Map Wallpaper, Customised  -  Canvas - a texture paper</t>
  </si>
  <si>
    <t>WP LNCSF1130150</t>
  </si>
  <si>
    <t>Life n Colors - Black and Golden Vintage World Map Wallpaper, Customised  - Non-woven - a soft feel paper</t>
  </si>
  <si>
    <t>WP LNCCN1010201</t>
  </si>
  <si>
    <t>Life n Colors - Black and White Japanese Leaves Motif Wallpaper  -  Canvas - a texture paper</t>
  </si>
  <si>
    <t>WP LNCSF1010201</t>
  </si>
  <si>
    <t>Life n Colors - Black and White Japanese Leaves Motif Wallpaper  - Non-woven - a soft feel paper</t>
  </si>
  <si>
    <t>WP LNCCN1197777</t>
  </si>
  <si>
    <t>Life n Colors - Black and White Mountain Trees Wallpapers, Customised  -  Canvas - a texture paper</t>
  </si>
  <si>
    <t>WP LNCSF1197777</t>
  </si>
  <si>
    <t>Life n Colors - Black and White Mountain Trees Wallpapers, Customised  - Non-woven - a soft feel paper</t>
  </si>
  <si>
    <t>WP LNCCN1179303</t>
  </si>
  <si>
    <t>Life n Colors - Black and White Sports Wallpaper for Kids Rooms  -  Canvas - a texture paper</t>
  </si>
  <si>
    <t>WP LNCSF1179303</t>
  </si>
  <si>
    <t>Life n Colors - Black and White Sports Wallpaper for Kids Rooms  - Non-woven - a soft feel paper</t>
  </si>
  <si>
    <t>WP LNCCN1010093</t>
  </si>
  <si>
    <t>Life n Colors - Blue Abstract Wallpaper Design for Rooms  -  Canvas - a texture paper</t>
  </si>
  <si>
    <t>WP LNCSF1010093</t>
  </si>
  <si>
    <t>Life n Colors - Blue Abstract Wallpaper Design for Rooms  - Non-woven - a soft feel paper</t>
  </si>
  <si>
    <t>WP LNCCN1156629</t>
  </si>
  <si>
    <t>Life n Colors - Blue Geometric Pattern Wallpaper for Rooms  -  Canvas - a texture paper</t>
  </si>
  <si>
    <t>WP LNCSF1156629</t>
  </si>
  <si>
    <t>Life n Colors - Blue Geometric Pattern Wallpaper for Rooms  - Non-woven - a soft feel paper</t>
  </si>
  <si>
    <t>WP LNCCN1187847</t>
  </si>
  <si>
    <t>Life n Colors - Blue Indian Fabric Look with Elephants Wallpaper  -  Canvas - a texture paper</t>
  </si>
  <si>
    <t>WP LNCSF1187847</t>
  </si>
  <si>
    <t>Life n Colors - Blue Indian Fabric Look with Elephants Wallpaper  - Non-woven - a soft feel paper</t>
  </si>
  <si>
    <t>WP LNCCN1197428</t>
  </si>
  <si>
    <t>Life n Colors - Bonfire Jungle Animals Wallpaper  -  Canvas - a texture paper</t>
  </si>
  <si>
    <t>WP LNCSF1197428</t>
  </si>
  <si>
    <t>Life n Colors - Bonfire Jungle Animals Wallpaper  - Non-woven - a soft feel paper</t>
  </si>
  <si>
    <t>WP LNCCN301023</t>
  </si>
  <si>
    <t>Life n Colors - Brasil, A Fascinating Colorful Tropical Wallpaper  -  Canvas - a texture paper</t>
  </si>
  <si>
    <t>WP LNCCN1195866</t>
  </si>
  <si>
    <t>Life n Colors - Charm, Nature Theme Based Tropical Wallpaper  -  Canvas - a texture paper</t>
  </si>
  <si>
    <t>WP LNCSF1195866</t>
  </si>
  <si>
    <t>Life n Colors - Charm, Nature Theme Based Tropical Wallpaper  - Non-woven - a soft feel paper</t>
  </si>
  <si>
    <t>WP LNCCN1167126</t>
  </si>
  <si>
    <t>Life n Colors - Chevron Pattern Wallpaper for Walls  -  Canvas - a texture paper</t>
  </si>
  <si>
    <t>WP LNCSF1167126</t>
  </si>
  <si>
    <t>Life n Colors - Chevron Pattern Wallpaper for Walls  - Non-woven - a soft feel paper</t>
  </si>
  <si>
    <t>WP LNCCN1049430</t>
  </si>
  <si>
    <t>Life n Colors - Chinoiserie Lemons, Customised Wallpaper for Walls  -  Canvas - a texture paper</t>
  </si>
  <si>
    <t>WP LNCSF1049430</t>
  </si>
  <si>
    <t>Life n Colors - Chinoiserie Lemons, Customised Wallpaper for Walls  - Non-woven - a soft feel paper</t>
  </si>
  <si>
    <t>WP LNCCN1093246</t>
  </si>
  <si>
    <t>Life n Colors - Chinoiserie Pattern Wallpaper for Walls  -  Canvas - a texture paper</t>
  </si>
  <si>
    <t>WP LNCSF1093246</t>
  </si>
  <si>
    <t>Life n Colors - Chinoiserie Pattern Wallpaper for Walls  - Non-woven - a soft feel paper</t>
  </si>
  <si>
    <t>WP LNCCN1033689</t>
  </si>
  <si>
    <t>Life n Colors - Chinoiserie Wall Mural with Birds and Flowers, Customised  -  Canvas - a texture paper</t>
  </si>
  <si>
    <t>WP LNCSF1033689</t>
  </si>
  <si>
    <t>Life n Colors - Chinoiserie Wall Mural with Birds and Flowers, Customised  - Non-woven - a soft feel paper</t>
  </si>
  <si>
    <t>WP LNCCN1017520</t>
  </si>
  <si>
    <t>Life n Colors - Classy Pista Green Colors Wallpaper for Rooms, Customised  -  Canvas - a texture paper</t>
  </si>
  <si>
    <t>WP LNCSF1017520</t>
  </si>
  <si>
    <t>Life n Colors - Classy Pista Green Colors Wallpaper for Rooms, Customised  - Non-woven - a soft feel paper</t>
  </si>
  <si>
    <t>WP LNCCN1170471</t>
  </si>
  <si>
    <t>Life n Colors - Colorful City Landscape Sketch Theme Kids Wallpaper  -  Canvas - a texture paper</t>
  </si>
  <si>
    <t>WP LNCSF1170471</t>
  </si>
  <si>
    <t>Life n Colors - Colorful City Landscape Sketch Theme Kids Wallpaper  - Non-woven - a soft feel paper</t>
  </si>
  <si>
    <t>WP LNCCN1027622</t>
  </si>
  <si>
    <t>Life n Colors - Colorful Sketch Ships and Balloons Theme Wallpaper for Kids Room  -  Canvas - a texture paper</t>
  </si>
  <si>
    <t>WP LNCSF1027622</t>
  </si>
  <si>
    <t>Life n Colors - Colorful Sketch Ships and Balloons Theme Wallpaper for Kids Room  - Non-woven - a soft feel paper</t>
  </si>
  <si>
    <t>WP LNCCN1197560</t>
  </si>
  <si>
    <t>Life n Colors - Colorful Sports Balls Wallpaper for Children Room  -  Canvas - a texture paper</t>
  </si>
  <si>
    <t>WP LNCSF1197560</t>
  </si>
  <si>
    <t>Life n Colors - Colorful Sports Balls Wallpaper for Children Room  - Non-woven - a soft feel paper</t>
  </si>
  <si>
    <t>WP LNCCN1015421</t>
  </si>
  <si>
    <t>Life n Colors - Colourful Water Coloured Polka Dots for Kids Room  -  Canvas - a texture paper</t>
  </si>
  <si>
    <t>WP LNCSF1015421</t>
  </si>
  <si>
    <t>Life n Colors - Colourful Water Coloured Polka Dots for Kids Room  - Non-woven - a soft feel paper</t>
  </si>
  <si>
    <t>WP LNCSF1038249</t>
  </si>
  <si>
    <t>Life n Colors - Cool Cats Motifs For Kids Room  - Non-woven - a soft feel paper</t>
  </si>
  <si>
    <t>WP LNCCN1092014</t>
  </si>
  <si>
    <t>Life n Colors - Customised Fairies Wallpaper Theme for Girls Room  -  Canvas - a texture paper</t>
  </si>
  <si>
    <t>WP LNCSF1092014</t>
  </si>
  <si>
    <t>Life n Colors - Customised Fairies Wallpaper Theme for Girls Room  - Non-woven - a soft feel paper</t>
  </si>
  <si>
    <t>WP LNCCN1137861</t>
  </si>
  <si>
    <t>Life n Colors - Customised Space Theme Wallpaper Design for Kids Room  -  Canvas - a texture paper</t>
  </si>
  <si>
    <t>WP LNCSF1137861</t>
  </si>
  <si>
    <t>Life n Colors - Customised Space Theme Wallpaper Design for Kids Room  - Non-woven - a soft feel paper</t>
  </si>
  <si>
    <t>WP LNCCN1163811</t>
  </si>
  <si>
    <t>Life n Colors - Cute Animal Design Wallpaper for Nursery Rooms  -  Canvas - a texture paper</t>
  </si>
  <si>
    <t>WP LNCSF1163811</t>
  </si>
  <si>
    <t>Life n Colors - Cute Animal Design Wallpaper for Nursery Rooms  - Non-woven - a soft feel paper</t>
  </si>
  <si>
    <t>WP LNCCN1086193</t>
  </si>
  <si>
    <t>Life n Colors - Cute Animal Safari Wallpaper for Kid  -  Canvas - a texture paper</t>
  </si>
  <si>
    <t>WP LNCSF1086193</t>
  </si>
  <si>
    <t>Life n Colors - Cute Animal Safari Wallpaper for Kid  - Non-woven - a soft feel paper</t>
  </si>
  <si>
    <t>WP LNCCN1167211</t>
  </si>
  <si>
    <t>Life n Colors - Cute Animals Theme Kids Room Wallpaper, Customised  -  Canvas - a texture paper</t>
  </si>
  <si>
    <t>WP LNCSF1167211</t>
  </si>
  <si>
    <t>Life n Colors - Cute Animals Theme Kids Room Wallpaper, Customised  - Non-woven - a soft feel paper</t>
  </si>
  <si>
    <t>WP LNCCN1056064</t>
  </si>
  <si>
    <t>Life n Colors - Cute Elephants and Bunnies in Nursery Kids Room Wallpaper  -  Canvas - a texture paper</t>
  </si>
  <si>
    <t>WP LNCSF1056064</t>
  </si>
  <si>
    <t>Life n Colors - Cute Elephants and Bunnies in Nursery Kids Room Wallpaper  - Non-woven - a soft feel paper</t>
  </si>
  <si>
    <t>WP LNCCN1077823</t>
  </si>
  <si>
    <t>Life n Colors - Cute Elephants on Clouds in Starry Night, Kids Wallpaper  -  Canvas - a texture paper</t>
  </si>
  <si>
    <t>WP LNCSF1077823</t>
  </si>
  <si>
    <t>Life n Colors - Cute Elephants on Clouds in Starry Night, Kids Wallpaper  - Non-woven - a soft feel paper</t>
  </si>
  <si>
    <t>WP LNCCN1034135</t>
  </si>
  <si>
    <t>Life n Colors - Cute Island Houses with Balloons and Planes, Customised Wallpaper  -  Canvas - a texture paper</t>
  </si>
  <si>
    <t>WP LNCSF1034135</t>
  </si>
  <si>
    <t>Life n Colors - Cute Island Houses with Balloons and Planes, Customised Wallpaper  - Non-woven - a soft feel paper</t>
  </si>
  <si>
    <t>WP LNCCN1116006</t>
  </si>
  <si>
    <t>Life n Colors - Cute Jungle Animals Mama and Kids Wallpaper for Kids  -  Canvas - a texture paper</t>
  </si>
  <si>
    <t>WP LNCSF1116006</t>
  </si>
  <si>
    <t>Life n Colors - Cute Jungle Animals Mama and Kids Wallpaper for Kids  - Non-woven - a soft feel paper</t>
  </si>
  <si>
    <t>WP LNCCN1014054</t>
  </si>
  <si>
    <t>Life n Colors - Cute Jungle Theme Kids Room Wallpaper  -  Canvas - a texture paper</t>
  </si>
  <si>
    <t>WP LNCSF1014054</t>
  </si>
  <si>
    <t>Life n Colors - Cute Jungle Theme Kids Room Wallpaper  - Non-woven - a soft feel paper</t>
  </si>
  <si>
    <t>WP LNCCN1132367</t>
  </si>
  <si>
    <t>Life n Colors - Cute Marine Life for Kids Room Wallpaper  -  Canvas - a texture paper</t>
  </si>
  <si>
    <t>WP LNCSF1132367</t>
  </si>
  <si>
    <t>Life n Colors - Cute Marine Life for Kids Room Wallpaper  - Non-woven - a soft feel paper</t>
  </si>
  <si>
    <t>WP LNCCN1128023</t>
  </si>
  <si>
    <t>Life n Colors - Cute Mermaids Wall Mural for Kids Room  -  Canvas - a texture paper</t>
  </si>
  <si>
    <t>WP LNCSF1128023</t>
  </si>
  <si>
    <t>Life n Colors - Cute Mermaids Wall Mural for Kids Room  - Non-woven - a soft feel paper</t>
  </si>
  <si>
    <t>WP LNCCN1068582</t>
  </si>
  <si>
    <t>Life n Colors - Cute Pastel Shades Floral Wallpaper  -  Canvas - a texture paper</t>
  </si>
  <si>
    <t>WP LNCSF1068582</t>
  </si>
  <si>
    <t>Life n Colors - Cute Pastel Shades Floral Wallpaper  - Non-woven - a soft feel paper</t>
  </si>
  <si>
    <t>WP LNCCN1092689</t>
  </si>
  <si>
    <t>Life n Colors - Cute Sea Animals Kids Room Wallpaper, Pastel Water Color Effects  -  Canvas - a texture paper</t>
  </si>
  <si>
    <t>WP LNCSF1092689</t>
  </si>
  <si>
    <t>Life n Colors - Cute Sea Animals Kids Room Wallpaper, Pastel Water Color Effects  - Non-woven - a soft feel paper</t>
  </si>
  <si>
    <t>WP LNCCN1058007</t>
  </si>
  <si>
    <t>Life n Colors - Cute Space Theme Wallpaper for Kids Room, Blue &amp; Grey  -  Canvas - a texture paper</t>
  </si>
  <si>
    <t>WP LNCSF1058007</t>
  </si>
  <si>
    <t>Life n Colors - Cute Space Theme Wallpaper for Kids Room, Blue &amp; Grey  - Non-woven - a soft feel paper</t>
  </si>
  <si>
    <t>WP LNCCN1026850</t>
  </si>
  <si>
    <t>Life n Colors - Damask Pattern Using Bugs, Theme Wallpaper  -  Canvas - a texture paper</t>
  </si>
  <si>
    <t>WP LNCSF1026850</t>
  </si>
  <si>
    <t>Life n Colors - Damask Pattern Using Bugs, Theme Wallpaper  - Non-woven - a soft feel paper</t>
  </si>
  <si>
    <t>WP LNCCN1148914</t>
  </si>
  <si>
    <t>Life n Colors - Dense Floral Wall Pattern, Customised Wallpaper  -  Canvas - a texture paper</t>
  </si>
  <si>
    <t>WP LNCSF1148914</t>
  </si>
  <si>
    <t>Life n Colors - Dense Floral Wall Pattern, Customised Wallpaper  - Non-woven - a soft feel paper</t>
  </si>
  <si>
    <t>WP LNCCN1176150</t>
  </si>
  <si>
    <t>Life n Colors - Dense Tropical Leaves Pattern, Wallpaper for Walls  -  Canvas - a texture paper</t>
  </si>
  <si>
    <t>WP LNCSF1176150</t>
  </si>
  <si>
    <t>Life n Colors - Dense Tropical Leaves Pattern, Wallpaper for Walls  - Non-woven - a soft feel paper</t>
  </si>
  <si>
    <t>WP LNCCN357205</t>
  </si>
  <si>
    <t>Life n Colors - Dream Palace, a Fusion Theme Wallpaper for Homes  -  Canvas - a texture paper</t>
  </si>
  <si>
    <t>WP LNCCN1176625</t>
  </si>
  <si>
    <t>Life n Colors - Dreamy Elephant Design for Kids Room Nursery Wallpaper  -  Canvas - a texture paper</t>
  </si>
  <si>
    <t>WP LNCSF1176625</t>
  </si>
  <si>
    <t>Life n Colors - Dreamy Elephant Design for Kids Room Nursery Wallpaper  - Non-woven - a soft feel paper</t>
  </si>
  <si>
    <t>WP LNCCN1169043</t>
  </si>
  <si>
    <t>Life n Colors - Dripping paint, Premium Textured Wallpaper Design for Rooms  -  Canvas - a texture paper</t>
  </si>
  <si>
    <t>WP LNCSF1169043</t>
  </si>
  <si>
    <t>Life n Colors - Dripping paint, Premium Textured Wallpaper Design for Rooms  - Non-woven - a soft feel paper</t>
  </si>
  <si>
    <t>WP LNCCN1058723</t>
  </si>
  <si>
    <t>Life n Colors - Elegant Blue Geometric Design Wallpaper, Customised for Homes  -  Canvas - a texture paper</t>
  </si>
  <si>
    <t>WP LNCSF1058723</t>
  </si>
  <si>
    <t>Life n Colors - Elegant Blue Geometric Design Wallpaper, Customised for Homes  - Non-woven - a soft feel paper</t>
  </si>
  <si>
    <t>WP LNCCN1038953</t>
  </si>
  <si>
    <t>Life n Colors - Elephants Theme Wallpaper, Repeat Pattern  -  Canvas - a texture paper</t>
  </si>
  <si>
    <t>WP LNCSF1038953</t>
  </si>
  <si>
    <t>Life n Colors - Elephants Theme Wallpaper, Repeat Pattern  - Non-woven - a soft feel paper</t>
  </si>
  <si>
    <t>WP LNCCN1031929</t>
  </si>
  <si>
    <t>Life n Colors - Exposed Marble Design, Wallpapers for Rooms  -  Canvas - a texture paper</t>
  </si>
  <si>
    <t>WP LNCSF1031929</t>
  </si>
  <si>
    <t>Life n Colors - Exposed Marble Design, Wallpapers for Rooms  - Non-woven - a soft feel paper</t>
  </si>
  <si>
    <t>WP LNCCN1147462</t>
  </si>
  <si>
    <t>Life n Colors - Face Art Design, Dirt Brown, Distorted Textured Wallpaper  -  Canvas - a texture paper</t>
  </si>
  <si>
    <t>WP LNCSF1147462</t>
  </si>
  <si>
    <t>Life n Colors - Face Art Design, Dirt Brown, Distorted Textured Wallpaper  - Non-woven - a soft feel paper</t>
  </si>
  <si>
    <t>WP LNCCN1066351</t>
  </si>
  <si>
    <t>Life n Colors - Fairy Land Space Theme Children Wallpaper  -  Canvas - a texture paper</t>
  </si>
  <si>
    <t>WP LNCSF1066351</t>
  </si>
  <si>
    <t>Life n Colors - Fairy Land Space Theme Children Wallpaper  - Non-woven - a soft feel paper</t>
  </si>
  <si>
    <t>WP LNCCN304048</t>
  </si>
  <si>
    <t>Life n Colors - Fascinating Enchantment, Luxury Wallpaper for Rooms  -  Canvas - a texture paper</t>
  </si>
  <si>
    <t>WP LNCCN336493</t>
  </si>
  <si>
    <t>Life n Colors - Fitorr, Vintage Style Room Wallpaper  -  Canvas - a texture paper</t>
  </si>
  <si>
    <t>WP LNCCN1008297</t>
  </si>
  <si>
    <t>Life n Colors - Flamingos in Tropical Theme Wallpaper, Customised  -  Canvas - a texture paper</t>
  </si>
  <si>
    <t>WP LNCSF1008297</t>
  </si>
  <si>
    <t>Life n Colors - Flamingos in Tropical Theme Wallpaper, Customised  - Non-woven - a soft feel paper</t>
  </si>
  <si>
    <t>WP LNCCN1107339</t>
  </si>
  <si>
    <t>Life n Colors - Floral Pattern with Blue Background Themed Wallpaper for Walls  -  Canvas - a texture paper</t>
  </si>
  <si>
    <t>WP LNCSF1107339</t>
  </si>
  <si>
    <t>Life n Colors - Floral Pattern with Blue Background Themed Wallpaper for Walls  - Non-woven - a soft feel paper</t>
  </si>
  <si>
    <t>WP LNCCN1172487</t>
  </si>
  <si>
    <t>Life n Colors - Flower Drawn in Line Art Patten on Pink Background, Room Wallpaper  -  Canvas - a texture paper</t>
  </si>
  <si>
    <t>WP LNCSF1172487</t>
  </si>
  <si>
    <t>Life n Colors - Flower Drawn in Line Art Patten on Pink Background, Room Wallpaper  - Non-woven - a soft feel paper</t>
  </si>
  <si>
    <t>WP LNCCN1119380</t>
  </si>
  <si>
    <t>Life n Colors - Flower Vase Painting Wallpaper  -  Canvas - a texture paper</t>
  </si>
  <si>
    <t>WP LNCSF1119380</t>
  </si>
  <si>
    <t>Life n Colors - Flower Vase Painting Wallpaper  - Non-woven - a soft feel paper</t>
  </si>
  <si>
    <t>WP LNCCN1011416</t>
  </si>
  <si>
    <t>Life n Colors - Flying Animals on Hot Air Balloons Wallpaper Design for Kids  -  Canvas - a texture paper</t>
  </si>
  <si>
    <t>WP LNCSF1011416</t>
  </si>
  <si>
    <t>Life n Colors - Flying Animals on Hot Air Balloons Wallpaper Design for Kids  - Non-woven - a soft feel paper</t>
  </si>
  <si>
    <t>WP LNCCN1170177</t>
  </si>
  <si>
    <t>Life n Colors - Forest Theme, Beautiful Birds and Animals, Wall Covering For kids Room  -  Canvas - a texture paper</t>
  </si>
  <si>
    <t>WP LNCSF1170177</t>
  </si>
  <si>
    <t>Life n Colors - Forest Theme, Beautiful Birds and Animals, Wall Covering For kids Room  - Non-woven - a soft feel paper</t>
  </si>
  <si>
    <t>WP LNCCN388380</t>
  </si>
  <si>
    <t>Life n Colors - Frida Kahlo, Modern Room Wallpaper  -  Canvas - a texture paper</t>
  </si>
  <si>
    <t>WP LNCCN348586</t>
  </si>
  <si>
    <t>Life n Colors - Fusion Art Theme Wallpaper  -  Canvas - a texture paper</t>
  </si>
  <si>
    <t>WP LNCCN1027993</t>
  </si>
  <si>
    <t>Life n Colors - Geometric Abstract Design for Walls, Customised wallpaper  -  Canvas - a texture paper</t>
  </si>
  <si>
    <t>WP LNCSF1027993</t>
  </si>
  <si>
    <t>Life n Colors - Geometric Abstract Design for Walls, Customised wallpaper  - Non-woven - a soft feel paper</t>
  </si>
  <si>
    <t>WP LNCCN1196824</t>
  </si>
  <si>
    <t>Life n Colors - Girls Room Unicorn Wallpaper in Pastel Shades, Customised  -  Canvas - a texture paper</t>
  </si>
  <si>
    <t>WP LNCSF1196824</t>
  </si>
  <si>
    <t>Life n Colors - Girls Room Unicorn Wallpaper in Pastel Shades, Customised  - Non-woven - a soft feel paper</t>
  </si>
  <si>
    <t>WP LNCCN311525</t>
  </si>
  <si>
    <t>Life n Colors - Gitanjali, Indian Luxury Design Wallpaper  -  Canvas - a texture paper</t>
  </si>
  <si>
    <t>WP LNCCN1158106</t>
  </si>
  <si>
    <t>Life n Colors - Glider Theme Wallpaper for Walls  -  Canvas - a texture paper</t>
  </si>
  <si>
    <t>WP LNCSF1158106</t>
  </si>
  <si>
    <t>Life n Colors - Glider Theme Wallpaper for Walls  - Non-woven - a soft feel paper</t>
  </si>
  <si>
    <t>WP LNCCN1089396</t>
  </si>
  <si>
    <t>Life n Colors - Gold Stripes with Textured Colors Design Wallpaper  -  Canvas - a texture paper</t>
  </si>
  <si>
    <t>WP LNCSF1089396</t>
  </si>
  <si>
    <t>Life n Colors - Gold Stripes with Textured Colors Design Wallpaper  - Non-woven - a soft feel paper</t>
  </si>
  <si>
    <t>WP LNCCN1160696</t>
  </si>
  <si>
    <t>Life n Colors - Golden Strips with Natural Marble Wall Wallpaper  -  Canvas - a texture paper</t>
  </si>
  <si>
    <t>WP LNCSF1160696</t>
  </si>
  <si>
    <t>Life n Colors - Golden Strips with Natural Marble Wall Wallpaper  - Non-woven - a soft feel paper</t>
  </si>
  <si>
    <t>WP LNCCN1039475</t>
  </si>
  <si>
    <t>Life n Colors - Green &amp; Yellow Geometric Striped Wallpaper  -  Canvas - a texture paper</t>
  </si>
  <si>
    <t>WP LNCSF1039475</t>
  </si>
  <si>
    <t>Life n Colors - Green &amp; Yellow Geometric Striped Wallpaper  - Non-woven - a soft feel paper</t>
  </si>
  <si>
    <t>WP LNCCN1093996</t>
  </si>
  <si>
    <t>Life n Colors - Green and Blue Geometric Shapes, Wallpaper for Walls  -  Canvas - a texture paper</t>
  </si>
  <si>
    <t>WP LNCSF1093996</t>
  </si>
  <si>
    <t>Life n Colors - Green and Blue Geometric Shapes, Wallpaper for Walls  - Non-woven - a soft feel paper</t>
  </si>
  <si>
    <t>WP LNCCN1035554</t>
  </si>
  <si>
    <t>Life n Colors - Green Diamond Pattern Wallpaper, Customised  -  Canvas - a texture paper</t>
  </si>
  <si>
    <t>WP LNCSF1035554</t>
  </si>
  <si>
    <t>Life n Colors - Green Diamond Pattern Wallpaper, Customised  - Non-woven - a soft feel paper</t>
  </si>
  <si>
    <t>WP LNCCN1148468</t>
  </si>
  <si>
    <t>Life n Colors - Green Fabric Look with Elephants Indian Wallpaper  -  Canvas - a texture paper</t>
  </si>
  <si>
    <t>WP LNCSF1148468</t>
  </si>
  <si>
    <t>Life n Colors - Green Fabric Look with Elephants Indian Wallpaper  - Non-woven - a soft feel paper</t>
  </si>
  <si>
    <t>WP LNCCN1181819</t>
  </si>
  <si>
    <t>Life n Colors - Green Floral Design Wallpaper for Walls  -  Canvas - a texture paper</t>
  </si>
  <si>
    <t>WP LNCSF1181819</t>
  </si>
  <si>
    <t>Life n Colors - Green Floral Design Wallpaper for Walls  - Non-woven - a soft feel paper</t>
  </si>
  <si>
    <t>WP LNCCN1038622</t>
  </si>
  <si>
    <t>Life n Colors - Green Peaceful Forest, Silhouette Design Wallpaper  -  Canvas - a texture paper</t>
  </si>
  <si>
    <t>WP LNCSF1038622</t>
  </si>
  <si>
    <t>Life n Colors - Green Peaceful Forest, Silhouette Design Wallpaper  - Non-woven - a soft feel paper</t>
  </si>
  <si>
    <t>WP LNCCN1026394</t>
  </si>
  <si>
    <t>Life n Colors - Greenish Blue Ikat Wallpaper, Premium Indian Design  -  Canvas - a texture paper</t>
  </si>
  <si>
    <t>WP LNCSF1026394</t>
  </si>
  <si>
    <t>Life n Colors - Greenish Blue Ikat Wallpaper, Premium Indian Design  - Non-woven - a soft feel paper</t>
  </si>
  <si>
    <t>WP LNCCN313071</t>
  </si>
  <si>
    <t>Life n Colors - Gulbiya, Pink Chinoiserie Wallpaper  -  Canvas - a texture paper</t>
  </si>
  <si>
    <t>WP LNCCN1069300</t>
  </si>
  <si>
    <t>Life n Colors - Hanging Botanical Creeper with Birds, Customised Wallpaper  -  Canvas - a texture paper</t>
  </si>
  <si>
    <t>WP LNCSF1069300</t>
  </si>
  <si>
    <t>Life n Colors - Hanging Botanical Creeper with Birds, Customised Wallpaper  - Non-woven - a soft feel paper</t>
  </si>
  <si>
    <t>WP LNCCN1019054</t>
  </si>
  <si>
    <t>Life n Colors - Hanging Tropical Leaves Wallpaper Design  -  Canvas - a texture paper</t>
  </si>
  <si>
    <t>WP LNCSF1019054</t>
  </si>
  <si>
    <t>Life n Colors - Hanging Tropical Leaves Wallpaper Design  - Non-woven - a soft feel paper</t>
  </si>
  <si>
    <t>WP LNCCN1100925</t>
  </si>
  <si>
    <t>Life n Colors - Harmony, Subtle Green Leaves in White Wallpaper Design  -  Canvas - a texture paper</t>
  </si>
  <si>
    <t>WP LNCSF1100925</t>
  </si>
  <si>
    <t>Life n Colors - Harmony, Subtle Green Leaves in White Wallpaper Design  - Non-woven - a soft feel paper</t>
  </si>
  <si>
    <t>WP LNCCN1135571</t>
  </si>
  <si>
    <t>Life n Colors - Hazy Forest Background Wallpaper for Walls  -  Canvas - a texture paper</t>
  </si>
  <si>
    <t>WP LNCSF1135571</t>
  </si>
  <si>
    <t>Life n Colors - Hazy Forest Background Wallpaper for Walls  - Non-woven - a soft feel paper</t>
  </si>
  <si>
    <t>WP LNCCN1051840</t>
  </si>
  <si>
    <t>Life n Colors - High Fashion Ikat Wallpaper, Pastel Shades  -  Canvas - a texture paper</t>
  </si>
  <si>
    <t>WP LNCSF1051840</t>
  </si>
  <si>
    <t>Life n Colors - High Fashion Ikat Wallpaper, Pastel Shades  - Non-woven - a soft feel paper</t>
  </si>
  <si>
    <t>WP LNCCN271525</t>
  </si>
  <si>
    <t>Life n Colors - Hindustan, Indian Folk Art Inspired Montage Wallpaper  -  Canvas - a texture paper</t>
  </si>
  <si>
    <t>WP LNCCN1028622</t>
  </si>
  <si>
    <t>Life n Colors - Indian Elephants Wallpaper Design for Rooms  -  Canvas - a texture paper</t>
  </si>
  <si>
    <t>WP LNCSF1028622</t>
  </si>
  <si>
    <t>Life n Colors - Indian Elephants Wallpaper Design for Rooms  - Non-woven - a soft feel paper</t>
  </si>
  <si>
    <t>WP LNCCN1067311</t>
  </si>
  <si>
    <t>Life n Colors - Indian Floral Theme Repeat Design Wallpaper, Luxury  -  Canvas - a texture paper</t>
  </si>
  <si>
    <t>WP LNCSF1067311</t>
  </si>
  <si>
    <t>Life n Colors - Indian Floral Theme Repeat Design Wallpaper, Luxury  - Non-woven - a soft feel paper</t>
  </si>
  <si>
    <t>WP LNCCN1180739</t>
  </si>
  <si>
    <t>Life n Colors - Indian Floral Theme Repeat Design Wallpaper, Luxury, Customised  -  Canvas - a texture paper</t>
  </si>
  <si>
    <t>WP LNCSF1180739</t>
  </si>
  <si>
    <t>Life n Colors - Indian Floral Theme Repeat Design Wallpaper, Luxury, Customised  - Non-woven - a soft feel paper</t>
  </si>
  <si>
    <t>WP LNCCN1022430</t>
  </si>
  <si>
    <t>Life n Colors - Indian Hand Painted Look Floral Design Wallpaper  -  Canvas - a texture paper</t>
  </si>
  <si>
    <t>WP LNCSF1022430</t>
  </si>
  <si>
    <t>Life n Colors - Indian Hand Painted Look Floral Design Wallpaper  - Non-woven - a soft feel paper</t>
  </si>
  <si>
    <t>WP LNCCN1100800</t>
  </si>
  <si>
    <t>Life n Colors - Indian Lotuses Wallpaper, Repeat Pattern  -  Canvas - a texture paper</t>
  </si>
  <si>
    <t>WP LNCSF1100800</t>
  </si>
  <si>
    <t>Life n Colors - Indian Lotuses Wallpaper, Repeat Pattern  - Non-woven - a soft feel paper</t>
  </si>
  <si>
    <t>WP LNCCN1161279</t>
  </si>
  <si>
    <t>Life n Colors - Indian Paisley Design wallpaper, Customized  -  Canvas - a texture paper</t>
  </si>
  <si>
    <t>WP LNCSF1161279</t>
  </si>
  <si>
    <t>Life n Colors - Indian Paisley Design wallpaper, Customized  - Non-woven - a soft feel paper</t>
  </si>
  <si>
    <t>WP LNCCN1188454</t>
  </si>
  <si>
    <t>Life n Colors - Indian Peacock Indian Mughal Theme Wallpaper for Rooms  -  Canvas - a texture paper</t>
  </si>
  <si>
    <t>WP LNCSF1188454</t>
  </si>
  <si>
    <t>Life n Colors - Indian Peacock Indian Mughal Theme Wallpaper for Rooms  - Non-woven - a soft feel paper</t>
  </si>
  <si>
    <t>WP LNCCN369468</t>
  </si>
  <si>
    <t>Life n Colors - Indian Pichwai Wallpaper for Rooms  -  Canvas - a texture paper</t>
  </si>
  <si>
    <t>WP LNCCN1163056</t>
  </si>
  <si>
    <t>Life n Colors - Indian Wallpaper Design, Elephants in Repeat Pattern  -  Canvas - a texture paper</t>
  </si>
  <si>
    <t>WP LNCSF1163056</t>
  </si>
  <si>
    <t>Life n Colors - Indian Wallpaper Design, Elephants in Repeat Pattern  - Non-woven - a soft feel paper</t>
  </si>
  <si>
    <t>WP LNCCN1183853</t>
  </si>
  <si>
    <t>Life n Colors - Indian Warli Art, Peacock and Trees Wallpaper  -  Canvas - a texture paper</t>
  </si>
  <si>
    <t>WP LNCSF1183853</t>
  </si>
  <si>
    <t>Life n Colors - Indian Warli Art, Peacock and Trees Wallpaper  - Non-woven - a soft feel paper</t>
  </si>
  <si>
    <t>WP LNCCN377046</t>
  </si>
  <si>
    <t>Life n Colors - Itâ€™s a French Life, Old Painting Inspired Wallpaper  -  Canvas - a texture paper</t>
  </si>
  <si>
    <t>WP LNCCN305407</t>
  </si>
  <si>
    <t>Life n Colors - Itihaas, Indian Theme Room Wallpaper -  Canvas - a texture paper</t>
  </si>
  <si>
    <t>WP LNCCN311329</t>
  </si>
  <si>
    <t>Life n Colors - Jaisalmer, Indian Theme Wall Wallpaper  -  Canvas - a texture paper</t>
  </si>
  <si>
    <t>WP LNCCN301525</t>
  </si>
  <si>
    <t>Life n Colors - Jannat, Chinoiserie Wallpaper  -  Canvas - a texture paper</t>
  </si>
  <si>
    <t>WP LNCCN1009112</t>
  </si>
  <si>
    <t>Life n Colors - Jharokha, Fort Windows Inspired Wallpaper  -  Canvas - a texture paper</t>
  </si>
  <si>
    <t>WP LNCSF1009112</t>
  </si>
  <si>
    <t>Life n Colors - Jharokha, Fort Windows Inspired Wallpaper  - Non-woven - a soft feel paper</t>
  </si>
  <si>
    <t>WP LNCCN360833</t>
  </si>
  <si>
    <t>Life n Colors - Jodhpur, A Rich Rajasthan Theme Wallpaper  -  Canvas - a texture paper</t>
  </si>
  <si>
    <t>WP LNCCN1112209</t>
  </si>
  <si>
    <t>Life n Colors - Jungle Animals in White Background Wallpaper for Kids Room, Customised  -  Canvas - a texture paper</t>
  </si>
  <si>
    <t>WP LNCSF1112209</t>
  </si>
  <si>
    <t>Life n Colors - Jungle Animals in White Background Wallpaper for Kids Room, Customised  - Non-woven - a soft feel paper</t>
  </si>
  <si>
    <t>WP LNCCN1156057</t>
  </si>
  <si>
    <t>Life n Colors - Jungle Class Room Theme Wall Mural for Kids Room  -  Canvas - a texture paper</t>
  </si>
  <si>
    <t>WP LNCSF1156057</t>
  </si>
  <si>
    <t>Life n Colors - Jungle Class Room Theme Wall Mural for Kids Room  - Non-woven - a soft feel paper</t>
  </si>
  <si>
    <t>WP LNCCN1161908</t>
  </si>
  <si>
    <t>Life n Colors - Jungle Plants And Animal Design for kids Room  -  Canvas - a texture paper</t>
  </si>
  <si>
    <t>WP LNCSF1161908</t>
  </si>
  <si>
    <t>Life n Colors - Jungle Plants And Animal Design for kids Room  - Non-woven - a soft feel paper</t>
  </si>
  <si>
    <t>WP LNCCN1092460</t>
  </si>
  <si>
    <t>Life n Colors - Jungle Theme Animals Wallpaper for Kids Room Walls  -  Canvas - a texture paper</t>
  </si>
  <si>
    <t>WP LNCSF1092460</t>
  </si>
  <si>
    <t>Life n Colors - Jungle Theme Animals Wallpaper for Kids Room Walls  - Non-woven - a soft feel paper</t>
  </si>
  <si>
    <t>WP LNCCN1034604</t>
  </si>
  <si>
    <t>Life n Colors - Jungle Theme Customised Wall Mural for Children Room  -  Canvas - a texture paper</t>
  </si>
  <si>
    <t>WP LNCSF1034604</t>
  </si>
  <si>
    <t>Life n Colors - Jungle Theme Customised Wall Mural for Children Room  - Non-woven - a soft feel paper</t>
  </si>
  <si>
    <t>WP LNCCN1177058</t>
  </si>
  <si>
    <t>Life n Colors - Jungle Theme Kids Room Wallpaper, Giraffe, Elephant, Lioness,Cub, Zebra  -  Canvas - a texture paper</t>
  </si>
  <si>
    <t>WP LNCSF1177058</t>
  </si>
  <si>
    <t>Life n Colors - Jungle Theme Kids Room Wallpaper, Giraffe, Elephant, Lioness,Cub, Zebra  - Non-woven - a soft feel paper</t>
  </si>
  <si>
    <t>WP LNCSF1035034</t>
  </si>
  <si>
    <t>Life n Colors - Jungle Theme Tiger Wallpaper  - Non-woven - a soft feel paper</t>
  </si>
  <si>
    <t>WP LNCCN1017555</t>
  </si>
  <si>
    <t>Life n Colors - Jungle Theme Wallpaper with Cute Animals and Quotes  -  Canvas - a texture paper</t>
  </si>
  <si>
    <t>WP LNCSF1017555</t>
  </si>
  <si>
    <t>Life n Colors - Jungle Theme Wallpaper with Cute Animals and Quotes  - Non-woven - a soft feel paper</t>
  </si>
  <si>
    <t>WP LNCCN321332</t>
  </si>
  <si>
    <t>Life n Colors - Kahani, Indian Art Theme Wallpaper  -  Canvas - a texture paper</t>
  </si>
  <si>
    <t>WP LNCCN331525</t>
  </si>
  <si>
    <t>Life n Colors - Kalpvriksha, Gond Art Garden Wallpaper  -  Canvas - a texture paper</t>
  </si>
  <si>
    <t>WP LNCCN311006</t>
  </si>
  <si>
    <t>Life n Colors - Kasturi, Wallpaper in Sepia Vintage Theme  -  Canvas - a texture paper</t>
  </si>
  <si>
    <t>WP LNCCN395156</t>
  </si>
  <si>
    <t>Life n Colors - Khayal, A Beautiful Room Wallpaper  -  Canvas - a texture paper</t>
  </si>
  <si>
    <t>WP LNCCN309563</t>
  </si>
  <si>
    <t>Life n Colors - Khwab, Dreams on Wall, Wallpaper  -  Canvas - a texture paper</t>
  </si>
  <si>
    <t>WP LNCCN1190618</t>
  </si>
  <si>
    <t>Life n Colors - Langoor Bandar in Jungle, Customised Wall Wallpaper  -  Canvas - a texture paper</t>
  </si>
  <si>
    <t>WP LNCSF1190618</t>
  </si>
  <si>
    <t>Life n Colors - Langoor Bandar in Jungle, Customised Wall Wallpaper  - Non-woven - a soft feel paper</t>
  </si>
  <si>
    <t>WP LNCCN1116631</t>
  </si>
  <si>
    <t>Life n Colors - Large Geometric Pattern with Golden Lines, Wallpaper  -  Canvas - a texture paper</t>
  </si>
  <si>
    <t>WP LNCSF1116631</t>
  </si>
  <si>
    <t>Life n Colors - Large Geometric Pattern with Golden Lines, Wallpaper  - Non-woven - a soft feel paper</t>
  </si>
  <si>
    <t>WP LNCCN1145747</t>
  </si>
  <si>
    <t>Life n Colors - Large Royal Damask Wallpaper, Customised  -  Canvas - a texture paper</t>
  </si>
  <si>
    <t>WP LNCSF1145747</t>
  </si>
  <si>
    <t>Life n Colors - Large Royal Damask Wallpaper, Customised  - Non-woven - a soft feel paper</t>
  </si>
  <si>
    <t>WP LNCCN1116966</t>
  </si>
  <si>
    <t>Life n Colors - Lemur In Jungle Setting, Customised Wall Wallpaper  -  Canvas - a texture paper</t>
  </si>
  <si>
    <t>WP LNCSF1116966</t>
  </si>
  <si>
    <t>Life n Colors - Lemur In Jungle Setting, Customised Wall Wallpaper  - Non-woven - a soft feel paper</t>
  </si>
  <si>
    <t>WP LNCCN1110975</t>
  </si>
  <si>
    <t>Life n Colors - Leopard Wallpaper, Colorful and Exotic Design, Customised  -  Canvas - a texture paper</t>
  </si>
  <si>
    <t>WP LNCSF1110975</t>
  </si>
  <si>
    <t>Life n Colors - Leopard Wallpaper, Colorful and Exotic Design, Customised  - Non-woven - a soft feel paper</t>
  </si>
  <si>
    <t>WP LNCCN1103114</t>
  </si>
  <si>
    <t>Life n Colors - Lets go on a moon walk, Cute kids room wallpaper  -  Canvas - a texture paper</t>
  </si>
  <si>
    <t>WP LNCSF1103114</t>
  </si>
  <si>
    <t>Life n Colors - Lets go on a moon walk, Cute kids room wallpaper  - Non-woven - a soft feel paper</t>
  </si>
  <si>
    <t>WP LNCCN1192043</t>
  </si>
  <si>
    <t>Life n Colors - Light Green Trees in Tropical Room Wallpaper  -  Canvas - a texture paper</t>
  </si>
  <si>
    <t>WP LNCSF1192043</t>
  </si>
  <si>
    <t>Life n Colors - Light Green Trees in Tropical Room Wallpaper  - Non-woven - a soft feel paper</t>
  </si>
  <si>
    <t>WP LNCCN1144619</t>
  </si>
  <si>
    <t>Life n Colors - Little World on Safari, Jungle Animals Wallpaper  -  Canvas - a texture paper</t>
  </si>
  <si>
    <t>WP LNCSF1144619</t>
  </si>
  <si>
    <t>Life n Colors - Little World on Safari, Jungle Animals Wallpaper  - Non-woven - a soft feel paper</t>
  </si>
  <si>
    <t>WP LNCCN1185880</t>
  </si>
  <si>
    <t>Life n Colors - London, Smart Animals in Jungle Background  -  Canvas - a texture paper</t>
  </si>
  <si>
    <t>WP LNCSF1185880</t>
  </si>
  <si>
    <t>Life n Colors - London, Smart Animals in Jungle Background  - Non-woven - a soft feel paper</t>
  </si>
  <si>
    <t>WP LNCCN1037473</t>
  </si>
  <si>
    <t>Life n Colors - Marble Stone Wallpaper, Abstract Design Pattern  -  Canvas - a texture paper</t>
  </si>
  <si>
    <t>WP LNCSF1037473</t>
  </si>
  <si>
    <t>Life n Colors - Marble Stone Wallpaper, Abstract Design Pattern  - Non-woven - a soft feel paper</t>
  </si>
  <si>
    <t>WP LNCCN1098544</t>
  </si>
  <si>
    <t>Life n Colors - Marching Animals on Rope Theme for Kids Room  -  Canvas - a texture paper</t>
  </si>
  <si>
    <t>WP LNCSF1098544</t>
  </si>
  <si>
    <t>Life n Colors - Marching Animals on Rope Theme for Kids Room  - Non-woven - a soft feel paper</t>
  </si>
  <si>
    <t>WP LNCCN1019564</t>
  </si>
  <si>
    <t>Life n Colors - Maroon Indian Print Wallpaper for Rooms, Customised  -  Canvas - a texture paper</t>
  </si>
  <si>
    <t>WP LNCSF1019564</t>
  </si>
  <si>
    <t>Life n Colors - Maroon Indian Print Wallpaper for Rooms, Customised  - Non-woven - a soft feel paper</t>
  </si>
  <si>
    <t>WP LNCCN1029808</t>
  </si>
  <si>
    <t>Life n Colors - Marvel Super Heros, Avengers Wallpaper for Walls  -  Canvas - a texture paper</t>
  </si>
  <si>
    <t>WP LNCSF1029808</t>
  </si>
  <si>
    <t>Life n Colors - Marvel Super Heros, Avengers Wallpaper for Walls  - Non-woven - a soft feel paper</t>
  </si>
  <si>
    <t>WP LNCCN1056327</t>
  </si>
  <si>
    <t>Life n Colors - Modern 3D Wallpaper Design, Bedrooms, Living Rooms, and Offices  -  Canvas - a texture paper</t>
  </si>
  <si>
    <t>WP LNCSF1056327</t>
  </si>
  <si>
    <t>Life n Colors - Modern 3D Wallpaper Design, Bedrooms, Living Rooms, and Offices  - Non-woven - a soft feel paper</t>
  </si>
  <si>
    <t>WP LNCCN1166707</t>
  </si>
  <si>
    <t>Life n Colors - Modern Colorful Geometric Wallpaper Design for Walls  -  Canvas - a texture paper</t>
  </si>
  <si>
    <t>WP LNCSF1166707</t>
  </si>
  <si>
    <t>Life n Colors - Modern Colorful Geometric Wallpaper Design for Walls  - Non-woven - a soft feel paper</t>
  </si>
  <si>
    <t>WP LNCCN1192196</t>
  </si>
  <si>
    <t>Life n Colors - Mosaic Tiles Design Wallpapers for Beautiful Walls, Yellow  -  Canvas - a texture paper</t>
  </si>
  <si>
    <t>WP LNCSF1192196</t>
  </si>
  <si>
    <t>Life n Colors - Mosaic Tiles Design Wallpapers for Beautiful Walls, Yellow  - Non-woven - a soft feel paper</t>
  </si>
  <si>
    <t>WP LNCCN1147973</t>
  </si>
  <si>
    <t>Life n Colors - Mountains Theme for Kids Room, Solid Design, Geometric Pattern  -  Canvas - a texture paper</t>
  </si>
  <si>
    <t>WP LNCSF1147973</t>
  </si>
  <si>
    <t>Life n Colors - Mountains Theme for Kids Room, Solid Design, Geometric Pattern  - Non-woven - a soft feel paper</t>
  </si>
  <si>
    <t>WP LNCCN303504</t>
  </si>
  <si>
    <t>Life n Colors - Musafir, Beautiful Cranes Wallpaper  -  Canvas - a texture paper</t>
  </si>
  <si>
    <t>WP LNCCN1146230</t>
  </si>
  <si>
    <t>Life n Colors - My Little Sunshine, a Cute Kids Wallpaper  -  Canvas - a texture paper</t>
  </si>
  <si>
    <t>WP LNCSF1146230</t>
  </si>
  <si>
    <t>Life n Colors - My Little Sunshine, a Cute Kids Wallpaper  - Non-woven - a soft feel paper</t>
  </si>
  <si>
    <t>WP LNCCN1156545</t>
  </si>
  <si>
    <t>Life n Colors - New York City Scape Sketch Wallpaper for Walls  -  Canvas - a texture paper</t>
  </si>
  <si>
    <t>WP LNCSF1156545</t>
  </si>
  <si>
    <t>Life n Colors - New York City Scape Sketch Wallpaper for Walls  - Non-woven - a soft feel paper</t>
  </si>
  <si>
    <t>WP LNCCN1105475</t>
  </si>
  <si>
    <t>Life n Colors - Ocean World, Kids Room Wallpaper  -  Canvas - a texture paper</t>
  </si>
  <si>
    <t>WP LNCSF1105475</t>
  </si>
  <si>
    <t>Life n Colors - Ocean World, Kids Room Wallpaper  - Non-woven - a soft feel paper</t>
  </si>
  <si>
    <t>WP LNCCN1088692</t>
  </si>
  <si>
    <t>Life n Colors - Orange &amp; Pink Polka Dots Pattern Design Wallpaper for Kids Room  -  Canvas - a texture paper</t>
  </si>
  <si>
    <t>WP LNCSF1088692</t>
  </si>
  <si>
    <t>Life n Colors - Orange &amp; Pink Polka Dots Pattern Design Wallpaper for Kids Room  - Non-woven - a soft feel paper</t>
  </si>
  <si>
    <t>WP LNCCN1178818</t>
  </si>
  <si>
    <t>Life n Colors - Paint Stroke Pattern Wallpaper for Walls  -  Canvas - a texture paper</t>
  </si>
  <si>
    <t>WP LNCSF1178818</t>
  </si>
  <si>
    <t>Life n Colors - Paint Stroke Pattern Wallpaper for Walls  - Non-woven - a soft feel paper</t>
  </si>
  <si>
    <t>WP LNCCN1121226</t>
  </si>
  <si>
    <t>Life n Colors - Paisley Design Wallpaper, Bedrooms &amp; Living Rooms  -  Canvas - a texture paper</t>
  </si>
  <si>
    <t>WP LNCSF1121226</t>
  </si>
  <si>
    <t>Life n Colors - Paisley Design Wallpaper, Bedrooms &amp; Living Rooms  - Non-woven - a soft feel paper</t>
  </si>
  <si>
    <t>WP LNCCN1154838</t>
  </si>
  <si>
    <t>Life n Colors - Pallav, A Champagne Pink Colors Tropical Wallpaper  -  Canvas - a texture paper</t>
  </si>
  <si>
    <t>WP LNCSF1154838</t>
  </si>
  <si>
    <t>Life n Colors - Pallav, A Champagne Pink Colors Tropical Wallpaper  - Non-woven - a soft feel paper</t>
  </si>
  <si>
    <t>WP LNCCN1008116</t>
  </si>
  <si>
    <t>Life n Colors - Pastel Blue and White Checks, Children Room Wallpaper, Customised  -  Canvas - a texture paper</t>
  </si>
  <si>
    <t>WP LNCSF1008116</t>
  </si>
  <si>
    <t>Life n Colors - Pastel Blue and White Checks, Children Room Wallpaper, Customised  - Non-woven - a soft feel paper</t>
  </si>
  <si>
    <t>WP LNCCN1104013</t>
  </si>
  <si>
    <t>Life n Colors - Pastel Blue Geometric Print Boy Room Wallpaper  -  Canvas - a texture paper</t>
  </si>
  <si>
    <t>WP LNCSF1104013</t>
  </si>
  <si>
    <t>Life n Colors - Pastel Blue Geometric Print Boy Room Wallpaper  - Non-woven - a soft feel paper</t>
  </si>
  <si>
    <t>WP LNCCN1079230</t>
  </si>
  <si>
    <t>Life n Colors - Pastel Colors Triangle, Children Nursery Wallpaper  -  Canvas - a texture paper</t>
  </si>
  <si>
    <t>WP LNCSF1079230</t>
  </si>
  <si>
    <t>Life n Colors - Pastel Colors Triangle, Children Nursery Wallpaper  - Non-woven - a soft feel paper</t>
  </si>
  <si>
    <t>WP LNCCN1169859</t>
  </si>
  <si>
    <t>Life n Colors - Pastel Irregular Striped Wallpaper, Pink and Green  -  Canvas - a texture paper</t>
  </si>
  <si>
    <t>WP LNCSF1169859</t>
  </si>
  <si>
    <t>Life n Colors - Pastel Irregular Striped Wallpaper, Pink and Green  - Non-woven - a soft feel paper</t>
  </si>
  <si>
    <t>WP LNCCN1193661</t>
  </si>
  <si>
    <t>Life n Colors - Pastel Pattern Wallpaper for Kids Room, Customised  -  Canvas - a texture paper</t>
  </si>
  <si>
    <t>WP LNCSF1193661</t>
  </si>
  <si>
    <t>Life n Colors - Pastel Pattern Wallpaper for Kids Room, Customised  - Non-woven - a soft feel paper</t>
  </si>
  <si>
    <t>WP LNCCN1184847</t>
  </si>
  <si>
    <t>Life n Colors - Pastel Pink Geometric Print Girl Room Wallpaper  -  Canvas - a texture paper</t>
  </si>
  <si>
    <t>WP LNCSF1184847</t>
  </si>
  <si>
    <t>Life n Colors - Pastel Pink Geometric Print Girl Room Wallpaper  - Non-woven - a soft feel paper</t>
  </si>
  <si>
    <t>WP LNCCN1196665</t>
  </si>
  <si>
    <t>Life n Colors - Pastel World Map Wallpaper with Balloons for Kids Room, Customised  -  Canvas - a texture paper</t>
  </si>
  <si>
    <t>WP LNCSF1196665</t>
  </si>
  <si>
    <t>Life n Colors - Pastel World Map Wallpaper with Balloons for Kids Room, Customised  - Non-woven - a soft feel paper</t>
  </si>
  <si>
    <t>WP LNCCN1166317</t>
  </si>
  <si>
    <t>Life n Colors - Peacock and Flowers Repeat Design, Customised Wallpaper for Home  -  Canvas - a texture paper</t>
  </si>
  <si>
    <t>WP LNCSF1166317</t>
  </si>
  <si>
    <t>Life n Colors - Peacock and Flowers Repeat Design, Customised Wallpaper for Home  - Non-woven - a soft feel paper</t>
  </si>
  <si>
    <t>WP LNCCN1150419</t>
  </si>
  <si>
    <t>Life n Colors - Pen Sketch Wallpaper, City Look Design  -  Canvas - a texture paper</t>
  </si>
  <si>
    <t>WP LNCSF1150419</t>
  </si>
  <si>
    <t>Life n Colors - Pen Sketch Wallpaper, City Look Design  - Non-woven - a soft feel paper</t>
  </si>
  <si>
    <t>WP LNCCN1053958</t>
  </si>
  <si>
    <t>Life n Colors - Persian Art Form, Persian Pillar Design  -  Canvas - a texture paper</t>
  </si>
  <si>
    <t>WP LNCSF1053958</t>
  </si>
  <si>
    <t>Life n Colors - Persian Art Form, Persian Pillar Design  - Non-woven - a soft feel paper</t>
  </si>
  <si>
    <t>WP LNCCN357113</t>
  </si>
  <si>
    <t>Life n Colors - Phoolbagh, Beautiful Chinoiserie Wallpaper  -  Canvas - a texture paper</t>
  </si>
  <si>
    <t>WP LNCCN1048622</t>
  </si>
  <si>
    <t>Life n Colors - Pichwai Cow Painting Inspired Wallpaper for Walls, Customised  -  Canvas - a texture paper</t>
  </si>
  <si>
    <t>WP LNCSF1048622</t>
  </si>
  <si>
    <t>Life n Colors - Pichwai Cow Painting Inspired Wallpaper for Walls, Customised  - Non-woven - a soft feel paper</t>
  </si>
  <si>
    <t>WP LNCCN341525</t>
  </si>
  <si>
    <t>Life n Colors - Pichwai Cows in Chevron Pattern Wallpaper  -  Canvas - a texture paper</t>
  </si>
  <si>
    <t>WP LNCCN1019014</t>
  </si>
  <si>
    <t>Life n Colors - Pink &amp; Green Tropical Trees Wallpaper  -  Canvas - a texture paper</t>
  </si>
  <si>
    <t>WP LNCSF1019014</t>
  </si>
  <si>
    <t>Life n Colors - Pink &amp; Green Tropical Trees Wallpaper  - Non-woven - a soft feel paper</t>
  </si>
  <si>
    <t>WP LNCCN1016332</t>
  </si>
  <si>
    <t>Life n Colors - Pink And White Girls Room Wallpaper  -  Canvas - a texture paper</t>
  </si>
  <si>
    <t>WP LNCSF1016332</t>
  </si>
  <si>
    <t>Life n Colors - Pink And White Girls Room Wallpaper  - Non-woven - a soft feel paper</t>
  </si>
  <si>
    <t>WP LNCCN1058622</t>
  </si>
  <si>
    <t>Life n Colors - Pink Indian Motif Wallpaper for Bedrooms  -  Canvas - a texture paper</t>
  </si>
  <si>
    <t>WP LNCSF1058622</t>
  </si>
  <si>
    <t>Life n Colors - Pink Indian Motif Wallpaper for Bedrooms  - Non-woven - a soft feel paper</t>
  </si>
  <si>
    <t>WP LNCCN1094489</t>
  </si>
  <si>
    <t>Life n Colors - Polka Dots, Pastel Colors, Children Nursery Wallpaper  -  Canvas - a texture paper</t>
  </si>
  <si>
    <t>WP LNCSF1094489</t>
  </si>
  <si>
    <t>Life n Colors - Polka Dots, Pastel Colors, Children Nursery Wallpaper  - Non-woven - a soft feel paper</t>
  </si>
  <si>
    <t>WP LNCCN1025229</t>
  </si>
  <si>
    <t>Life n Colors - Premium Blue Wallpaper, Customised, Semi Circular Pattern  -  Canvas - a texture paper</t>
  </si>
  <si>
    <t>WP LNCSF1025229</t>
  </si>
  <si>
    <t>Life n Colors - Premium Blue Wallpaper, Customised, Semi Circular Pattern  - Non-woven - a soft feel paper</t>
  </si>
  <si>
    <t>WP LNCCN1068622</t>
  </si>
  <si>
    <t>Life n Colors - Premium Green Floral Pattern Design Wallpaper, Customised  -  Canvas - a texture paper</t>
  </si>
  <si>
    <t>WP LNCSF1068622</t>
  </si>
  <si>
    <t>Life n Colors - Premium Green Floral Pattern Design Wallpaper, Customised  - Non-woven - a soft feel paper</t>
  </si>
  <si>
    <t>WP LNCCN1040811</t>
  </si>
  <si>
    <t>Life n Colors - Premium Green Mughal Pattern Design Wallpaper, Customised  -  Canvas - a texture paper</t>
  </si>
  <si>
    <t>WP LNCSF1040811</t>
  </si>
  <si>
    <t>Life n Colors - Premium Green Mughal Pattern Design Wallpaper, Customised  - Non-woven - a soft feel paper</t>
  </si>
  <si>
    <t>WP LNCCN1053218</t>
  </si>
  <si>
    <t>Life n Colors - Premium Indian Colorful Room Wallpaper  -  Canvas - a texture paper</t>
  </si>
  <si>
    <t>WP LNCSF1053218</t>
  </si>
  <si>
    <t>Life n Colors - Premium Indian Colorful Room Wallpaper  - Non-woven - a soft feel paper</t>
  </si>
  <si>
    <t>WP LNCCN291525</t>
  </si>
  <si>
    <t>Life n Colors - Premium Indian Shawl Inspired Wallpaper for Rooms  -  Canvas - a texture paper</t>
  </si>
  <si>
    <t>WP LNCCN1165945</t>
  </si>
  <si>
    <t>Life n Colors - Premium Mughal Pattern Indian Wallpaper, Pastel Shades  -  Canvas - a texture paper</t>
  </si>
  <si>
    <t>WP LNCSF1165945</t>
  </si>
  <si>
    <t>Life n Colors - Premium Mughal Pattern Indian Wallpaper, Pastel Shades  - Non-woven - a soft feel paper</t>
  </si>
  <si>
    <t>WP LNCCN1097914</t>
  </si>
  <si>
    <t>Life n Colors - Premium Pink Wallpaper, Customised, Semi Circular Pattern  -  Canvas - a texture paper</t>
  </si>
  <si>
    <t>WP LNCSF1097914</t>
  </si>
  <si>
    <t>Life n Colors - Premium Pink Wallpaper, Customised, Semi Circular Pattern  - Non-woven - a soft feel paper</t>
  </si>
  <si>
    <t>WP LNCCN1103543</t>
  </si>
  <si>
    <t>Life n Colors - Pretty Sea Plants Theme Wallpaper for Young Kids Rooms  -  Canvas - a texture paper</t>
  </si>
  <si>
    <t>WP LNCSF1103543</t>
  </si>
  <si>
    <t>Life n Colors - Pretty Sea Plants Theme Wallpaper for Young Kids Rooms  - Non-woven - a soft feel paper</t>
  </si>
  <si>
    <t>WP LNCCN1033802</t>
  </si>
  <si>
    <t>Life n Colors - Purple Abstract Modern Wallpaper Design, Bedrooms  -  Canvas - a texture paper</t>
  </si>
  <si>
    <t>WP LNCSF1033802</t>
  </si>
  <si>
    <t>Life n Colors - Purple Abstract Modern Wallpaper Design, Bedrooms  - Non-woven - a soft feel paper</t>
  </si>
  <si>
    <t>WP LNCCN1183336</t>
  </si>
  <si>
    <t>Life n Colors - Rajasthan Fort Inspired Customised Indian Wallpaper -  Canvas - a texture paper</t>
  </si>
  <si>
    <t>WP LNCSF1183336</t>
  </si>
  <si>
    <t>Life n Colors - Rajasthan Fort Inspired Customised Indian Wallpaper - Non-woven - a soft feel paper</t>
  </si>
  <si>
    <t>WP LNCCN1023961</t>
  </si>
  <si>
    <t>Life n Colors - Red and Golden Floral Wallpaper with Birds, Customised  -  Canvas - a texture paper</t>
  </si>
  <si>
    <t>WP LNCSF1023961</t>
  </si>
  <si>
    <t>Life n Colors - Red and Golden Floral Wallpaper with Birds, Customised  - Non-woven - a soft feel paper</t>
  </si>
  <si>
    <t>WP LNCCN1102981</t>
  </si>
  <si>
    <t>Life n Colors - Red and White Flower Wallpaper, Customised  -  Canvas - a texture paper</t>
  </si>
  <si>
    <t>WP LNCSF1102981</t>
  </si>
  <si>
    <t>Life n Colors - Red and White Flower Wallpaper, Customised  - Non-woven - a soft feel paper</t>
  </si>
  <si>
    <t>WP LNCCN1158248</t>
  </si>
  <si>
    <t>Life n Colors - Red Color Ikat Pattern Rooms Wallpaper, Customised  -  Canvas - a texture paper</t>
  </si>
  <si>
    <t>WP LNCSF1158248</t>
  </si>
  <si>
    <t>Life n Colors - Red Color Ikat Pattern Rooms Wallpaper, Customised  - Non-woven - a soft feel paper</t>
  </si>
  <si>
    <t>WP LNCCN329180</t>
  </si>
  <si>
    <t>Life n Colors - Riwayaat, Rich Indian Theme Room Wallpaper  -  Canvas - a texture paper</t>
  </si>
  <si>
    <t>WP LNCCN281525</t>
  </si>
  <si>
    <t>Life n Colors - Royal Garden, an Indian Scenic Wallpaper  -  Canvas - a texture paper</t>
  </si>
  <si>
    <t>WP LNCCN1055968</t>
  </si>
  <si>
    <t>Life n Colors - Royal Pattern, Green Wallpaper, India, Customised  -  Canvas - a texture paper</t>
  </si>
  <si>
    <t>WP LNCSF1055968</t>
  </si>
  <si>
    <t>Life n Colors - Royal Pattern, Green Wallpaper, India, Customised  - Non-woven - a soft feel paper</t>
  </si>
  <si>
    <t>WP LNCCN396653</t>
  </si>
  <si>
    <t>Life n Colors - Sayonee, Nature Theme Wallpaper for Walls  -  Canvas - a texture paper</t>
  </si>
  <si>
    <t>WP LNCSF1099374</t>
  </si>
  <si>
    <t>Life n Colors - Seamless Blue Turkish Tile Pattern Wallpaper</t>
  </si>
  <si>
    <t>WP LNCCN1078622</t>
  </si>
  <si>
    <t>Life n Colors - Seamless Blue Turkish Tile Pattern, Customised Wallpaper  -  Canvas - a texture paper</t>
  </si>
  <si>
    <t>WP LNCSF1078622</t>
  </si>
  <si>
    <t>Life n Colors - Seamless Blue Turkish Tile Pattern, Customised Wallpaper  - Non-woven - a soft feel paper</t>
  </si>
  <si>
    <t>WP LNCCN364160</t>
  </si>
  <si>
    <t>Life n Colors - Sharmana, Indian Motif Theme Wallpaper  -  Canvas - a texture paper</t>
  </si>
  <si>
    <t>WP LNCCN1143572</t>
  </si>
  <si>
    <t>Life n Colors - Solar System Space Theme Kids Room Wallpaper  -  Canvas - a texture paper</t>
  </si>
  <si>
    <t>WP LNCSF1143572</t>
  </si>
  <si>
    <t>Life n Colors - Solar System Space Theme Kids Room Wallpaper  - Non-woven - a soft feel paper</t>
  </si>
  <si>
    <t>WP LNCCN1137060</t>
  </si>
  <si>
    <t>Life n Colors - Solid yellow, Grey and Green Mountains theme for Kids room  -  Canvas - a texture paper</t>
  </si>
  <si>
    <t>WP LNCSF1137060</t>
  </si>
  <si>
    <t>Life n Colors - Solid yellow, Grey and Green Mountains theme for Kids room  - Non-woven - a soft feel paper</t>
  </si>
  <si>
    <t>WP LNCCN1071964</t>
  </si>
  <si>
    <t>Life n Colors - Space Theme Kids Room Wallpaper With Planets, Rockets and Motivational Quotes  -  Canvas - a texture paper</t>
  </si>
  <si>
    <t>WP LNCSF1071964</t>
  </si>
  <si>
    <t>Life n Colors - Space Theme Kids Room Wallpaper With Planets, Rockets and Motivational Quotes  - Non-woven - a soft feel paper</t>
  </si>
  <si>
    <t>WP LNCCN378153</t>
  </si>
  <si>
    <t>Life n Colors - Sukoon, A Calm Life in Nature, Wallpaper  -  Canvas - a texture paper</t>
  </si>
  <si>
    <t>WP LNCCN320674</t>
  </si>
  <si>
    <t>Life n Colors - Sutra, Green Abstract Geometric Patten Wallpaper  -  Canvas - a texture paper</t>
  </si>
  <si>
    <t>WP LNCCN351746</t>
  </si>
  <si>
    <t>Life n Colors - The Beach, Beautiful Wallpaper for Rooms  -  Canvas - a texture paper</t>
  </si>
  <si>
    <t>WP LNCCN1020353</t>
  </si>
  <si>
    <t>Life n Colors - Triangle Repeat Geometrical Pattern  -  Canvas - a texture paper</t>
  </si>
  <si>
    <t>WP LNCSF1020353</t>
  </si>
  <si>
    <t>Life n Colors - Triangle Repeat Geometrical Pattern  - Non-woven - a soft feel paper</t>
  </si>
  <si>
    <t>WP LNCCN1177120</t>
  </si>
  <si>
    <t>Life n Colors - Tropical Colorful Leaves Wallpaper, Pastel Colors  -  Canvas - a texture paper</t>
  </si>
  <si>
    <t>WP LNCSF1177120</t>
  </si>
  <si>
    <t>Life n Colors - Tropical Colorful Leaves Wallpaper, Pastel Colors  - Non-woven - a soft feel paper</t>
  </si>
  <si>
    <t>WP LNCCN1049836</t>
  </si>
  <si>
    <t>Life n Colors - Tropical Green Forest, Customised Digitally Painted Design for Homes  -  Canvas - a texture paper</t>
  </si>
  <si>
    <t>BD-VRM-2026-2231</t>
  </si>
  <si>
    <t>Life n Colors - Tropical Green Forest, Customised Digitally Painted Design for Homes  - Non-woven - a soft feel paper</t>
  </si>
  <si>
    <t>WP LNCCN1152851</t>
  </si>
  <si>
    <t>Life n Colors - Tropical Jungle with Animals Wallpaper for Kids  -  Canvas - a texture paper</t>
  </si>
  <si>
    <t>WP LNCSF1152851</t>
  </si>
  <si>
    <t>Life n Colors - Tropical Jungle with Animals Wallpaper for Kids  - Non-woven - a soft feel paper</t>
  </si>
  <si>
    <t>WP LNCCN1001496</t>
  </si>
  <si>
    <t>Life n Colors - Tropical Room Wallpaper, Green Background, Customise  -  Canvas - a texture paper</t>
  </si>
  <si>
    <t>WP LNCSF1001496</t>
  </si>
  <si>
    <t>Life n Colors - Tropical Room Wallpaper, Green Background, Customise  - Non-woven - a soft feel paper</t>
  </si>
  <si>
    <t>WP LNCCN1143603</t>
  </si>
  <si>
    <t>Life n Colors - Tropical Theme Wallpaper, Burgundy Background, Customised  -  Canvas - a texture paper</t>
  </si>
  <si>
    <t>WP LNCSF1143603</t>
  </si>
  <si>
    <t>Life n Colors - Tropical Theme Wallpaper, Burgundy Background, Customised  - Non-woven - a soft feel paper</t>
  </si>
  <si>
    <t>WP LNCCN1084477</t>
  </si>
  <si>
    <t>Life n Colors - Tropical Trees Wallpaper for Rooms, Customised  -  Canvas - a texture paper</t>
  </si>
  <si>
    <t>WP LNCSF1084477</t>
  </si>
  <si>
    <t>Life n Colors - Tropical Trees Wallpaper for Rooms, Customised  - Non-woven - a soft feel paper</t>
  </si>
  <si>
    <t>WP LNCCN1009523</t>
  </si>
  <si>
    <t>Life n Colors - Unicorn Wallpaper Design for Girls Rooms, Water Color Theme, Pink  -  Canvas - a texture paper</t>
  </si>
  <si>
    <t>WP LNCSF1009523</t>
  </si>
  <si>
    <t>Life n Colors - Unicorn Wallpaper Design for Girls Rooms, Water Color Theme, Pink  - Non-woven - a soft feel paper</t>
  </si>
  <si>
    <t>WP LNCCN1037758</t>
  </si>
  <si>
    <t>Life n Colors - Unique Natural Marble Design Room Wallpaper  -  Canvas - a texture paper</t>
  </si>
  <si>
    <t>WP LNCSF1037758</t>
  </si>
  <si>
    <t>Life n Colors - Unique Natural Marble Design Room Wallpaper  - Non-woven - a soft feel paper</t>
  </si>
  <si>
    <t>WP LNCCN328027</t>
  </si>
  <si>
    <t>Life n Colors - Vatika, Vintage Floral Theme Wallpaper  -  Canvas - a texture paper</t>
  </si>
  <si>
    <t>WP LNCCN1136866</t>
  </si>
  <si>
    <t>Life n Colors - Vibrant and Colorful Kids Room Wallpaper  -  Canvas - a texture paper</t>
  </si>
  <si>
    <t>WP LNCSF1136866</t>
  </si>
  <si>
    <t>Life n Colors - Vibrant and Colorful Kids Room Wallpaper  - Non-woven - a soft feel paper</t>
  </si>
  <si>
    <t>WP LNCCN1128281</t>
  </si>
  <si>
    <t>Life n Colors - Vintage Forest Theme Wallpaper, Grisaille Style  -  Canvas - a texture paper</t>
  </si>
  <si>
    <t>WP LNCCN1098622</t>
  </si>
  <si>
    <t>Life n Colors - Vintage Lotuses, A Rustic Theme Room Wallpaper  -  Canvas - a texture paper</t>
  </si>
  <si>
    <t>WP LNCSF1098622</t>
  </si>
  <si>
    <t>Life n Colors - Vintage Lotuses, A Rustic Theme Room Wallpaper  - Non-woven - a soft feel paper</t>
  </si>
  <si>
    <t>WP LNCCN1017081</t>
  </si>
  <si>
    <t>Life n Colors - Vintage Style Wallpaper, Red and White Flowers on Black Background  -  Canvas - a texture paper</t>
  </si>
  <si>
    <t>WP LNCSF1017081</t>
  </si>
  <si>
    <t>Life n Colors - Vintage Style Wallpaper, Red and White Flowers on Black Background  - Non-woven - a soft feel paper</t>
  </si>
  <si>
    <t>WP LNCCN1100998</t>
  </si>
  <si>
    <t>Life n Colors - Vintage Theme Tropical Foliage Wallpaper for Rooms, Customised  -  Canvas - a texture paper</t>
  </si>
  <si>
    <t>WP LNCSF1100998</t>
  </si>
  <si>
    <t>Life n Colors - Vintage Theme Tropical Foliage Wallpaper for Rooms, Customised  - Non-woven - a soft feel paper</t>
  </si>
  <si>
    <t>WP LNCCN1040996</t>
  </si>
  <si>
    <t>Life n Colors - Vintage Travel Theme World Map Wallpaper for Walls  -  Canvas - a texture paper</t>
  </si>
  <si>
    <t>WP LNCSF1040996</t>
  </si>
  <si>
    <t>Life n Colors - Vintage Travel Theme World Map Wallpaper for Walls  - Non-woven - a soft feel paper</t>
  </si>
  <si>
    <t>WP LNCCN1188227</t>
  </si>
  <si>
    <t>Life n Colors - Vintage Wall with Green Creeper, 3D Wallpaper for Rooms  -  Canvas - a texture paper</t>
  </si>
  <si>
    <t>WP LNCSF1188227</t>
  </si>
  <si>
    <t>Life n Colors - Vintage Wall with Green Creeper, 3D Wallpaper for Rooms  - Non-woven - a soft feel paper</t>
  </si>
  <si>
    <t>WP LNCCN1161696</t>
  </si>
  <si>
    <t>Life n Colors - Water Painted Colourful Mountains, Scenery Theme For Kids Room  -  Canvas - a texture paper</t>
  </si>
  <si>
    <t>WP LNCSF1161696</t>
  </si>
  <si>
    <t>Life n Colors - Water Painted Colourful Mountains, Scenery Theme For Kids Room  - Non-woven - a soft feel paper</t>
  </si>
  <si>
    <t>WP LNCCN1015370</t>
  </si>
  <si>
    <t>Life n Colors - Water Painted Floral Design, Wall Mural for Kids Room  -  Canvas - a texture paper</t>
  </si>
  <si>
    <t>WP LNCSF1015370</t>
  </si>
  <si>
    <t>Life n Colors - Water Painted Floral Design, Wall Mural for Kids Room  - Non-woven - a soft feel paper</t>
  </si>
  <si>
    <t>WP LNCCN1142765</t>
  </si>
  <si>
    <t>Life n Colors - Whales in Fairy Land Setting, Cute Nursery Room Wallpaper  -  Canvas - a texture paper</t>
  </si>
  <si>
    <t>WP LNCSF1142765</t>
  </si>
  <si>
    <t>Life n Colors - Whales in Fairy Land Setting, Cute Nursery Room Wallpaper  - Non-woven - a soft feel paper</t>
  </si>
  <si>
    <t>WP LNCCN1018211</t>
  </si>
  <si>
    <t>Life n Colors - White 3D Wavy Marble Style Wallpaper  -  Canvas - a texture paper</t>
  </si>
  <si>
    <t>WP LNCSF1018211</t>
  </si>
  <si>
    <t>Life n Colors - White 3D Wavy Marble Style Wallpaper  - Non-woven - a soft feel paper</t>
  </si>
  <si>
    <t>WP LNCCN1186316</t>
  </si>
  <si>
    <t>Life n Colors - White Abstract Leaves in Orange Background, Room Wallpaper  -  Canvas - a texture paper</t>
  </si>
  <si>
    <t>WP LNCSF1186316</t>
  </si>
  <si>
    <t>Life n Colors - White Abstract Leaves in Orange Background, Room Wallpaper  - Non-woven - a soft feel paper</t>
  </si>
  <si>
    <t>WP LNCCN1104140</t>
  </si>
  <si>
    <t>Life n Colors - White and Golden Natural Marble Style Wall Wallpaper  -  Canvas - a texture paper</t>
  </si>
  <si>
    <t>WP LNCSF1104140</t>
  </si>
  <si>
    <t>Life n Colors - White and Golden Natural Marble Style Wall Wallpaper  - Non-woven - a soft feel paper</t>
  </si>
  <si>
    <t>WP LNCCN1072954</t>
  </si>
  <si>
    <t>Life n Colors - White Tree Sketch on Black Background, Premium Wallpaper -  Canvas - a texture paper</t>
  </si>
  <si>
    <t>WP LNCSF1072954</t>
  </si>
  <si>
    <t>Life n Colors - White Tree Sketch on Black Background, Premium Wallpaper - Non-woven - a soft feel paper</t>
  </si>
  <si>
    <t>WP LNCCN1021955</t>
  </si>
  <si>
    <t>Life n Colors - Wonders of the World, Monuments Wallpaper for Walls  -  Canvas - a texture paper</t>
  </si>
  <si>
    <t>WP LNCSF1021955</t>
  </si>
  <si>
    <t>Life n Colors - Wonders of the World, Monuments Wallpaper for Walls  - Non-woven - a soft feel paper</t>
  </si>
  <si>
    <t>WP LNCCN1030710</t>
  </si>
  <si>
    <t>Life n Colors - Yellow Abstract Wall Pattern, Distress Look Wallpaper  -  Canvas - a texture paper</t>
  </si>
  <si>
    <t>WP LNCSF1030710</t>
  </si>
  <si>
    <t>Life n Colors - Yellow Abstract Wall Pattern, Distress Look Wallpaper  - Non-woven - a soft feel paper</t>
  </si>
  <si>
    <t>BD-VRM-2024-0347</t>
  </si>
  <si>
    <t>Life n Colors - Yellow Chinoiserie Wallpaper with Flowers and Birds - Canvas a texture paper</t>
  </si>
  <si>
    <t>BD-VRM-2024-0348</t>
  </si>
  <si>
    <t>Life n Colors - Yellow Chinoiserie Wallpaper with Flowers and Birds - Non-woven a soft feel paper</t>
  </si>
  <si>
    <t>WP LNCCN1003799</t>
  </si>
  <si>
    <t>Life n Colors - Yellow Geometric Pattern Indian Theme Wallpaper  -  Canvas - a texture paper</t>
  </si>
  <si>
    <t>WP LNCSF1003799</t>
  </si>
  <si>
    <t>Life n Colors - Yellow Geometric Pattern Indian Theme Wallpaper  - Non-woven - a soft feel paper</t>
  </si>
  <si>
    <t>BD-VRM-2023-4742</t>
  </si>
  <si>
    <t>Life n Colors Abstract Design Wallpaper, Green Textured Background canvas</t>
  </si>
  <si>
    <t>BD-VRM-2023-4741</t>
  </si>
  <si>
    <t>Life n Colors Abstract Design Wallpaper, Green Textured Background soft feel</t>
  </si>
  <si>
    <t>WP LNCCN1189604</t>
  </si>
  <si>
    <t>Life n Colors Marble Design Wallpaper for Rooms, Green and Orange (LNCCN1189604) Canvas - a texture paper</t>
  </si>
  <si>
    <t>BD-VRM-2025-0151</t>
  </si>
  <si>
    <t>LifenColors - 3D Wooden Looks Geometric Panels for Room Walls with Canvas Paper - CN/6020</t>
  </si>
  <si>
    <t>BD-VRM-2025-0196</t>
  </si>
  <si>
    <t>LifenColors - Abstract Echoes Repeat pattern with Soft Feel Paper - SF/7039</t>
  </si>
  <si>
    <t>BD-VRM-2025-0146</t>
  </si>
  <si>
    <t>LifenColors - Abstract Nature Bloom with Canvas Paper - CN/6013</t>
  </si>
  <si>
    <t>BD-VRM-2025-0161</t>
  </si>
  <si>
    <t>LifenColors - Abstract Stripe geometrical repeat pattern with Canvas Paper - CN/6035</t>
  </si>
  <si>
    <t>BD-VRM-2025-0171</t>
  </si>
  <si>
    <t>LifenColors - Adorable Astronauts Wall Mural - Kids Bedrooms, Blue with Soft Feel Paper - SF/7008</t>
  </si>
  <si>
    <t>BD-VRM-2025-0184</t>
  </si>
  <si>
    <t>LifenColors - Adorable Bunnies and Elephants, Nursery Room colorful Wallpaper with Soft Feel Paper - SF/7027</t>
  </si>
  <si>
    <t>BD-VRM-2025-0181</t>
  </si>
  <si>
    <t>LifenColors - Animals Going on Picnic, Kids Room Wallpaper with white background with Soft Feel Paper - SF/7024</t>
  </si>
  <si>
    <t>BD-VRM-2025-0153</t>
  </si>
  <si>
    <t>LifenColors - Animals on Vacation, Wallpaper Design For Kids Room with Canvas Paper - CN/6022</t>
  </si>
  <si>
    <t>BD-VRM-2025-0175</t>
  </si>
  <si>
    <t>LifenColors - Batman Design Wallpaper for Kids Room with Soft Feel Paper - SF/7012</t>
  </si>
  <si>
    <t>BD-VRM-2025-0170</t>
  </si>
  <si>
    <t>LifenColors - Blue Color Space Expedition Wallpaper for Kids with Soft Feel Paper - SF/7007</t>
  </si>
  <si>
    <t>BD-VRM-2025-0143</t>
  </si>
  <si>
    <t>LifenColors - Blush &amp; Bloom Line art Floral Wallpaper Customised with Canvas Paper - CN/6009</t>
  </si>
  <si>
    <t>BD-VRM-2025-0158</t>
  </si>
  <si>
    <t>LifenColors - Chevron illusion Repeat pattern with Canvas Paper - CN/6032</t>
  </si>
  <si>
    <t>BD-VRM-2025-0156</t>
  </si>
  <si>
    <t>LifenColors - Chic Toile Design Wallpaper for Wall Beige with Canvas Paper - CN/6030</t>
  </si>
  <si>
    <t>BD-VRM-2025-0176</t>
  </si>
  <si>
    <t>LifenColors - City life Design Wallpaper in Pastel Color with Soft Feel Paper - SF/7018</t>
  </si>
  <si>
    <t>BD-VRM-2025-0197</t>
  </si>
  <si>
    <t>LifenColors - Crescent Weave Wallpaper Repeat Pattern with Soft Feel Paper - SF/7040</t>
  </si>
  <si>
    <t>BD-VRM-2025-0186</t>
  </si>
  <si>
    <t>LifenColors - Cute bunnies on cloud white wallpaper for kids room with Soft Feel Paper - SF/7029</t>
  </si>
  <si>
    <t>BD-VRM-2025-0187</t>
  </si>
  <si>
    <t>LifenColors - Cute elephants pink exclusive Kids room wallpaper with Soft Feel Paper - SF/7030</t>
  </si>
  <si>
    <t>BD-VRM-2025-0185</t>
  </si>
  <si>
    <t>LifenColors - Cute Fairies peach Wallpaper for Girls Room Walls with Soft Feel Paper - SF/7028</t>
  </si>
  <si>
    <t>BD-VRM-2025-0166</t>
  </si>
  <si>
    <t>LifenColors - Cute Marine Life, Wallpaper Design for Kids Room with Canvas Paper - CN/6040</t>
  </si>
  <si>
    <t>BD-VRM-2025-0155</t>
  </si>
  <si>
    <t>LifenColors - Dareecha, an Indian Design Wallpaper for Rooms, Red with Canvas Paper - CN/6029</t>
  </si>
  <si>
    <t>BD-VRM-2025-0163</t>
  </si>
  <si>
    <t>LifenColors - Desert Gallery Greens repeat pattern with Canvas Paper - CN/6037</t>
  </si>
  <si>
    <t>BD-VRM-2025-0188</t>
  </si>
  <si>
    <t>LifenColors - Dreamy Elephant Design for Kids Room Nursery light mint Wallpaper with Soft Feel Paper - SF/7031</t>
  </si>
  <si>
    <t>BD-VRM-2025-0164</t>
  </si>
  <si>
    <t>LifenColors - Elephant Elegance Wallpaper with Canvas Paper - CN/6038</t>
  </si>
  <si>
    <t>BD-VRM-2025-0189</t>
  </si>
  <si>
    <t>LifenColors - Enchanting Unicorn Dreams Lilac Wallpaper For Kids room with Soft Feel Paper - SF/7032</t>
  </si>
  <si>
    <t>BD-VRM-2025-0195</t>
  </si>
  <si>
    <t>LifenColors - Ethereal Waves Wallpaper Repeat Pattern with Soft Feel Paper - SF/7038</t>
  </si>
  <si>
    <t>BD-VRM-2025-0178</t>
  </si>
  <si>
    <t>LifenColors - Farm land with animal beige color with Soft Feel Paper - SF/7021</t>
  </si>
  <si>
    <t>BD-VRM-2025-0179</t>
  </si>
  <si>
    <t>LifenColors - Farm land with animal with white background color with Soft Feel Paper - SF/7022</t>
  </si>
  <si>
    <t>BD-VRM-2025-0182</t>
  </si>
  <si>
    <t>LifenColors - Funland Adventure Park , Kids room wallpaper with peach background with Soft Feel Paper - SF/7025</t>
  </si>
  <si>
    <t>BD-VRM-2025-0174</t>
  </si>
  <si>
    <t>LifenColors - Gameboard Gallery Wallpaper Customised for Kids with Soft Feel Paper - SF/7011</t>
  </si>
  <si>
    <t>BD-VRM-2025-0157</t>
  </si>
  <si>
    <t>LifenColors - Golden Leaves Design Wallpaper Roll in Green Color with Canvas Paper - CN/6031</t>
  </si>
  <si>
    <t>BD-VRM-2025-0177</t>
  </si>
  <si>
    <t>LifenColors - Green Sky Full of Wonders: Enchanting Kids Room with Soft Feel Paper - SF/7019</t>
  </si>
  <si>
    <t>BD-VRM-2025-0160</t>
  </si>
  <si>
    <t>LifenColors - Indian booti Stripes Wallaper Repeat Pattern with Canvas Paper - CN/6034</t>
  </si>
  <si>
    <t>BD-VRM-2025-0167</t>
  </si>
  <si>
    <t>LifenColors - Jungle Bubble Kids Room Wallpaper with Soft Feel Paper - SF/7002</t>
  </si>
  <si>
    <t>BD-VRM-2025-0190</t>
  </si>
  <si>
    <t>LifenColors - Kids stationary light blue pattern Wallpaper For Kids room with Soft Feel Paper - SF/7033</t>
  </si>
  <si>
    <t>BD-VRM-2025-0135</t>
  </si>
  <si>
    <t>LifenColors - Kusum: Indian Floral Jharokha and Stripes Design with Canvas Paper - CN/6001</t>
  </si>
  <si>
    <t>BD-VRM-2025-0137</t>
  </si>
  <si>
    <t>LifenColors - Lush European Landscape Wallpaper with Canvas Paper - CN/6003</t>
  </si>
  <si>
    <t>BD-VRM-2025-0145</t>
  </si>
  <si>
    <t>LifenColors - Mayur Exotic Brown Chinoiserie Wallpaper for Rooms with Canvas Paper - CN/6011</t>
  </si>
  <si>
    <t>BD-VRM-2025-0180</t>
  </si>
  <si>
    <t>LifenColors - Mermaid Melodies: Underwater Adventure, Wallpaper For Kids with Soft Feel Paper - SF/7023</t>
  </si>
  <si>
    <t>BD-VRM-2025-0147</t>
  </si>
  <si>
    <t>LifenColors - Modern Mosaic Abstract Theme Room Wallpaper with Canvas Paper - CN/6015</t>
  </si>
  <si>
    <t>BD-VRM-2025-0136</t>
  </si>
  <si>
    <t>LifenColors - Netri A Vintage Indian Art Inspired Wallpaper with Canvas Paper - CN/6002</t>
  </si>
  <si>
    <t>BD-VRM-2025-0148</t>
  </si>
  <si>
    <t>LifenColors - Palm Paradise Tropical Customised Wallpaper with Canvas Paper - CN/6016</t>
  </si>
  <si>
    <t>BD-VRM-2025-0172</t>
  </si>
  <si>
    <t>LifenColors - Pastel Jungle Fun Young Kids Room Wallpaper with Soft Feel Paper - SF/7009</t>
  </si>
  <si>
    <t>BD-VRM-2025-0169</t>
  </si>
  <si>
    <t>LifenColors - Pretty Forest Theme Children Room Wallpaper with Soft Feel Paper - SF/7004</t>
  </si>
  <si>
    <t>BD-VRM-2025-0140</t>
  </si>
  <si>
    <t>LifenColors - Rajah Indian Scenic Customised Wallpaper with Canvas Paper - CN/6006</t>
  </si>
  <si>
    <t>BD-VRM-2025-0152</t>
  </si>
  <si>
    <t>LifenColors - Rustic Countryside Tale kids design Wallpaper with Canvas Paper - CN/6021</t>
  </si>
  <si>
    <t>BD-VRM-2025-0141</t>
  </si>
  <si>
    <t>LifenColors - Sacred Grove Pichwai Room Wallpaper with Canvas Paper - CN/6007</t>
  </si>
  <si>
    <t>BD-VRM-2025-0139</t>
  </si>
  <si>
    <t>LifenColors - Safar Vintage Indian Scenic Wallpaper with Canvas Paper - CN/6005</t>
  </si>
  <si>
    <t>BD-VRM-2025-0168</t>
  </si>
  <si>
    <t>LifenColors - Safari Sojourn Cute Kids Room Wallpaper with Soft Feel Paper - SF/7003</t>
  </si>
  <si>
    <t>BD-VRM-2025-0149</t>
  </si>
  <si>
    <t>LifenColors - Sandy Arches Abstract Modern Theme Geometric Wallpaper Beige with Canvas Paper - CN/6017</t>
  </si>
  <si>
    <t>BD-VRM-2025-0183</t>
  </si>
  <si>
    <t>LifenColors - Santorini Doodle Art, Kids Room Ivory Yellow Wallpaper with Soft Feel Paper - SF/7026</t>
  </si>
  <si>
    <t>BD-VRM-2025-0154</t>
  </si>
  <si>
    <t>LifenColors - Sarangi Rajasthani Block Print Design Wallpaper Rust with Canvas Paper - CN/6028</t>
  </si>
  <si>
    <t>BD-VRM-2025-0191</t>
  </si>
  <si>
    <t>LifenColors - Starry Dreamscape oink Wallpaper For Kids room with Soft Feel Paper - SF/7034</t>
  </si>
  <si>
    <t>BD-VRM-2025-0159</t>
  </si>
  <si>
    <t>LifenColors - Super Rustic Paisley, Indian Motif Wallpaper Design with Canvas Paper - CN/6033</t>
  </si>
  <si>
    <t>BD-VRM-2025-0144</t>
  </si>
  <si>
    <t>LifenColors - Tropical Dreams Artful Wallpaper Design with Canvas Paper - CN/6010</t>
  </si>
  <si>
    <t>BD-VRM-2025-0138</t>
  </si>
  <si>
    <t>LifenColors - Tropical Fusion Artistic Design Wallpaper with Canvas Paper - CN/6004</t>
  </si>
  <si>
    <t>BD-VRM-2025-0193</t>
  </si>
  <si>
    <t>LifenColors - Twinkling Stripe scape peach n green Wallpaper For Kids room with Soft Feel Paper - SF/7036</t>
  </si>
  <si>
    <t>BD-VRM-2025-0194</t>
  </si>
  <si>
    <t>LifenColors - Twinkling Stripe scape white n blue Wallpaper For Kids room with Soft Feel Paper - SF/7037</t>
  </si>
  <si>
    <t>BD-VRM-2025-0150</t>
  </si>
  <si>
    <t>LifenColors - Urban Chic Abstract Modern Theme Wallpaper Warm Grey Color with Canvas Paper - CN/6019</t>
  </si>
  <si>
    <t>BD-VRM-2025-0162</t>
  </si>
  <si>
    <t>LifenColors - vintage ornamental design with Canvas Paper - CN/6036</t>
  </si>
  <si>
    <t>BD-VRM-2025-0192</t>
  </si>
  <si>
    <t>LifenColors - Watercolor seamless pattern with colorful cartoon stars Wallpaper For Kids room with Soft Feel Paper - SF/7035</t>
  </si>
  <si>
    <t>BD-VRM-2025-0173</t>
  </si>
  <si>
    <t>LifenColors - Whimsy Peaks Pastel Kids Room Wallpaper with Soft Feel Paper - SF/7010</t>
  </si>
  <si>
    <t>BD-VRM-2025-0142</t>
  </si>
  <si>
    <t>LifenColors - White Cow and Lotuses, Pichwai Wallpaper with Canvas Paper - CN/6008</t>
  </si>
  <si>
    <t>BD-VRM-2025-0165</t>
  </si>
  <si>
    <t>LifenColors - Wildlife Campout in the Jungle, Design for Kids, Autumn with Canvas Paper - CN/6039</t>
  </si>
  <si>
    <t>BD-VRM-2024-2866</t>
  </si>
  <si>
    <t>Marshall Attitude Wallpaper A 64201</t>
  </si>
  <si>
    <t>Marshalls</t>
  </si>
  <si>
    <t>BD-VRM-2024-2864</t>
  </si>
  <si>
    <t>Marshall Attitude Wallpaper A 64202</t>
  </si>
  <si>
    <t>BD-VRM-2024-2869</t>
  </si>
  <si>
    <t>Marshall Attitude Wallpaper A 64203</t>
  </si>
  <si>
    <t>BD-VRM-2024-2907</t>
  </si>
  <si>
    <t>Marshall Attitude Wallpaper A 64301</t>
  </si>
  <si>
    <t>BD-VRM-2024-2902</t>
  </si>
  <si>
    <t>Marshall Attitude Wallpaper A 64302</t>
  </si>
  <si>
    <t>BD-VRM-2024-2905</t>
  </si>
  <si>
    <t>Marshall Attitude Wallpaper A 64303</t>
  </si>
  <si>
    <t>BD-VRM-2024-2885</t>
  </si>
  <si>
    <t>Marshall Attitude Wallpaper A 64401</t>
  </si>
  <si>
    <t>BD-VRM-2024-2883</t>
  </si>
  <si>
    <t>Marshall Attitude Wallpaper A 64402</t>
  </si>
  <si>
    <t>BD-VRM-2024-2884</t>
  </si>
  <si>
    <t>Marshall Attitude Wallpaper A 64403</t>
  </si>
  <si>
    <t>BD-VRM-2024-2898</t>
  </si>
  <si>
    <t>Marshall Attitude Wallpaper A 65502</t>
  </si>
  <si>
    <t>BD-VRM-2024-2899</t>
  </si>
  <si>
    <t>Marshall Attitude Wallpaper A 65504</t>
  </si>
  <si>
    <t>BD-VRM-2024-2865</t>
  </si>
  <si>
    <t>Marshall Attitude Wallpaper A 65601</t>
  </si>
  <si>
    <t>BD-VRM-2024-2895</t>
  </si>
  <si>
    <t>Marshall Attitude Wallpaper A 65602</t>
  </si>
  <si>
    <t>BD-VRM-2024-2892</t>
  </si>
  <si>
    <t>Marshall Attitude Wallpaper A 65603</t>
  </si>
  <si>
    <t>BD-VRM-2024-2868</t>
  </si>
  <si>
    <t>Marshall Attitude Wallpaper A 65604</t>
  </si>
  <si>
    <t>BD-VRM-2024-2878</t>
  </si>
  <si>
    <t>Marshall Attitude Wallpaper A 65605</t>
  </si>
  <si>
    <t>BD-VRM-2024-2867</t>
  </si>
  <si>
    <t>Marshall Attitude Wallpaper A 65606</t>
  </si>
  <si>
    <t>BD-VRM-2024-2894</t>
  </si>
  <si>
    <t>Marshall Attitude Wallpaper A 65701</t>
  </si>
  <si>
    <t>BD-VRM-2024-2891</t>
  </si>
  <si>
    <t>Marshall Attitude Wallpaper A 65703</t>
  </si>
  <si>
    <t>BD-VRM-2024-2901</t>
  </si>
  <si>
    <t>Marshall Attitude Wallpaper A 66401</t>
  </si>
  <si>
    <t>BD-VRM-2024-2900</t>
  </si>
  <si>
    <t>Marshall Attitude Wallpaper A 66402</t>
  </si>
  <si>
    <t>BD-VRM-2024-2877</t>
  </si>
  <si>
    <t>Marshall Attitude Wallpaper A 66501</t>
  </si>
  <si>
    <t>BD-VRM-2024-2874</t>
  </si>
  <si>
    <t>Marshall Attitude Wallpaper A 66502</t>
  </si>
  <si>
    <t>BD-VRM-2024-2880</t>
  </si>
  <si>
    <t>Marshall Attitude Wallpaper A 66503</t>
  </si>
  <si>
    <t>BD-VRM-2024-2871</t>
  </si>
  <si>
    <t>Marshall Attitude Wallpaper A 66601</t>
  </si>
  <si>
    <t>BD-VRM-2024-2870</t>
  </si>
  <si>
    <t>Marshall Attitude Wallpaper A 66602</t>
  </si>
  <si>
    <t>BD-VRM-2024-2873</t>
  </si>
  <si>
    <t>Marshall Attitude Wallpaper A 66603</t>
  </si>
  <si>
    <t>BD-VRM-2024-2909</t>
  </si>
  <si>
    <t>Marshall Attitude Wallpaper A 66701</t>
  </si>
  <si>
    <t>BD-VRM-2024-2908</t>
  </si>
  <si>
    <t>Marshall Attitude Wallpaper A 66702</t>
  </si>
  <si>
    <t>BD-VRM-2024-2910</t>
  </si>
  <si>
    <t>Marshall Attitude Wallpaper A 66703</t>
  </si>
  <si>
    <t>BD-VRM-2024-2887</t>
  </si>
  <si>
    <t>Marshall Attitude Wallpaper A 66901</t>
  </si>
  <si>
    <t>BD-VRM-2024-2890</t>
  </si>
  <si>
    <t>Marshall Attitude Wallpaper A 66902</t>
  </si>
  <si>
    <t>BD-VRM-2024-2888</t>
  </si>
  <si>
    <t>Marshall Attitude Wallpaper A 66903</t>
  </si>
  <si>
    <t>BD-VRM-2024-2889</t>
  </si>
  <si>
    <t>Marshall Attitude Wallpaper A 66904</t>
  </si>
  <si>
    <t>BD-VRM-2024-2876</t>
  </si>
  <si>
    <t>Marshall Attitude Wallpaper A 67001</t>
  </si>
  <si>
    <t>BD-VRM-2024-2882</t>
  </si>
  <si>
    <t>Marshall Attitude Wallpaper A 67002</t>
  </si>
  <si>
    <t>BD-VRM-2024-2879</t>
  </si>
  <si>
    <t>Marshall Attitude Wallpaper A 67003</t>
  </si>
  <si>
    <t>BD-VRM-2024-2872</t>
  </si>
  <si>
    <t>Marshall Attitude Wallpaper A 67004</t>
  </si>
  <si>
    <t>BD-VRM-2024-2875</t>
  </si>
  <si>
    <t>Marshall Attitude Wallpaper A 67005</t>
  </si>
  <si>
    <t>BD-VRM-2024-2976</t>
  </si>
  <si>
    <t>Marshall Eldorado Wallpaper 15501</t>
  </si>
  <si>
    <t>BD-VRM-2024-2966</t>
  </si>
  <si>
    <t>Marshall Eldorado Wallpaper 15502</t>
  </si>
  <si>
    <t>BD-VRM-2024-2967</t>
  </si>
  <si>
    <t>Marshall Eldorado Wallpaper 15503</t>
  </si>
  <si>
    <t>BD-VRM-2024-2972</t>
  </si>
  <si>
    <t>Marshall Eldorado Wallpaper 15504</t>
  </si>
  <si>
    <t>BD-VRM-2024-2971</t>
  </si>
  <si>
    <t>Marshall Eldorado Wallpaper 15505</t>
  </si>
  <si>
    <t>BD-VRM-2024-2973</t>
  </si>
  <si>
    <t>Marshall Eldorado Wallpaper 15506</t>
  </si>
  <si>
    <t>BD-VRM-2024-2969</t>
  </si>
  <si>
    <t>Marshall Eldorado Wallpaper 15507</t>
  </si>
  <si>
    <t>BD-VRM-2024-2968</t>
  </si>
  <si>
    <t>Marshall Eldorado Wallpaper 15508</t>
  </si>
  <si>
    <t>BD-VRM-2024-2970</t>
  </si>
  <si>
    <t>Marshall Eldorado Wallpaper 15509</t>
  </si>
  <si>
    <t>BD-VRM-2024-2975</t>
  </si>
  <si>
    <t>Marshall Eldorado Wallpaper 15516</t>
  </si>
  <si>
    <t>BD-VRM-2024-2974</t>
  </si>
  <si>
    <t>Marshall Eldorado Wallpaper 15517</t>
  </si>
  <si>
    <t>BD-VRM-2024-2980</t>
  </si>
  <si>
    <t>Marshall Eldorado Wallpaper 15524</t>
  </si>
  <si>
    <t>BD-VRM-2024-2979</t>
  </si>
  <si>
    <t>Marshall Eldorado Wallpaper 15530</t>
  </si>
  <si>
    <t>BD-VRM-2024-2978</t>
  </si>
  <si>
    <t>Marshall Eldorado Wallpaper 15534</t>
  </si>
  <si>
    <t>BD-VRM-2024-2986</t>
  </si>
  <si>
    <t>Marshall Eldorado Wallpaper 15535</t>
  </si>
  <si>
    <t>BD-VRM-2024-2985</t>
  </si>
  <si>
    <t>Marshall Eldorado Wallpaper 15536</t>
  </si>
  <si>
    <t>BD-VRM-2024-2993</t>
  </si>
  <si>
    <t>Marshall Eldorado Wallpaper 15537</t>
  </si>
  <si>
    <t>BD-VRM-2024-2994</t>
  </si>
  <si>
    <t>Marshall Eldorado Wallpaper 15538</t>
  </si>
  <si>
    <t>BD-VRM-2024-2988</t>
  </si>
  <si>
    <t>Marshall Eldorado Wallpaper 15539</t>
  </si>
  <si>
    <t>BD-VRM-2024-2987</t>
  </si>
  <si>
    <t>Marshall Eldorado Wallpaper 15540</t>
  </si>
  <si>
    <t>BD-VRM-2024-2992</t>
  </si>
  <si>
    <t>Marshall Eldorado Wallpaper 15543</t>
  </si>
  <si>
    <t>BD-VRM-2024-2991</t>
  </si>
  <si>
    <t>Marshall Eldorado Wallpaper 15544</t>
  </si>
  <si>
    <t>BD-VRM-2024-2983</t>
  </si>
  <si>
    <t>Marshall Eldorado Wallpaper 15545</t>
  </si>
  <si>
    <t>BD-VRM-2024-2982</t>
  </si>
  <si>
    <t>Marshall Eldorado Wallpaper 15549</t>
  </si>
  <si>
    <t>BD-VRM-2024-2984</t>
  </si>
  <si>
    <t>Marshall Eldorado Wallpaper 15551</t>
  </si>
  <si>
    <t>BD-VRM-2024-2981</t>
  </si>
  <si>
    <t>Marshall Eldorado Wallpaper 15557</t>
  </si>
  <si>
    <t>BD-VRM-2024-2995</t>
  </si>
  <si>
    <t>Marshall Eldorado Wallpaper 15559</t>
  </si>
  <si>
    <t>BD-VRM-2024-2990</t>
  </si>
  <si>
    <t>Marshall Eldorado Wallpaper 15561</t>
  </si>
  <si>
    <t>BD-VRM-2024-2989</t>
  </si>
  <si>
    <t>Marshall Eldorado Wallpaper 15562</t>
  </si>
  <si>
    <t>BD-VRM-2024-2977</t>
  </si>
  <si>
    <t>Marshall Eldorado Wallpaper 15581</t>
  </si>
  <si>
    <t>BD-VRM-2024-3016</t>
  </si>
  <si>
    <t>Marshall Eldorado Wallpaper 17702</t>
  </si>
  <si>
    <t>BD-VRM-2024-3014</t>
  </si>
  <si>
    <t>Marshall Eldorado Wallpaper 17703</t>
  </si>
  <si>
    <t>BD-VRM-2024-3015</t>
  </si>
  <si>
    <t>Marshall Eldorado Wallpaper 17704</t>
  </si>
  <si>
    <t>BD-VRM-2024-3009</t>
  </si>
  <si>
    <t>Marshall Eldorado Wallpaper 17705</t>
  </si>
  <si>
    <t>BD-VRM-2024-3008</t>
  </si>
  <si>
    <t>Marshall Eldorado Wallpaper 17706</t>
  </si>
  <si>
    <t>BD-VRM-2024-3011</t>
  </si>
  <si>
    <t>Marshall Eldorado Wallpaper 17709</t>
  </si>
  <si>
    <t>BD-VRM-2024-3010</t>
  </si>
  <si>
    <t>Marshall Eldorado Wallpaper 17710</t>
  </si>
  <si>
    <t>BD-VRM-2024-3013</t>
  </si>
  <si>
    <t>Marshall Eldorado Wallpaper 17711</t>
  </si>
  <si>
    <t>BD-VRM-2024-3012</t>
  </si>
  <si>
    <t>Marshall Eldorado Wallpaper 17712</t>
  </si>
  <si>
    <t>BD-VRM-2024-2997</t>
  </si>
  <si>
    <t>Marshall Eldorado Wallpaper 17713</t>
  </si>
  <si>
    <t>BD-VRM-2024-2999</t>
  </si>
  <si>
    <t>Marshall Eldorado Wallpaper 17714</t>
  </si>
  <si>
    <t>BD-VRM-2024-2998</t>
  </si>
  <si>
    <t>Marshall Eldorado Wallpaper 17716</t>
  </si>
  <si>
    <t>BD-VRM-2024-2996</t>
  </si>
  <si>
    <t>Marshall Eldorado Wallpaper 17718</t>
  </si>
  <si>
    <t>BD-VRM-2024-3022</t>
  </si>
  <si>
    <t>Marshall Eldorado Wallpaper 17733</t>
  </si>
  <si>
    <t>BD-VRM-2024-3021</t>
  </si>
  <si>
    <t>Marshall Eldorado Wallpaper 17734</t>
  </si>
  <si>
    <t>BD-VRM-2024-3018</t>
  </si>
  <si>
    <t>Marshall Eldorado Wallpaper 17735</t>
  </si>
  <si>
    <t>BD-VRM-2024-3017</t>
  </si>
  <si>
    <t>Marshall Eldorado Wallpaper 17736</t>
  </si>
  <si>
    <t>BD-VRM-2024-3020</t>
  </si>
  <si>
    <t>Marshall Eldorado Wallpaper 17737</t>
  </si>
  <si>
    <t>BD-VRM-2024-3019</t>
  </si>
  <si>
    <t>Marshall Eldorado Wallpaper 17738</t>
  </si>
  <si>
    <t>BD-VRM-2024-3025</t>
  </si>
  <si>
    <t>Marshall Eldorado Wallpaper 17739</t>
  </si>
  <si>
    <t>BD-VRM-2024-3024</t>
  </si>
  <si>
    <t>Marshall Eldorado Wallpaper 17740</t>
  </si>
  <si>
    <t>BD-VRM-2024-3023</t>
  </si>
  <si>
    <t>Marshall Eldorado Wallpaper 17741</t>
  </si>
  <si>
    <t>BD-VRM-2024-3005</t>
  </si>
  <si>
    <t>Marshall Eldorado Wallpaper 17743</t>
  </si>
  <si>
    <t>BD-VRM-2024-3004</t>
  </si>
  <si>
    <t>Marshall Eldorado Wallpaper 17744</t>
  </si>
  <si>
    <t>BD-VRM-2024-3001</t>
  </si>
  <si>
    <t>Marshall Eldorado Wallpaper 17745</t>
  </si>
  <si>
    <t>BD-VRM-2024-3000</t>
  </si>
  <si>
    <t>Marshall Eldorado Wallpaper 17746</t>
  </si>
  <si>
    <t>BD-VRM-2024-3007</t>
  </si>
  <si>
    <t>Marshall Eldorado Wallpaper 17747</t>
  </si>
  <si>
    <t>BD-VRM-2024-3006</t>
  </si>
  <si>
    <t>Marshall Eldorado Wallpaper 17748</t>
  </si>
  <si>
    <t>BD-VRM-2024-3003</t>
  </si>
  <si>
    <t>Marshall Eldorado Wallpaper 17749</t>
  </si>
  <si>
    <t>BD-VRM-2024-3002</t>
  </si>
  <si>
    <t>Marshall Eldorado Wallpaper 17750</t>
  </si>
  <si>
    <t>WP MR INS 240</t>
  </si>
  <si>
    <t>Marshall Wallpaper - Inspire II INS 240</t>
  </si>
  <si>
    <t>WP MR FUN 101</t>
  </si>
  <si>
    <t>Marshalls - Fun Time Wallpapers - FUN 101</t>
  </si>
  <si>
    <t>WP MR FUN 102</t>
  </si>
  <si>
    <t>Marshalls - Fun Time Wallpapers - FUN 102</t>
  </si>
  <si>
    <t>WP MR FUN 103</t>
  </si>
  <si>
    <t>Marshalls - Fun Time Wallpapers - FUN 103</t>
  </si>
  <si>
    <t>WP MR FUN 104</t>
  </si>
  <si>
    <t>Marshalls - Fun Time Wallpapers - FUN 104</t>
  </si>
  <si>
    <t>WP MR FUN 105</t>
  </si>
  <si>
    <t>Marshalls - Fun Time Wallpapers - FUN 105</t>
  </si>
  <si>
    <t>WP MR FUN 106</t>
  </si>
  <si>
    <t>Marshalls - Fun Time Wallpapers - FUN 106</t>
  </si>
  <si>
    <t>WP MR FUN 107</t>
  </si>
  <si>
    <t>Marshalls - Fun Time Wallpapers - FUN 107</t>
  </si>
  <si>
    <t>WP MR FUN 108</t>
  </si>
  <si>
    <t>Marshalls - Fun Time Wallpapers - FUN 108</t>
  </si>
  <si>
    <t>WP MR FUN 109</t>
  </si>
  <si>
    <t>Marshalls - Fun Time Wallpapers - FUN 109</t>
  </si>
  <si>
    <t>WP MR FUN 110</t>
  </si>
  <si>
    <t>Marshalls - Fun Time Wallpapers - FUN 110</t>
  </si>
  <si>
    <t>WP MR FUN 111</t>
  </si>
  <si>
    <t>Marshalls - Fun Time Wallpapers - FUN 111</t>
  </si>
  <si>
    <t>WP MR FUN 112</t>
  </si>
  <si>
    <t>Marshalls - Fun Time Wallpapers - FUN 112</t>
  </si>
  <si>
    <t>WP MR FUN 113</t>
  </si>
  <si>
    <t>Marshalls - Fun Time Wallpapers - FUN 113</t>
  </si>
  <si>
    <t>WP MR FUN 114</t>
  </si>
  <si>
    <t>Marshalls - Fun Time Wallpapers - FUN 114</t>
  </si>
  <si>
    <t>WP MR FUN 115</t>
  </si>
  <si>
    <t>Marshalls - Fun Time Wallpapers - FUN 115</t>
  </si>
  <si>
    <t>WP MR FUN 116</t>
  </si>
  <si>
    <t>Marshalls - Fun Time Wallpapers - FUN 116</t>
  </si>
  <si>
    <t>WP MR FUN 117</t>
  </si>
  <si>
    <t>Marshalls - Fun Time Wallpapers - FUN 117</t>
  </si>
  <si>
    <t>WP MR FUN 118</t>
  </si>
  <si>
    <t>Marshalls - Fun Time Wallpapers - FUN 118</t>
  </si>
  <si>
    <t>WP MR FUN 119</t>
  </si>
  <si>
    <t>Marshalls - Fun Time Wallpapers - FUN 119</t>
  </si>
  <si>
    <t>WP MR FUN 120</t>
  </si>
  <si>
    <t>Marshalls - Fun Time Wallpapers - FUN 120</t>
  </si>
  <si>
    <t>WP MR FUN 121</t>
  </si>
  <si>
    <t>Marshalls - Fun Time Wallpapers - FUN 121</t>
  </si>
  <si>
    <t>WP MR FUN 122</t>
  </si>
  <si>
    <t>Marshalls - Fun Time Wallpapers - FUN 122</t>
  </si>
  <si>
    <t>WP MR FUN 123</t>
  </si>
  <si>
    <t>Marshalls - Fun Time Wallpapers - FUN 123</t>
  </si>
  <si>
    <t>WP MR FUN 124</t>
  </si>
  <si>
    <t>Marshalls - Fun Time Wallpapers - FUN 124</t>
  </si>
  <si>
    <t>WP MR FUN 125</t>
  </si>
  <si>
    <t>Marshalls - Fun Time Wallpapers - FUN 125</t>
  </si>
  <si>
    <t>WP MR FUN 126</t>
  </si>
  <si>
    <t>Marshalls - Fun Time Wallpapers - FUN 126</t>
  </si>
  <si>
    <t>WP MR FUN 127</t>
  </si>
  <si>
    <t>Marshalls - Fun Time Wallpapers - FUN 127</t>
  </si>
  <si>
    <t>WP MR FUN 128</t>
  </si>
  <si>
    <t>Marshalls - Fun Time Wallpapers - FUN 128</t>
  </si>
  <si>
    <t>WP MR FUN 129</t>
  </si>
  <si>
    <t>Marshalls - Fun Time Wallpapers - FUN 129</t>
  </si>
  <si>
    <t>WP MR FUN 130</t>
  </si>
  <si>
    <t>Marshalls - Fun Time Wallpapers - FUN 130</t>
  </si>
  <si>
    <t>WP MR FUN 131</t>
  </si>
  <si>
    <t>Marshalls - Fun Time Wallpapers - FUN 131</t>
  </si>
  <si>
    <t>WP MR FUN 132</t>
  </si>
  <si>
    <t>Marshalls - Fun Time Wallpapers - FUN 132</t>
  </si>
  <si>
    <t>WP MR FUN 133</t>
  </si>
  <si>
    <t>Marshalls - Fun Time Wallpapers - FUN 133</t>
  </si>
  <si>
    <t>WP MR FUN 134</t>
  </si>
  <si>
    <t>Marshalls - Fun Time Wallpapers - FUN 134</t>
  </si>
  <si>
    <t>WP MR FUN 135</t>
  </si>
  <si>
    <t>Marshalls - Fun Time Wallpapers - FUN 135</t>
  </si>
  <si>
    <t>WP MR FUN 136</t>
  </si>
  <si>
    <t>Marshalls - Fun Time Wallpapers - FUN 136</t>
  </si>
  <si>
    <t>WP MR FUN 137</t>
  </si>
  <si>
    <t>Marshalls - Fun Time Wallpapers - FUN 137</t>
  </si>
  <si>
    <t>WP MR FUN 138</t>
  </si>
  <si>
    <t>Marshalls - Fun Time Wallpapers - FUN 138</t>
  </si>
  <si>
    <t>WP MR FUN 139</t>
  </si>
  <si>
    <t>Marshalls - Fun Time Wallpapers - FUN 139</t>
  </si>
  <si>
    <t>WP MR FUN 140</t>
  </si>
  <si>
    <t>Marshalls - Fun Time Wallpapers - FUN 140</t>
  </si>
  <si>
    <t>WP MR FUN 141</t>
  </si>
  <si>
    <t>Marshalls - Fun Time Wallpapers - FUN 141</t>
  </si>
  <si>
    <t>WP MR FUN 142</t>
  </si>
  <si>
    <t>Marshalls - Fun Time Wallpapers - FUN 142</t>
  </si>
  <si>
    <t>WP MR FUN 143</t>
  </si>
  <si>
    <t>Marshalls - Fun Time Wallpapers - FUN 143</t>
  </si>
  <si>
    <t>WP MR FUN 144</t>
  </si>
  <si>
    <t>Marshalls - Fun Time Wallpapers - FUN 144</t>
  </si>
  <si>
    <t>WP MR FUN 145</t>
  </si>
  <si>
    <t>Marshalls - Fun Time Wallpapers - FUN 145</t>
  </si>
  <si>
    <t>WP MR FUN 146</t>
  </si>
  <si>
    <t>Marshalls - Fun Time Wallpapers - FUN 146</t>
  </si>
  <si>
    <t>WP MR FUN 147</t>
  </si>
  <si>
    <t>Marshalls - Fun Time Wallpapers - FUN 147</t>
  </si>
  <si>
    <t>WP MR FUN 148</t>
  </si>
  <si>
    <t>Marshalls - Fun Time Wallpapers - FUN 148</t>
  </si>
  <si>
    <t>WP MR FUN 149</t>
  </si>
  <si>
    <t>Marshalls - Fun Time Wallpapers - FUN 149</t>
  </si>
  <si>
    <t>WP MR FUN 150</t>
  </si>
  <si>
    <t>Marshalls - Fun Time Wallpapers - FUN 150</t>
  </si>
  <si>
    <t>WP MR FUN 151</t>
  </si>
  <si>
    <t>Marshalls - Fun Time Wallpapers - FUN 151</t>
  </si>
  <si>
    <t>WP MR FUN 152</t>
  </si>
  <si>
    <t>Marshalls - Fun Time Wallpapers - FUN 152</t>
  </si>
  <si>
    <t>WP MR FUN 153</t>
  </si>
  <si>
    <t>Marshalls - Fun Time Wallpapers - FUN 153</t>
  </si>
  <si>
    <t>WP MR FUN 154</t>
  </si>
  <si>
    <t>Marshalls - Fun Time Wallpapers - FUN 154</t>
  </si>
  <si>
    <t>WP MR FUN 155</t>
  </si>
  <si>
    <t>Marshalls - Fun Time Wallpapers - FUN 155</t>
  </si>
  <si>
    <t>WP MR FUN 156</t>
  </si>
  <si>
    <t>Marshalls - Fun Time Wallpapers - FUN 156</t>
  </si>
  <si>
    <t>WP MR FUN 157</t>
  </si>
  <si>
    <t>Marshalls - Fun Time Wallpapers - FUN 157</t>
  </si>
  <si>
    <t>WP MR FUN 158</t>
  </si>
  <si>
    <t>Marshalls - Fun Time Wallpapers - FUN 158</t>
  </si>
  <si>
    <t>WP MR FUN 159</t>
  </si>
  <si>
    <t>Marshalls - Fun Time Wallpapers - FUN 159</t>
  </si>
  <si>
    <t>WP MR FUN 160</t>
  </si>
  <si>
    <t>Marshalls - Fun Time Wallpapers - FUN 160</t>
  </si>
  <si>
    <t>WP MR FUN 161</t>
  </si>
  <si>
    <t>Marshalls - Fun Time Wallpapers - FUN 161</t>
  </si>
  <si>
    <t>WP MR FUN 162</t>
  </si>
  <si>
    <t>Marshalls - Fun Time Wallpapers - FUN 162</t>
  </si>
  <si>
    <t>WP MR FUN 163</t>
  </si>
  <si>
    <t>Marshalls - Fun Time Wallpapers - FUN 163</t>
  </si>
  <si>
    <t>WP MR FUN 164</t>
  </si>
  <si>
    <t>Marshalls - Fun Time Wallpapers - FUN 164</t>
  </si>
  <si>
    <t>WP MR FUN 165</t>
  </si>
  <si>
    <t>Marshalls - Fun Time Wallpapers - FUN 165</t>
  </si>
  <si>
    <t>WP MR FUN 166</t>
  </si>
  <si>
    <t>Marshalls - Fun Time Wallpapers - FUN 166</t>
  </si>
  <si>
    <t>WP MR FUN 167</t>
  </si>
  <si>
    <t>Marshalls - Fun Time Wallpapers - FUN 167</t>
  </si>
  <si>
    <t>WP MR FUN 168</t>
  </si>
  <si>
    <t>Marshalls - Fun Time Wallpapers - FUN 168</t>
  </si>
  <si>
    <t>WP MR FUN 169</t>
  </si>
  <si>
    <t>Marshalls - Fun Time Wallpapers - FUN 169</t>
  </si>
  <si>
    <t>WP MR FUN 170</t>
  </si>
  <si>
    <t>Marshalls - Fun Time Wallpapers - FUN 170</t>
  </si>
  <si>
    <t>WP MR FUN 171</t>
  </si>
  <si>
    <t>Marshalls - Fun Time Wallpapers - FUN 171</t>
  </si>
  <si>
    <t>WP MR FUN 172</t>
  </si>
  <si>
    <t>Marshalls - Fun Time Wallpapers - FUN 172</t>
  </si>
  <si>
    <t>WP MR FUN 173</t>
  </si>
  <si>
    <t>Marshalls - Fun Time Wallpapers - FUN 173</t>
  </si>
  <si>
    <t>WP MR FUN 174</t>
  </si>
  <si>
    <t>Marshalls - Fun Time Wallpapers - FUN 174</t>
  </si>
  <si>
    <t>WP MR FUN 175</t>
  </si>
  <si>
    <t>Marshalls - Fun Time Wallpapers - FUN 175</t>
  </si>
  <si>
    <t>WP MR INS 201</t>
  </si>
  <si>
    <t>Marshalls - Inspire II WallpapersINS 201</t>
  </si>
  <si>
    <t>WP MR INS 202</t>
  </si>
  <si>
    <t>Marshalls - Inspire II WallpapersINS 202</t>
  </si>
  <si>
    <t>WP MR INS 203</t>
  </si>
  <si>
    <t>Marshalls - Inspire II WallpapersINS 203</t>
  </si>
  <si>
    <t>WP MR INS 204</t>
  </si>
  <si>
    <t>Marshalls - Inspire II WallpapersINS 204</t>
  </si>
  <si>
    <t>WP MR INS 205</t>
  </si>
  <si>
    <t>Marshalls - Inspire II WallpapersINS 205</t>
  </si>
  <si>
    <t>WP MR INS 206</t>
  </si>
  <si>
    <t>Marshalls - Inspire II WallpapersINS 206</t>
  </si>
  <si>
    <t>WP MR INS 207</t>
  </si>
  <si>
    <t>Marshalls - Inspire II WallpapersINS 207</t>
  </si>
  <si>
    <t>WP MR INS 208</t>
  </si>
  <si>
    <t>Marshalls - Inspire II WallpapersINS 208</t>
  </si>
  <si>
    <t>WP MR INS 209</t>
  </si>
  <si>
    <t>Marshalls - Inspire II WallpapersINS 209</t>
  </si>
  <si>
    <t>WP MR INS 210</t>
  </si>
  <si>
    <t>Marshalls - Inspire II WallpapersINS 210 [BBP]</t>
  </si>
  <si>
    <t>WP MR INS 211</t>
  </si>
  <si>
    <t>Marshalls - Inspire II WallpapersINS 211</t>
  </si>
  <si>
    <t>WP MR INS 212</t>
  </si>
  <si>
    <t>Marshalls - Inspire II WallpapersINS 212</t>
  </si>
  <si>
    <t>WP MR INS 213</t>
  </si>
  <si>
    <t>Marshalls - Inspire II WallpapersINS 213 [BBP]</t>
  </si>
  <si>
    <t>WP MR INS 214</t>
  </si>
  <si>
    <t>Marshalls - Inspire II WallpapersINS 214</t>
  </si>
  <si>
    <t>WP MR INS 215</t>
  </si>
  <si>
    <t>Marshalls - Inspire II WallpapersINS 215</t>
  </si>
  <si>
    <t>WP MR INS 216</t>
  </si>
  <si>
    <t>Marshalls - Inspire II WallpapersINS 216</t>
  </si>
  <si>
    <t>WP MR INS 217</t>
  </si>
  <si>
    <t>Marshalls - Inspire II WallpapersINS 217</t>
  </si>
  <si>
    <t>WP MR INS 218</t>
  </si>
  <si>
    <t>Marshalls - Inspire II WallpapersINS 218</t>
  </si>
  <si>
    <t>WP MR INS 219</t>
  </si>
  <si>
    <t>Marshalls - Inspire II WallpapersINS 219</t>
  </si>
  <si>
    <t>WP MR INS 220</t>
  </si>
  <si>
    <t>Marshalls - Inspire II WallpapersINS 220</t>
  </si>
  <si>
    <t>WP MR INS 221</t>
  </si>
  <si>
    <t>Marshalls - Inspire II WallpapersINS 221</t>
  </si>
  <si>
    <t>WP MR INS 222</t>
  </si>
  <si>
    <t>Marshalls - Inspire II WallpapersINS 222</t>
  </si>
  <si>
    <t>WP MR INS 223</t>
  </si>
  <si>
    <t>Marshalls - Inspire II WallpapersINS 223</t>
  </si>
  <si>
    <t>WP MR INS 224</t>
  </si>
  <si>
    <t>Marshalls - Inspire II WallpapersINS 224</t>
  </si>
  <si>
    <t>WP MR INS 225</t>
  </si>
  <si>
    <t>Marshalls - Inspire II WallpapersINS 225</t>
  </si>
  <si>
    <t>WP MR INS 226</t>
  </si>
  <si>
    <t>Marshalls - Inspire II WallpapersINS 226</t>
  </si>
  <si>
    <t>WP MR INS 227</t>
  </si>
  <si>
    <t>Marshalls - Inspire II WallpapersINS 227</t>
  </si>
  <si>
    <t>WP MR INS 228</t>
  </si>
  <si>
    <t>Marshalls - Inspire II WallpapersINS 228</t>
  </si>
  <si>
    <t>WP MR INS 229</t>
  </si>
  <si>
    <t>Marshalls - Inspire II WallpapersINS 229</t>
  </si>
  <si>
    <t>WP MR INS 230</t>
  </si>
  <si>
    <t>Marshalls - Inspire II WallpapersINS 230</t>
  </si>
  <si>
    <t>WP MR INS 231</t>
  </si>
  <si>
    <t>Marshalls - Inspire II WallpapersINS 231</t>
  </si>
  <si>
    <t>WP MR INS 232</t>
  </si>
  <si>
    <t>Marshalls - Inspire II WallpapersINS 232</t>
  </si>
  <si>
    <t>WP MR INS 233</t>
  </si>
  <si>
    <t>Marshalls - Inspire II WallpapersINS 233</t>
  </si>
  <si>
    <t>WP MR INS 234</t>
  </si>
  <si>
    <t>Marshalls - Inspire II WallpapersINS 234</t>
  </si>
  <si>
    <t>WP MR INS 235</t>
  </si>
  <si>
    <t>Marshalls - Inspire II WallpapersINS 235</t>
  </si>
  <si>
    <t>WP MR INS 236</t>
  </si>
  <si>
    <t>Marshalls - Inspire II WallpapersINS 236</t>
  </si>
  <si>
    <t>WP MR INS 237</t>
  </si>
  <si>
    <t>Marshalls - Inspire II WallpapersINS 237</t>
  </si>
  <si>
    <t>WP MR INS 238</t>
  </si>
  <si>
    <t>Marshalls Inspire II Wallpaper INS 238</t>
  </si>
  <si>
    <t>WP MR INS 239</t>
  </si>
  <si>
    <t>Marshalls Inspire II Wallpaper INS 239</t>
  </si>
  <si>
    <t>WP MR INS 241</t>
  </si>
  <si>
    <t>Marshalls Inspire II Wallpaper INS 241</t>
  </si>
  <si>
    <t>WP MR INS 242</t>
  </si>
  <si>
    <t>Marshalls Inspire II Wallpaper INS 242</t>
  </si>
  <si>
    <t>WP MR INS 243</t>
  </si>
  <si>
    <t>Marshalls Inspire II Wallpaper INS 243</t>
  </si>
  <si>
    <t>WP MR INS 244</t>
  </si>
  <si>
    <t>Marshalls Inspire II Wallpaper INS 244</t>
  </si>
  <si>
    <t>WP MR INS 245</t>
  </si>
  <si>
    <t>Marshalls Inspire II Wallpaper INS 245</t>
  </si>
  <si>
    <t>WP MR INS 246</t>
  </si>
  <si>
    <t>Marshalls Inspire II Wallpaper INS 246</t>
  </si>
  <si>
    <t>WP MR INS 247</t>
  </si>
  <si>
    <t>Marshalls Inspire II Wallpaper INS 247</t>
  </si>
  <si>
    <t>WP MR INS 248</t>
  </si>
  <si>
    <t>Marshalls Inspire II Wallpaper INS 248</t>
  </si>
  <si>
    <t>WP MR INS 249</t>
  </si>
  <si>
    <t>Marshalls Inspire II Wallpaper INS 249</t>
  </si>
  <si>
    <t>WP MR INS 250</t>
  </si>
  <si>
    <t>Marshalls Inspire II Wallpaper INS 250</t>
  </si>
  <si>
    <t>WP MR INS 251</t>
  </si>
  <si>
    <t>Marshalls Inspire II Wallpaper INS 251</t>
  </si>
  <si>
    <t>WP MR INS 252</t>
  </si>
  <si>
    <t>Marshalls Inspire II Wallpaper INS 252</t>
  </si>
  <si>
    <t>WP MR INS 253</t>
  </si>
  <si>
    <t>Marshalls Inspire II Wallpaper INS 253</t>
  </si>
  <si>
    <t>WP MR INS 254</t>
  </si>
  <si>
    <t>Marshalls Inspire II Wallpaper INS 254</t>
  </si>
  <si>
    <t>WP MR INS 255</t>
  </si>
  <si>
    <t>Marshalls Inspire II Wallpaper INS 255</t>
  </si>
  <si>
    <t>WP MR INS 256</t>
  </si>
  <si>
    <t>Marshalls Inspire II Wallpaper INS 256</t>
  </si>
  <si>
    <t>WP MR INS 257</t>
  </si>
  <si>
    <t>Marshalls Inspire II Wallpaper INS 257</t>
  </si>
  <si>
    <t>WP MR INS 258</t>
  </si>
  <si>
    <t>Marshalls Inspire II Wallpaper INS 258</t>
  </si>
  <si>
    <t>WP MR INS 259</t>
  </si>
  <si>
    <t>Marshalls Inspire II Wallpaper INS 259</t>
  </si>
  <si>
    <t>WP MR INS 260</t>
  </si>
  <si>
    <t>Marshalls Inspire II Wallpaper INS 260</t>
  </si>
  <si>
    <t>WP MR INS 261</t>
  </si>
  <si>
    <t>Marshalls Inspire II Wallpaper INS 261</t>
  </si>
  <si>
    <t>WP MR INS 262</t>
  </si>
  <si>
    <t>Marshalls Inspire II Wallpaper INS 262</t>
  </si>
  <si>
    <t>WP MR INS 263</t>
  </si>
  <si>
    <t>Marshalls Inspire II Wallpaper INS 263</t>
  </si>
  <si>
    <t>WP MR INS 264</t>
  </si>
  <si>
    <t>Marshalls Inspire II Wallpaper INS 264</t>
  </si>
  <si>
    <t>WP MR INS 265</t>
  </si>
  <si>
    <t>Marshalls Inspire II Wallpaper INS 265</t>
  </si>
  <si>
    <t>WP MR INS 266</t>
  </si>
  <si>
    <t>Marshalls Inspire II Wallpaper INS 266</t>
  </si>
  <si>
    <t>WP MR INS 267</t>
  </si>
  <si>
    <t>Marshalls Inspire II Wallpaper INS 267</t>
  </si>
  <si>
    <t>WP MR INS 268</t>
  </si>
  <si>
    <t>Marshalls Inspire II Wallpaper INS 268</t>
  </si>
  <si>
    <t>WP MR INS 269</t>
  </si>
  <si>
    <t>Marshalls Inspire II Wallpaper INS 269</t>
  </si>
  <si>
    <t>WP MR INS 270</t>
  </si>
  <si>
    <t>Marshalls Inspire II Wallpaper INS 270</t>
  </si>
  <si>
    <t>BD-WLP-2023-0034</t>
  </si>
  <si>
    <t>Melange - Abstract Chevron - 032G Wallpaper [BBP]</t>
  </si>
  <si>
    <t>BD-WLP-2023-0039</t>
  </si>
  <si>
    <t>Melange - Aligned - 037G Wallpaper</t>
  </si>
  <si>
    <t>BD-WLP-2023-0049</t>
  </si>
  <si>
    <t>Melange - Alphabets - 009K Wallpaper</t>
  </si>
  <si>
    <t>BD-WLP-2023-0041</t>
  </si>
  <si>
    <t>Melange - Animal Atlas - 001K Wallpaper</t>
  </si>
  <si>
    <t>BD-WLP-2023-0014</t>
  </si>
  <si>
    <t>Melange - Au Maison Baroque Dusty Blue - 012G Wallpaper</t>
  </si>
  <si>
    <t>BD-WLP-2023-0032</t>
  </si>
  <si>
    <t>Melange - Beige Vintage - 030G Wallpaper</t>
  </si>
  <si>
    <t>BD-WLP-2023-0029</t>
  </si>
  <si>
    <t>Melange - Black Stripes - 027G Wallpaper</t>
  </si>
  <si>
    <t>BD-WLP-2023-0008</t>
  </si>
  <si>
    <t>Melange - Block Print - 006G Wallpaper</t>
  </si>
  <si>
    <t>BD-WLP-2023-0026</t>
  </si>
  <si>
    <t>Melange - Celestial Hues - 024G Wallpaper</t>
  </si>
  <si>
    <t>BD-WLP-2023-0036</t>
  </si>
  <si>
    <t>Melange - Chevron Jungle - 034G Wallpaper [BBP]</t>
  </si>
  <si>
    <t>BD-WLP-2023-0007</t>
  </si>
  <si>
    <t>Melange - Chinoiserie in Blue - 005G Wallpaper</t>
  </si>
  <si>
    <t>BD-WLP-2023-0045</t>
  </si>
  <si>
    <t>Melange - Circus Elephant - 005K Wallpaper</t>
  </si>
  <si>
    <t>BD-WLP-2023-0044</t>
  </si>
  <si>
    <t>Melange - Constellation - 004K Wallpaper</t>
  </si>
  <si>
    <t>BD-WLP-2023-0005</t>
  </si>
  <si>
    <t>Melange - Coral Dreams - 003G Wallpaper</t>
  </si>
  <si>
    <t>BD-WLP-2023-0020</t>
  </si>
  <si>
    <t>Melange - Daisy Spring - 018G Wallpaper [BBP]</t>
  </si>
  <si>
    <t>BD-WLP-2023-0024</t>
  </si>
  <si>
    <t>Melange - Decor Medley - 022G Wallpaper</t>
  </si>
  <si>
    <t>BD-WLP-2023-0027</t>
  </si>
  <si>
    <t>Melange - Dreaming of Greece - 025G Wallpaper</t>
  </si>
  <si>
    <t>BD-WLP-2023-0013</t>
  </si>
  <si>
    <t>Melange - Floral Dreams - 011G Wallpaper</t>
  </si>
  <si>
    <t>BD-WLP-2023-0019</t>
  </si>
  <si>
    <t>Melange - Floral Thread Sand - 017G Wallpaper</t>
  </si>
  <si>
    <t>BD-WLP-2023-0015</t>
  </si>
  <si>
    <t>Melange - Fluer De Lis - 013G Wallpaper</t>
  </si>
  <si>
    <t>BD-WLP-2023-0040</t>
  </si>
  <si>
    <t>Melange - Geometric Abstract - 038G Wallpaper [BBP]</t>
  </si>
  <si>
    <t>BD-WLP-2023-0023</t>
  </si>
  <si>
    <t>Melange - Geometric Rug - 021G Wallpaper</t>
  </si>
  <si>
    <t>BD-WLP-2023-0022</t>
  </si>
  <si>
    <t>Melange - Green Symphony - 020G Wallpaper [BBP]</t>
  </si>
  <si>
    <t>BD-WLP-2023-0033</t>
  </si>
  <si>
    <t>Melange - Grey Skyline - 031G Wallpaper</t>
  </si>
  <si>
    <t>BD-WLP-2023-0018</t>
  </si>
  <si>
    <t>Melange - Haathi - 016G Wallpaper</t>
  </si>
  <si>
    <t>BD-WLP-2023-0048</t>
  </si>
  <si>
    <t>Melange - Hindi Akshar - 008K Wallpaper</t>
  </si>
  <si>
    <t>BD-WLP-2023-0016</t>
  </si>
  <si>
    <t>Melange - Indian Summer - 014G Wallpaper</t>
  </si>
  <si>
    <t>BD-WLP-2023-0025</t>
  </si>
  <si>
    <t>Melange - Indigo Woodblock - 023G Wallpaper</t>
  </si>
  <si>
    <t>BD-WLP-2023-0010</t>
  </si>
  <si>
    <t>Melange - Leafy Affair - 008G Wallpaper</t>
  </si>
  <si>
    <t>BD-WLP-2023-0028</t>
  </si>
  <si>
    <t>Melange - Morada Bay - 026G Wallpaper</t>
  </si>
  <si>
    <t>BD-WLP-2023-0011</t>
  </si>
  <si>
    <t>Melange - Moroccan Monochrome - 009G Wallpaper</t>
  </si>
  <si>
    <t>BD-WLP-2023-0047</t>
  </si>
  <si>
    <t>Melange - Nordic Kids Blue - 007K Wallpaper</t>
  </si>
  <si>
    <t>BD-WLP-2023-0042</t>
  </si>
  <si>
    <t>Melange - Nordic Kids Yellow - 002K Wallpaper</t>
  </si>
  <si>
    <t>BD-WLP-2023-0003</t>
  </si>
  <si>
    <t>Melange - Owl in the Wilderness - 001G Wallpaper</t>
  </si>
  <si>
    <t>BD-WLP-2023-0012</t>
  </si>
  <si>
    <t>Melange - Paisley in Blue - 010G Wallpaper</t>
  </si>
  <si>
    <t>BD-WLP-2023-0038</t>
  </si>
  <si>
    <t>Melange - Pastel Terrazo - 036G Wallpaper</t>
  </si>
  <si>
    <t>BD-WLP-2023-0009</t>
  </si>
  <si>
    <t>Melange - Popinjay - 007G Wallpaper</t>
  </si>
  <si>
    <t>BD-WLP-2023-0021</t>
  </si>
  <si>
    <t>Melange - Savan Jute - 019G Wallpaper [BBP]</t>
  </si>
  <si>
    <t>BD-WLP-2023-0004</t>
  </si>
  <si>
    <t>Melange - Skylark in Blue - 002G Wallpaper</t>
  </si>
  <si>
    <t>BD-WLP-2023-0031</t>
  </si>
  <si>
    <t>Melange - Stormy Sky - 029G Wallpaper</t>
  </si>
  <si>
    <t>BD-WLP-2023-0043</t>
  </si>
  <si>
    <t>Melange - Sunny Side Up - 003K Wallpaper</t>
  </si>
  <si>
    <t>BD-WLP-2023-0051</t>
  </si>
  <si>
    <t>Melange - Sunshine &amp; Rainbows - 011K wallpaer</t>
  </si>
  <si>
    <t>BD-WLP-2023-0050</t>
  </si>
  <si>
    <t>Melange - Super Hero - 010K Wallpaper</t>
  </si>
  <si>
    <t>BD-WLP-2023-0037</t>
  </si>
  <si>
    <t>Melange - Terrazo - 035G Wallpaper</t>
  </si>
  <si>
    <t>BD-WLP-2023-0046</t>
  </si>
  <si>
    <t>Melange - Up &amp; Away - 006K Wallpaper</t>
  </si>
  <si>
    <t>BD-WLP-2023-0006</t>
  </si>
  <si>
    <t>Melange - Vintage Kaleidoscope - 004G Wallpaper</t>
  </si>
  <si>
    <t>BD-WLP-2023-0030</t>
  </si>
  <si>
    <t>Melange - Weathered Grey - 028G Wallpaper</t>
  </si>
  <si>
    <t>BD-WLP-2023-0035</t>
  </si>
  <si>
    <t>Melange - Wilton Trellis - 033G Wallpaper</t>
  </si>
  <si>
    <t>BD-WLP-2023-0017</t>
  </si>
  <si>
    <t>Melange - Yellow Handblock - 015G Wallpaper</t>
  </si>
  <si>
    <t>BD-VRM-2024-0565</t>
  </si>
  <si>
    <t>MELANGE II - Aegean Teal Washed Out Flower Linen Customized Wallpaper(129) - 1946632363</t>
  </si>
  <si>
    <t>BD-VRM-2024-0549</t>
  </si>
  <si>
    <t>MELANGE II - African Animal Jungle Cute Cartoon  Customized Wallpaper(113) - 1377108143</t>
  </si>
  <si>
    <t>BD-VRM-2024-0555</t>
  </si>
  <si>
    <t>MELANGE II - Alcohol Ink Colors Translucent Customized Wallpaper(119) - 1630869838</t>
  </si>
  <si>
    <t>BD-VRM-2024-0563</t>
  </si>
  <si>
    <t>MELANGE II - Beutiful Textile Ethnic Mughal Art Border Customized Wallpaper(127) - 2307949095</t>
  </si>
  <si>
    <t>BD-VRM-2024-0558</t>
  </si>
  <si>
    <t>MELANGE II - Carpet Background Gray Vintage Customized Wallpaper(122) - 2340646719</t>
  </si>
  <si>
    <t>BD-VRM-2024-0541</t>
  </si>
  <si>
    <t>MELANGE II - Chinoseries Peacock Bird Palace Garden Royal Customized Wallpaper(105) - 2244598387</t>
  </si>
  <si>
    <t>BD-VRM-2024-0550</t>
  </si>
  <si>
    <t>MELANGE II - Garden Lemon Fruit Tree Customized Wallpaper(114) - 1543034387</t>
  </si>
  <si>
    <t>BD-VRM-2024-0556</t>
  </si>
  <si>
    <t>MELANGE II - Golden Feathers dark Background  Customized Wallpaper(120) - 2094632932</t>
  </si>
  <si>
    <t>BD-VRM-2024-0578</t>
  </si>
  <si>
    <t>MELANGE II - Grey Concreate Texture Customized Wallpaper(142) - 726090934</t>
  </si>
  <si>
    <t>BD-VRM-2024-0537</t>
  </si>
  <si>
    <t>MELANGE II - Jungle Tropical Leaves Customized Wallpaper(101) - 2354742769</t>
  </si>
  <si>
    <t>BD-VRM-2024-0540</t>
  </si>
  <si>
    <t>MELANGE II - Kids Travel Journey Customized Wallpaper(104) - 2289351895</t>
  </si>
  <si>
    <t>BD-VRM-2024-0557</t>
  </si>
  <si>
    <t>MELANGE II - Macawas Flowers Bright  Customized Wallpaper(121) - 2279616545</t>
  </si>
  <si>
    <t>BD-VRM-2024-0566</t>
  </si>
  <si>
    <t>MELANGE II - Mughal Buta Kurti  Customized Wallpaper(130) - 1585201633</t>
  </si>
  <si>
    <t>BD-VRM-2024-0547</t>
  </si>
  <si>
    <t>MELANGE II - Mughal Decorative Pattern Palm Tree Plant  Customized Wallpaper(111) - 2282260523</t>
  </si>
  <si>
    <t>BD-VRM-2024-0567</t>
  </si>
  <si>
    <t>MELANGE II - Mughal Flower Pattern Dusty  Customized Wallpaper(131) - 2216511519</t>
  </si>
  <si>
    <t>BD-VRM-2024-0542</t>
  </si>
  <si>
    <t>MELANGE II - Mughal Forest Garden Peacock Parrot Plant Customized Wallpaper(106) - 2424914535</t>
  </si>
  <si>
    <t>BD-VRM-2024-0546</t>
  </si>
  <si>
    <t>MELANGE II - Mughal King Welcoming by Women Peacock  Customized Wallpaper(110) - 2219008767</t>
  </si>
  <si>
    <t>BD-VRM-2024-0560</t>
  </si>
  <si>
    <t>MELANGE II - Natural Luxury Abstract Fluid Customized Wallpaper(124) - 1858205767</t>
  </si>
  <si>
    <t>BD-VRM-2024-0544</t>
  </si>
  <si>
    <t>MELANGE II - Nature Green  Customized Wallpaper(108) - 1711748359</t>
  </si>
  <si>
    <t>BD-VRM-2024-0551</t>
  </si>
  <si>
    <t>MELANGE II - Park Ink Drawn Trees bird Summer Customized Wallpaper(115) - 2200473267</t>
  </si>
  <si>
    <t>BD-VRM-2024-0577</t>
  </si>
  <si>
    <t>MELANGE II - Park Tree Floral Seamless Pattern  Customized Wallpaper(141) - 2157708247</t>
  </si>
  <si>
    <t>BD-VRM-2024-0573</t>
  </si>
  <si>
    <t>MELANGE II - Red Brick Wall Customized Wallpaper(137) - 201754925</t>
  </si>
  <si>
    <t>BD-VRM-2024-0545</t>
  </si>
  <si>
    <t>MELANGE II - Royalty Free Customized Wallpaper(109) - 2036783357</t>
  </si>
  <si>
    <t>BD-VRM-2024-0559</t>
  </si>
  <si>
    <t>MELANGE II - Safari Animal Frame Customized Wallpaper(123) - 2150029057</t>
  </si>
  <si>
    <t>BD-VRM-2024-0570</t>
  </si>
  <si>
    <t>MELANGE II - Seamless Abstract Background Pattern Lines Curves Customized Wallpaper(134) - 1896336469</t>
  </si>
  <si>
    <t>BD-VRM-2024-0568</t>
  </si>
  <si>
    <t>MELANGE II - Seamless Abstract Leaves pattern Customized Wallpaper(132) - 1771021865</t>
  </si>
  <si>
    <t>BD-VRM-2024-0564</t>
  </si>
  <si>
    <t>MELANGE II - Seamless Ethnic Mughal Floral Pattern Customized Wallpaper(128) - 1510576811</t>
  </si>
  <si>
    <t>BD-VRM-2024-0569</t>
  </si>
  <si>
    <t>MELANGE II - Seamless pattern Abstract Line Nude Customized Wallpaper(133) - 1990800821</t>
  </si>
  <si>
    <t>BD-VRM-2024-0576</t>
  </si>
  <si>
    <t>MELANGE II - Shark Vector Pattern Background Customized Wallpaper(140) - 591241133</t>
  </si>
  <si>
    <t>BD-VRM-2024-0543</t>
  </si>
  <si>
    <t>MELANGE II - Tiger Skin Pattern Customized Wallpaper(107) - 2333881579</t>
  </si>
  <si>
    <t>BD-VRM-2024-0548</t>
  </si>
  <si>
    <t>MELANGE II - Traditional Mughal Elephant Camel Caravan  Customized Wallpaper(112) - 2198035809</t>
  </si>
  <si>
    <t>BD-VRM-2024-0561</t>
  </si>
  <si>
    <t>MELANGE II - Tripocal Vintage Botanical Green Palm Tree Customized Wallpaper(125) - 1247335573</t>
  </si>
  <si>
    <t>BD-VRM-2024-0552</t>
  </si>
  <si>
    <t>MELANGE II - Tropical Leaves Seamless pattern Customized Wallpaper(116) - 1482643157</t>
  </si>
  <si>
    <t>BD-VRM-2024-0538</t>
  </si>
  <si>
    <t>MELANGE II - Undersea World Cute Cartoon Animal Customized Wallpaper(102) -1172646175</t>
  </si>
  <si>
    <t>BD-VRM-2024-0579</t>
  </si>
  <si>
    <t>MELANGE II - Vintage Garden Pomegranate Fruit Tree Banana Customized Wallpaper(143) - 1525758557</t>
  </si>
  <si>
    <t>BD-VRM-2024-0553</t>
  </si>
  <si>
    <t>MELANGE II - Vintage Wild Animals Flamingo Palm Customized Wallpaper(117) - 1227558061</t>
  </si>
  <si>
    <t>BD-VRM-2024-0539</t>
  </si>
  <si>
    <t>MELANGE II - Wall Grunge Customized Wallpaper(103) - 2327641601</t>
  </si>
  <si>
    <t>BD-VRM-2024-0574</t>
  </si>
  <si>
    <t>MELANGE II - Weather Forecast Funny Emotions Customized Wallpaper(138) - 1356688307</t>
  </si>
  <si>
    <t>BD-VRM-2024-0572</t>
  </si>
  <si>
    <t>MELANGE II - White Brick Wall Texture Seamless Customized Wallpaper(136) - 675286174</t>
  </si>
  <si>
    <t>BD-VRM-2024-0580</t>
  </si>
  <si>
    <t>MELANGE II - White Peonies Trees Chinoiserie Customized Wallpaper(144) - 2074612552</t>
  </si>
  <si>
    <t>BD-VRM-2024-0571</t>
  </si>
  <si>
    <t>MELANGE II -Deco Style Design Luxuty Geometric  Customized Wallpaper(135) - 1901606656</t>
  </si>
  <si>
    <t>BD-VRM-2024-0575</t>
  </si>
  <si>
    <t>MELANGE II -Stickers Collection Hand Drawn Cartoon  Customized Wallpaper(139) - 2046566192</t>
  </si>
  <si>
    <t>📋  HRBR EC  —  QUARTZ  |  Multi-Round Audit Tracker</t>
  </si>
  <si>
    <t>CT QTZ AGL 1003</t>
  </si>
  <si>
    <t>Quartz AGL 1003 Crystal Bianco Maple</t>
  </si>
  <si>
    <t>AGL</t>
  </si>
  <si>
    <t>CT QTZ AGL 1004</t>
  </si>
  <si>
    <t>Quartz AGL 1004 Crystal Burgundy Maple</t>
  </si>
  <si>
    <t>CT QTZ AGL 1005</t>
  </si>
  <si>
    <t>Quartz AGL 1005 Crystal Coasta Maple</t>
  </si>
  <si>
    <t>CT QTZ AGL 1006</t>
  </si>
  <si>
    <t>Quartz AGL 1006 Crystal Essel Brown</t>
  </si>
  <si>
    <t>CT QTZ AGL 1007</t>
  </si>
  <si>
    <t>Quartz AGL 1007 Crystal Galaxy</t>
  </si>
  <si>
    <t>CT QTZ AGL 1008</t>
  </si>
  <si>
    <t>Quartz AGL 1008 Crystal Graphite</t>
  </si>
  <si>
    <t>CT QTZ AGL 1009</t>
  </si>
  <si>
    <t>Quartz AGL 1009 Crystal Gres</t>
  </si>
  <si>
    <t>CT QTZ AGL 1011</t>
  </si>
  <si>
    <t>Quartz AGL 1011 Crystal Picasso</t>
  </si>
  <si>
    <t>CT QTZ AGL 1012</t>
  </si>
  <si>
    <t>Quartz AGL 1012 Crystal Royal Grigio</t>
  </si>
  <si>
    <t>CT QTZ AGL 1016</t>
  </si>
  <si>
    <t>Quartz AGL 1016 Crystal Tosco Fiero</t>
  </si>
  <si>
    <t>CT QTZ AGL 1017</t>
  </si>
  <si>
    <t>Quartz AGL 1017 Silken Anthracite</t>
  </si>
  <si>
    <t>CT QTZ AGL 1018</t>
  </si>
  <si>
    <t>Quartz AGL 1018 Silken Avalanche</t>
  </si>
  <si>
    <t>CT QTZ AGL 1019</t>
  </si>
  <si>
    <t>Quartz AGL 1019 Silken Bianco Desert</t>
  </si>
  <si>
    <t>CT QTZ AGL 1020</t>
  </si>
  <si>
    <t>Quartz AGL 1020 Silken Coasta Beige</t>
  </si>
  <si>
    <t>CT QTZ AGL 1021</t>
  </si>
  <si>
    <t>Quartz AGL 1021 Silken Coasta Ivory</t>
  </si>
  <si>
    <t>CT QTZ AGL 1022</t>
  </si>
  <si>
    <t>Quartz AGL 1022 Silken Ginger Tan</t>
  </si>
  <si>
    <t>CT QTZ AGL 1023</t>
  </si>
  <si>
    <t>Quartz AGL 1023 Silken New Mudpie</t>
  </si>
  <si>
    <t>CT QTZ AGL 1024</t>
  </si>
  <si>
    <t>Quartz AGL 1024 Silken Tition Beige</t>
  </si>
  <si>
    <t>CT QTZ AGL 1025</t>
  </si>
  <si>
    <t>Quartz AGL 1025 Silken Titon Bristol</t>
  </si>
  <si>
    <t>CT QTZ AGL 1026</t>
  </si>
  <si>
    <t>Quartz AGL 1026 Silken Titon Brown</t>
  </si>
  <si>
    <t>CT QTZ AGL 1027</t>
  </si>
  <si>
    <t>Quartz AGL 1027 Silken Vanilla</t>
  </si>
  <si>
    <t>CT QTZ AGL 1028</t>
  </si>
  <si>
    <t>Quartz AGL 1028 Silken Wicker</t>
  </si>
  <si>
    <t>CT QTZ AGL 1029</t>
  </si>
  <si>
    <t>Quartz AGL 1029 Silken Winter White</t>
  </si>
  <si>
    <t>CT QTZ AGL 1030</t>
  </si>
  <si>
    <t>Quartz AGL 1030 Spectra Cosmus</t>
  </si>
  <si>
    <t>CT QTZ AGL 1032</t>
  </si>
  <si>
    <t>Quartz AGL 1032 Spectra Royal Dream</t>
  </si>
  <si>
    <t>CT QTZ AGL 1033</t>
  </si>
  <si>
    <t>Quartz AGL 1033 Spectra Venus</t>
  </si>
  <si>
    <t>CT QTZ AGL 1034</t>
  </si>
  <si>
    <t>Quartz AGL 1034 Elegant Cement</t>
  </si>
  <si>
    <t>CT QTZ AGL 1035</t>
  </si>
  <si>
    <t>Quartz AGL 1035 Elegant Emperadore</t>
  </si>
  <si>
    <t>CT QTZ AGL 1036</t>
  </si>
  <si>
    <t>Quartz AGL 1036 Elegant Oasis</t>
  </si>
  <si>
    <t>CT QTZ AGL 1037</t>
  </si>
  <si>
    <t>Quartz AGL 1037 Elegant Shitake</t>
  </si>
  <si>
    <t>CT QTZ AGL 1038</t>
  </si>
  <si>
    <t>Quartz AGL 1038 Emerald Afyon Grey</t>
  </si>
  <si>
    <t>CT QTZ AGL 1040</t>
  </si>
  <si>
    <t>Quartz AGL 1040 Emerald Almond</t>
  </si>
  <si>
    <t>CT QTZ AGL 1041</t>
  </si>
  <si>
    <t>Quartz AGL 1041 Emerald Arctic White</t>
  </si>
  <si>
    <t>CT QTZ AGL 1042</t>
  </si>
  <si>
    <t>Quartz AGL 1042 Emerald Cosmopolitan</t>
  </si>
  <si>
    <t>CT QTZ AGL 1043</t>
  </si>
  <si>
    <t>Quartz AGL 1043 Emerald Indiano</t>
  </si>
  <si>
    <t>CT QTZ AGL 1045</t>
  </si>
  <si>
    <t>Quartz AGL 1045 Emerald Sandal</t>
  </si>
  <si>
    <t>CT QTZ AGL 1048</t>
  </si>
  <si>
    <t>Quartz AGL 1048 Swiss Cloudy Grey</t>
  </si>
  <si>
    <t>CT QTZ AGL 1049</t>
  </si>
  <si>
    <t>Quartz AGL 1049 Swiss Phantom</t>
  </si>
  <si>
    <t>CT QTZ AGL 1050</t>
  </si>
  <si>
    <t>Quartz AGL 1050 Swiss Platinum Black</t>
  </si>
  <si>
    <t>CT QTZ AGL 1051</t>
  </si>
  <si>
    <t>Quartz AGL 1051 Swiss Platinum Grey</t>
  </si>
  <si>
    <t>CT QTZ AGL 1052</t>
  </si>
  <si>
    <t>Quartz AGL 1052 Swiss Satuvario</t>
  </si>
  <si>
    <t>CT QTZ AGL 1053</t>
  </si>
  <si>
    <t>Quartz AGL 1053 Swiss Shadow Grey</t>
  </si>
  <si>
    <t>CT QTZ AGL 1054</t>
  </si>
  <si>
    <t>Quartz AGL 1054 Swiss Shamper White</t>
  </si>
  <si>
    <t>BD-VRM-2023-5813</t>
  </si>
  <si>
    <t>Bonito Solid Surfaces - Quartz - 5000 LONDON GREY-3040x1440mmx13mm</t>
  </si>
  <si>
    <t>Caesar Stones</t>
  </si>
  <si>
    <t>BD-VRM-2023-5818</t>
  </si>
  <si>
    <t>Bonito Solid Surfaces - Quartz - 5003 PIATRA GREY-3040x1440mmx13mm</t>
  </si>
  <si>
    <t>BD-VRM-2023-5823</t>
  </si>
  <si>
    <t>Bonito Solid Surfaces - Quartz - 5031 STATUARIO MAXIMUS-3040x1440mmx13mm</t>
  </si>
  <si>
    <t>BD-VRM-2023-5819</t>
  </si>
  <si>
    <t>Bonito Solid Surfaces - Quartz - 5100 VANILLA NOIR-3040x1440mmx13mm</t>
  </si>
  <si>
    <t>BD-VRM-2023-5820</t>
  </si>
  <si>
    <t>Bonito Solid Surfaces - Quartz - 5110 ALPINE MIST-3040x1440mmx13mm</t>
  </si>
  <si>
    <t>BD-VRM-2023-5817</t>
  </si>
  <si>
    <t>Bonito Solid Surfaces - Quartz - 5141 FROSTY CARRINA-3040x1440mmx13mm</t>
  </si>
  <si>
    <t>BD-VRM-2023-5822</t>
  </si>
  <si>
    <t>Bonito Solid Surfaces - Quartz - 5143 WHITE ATTICA-3040x1440mmx13mm</t>
  </si>
  <si>
    <t>BD-VRM-2023-5814</t>
  </si>
  <si>
    <t>Bonito Solid Surfaces - Quartz - 6046 MOORLAND FOG-3040x1440mmx13mm</t>
  </si>
  <si>
    <t>BD-VRM-2023-5816</t>
  </si>
  <si>
    <t>Bonito Solid Surfaces - Quartz - 6131 BIANCO DRIFT-3040x1440mmx13mm</t>
  </si>
  <si>
    <t>BD-VRM-2023-5812</t>
  </si>
  <si>
    <t>Bonito Solid Surfaces - Quartz - 6338 WOODLAND-3040x1440mmx13mm</t>
  </si>
  <si>
    <t>BD-VRM-2024-2837</t>
  </si>
  <si>
    <t>Bonito Solid Surfaces Terra - ALBA WHITE - 3100x1520x20mm (562.57.053)</t>
  </si>
  <si>
    <t>Hafele</t>
  </si>
  <si>
    <t>BD-VRM-2024-2842</t>
  </si>
  <si>
    <t>Bonito Solid Surfaces Terra - ATHENA WHITE - 3030x1430x20mm (564.42.133)</t>
  </si>
  <si>
    <t>BD-VRM-2024-2847</t>
  </si>
  <si>
    <t>Bonito Solid Surfaces Terra - BIANCO MISTERIO - 3030x1430x20mm (564.42.153)</t>
  </si>
  <si>
    <t>BD-VRM-2024-2839</t>
  </si>
  <si>
    <t>Bonito Solid Surfaces Terra - CARBONITE - 3030x1430x20mm (564.42.063)</t>
  </si>
  <si>
    <t>BD-VRM-2024-2835</t>
  </si>
  <si>
    <t>Bonito Solid Surfaces Terra - CEMENTO - 3030x1430x20mm (564.42.073)</t>
  </si>
  <si>
    <t>BD-VRM-2024-2831</t>
  </si>
  <si>
    <t>Bonito Solid Surfaces Terra - CINDER GREY - 3030x1430x20mm (564.42.043)</t>
  </si>
  <si>
    <t>BD-VRM-2024-2843</t>
  </si>
  <si>
    <t>Bonito Solid Surfaces Terra - CREMA CHAIMPAIGNE - 3030x1430x20mm (564.42.143)</t>
  </si>
  <si>
    <t>BD-VRM-2024-2840</t>
  </si>
  <si>
    <t>Bonito Solid Surfaces Terra - CREMA DOLCE - 3100x1520x20mm (562.57.043)</t>
  </si>
  <si>
    <t>BD-VRM-2024-2834</t>
  </si>
  <si>
    <t>Bonito Solid Surfaces Terra - DUO ORO - 3030x1430x20mm (564.42.123)</t>
  </si>
  <si>
    <t>BD-VRM-2024-2841</t>
  </si>
  <si>
    <t>Bonito Solid Surfaces Terra - EGGNOG - 3030x1430x20mm (564.42.013)</t>
  </si>
  <si>
    <t>BD-VRM-2024-2844</t>
  </si>
  <si>
    <t>Bonito Solid Surfaces Terra - FOSSIL - 3030x1430x20mm (564.42.163)</t>
  </si>
  <si>
    <t>BD-VRM-2024-2836</t>
  </si>
  <si>
    <t>Bonito Solid Surfaces Terra - GRIS ROYALE - 3100x1520x20mm (562.57.023)</t>
  </si>
  <si>
    <t>BD-VRM-2024-2829</t>
  </si>
  <si>
    <t>Bonito Solid Surfaces Terra - HONEYDEW - 3030x1430x20mm (564.42.113)</t>
  </si>
  <si>
    <t>BD-VRM-2024-2830</t>
  </si>
  <si>
    <t>Bonito Solid Surfaces Terra - MOON WHITE - 3100x1500x20mm (562.57.073)</t>
  </si>
  <si>
    <t>BD-VRM-2024-2845</t>
  </si>
  <si>
    <t>Bonito Solid Surfaces Terra - NEBULA WHITE - 3100x1520x20mm (562.57.083)</t>
  </si>
  <si>
    <t>BD-VRM-2024-2846</t>
  </si>
  <si>
    <t>Bonito Solid Surfaces Terra - OLYMPIA GOLD - 3030x1430x20mm (564.42.083)</t>
  </si>
  <si>
    <t>BD-VRM-2024-2828</t>
  </si>
  <si>
    <t>Bonito Solid Surfaces Terra - PEBBLE - 3030x1430x20mm (564.42.093)</t>
  </si>
  <si>
    <t>BD-VRM-2024-2827</t>
  </si>
  <si>
    <t>Bonito Solid Surfaces Terra - SNOWFLAKE - 3030x1430x20mm (564.42.103)</t>
  </si>
  <si>
    <t>BD-VRM-2024-2833</t>
  </si>
  <si>
    <t>Bonito Solid Surfaces Terra - STONICA - 3030x1430x20mm (564.42.053)</t>
  </si>
  <si>
    <t>BD-VRM-2024-2838</t>
  </si>
  <si>
    <t>Bonito Solid Surfaces Terra - VENA ORO - 3030x1430x20mm (564.42.023)</t>
  </si>
  <si>
    <t>CT QTZ CON04 GF</t>
  </si>
  <si>
    <t>Quartz Kalinga  Grey Fjordo CONCORD 04</t>
  </si>
  <si>
    <t>Kalinga Stone</t>
  </si>
  <si>
    <t>CT QTZ NRT02 AG</t>
  </si>
  <si>
    <t>Quartz Kalinga Ash Grey NORTH 02</t>
  </si>
  <si>
    <t>CT QTZ NRT02 BT</t>
  </si>
  <si>
    <t>Quartz Kalinga Beige Tuscany NORTH 02</t>
  </si>
  <si>
    <t>CT QTZ AMB05 BM</t>
  </si>
  <si>
    <t>Quartz Kalinga Bermingham AMBIENTE 05</t>
  </si>
  <si>
    <t>CT QTZ SOH03 BCL</t>
  </si>
  <si>
    <t>Quartz Kalinga Bianco Classic SOHO 03</t>
  </si>
  <si>
    <t>CT QTZ CRM01 BC</t>
  </si>
  <si>
    <t>Quartz Kalinga Bianco Cristallo CROMO 01</t>
  </si>
  <si>
    <t>CT QTZ NRT02 BD</t>
  </si>
  <si>
    <t>Quartz Kalinga Bianco Diamante NORTH 02</t>
  </si>
  <si>
    <t>CT QTZ AMB05 BG</t>
  </si>
  <si>
    <t>Quartz Kalinga Bianco Gioa AMBIENTE 05</t>
  </si>
  <si>
    <t>CT QTZ CRM01 BN</t>
  </si>
  <si>
    <t>Quartz Kalinga Bianco Neve CROMO 01</t>
  </si>
  <si>
    <t>CT QTZ SOH03 BS</t>
  </si>
  <si>
    <t>Quartz Kalinga Bianco Superiore SOHO 03</t>
  </si>
  <si>
    <t>CT QTZ CRM01 BD</t>
  </si>
  <si>
    <t>Quartz Kalinga Biege Diamanate CROMO 01</t>
  </si>
  <si>
    <t>CT QTZ SOH03 CH</t>
  </si>
  <si>
    <t>Quartz Kalinga Chandan SOHO 03</t>
  </si>
  <si>
    <t>CT QTZ SOH03 CB</t>
  </si>
  <si>
    <t>Quartz Kalinga Classic Beige SOHO 03</t>
  </si>
  <si>
    <t>CT QTZ SOH03 CO</t>
  </si>
  <si>
    <t>Quartz Kalinga Concrete SOHO 03</t>
  </si>
  <si>
    <t>CT QTZ AMB05 CG</t>
  </si>
  <si>
    <t>Quartz Kalinga Crema Gold AMBIENTE 05</t>
  </si>
  <si>
    <t>CT QTZ CRM01 CS</t>
  </si>
  <si>
    <t>Quartz Kalinga Crema Scuro CROMO 01</t>
  </si>
  <si>
    <t>CT QTZ CON04 CV</t>
  </si>
  <si>
    <t>Quartz Kalinga Crema Venato Extra CONCORD 04</t>
  </si>
  <si>
    <t>CT QTZ NRT02 CV</t>
  </si>
  <si>
    <t>Quartz Kalinga Crema Verona NORTH 02</t>
  </si>
  <si>
    <t>CT QTZ NRT02 DB</t>
  </si>
  <si>
    <t>Quartz Kalinga Desert Brown NORTH 02</t>
  </si>
  <si>
    <t>CT QTZ NRT02 GD</t>
  </si>
  <si>
    <t>Quartz Kalinga Grigio Diamante NORTH 02</t>
  </si>
  <si>
    <t>CT QTZ NRT02 GL</t>
  </si>
  <si>
    <t>Quartz Kalinga Grigio Londra NORTH 02</t>
  </si>
  <si>
    <t>CT QTZ CON04 GV</t>
  </si>
  <si>
    <t>Quartz Kalinga Gris Venato CONCORD 04</t>
  </si>
  <si>
    <t>CT QTZ SOH03 G3C</t>
  </si>
  <si>
    <t>Quartz Kalinga Group 3, Cement SOHO 03</t>
  </si>
  <si>
    <t>CT QTZ NRT02 JD</t>
  </si>
  <si>
    <t>Quartz Kalinga Jerusalem Diamante NORTH 02</t>
  </si>
  <si>
    <t>CT QTZ SOH03 MT</t>
  </si>
  <si>
    <t>Quartz Kalinga Metropolitan SOHO 03</t>
  </si>
  <si>
    <t>CT QTZ SOH03 ML</t>
  </si>
  <si>
    <t>Quartz Kalinga Milano SOHO 03</t>
  </si>
  <si>
    <t>CT QTZ NRT02 MC</t>
  </si>
  <si>
    <t>Quartz Kalinga Mocca Cream NORTH 02</t>
  </si>
  <si>
    <t>CT QTZ NRT02 MD</t>
  </si>
  <si>
    <t>Quartz Kalinga Mocca Diamante NORTH 02</t>
  </si>
  <si>
    <t>CT QTZ SOH03 NC</t>
  </si>
  <si>
    <t>Quartz Kalinga Nero Classic SOHO 03</t>
  </si>
  <si>
    <t>CT QTZ NRT02 ND</t>
  </si>
  <si>
    <t>Quartz Kalinga Nero Diamante NORTH 02</t>
  </si>
  <si>
    <t>CT QTZ AMB05 NE</t>
  </si>
  <si>
    <t>Quartz Kalinga New Extra White AMBIENTE 05</t>
  </si>
  <si>
    <t>CT QTZ AMB05 NS</t>
  </si>
  <si>
    <t>Quartz Kalinga Nisley AMBIENTE 05</t>
  </si>
  <si>
    <t>CT QTZ CON04 NO</t>
  </si>
  <si>
    <t>Quartz Kalinga Noah CONCORD 04</t>
  </si>
  <si>
    <t>CT QTZ SOH03 RP</t>
  </si>
  <si>
    <t>Quartz Kalinga Repen SOHO 03</t>
  </si>
  <si>
    <t>CT QTZ NRT02 SD</t>
  </si>
  <si>
    <t>Quartz Kalinga Sandy Diamante NORTH 02</t>
  </si>
  <si>
    <t>CT QTZ NRT02 SG</t>
  </si>
  <si>
    <t>Quartz Kalinga Silver Grey NORTH 02</t>
  </si>
  <si>
    <t>CT QTZ SOH03 TD</t>
  </si>
  <si>
    <t>Quartz Kalinga Tundra SOHO 03</t>
  </si>
  <si>
    <t>CT QTZ SOH03 US</t>
  </si>
  <si>
    <t>Quartz Kalinga Ush SOHO 03</t>
  </si>
  <si>
    <t>CT QTZ SOH03 VB</t>
  </si>
  <si>
    <t>Quartz Kalinga Vetro Bianco SOHO 03</t>
  </si>
  <si>
    <t>CT QTZ SOH03 WZ</t>
  </si>
  <si>
    <t>Quartz Kalinga Wizzard SOHO 03</t>
  </si>
  <si>
    <t>📋  HRBR EC  —  GRANITE  |  Multi-Round Audit Tracker</t>
  </si>
  <si>
    <t>CT GR 126</t>
  </si>
  <si>
    <t>Granite Emerald Black - CT GR 126</t>
  </si>
  <si>
    <t>Local</t>
  </si>
  <si>
    <t>CT GR 128</t>
  </si>
  <si>
    <t>Granite Steel Grey - CT GR 128</t>
  </si>
  <si>
    <t>CT GR 135</t>
  </si>
  <si>
    <t>Granite Honey Blue - CT GR 135</t>
  </si>
  <si>
    <t>CT GR 136</t>
  </si>
  <si>
    <t>Granite Tan Brown - CT GR 136</t>
  </si>
  <si>
    <t>CT GR 138</t>
  </si>
  <si>
    <t>Granite Coffe Brown - CT GR 138</t>
  </si>
  <si>
    <t>CT GR 141</t>
  </si>
  <si>
    <t>Granite P White - CT GR 141</t>
  </si>
  <si>
    <t>CT GR 143</t>
  </si>
  <si>
    <t>Granite Desert Brown - CT GR 143</t>
  </si>
  <si>
    <t>CT GR 147</t>
  </si>
  <si>
    <t>Granite Crystal Yellow - CT GR 147</t>
  </si>
  <si>
    <t>CT GR 153</t>
  </si>
  <si>
    <t>Granite Flash Blue - CT GR 153</t>
  </si>
  <si>
    <t>CT GR 177</t>
  </si>
  <si>
    <t>Granite Emerald Pearl - CT GR 177</t>
  </si>
  <si>
    <t>CT GR 188</t>
  </si>
  <si>
    <t>Granite Black Galaxy - CT GR 188</t>
  </si>
  <si>
    <t>CT GR 190</t>
  </si>
  <si>
    <t>Granite Titan Brown - CT GR 190</t>
  </si>
  <si>
    <t>📋  HRBR EC  —  WOODEN FLOORING  |  Multi-Round Audit Tracker</t>
  </si>
  <si>
    <t>WF GP FL014</t>
  </si>
  <si>
    <t>AMAZON WALNUT</t>
  </si>
  <si>
    <t>Greenpanel</t>
  </si>
  <si>
    <t>WF GP FLP505</t>
  </si>
  <si>
    <t>ANTIQUE CADBURY</t>
  </si>
  <si>
    <t>WF GP FL025</t>
  </si>
  <si>
    <t>ATLANTIC OAK</t>
  </si>
  <si>
    <t>WF GP FLP515</t>
  </si>
  <si>
    <t>BROWNY WALNUT</t>
  </si>
  <si>
    <t>WF GP FLP510</t>
  </si>
  <si>
    <t>CRESCENT MOONLIGHT</t>
  </si>
  <si>
    <t>WF GP FLP513</t>
  </si>
  <si>
    <t>DESERT SUN</t>
  </si>
  <si>
    <t>WF GP FL013</t>
  </si>
  <si>
    <t>EARTHERN APPLE</t>
  </si>
  <si>
    <t>WF GP FL020</t>
  </si>
  <si>
    <t>EARTHERN CHERRY</t>
  </si>
  <si>
    <t>WF GP FL011</t>
  </si>
  <si>
    <t>HIMALAYAN MERBAU</t>
  </si>
  <si>
    <t>WF GP FL005</t>
  </si>
  <si>
    <t>KALAHARI OAK</t>
  </si>
  <si>
    <t>WF GP FL022</t>
  </si>
  <si>
    <t>PLUSH WALNUT</t>
  </si>
  <si>
    <t>WF GP FLP506</t>
  </si>
  <si>
    <t>SEPIA TEAK</t>
  </si>
  <si>
    <t>WF GP FL018</t>
  </si>
  <si>
    <t>SERENE SEPIA</t>
  </si>
  <si>
    <t>WF GP FL024</t>
  </si>
  <si>
    <t>SHERWOOD DOUZUKI</t>
  </si>
  <si>
    <t>WF GP FL026</t>
  </si>
  <si>
    <t>TAUPE OAK</t>
  </si>
  <si>
    <t>WF GP FLP504</t>
  </si>
  <si>
    <t>TAVERN TRAILS</t>
  </si>
  <si>
    <t>WF GP FL003</t>
  </si>
  <si>
    <t>TIMBER TRAIL</t>
  </si>
  <si>
    <t>BD-VRM-2024-0133</t>
  </si>
  <si>
    <t>Bonito Soft Flooring Solution - SPC SA11 Nordic Brown - 1220mmx183mm</t>
  </si>
  <si>
    <t>SPC Flooring</t>
  </si>
  <si>
    <t>BD-VRM-2024-0134</t>
  </si>
  <si>
    <t>Bonito Soft Flooring Solution - SPC SA15 Almond Brown - 1220mmx183mm</t>
  </si>
  <si>
    <t>BD-VRM-2024-0135</t>
  </si>
  <si>
    <t>Bonito Soft Flooring Solution - SPC SA16 Light Oak - 1220mmx183mm</t>
  </si>
  <si>
    <t>BD-VRM-2024-0136</t>
  </si>
  <si>
    <t>Bonito Soft Flooring Solution - SPC SA17 Western Oak - 1220mmx183mm</t>
  </si>
  <si>
    <t>BD-VRM-2024-0137</t>
  </si>
  <si>
    <t>Bonito Soft Flooring Solution - SPC SA18 Golden Teak - 1220mmx183mm</t>
  </si>
  <si>
    <t>📋  HRBR EC  —  BEADING  |  Multi-Round Audit Tracker</t>
  </si>
  <si>
    <t>BD-VRM-2024-0661</t>
  </si>
  <si>
    <t>Charcoal Beading - VA-22</t>
  </si>
  <si>
    <t>BD-VRM-2024-0659</t>
  </si>
  <si>
    <t>Charcoal Beading - VA-30</t>
  </si>
  <si>
    <t>BD-VRM-2024-0657</t>
  </si>
  <si>
    <t>Charcoal Beading - VA-38</t>
  </si>
  <si>
    <t>BD-VRM-2024-0662</t>
  </si>
  <si>
    <t>Charcoal Beading - VB-22</t>
  </si>
  <si>
    <t>BD-VRM-2024-0660</t>
  </si>
  <si>
    <t>Charcoal Beading - VB-30</t>
  </si>
  <si>
    <t>BD-VRM-2024-0658</t>
  </si>
  <si>
    <t>Charcoal Beading - VB-38</t>
  </si>
  <si>
    <t>BD-VRM-2024-0656</t>
  </si>
  <si>
    <t>Charcoal Beading - VB-45</t>
  </si>
  <si>
    <t>BD-VRM-2024-0655</t>
  </si>
  <si>
    <t>Charcoal Beading - VB-65</t>
  </si>
  <si>
    <t>SWB28</t>
  </si>
  <si>
    <t>Solid Wooden Beading 10x10mm Design 28</t>
  </si>
  <si>
    <t>SWB23</t>
  </si>
  <si>
    <t>Solid Wooden Beading 12x12mm Design 23</t>
  </si>
  <si>
    <t>SWB6</t>
  </si>
  <si>
    <t>Solid Wooden Beading 15x15mm Design 6</t>
  </si>
  <si>
    <t>SWB19</t>
  </si>
  <si>
    <t>Solid Wooden Beading 15x8mm Design 19</t>
  </si>
  <si>
    <t>SWB20</t>
  </si>
  <si>
    <t>Solid Wooden Beading 15x8mm Design 20</t>
  </si>
  <si>
    <t>SWB30</t>
  </si>
  <si>
    <t>Solid Wooden Beading 17x12mm Design 30</t>
  </si>
  <si>
    <t>SWB14</t>
  </si>
  <si>
    <t>Solid Wooden Beading 19x19mm Design 14</t>
  </si>
  <si>
    <t>SWB5</t>
  </si>
  <si>
    <t>Solid Wooden Beading 19x19mm Design 5</t>
  </si>
  <si>
    <t>SWB13</t>
  </si>
  <si>
    <t>Solid Wooden Beading 22x10mm Design 13</t>
  </si>
  <si>
    <t>SWB26</t>
  </si>
  <si>
    <t>Solid Wooden Beading 22x10mm Design 26</t>
  </si>
  <si>
    <t>SWB17</t>
  </si>
  <si>
    <t>Solid Wooden Beading 22x22mm Design 17</t>
  </si>
  <si>
    <t>SWB8</t>
  </si>
  <si>
    <t>Solid Wooden Beading 22x22mm Design 8</t>
  </si>
  <si>
    <t>SWB27</t>
  </si>
  <si>
    <t>Solid Wooden Beading 22x8mm Design 27</t>
  </si>
  <si>
    <t>SWB9</t>
  </si>
  <si>
    <t>Solid Wooden Beading 22x8mm Design 9</t>
  </si>
  <si>
    <t>SWB24</t>
  </si>
  <si>
    <t>Solid Wooden Beading 25x10mm Design 24</t>
  </si>
  <si>
    <t>SWB1</t>
  </si>
  <si>
    <t>Solid Wooden Beading 27x10mm Design 1</t>
  </si>
  <si>
    <t>SWB2</t>
  </si>
  <si>
    <t>Solid Wooden Beading 27x10mm Design 2</t>
  </si>
  <si>
    <t>SWB25</t>
  </si>
  <si>
    <t>Solid Wooden Beading 27x12mm Design 25</t>
  </si>
  <si>
    <t>SWB3</t>
  </si>
  <si>
    <t>Solid Wooden Beading 28x10mm Design 3</t>
  </si>
  <si>
    <t>SWB32</t>
  </si>
  <si>
    <t>Solid Wooden Beading 28x10mm Design 32</t>
  </si>
  <si>
    <t>SWB11</t>
  </si>
  <si>
    <t>Solid Wooden Beading 28x28mm Design 11</t>
  </si>
  <si>
    <t>SWB10</t>
  </si>
  <si>
    <t>Solid Wooden Beading 30x10mm Design 10</t>
  </si>
  <si>
    <t>SWB31</t>
  </si>
  <si>
    <t>Solid Wooden Beading 30x30mm Design 31</t>
  </si>
  <si>
    <t>SWB12</t>
  </si>
  <si>
    <t>Solid Wooden Beading 32x15mm Design 12</t>
  </si>
  <si>
    <t>SWB7</t>
  </si>
  <si>
    <t>Solid Wooden Beading 35x10mm Design 7</t>
  </si>
  <si>
    <t>SWB18</t>
  </si>
  <si>
    <t>Solid Wooden Beading 38x10mm Design 18</t>
  </si>
  <si>
    <t>SWB04</t>
  </si>
  <si>
    <t>Solid Wooden Beading 42x12mm Design 4</t>
  </si>
  <si>
    <t>📋  HRBR EC  —  BONITO LEGS  |  Multi-Round Audit Tracker</t>
  </si>
  <si>
    <t>BD-HNA-2025-0015</t>
  </si>
  <si>
    <t>Bonito Legs - 10" 298(V.H) Black Metal Leg</t>
  </si>
  <si>
    <t>BD-HNA-2025-0022</t>
  </si>
  <si>
    <t>Bonito Legs - 10" 298(V.H) Gold Metal Leg</t>
  </si>
  <si>
    <t>BD-HNA-2025-0029</t>
  </si>
  <si>
    <t>Bonito Legs - 10" 298(V.H) Rose Gold Metal Leg</t>
  </si>
  <si>
    <t>BD-HNA-2025-0077</t>
  </si>
  <si>
    <t>Bonito Legs - 10" Candy Cross Wooden Leg</t>
  </si>
  <si>
    <t>BD-HNA-2025-0016</t>
  </si>
  <si>
    <t>Bonito Legs - 12" 298(V.H) Black Metal Leg</t>
  </si>
  <si>
    <t>BD-HNA-2025-0023</t>
  </si>
  <si>
    <t>Bonito Legs - 12" 298(V.H) Gold Metal Leg</t>
  </si>
  <si>
    <t>BD-HNA-2025-0030</t>
  </si>
  <si>
    <t>Bonito Legs - 12" 298(V.H) Rose Gold Metal Leg</t>
  </si>
  <si>
    <t>BD-HNA-2025-0057</t>
  </si>
  <si>
    <t>Bonito Legs - 12" LG -134(S.H-ZP) Black Metal Leg</t>
  </si>
  <si>
    <t>BD-HNA-2025-0061</t>
  </si>
  <si>
    <t>Bonito Legs - 12" LG -134(S.H-ZP) Gold Metal Leg</t>
  </si>
  <si>
    <t>BD-HNA-2025-0065</t>
  </si>
  <si>
    <t>Bonito Legs - 12" LG -134(S.H-ZP) Rose Gold Metal Leg</t>
  </si>
  <si>
    <t>BD-HNA-2025-0040</t>
  </si>
  <si>
    <t>Bonito Legs - 12" LG-109(S.H.-ZP) Black Metal Leg</t>
  </si>
  <si>
    <t>BD-HNA-2025-0036</t>
  </si>
  <si>
    <t>Bonito Legs - 12" LG-109(S.H.-ZP) Gold Metal Leg</t>
  </si>
  <si>
    <t>BD-HNA-2025-0044</t>
  </si>
  <si>
    <t>Bonito Legs - 12" LG-109(S.H.-ZP) Rose Gold Metal Leg</t>
  </si>
  <si>
    <t>BD-HNA-2025-0017</t>
  </si>
  <si>
    <t>Bonito Legs - 14" 298(V.H) Black Metal Leg</t>
  </si>
  <si>
    <t>BD-HNA-2025-0024</t>
  </si>
  <si>
    <t>Bonito Legs - 14" 298(V.H) Gold Metal Leg</t>
  </si>
  <si>
    <t>BD-HNA-2025-0031</t>
  </si>
  <si>
    <t>Bonito Legs - 14" 298(V.H) Rose Gold Metal Leg</t>
  </si>
  <si>
    <t>BD-HNA-2025-0078</t>
  </si>
  <si>
    <t>Bonito Legs - 15" Candy Cross Wooden Leg</t>
  </si>
  <si>
    <t>BD-HNA-2025-0018</t>
  </si>
  <si>
    <t>Bonito Legs - 16" 298(V.H) Black Metal Leg</t>
  </si>
  <si>
    <t>BD-HNA-2025-0025</t>
  </si>
  <si>
    <t>Bonito Legs - 16" 298(V.H) Gold Metal Leg</t>
  </si>
  <si>
    <t>BD-HNA-2025-0032</t>
  </si>
  <si>
    <t>Bonito Legs - 16" 298(V.H) Rose Gold Metal Leg</t>
  </si>
  <si>
    <t>BD-HNA-2025-0085</t>
  </si>
  <si>
    <t>Bonito Legs - 3" 7028(G.I) Dark Wooden Leg</t>
  </si>
  <si>
    <t>BD-HNA-2025-0074</t>
  </si>
  <si>
    <t>Bonito Legs - 3" Candy Cross Wooden Leg</t>
  </si>
  <si>
    <t>BD-HNA-2025-0071</t>
  </si>
  <si>
    <t>Bonito Legs - 3" Candy Straight Wooden Leg</t>
  </si>
  <si>
    <t>BD-HNA-2025-0082</t>
  </si>
  <si>
    <t>Bonito Legs - 3" Four Side Degree Wooden Leg</t>
  </si>
  <si>
    <t>BD-HNA-2025-0079</t>
  </si>
  <si>
    <t>Bonito Legs - 3" One Side Degree Wooden Leg</t>
  </si>
  <si>
    <t>BD-HNA-2025-0012</t>
  </si>
  <si>
    <t>Bonito Legs - 4" 298(V.H) Black Metal Leg</t>
  </si>
  <si>
    <t>BD-HNA-2025-0019</t>
  </si>
  <si>
    <t>Bonito Legs - 4" 298(V.H) Gold Metal Leg</t>
  </si>
  <si>
    <t>BD-HNA-2025-0026</t>
  </si>
  <si>
    <t>Bonito Legs - 4" 298(V.H) Rose Gold Metal Leg</t>
  </si>
  <si>
    <t>BD-HNA-2025-0086</t>
  </si>
  <si>
    <t>Bonito Legs - 4" 7028(G.I) Dark Wooden Leg</t>
  </si>
  <si>
    <t>BD-HNA-2025-0075</t>
  </si>
  <si>
    <t>Bonito Legs - 4" Candy Cross Wooden Leg</t>
  </si>
  <si>
    <t>BD-HNA-2025-0072</t>
  </si>
  <si>
    <t>Bonito Legs - 4" Candy Straight Wooden Leg</t>
  </si>
  <si>
    <t>BD-HNA-2025-0069</t>
  </si>
  <si>
    <t>Bonito Legs - 4" EL-214(S.H-ZP) Antique Metal Leg</t>
  </si>
  <si>
    <t>BD-HNA-2025-0068</t>
  </si>
  <si>
    <t>Bonito Legs - 4" EL-214(S.H-ZP) Black Metal Leg</t>
  </si>
  <si>
    <t>BD-HNA-2025-0066</t>
  </si>
  <si>
    <t>Bonito Legs - 4" EL-214(S.H-ZP) Chrome Plated Metal Leg</t>
  </si>
  <si>
    <t>BD-HNA-2025-0070</t>
  </si>
  <si>
    <t>Bonito Legs - 4" EL-214(S.H-ZP) Gold Metal Leg</t>
  </si>
  <si>
    <t>BD-HNA-2025-0067</t>
  </si>
  <si>
    <t>Bonito Legs - 4" EL-214(S.H-ZP) Rose Gold Metal Leg</t>
  </si>
  <si>
    <t>BD-HNA-2025-0083</t>
  </si>
  <si>
    <t>Bonito Legs - 4" Four Side Degree Wooden Leg</t>
  </si>
  <si>
    <t>BD-HNA-2025-0054</t>
  </si>
  <si>
    <t>Bonito Legs - 4" LG -134(S.H-ZP) Black Metal Leg</t>
  </si>
  <si>
    <t>BD-HNA-2025-0058</t>
  </si>
  <si>
    <t>Bonito Legs - 4" LG -134(S.H-ZP) Gold Metal Leg</t>
  </si>
  <si>
    <t>BD-HNA-2025-0062</t>
  </si>
  <si>
    <t>Bonito Legs - 4" LG -134(S.H-ZP) Rose Gold Metal Leg</t>
  </si>
  <si>
    <t>BD-HNA-2025-0037</t>
  </si>
  <si>
    <t>Bonito Legs - 4" LG-109(S.H.-ZP) Black Metal Leg</t>
  </si>
  <si>
    <t>BD-HNA-2025-0033</t>
  </si>
  <si>
    <t>Bonito Legs - 4" LG-109(S.H.-ZP) Gold Metal Leg</t>
  </si>
  <si>
    <t>BD-HNA-2025-0041</t>
  </si>
  <si>
    <t>Bonito Legs - 4" LG-109(S.H.-ZP) Rose Gold Metal Leg</t>
  </si>
  <si>
    <t>BD-HNA-2025-0045</t>
  </si>
  <si>
    <t>Bonito Legs - 4" LG-130(S.H-ZP) Antique Metal Leg</t>
  </si>
  <si>
    <t>BD-HNA-2025-0047</t>
  </si>
  <si>
    <t>Bonito Legs - 4" LG-130(S.H-ZP) Gold Metal Leg</t>
  </si>
  <si>
    <t>BD-HNA-2025-0049</t>
  </si>
  <si>
    <t>Bonito Legs - 4" LG-130(S.H-ZP) Rose Gold Metal Leg</t>
  </si>
  <si>
    <t>BD-HNA-2025-0051</t>
  </si>
  <si>
    <t>Bonito Legs - 4" LG-133(S.H-ZP) Black Metal Leg</t>
  </si>
  <si>
    <t>BD-HNA-2025-0053</t>
  </si>
  <si>
    <t>Bonito Legs - 4" LG-133(S.H-ZP) Gold/Black Metal Leg</t>
  </si>
  <si>
    <t>BD-HNA-2025-0052</t>
  </si>
  <si>
    <t>Bonito Legs - 4" LG-133(S.H-ZP) Rose Gold/Black Metal Leg</t>
  </si>
  <si>
    <t>BD-HNA-2025-0080</t>
  </si>
  <si>
    <t>Bonito Legs - 4" One Side Degree Wooden Leg</t>
  </si>
  <si>
    <t>BD-HNA-2025-0013</t>
  </si>
  <si>
    <t>Bonito Legs - 6" 298(V.H) Black Metal Leg</t>
  </si>
  <si>
    <t>BD-HNA-2025-0020</t>
  </si>
  <si>
    <t>Bonito Legs - 6" 298(V.H) Gold Metal Leg</t>
  </si>
  <si>
    <t>BD-HNA-2025-0027</t>
  </si>
  <si>
    <t>Bonito Legs - 6" 298(V.H) Rose Gold Metal Leg</t>
  </si>
  <si>
    <t>BD-HNA-2025-0087</t>
  </si>
  <si>
    <t>Bonito Legs - 6" 7028(G.I) Dark Wooden Leg</t>
  </si>
  <si>
    <t>BD-HNA-2025-0076</t>
  </si>
  <si>
    <t>Bonito Legs - 6" Candy Cross Wooden Leg</t>
  </si>
  <si>
    <t>BD-HNA-2025-0073</t>
  </si>
  <si>
    <t>Bonito Legs - 6" Candy Straight Wooden Leg</t>
  </si>
  <si>
    <t>BD-HNA-2025-0084</t>
  </si>
  <si>
    <t>Bonito Legs - 6" Four Side Degree Wooden Leg</t>
  </si>
  <si>
    <t>BD-HNA-2025-0055</t>
  </si>
  <si>
    <t>Bonito Legs - 6" LG -134(S.H-ZP) Black Metal Leg</t>
  </si>
  <si>
    <t>BD-HNA-2025-0059</t>
  </si>
  <si>
    <t>Bonito Legs - 6" LG -134(S.H-ZP) Gold Metal Leg</t>
  </si>
  <si>
    <t>BD-HNA-2025-0063</t>
  </si>
  <si>
    <t>Bonito Legs - 6" LG -134(S.H-ZP) Rose Gold Metal Leg</t>
  </si>
  <si>
    <t>BD-HNA-2025-0038</t>
  </si>
  <si>
    <t>Bonito Legs - 6" LG-109(S.H.-ZP) Black Metal Leg</t>
  </si>
  <si>
    <t>BD-HNA-2025-0034</t>
  </si>
  <si>
    <t>Bonito Legs - 6" LG-109(S.H.-ZP) Gold Metal Leg</t>
  </si>
  <si>
    <t>BD-HNA-2025-0042</t>
  </si>
  <si>
    <t>Bonito Legs - 6" LG-109(S.H.-ZP) Rose Gold Metal Leg</t>
  </si>
  <si>
    <t>BD-HNA-2025-0046</t>
  </si>
  <si>
    <t>Bonito Legs - 6" LG-130(S.H-ZP) Antique Metal Leg</t>
  </si>
  <si>
    <t>BD-HNA-2025-0048</t>
  </si>
  <si>
    <t>Bonito Legs - 6" LG-130(S.H-ZP) Gold Metal Leg</t>
  </si>
  <si>
    <t>BD-HNA-2025-0050</t>
  </si>
  <si>
    <t>Bonito Legs - 6" LG-130(S.H-ZP) Rose Gold Metal Leg</t>
  </si>
  <si>
    <t>BD-HNA-2025-0081</t>
  </si>
  <si>
    <t>Bonito Legs - 6" One Side Degree Wooden Leg</t>
  </si>
  <si>
    <t>BD-HNA-2025-0014</t>
  </si>
  <si>
    <t>Bonito Legs - 8" 298(V.H) Black Metal Leg</t>
  </si>
  <si>
    <t>BD-HNA-2025-0021</t>
  </si>
  <si>
    <t>Bonito Legs - 8" 298(V.H) Gold Metal Leg</t>
  </si>
  <si>
    <t>BD-HNA-2025-0028</t>
  </si>
  <si>
    <t>Bonito Legs - 8" 298(V.H) Rose Gold Metal Leg</t>
  </si>
  <si>
    <t>BD-HNA-2025-0056</t>
  </si>
  <si>
    <t>Bonito Legs - 8" LG -134(S.H-ZP) Black Metal Leg</t>
  </si>
  <si>
    <t>BD-HNA-2025-0060</t>
  </si>
  <si>
    <t>Bonito Legs - 8" LG -134(S.H-ZP) Gold Metal Leg</t>
  </si>
  <si>
    <t>BD-HNA-2025-0064</t>
  </si>
  <si>
    <t>Bonito Legs - 8" LG -134(S.H-ZP) Rose Gold Metal Leg</t>
  </si>
  <si>
    <t>BD-HNA-2025-0039</t>
  </si>
  <si>
    <t>Bonito Legs - 8" LG-109(S.H.-ZP) Black Metal Leg</t>
  </si>
  <si>
    <t>BD-HNA-2025-0035</t>
  </si>
  <si>
    <t>Bonito Legs - 8" LG-109(S.H.-ZP) Gold Metal Leg</t>
  </si>
  <si>
    <t>BD-HNA-2025-0043</t>
  </si>
  <si>
    <t>Bonito Legs - 8" LG-109(S.H.-ZP) Rose Gold Metal Leg</t>
  </si>
  <si>
    <t>📋  HRBR EC  —  HANDLES  |  Multi-Round Audit Tracker</t>
  </si>
  <si>
    <t>BD-HNA-2025-0327</t>
  </si>
  <si>
    <t>Bonito Handles - 812(P.H) - Antique Concealed Handle  - 130mm</t>
  </si>
  <si>
    <t>Bonito Handles</t>
  </si>
  <si>
    <t>BD-HNA-2025-0328</t>
  </si>
  <si>
    <t>Bonito Handles - 812(P.H) - Antique Concealed Handle  - 205mm</t>
  </si>
  <si>
    <t>BD-HNA-2025-0329</t>
  </si>
  <si>
    <t>Bonito Handles - 812(P.H) - Satin Concealed Handle  - 130mm</t>
  </si>
  <si>
    <t>BD-HNA-2025-0330</t>
  </si>
  <si>
    <t>Bonito Handles - 812(P.H) - Satin Concealed Handle  - 205mm</t>
  </si>
  <si>
    <t>BD-HNA-2025-0322</t>
  </si>
  <si>
    <t>Bonito Handles - 828(P.H) - Antique Concealed Handle  - 200mm</t>
  </si>
  <si>
    <t>BD-HNA-2025-0321</t>
  </si>
  <si>
    <t>Bonito Handles - 828(P.H) - Antique Concealed Handle  - 96mm</t>
  </si>
  <si>
    <t>BD-HNA-2025-0320</t>
  </si>
  <si>
    <t>Bonito Handles - 828(P.H) - Black Concealed Handle  - 200mm</t>
  </si>
  <si>
    <t>BD-HNA-2025-0319</t>
  </si>
  <si>
    <t>Bonito Handles - 828(P.H) - Black Concealed Handle  - 96mm</t>
  </si>
  <si>
    <t>BD-HNA-2025-0326</t>
  </si>
  <si>
    <t>Bonito Handles - 828(P.H) - PVD Gold Concealed Handle  - 200mm</t>
  </si>
  <si>
    <t>BD-HNA-2025-0325</t>
  </si>
  <si>
    <t>Bonito Handles - 828(P.H) - PVD Gold Concealed Handle  - 96mm</t>
  </si>
  <si>
    <t>BD-HNA-2025-0324</t>
  </si>
  <si>
    <t>Bonito Handles - 828(P.H) - Rose Gold Concealed Handle  - 200mm</t>
  </si>
  <si>
    <t>BD-HNA-2025-0323</t>
  </si>
  <si>
    <t>Bonito Handles - 828(P.H) - Rose Gold Concealed Handle  - 96mm</t>
  </si>
  <si>
    <t>BD-HNA-2025-0313</t>
  </si>
  <si>
    <t>Bonito Handles - AL-251(S.M) - Black Concealed Handle  - 200mm</t>
  </si>
  <si>
    <t>BD-HNA-2025-0314</t>
  </si>
  <si>
    <t>Bonito Handles - AL-251(S.M) - Black Concealed Handle  - 300mm</t>
  </si>
  <si>
    <t>BD-HNA-2025-0315</t>
  </si>
  <si>
    <t>Bonito Handles - AL-251(S.M) - PVD Gold Concealed Handle  - 200mm</t>
  </si>
  <si>
    <t>BD-HNA-2025-0316</t>
  </si>
  <si>
    <t>Bonito Handles - AL-251(S.M) - PVD Gold Concealed Handle  - 300mm</t>
  </si>
  <si>
    <t>BD-HNA-2025-0317</t>
  </si>
  <si>
    <t>Bonito Handles - AL-251(S.M) - Rose Gold Concealed Handle  - 200mm</t>
  </si>
  <si>
    <t>BD-HNA-2025-0318</t>
  </si>
  <si>
    <t>Bonito Handles - AL-251(S.M) - Rose Gold Concealed Handle  - 300mm</t>
  </si>
  <si>
    <t>BD-HNA-2025-0246</t>
  </si>
  <si>
    <t>Bonito Handles - ALTAS(G.H) - Black Handle  - 190mm</t>
  </si>
  <si>
    <t>BD-HNA-2025-0247</t>
  </si>
  <si>
    <t>Bonito Handles - ALTAS(G.H) - Black Handle  - 315mm</t>
  </si>
  <si>
    <t>BD-HNA-2025-0248</t>
  </si>
  <si>
    <t>Bonito Handles - ALTAS(G.H) - Black Handle  - 475mm</t>
  </si>
  <si>
    <t>BD-HNA-2025-0240</t>
  </si>
  <si>
    <t>Bonito Handles - ALTAS(G.H) - Gold Handle  - 190mm</t>
  </si>
  <si>
    <t>BD-HNA-2025-0241</t>
  </si>
  <si>
    <t>Bonito Handles - ALTAS(G.H) - Gold Handle  - 315mm</t>
  </si>
  <si>
    <t>BD-HNA-2025-0242</t>
  </si>
  <si>
    <t>Bonito Handles - ALTAS(G.H) - Gold Handle  - 475mm</t>
  </si>
  <si>
    <t>BD-HNA-2025-0243</t>
  </si>
  <si>
    <t>Bonito Handles - ALTAS(G.H) - Rose Handle  - 190mm</t>
  </si>
  <si>
    <t>BD-HNA-2025-0244</t>
  </si>
  <si>
    <t>Bonito Handles - ALTAS(G.H) - Rose Handle  - 315mm</t>
  </si>
  <si>
    <t>BD-HNA-2025-0245</t>
  </si>
  <si>
    <t>Bonito Handles - ALTAS(G.H) - Rose Handle  - 475mm</t>
  </si>
  <si>
    <t>BD-HNA-2025-0249</t>
  </si>
  <si>
    <t>Bonito Handles - C-4(N.H) - Black Concealed Handle  - 115mm</t>
  </si>
  <si>
    <t>BD-HNA-2025-0250</t>
  </si>
  <si>
    <t>Bonito Handles - C-4(N.H) - Black Concealed Handle  - 177mm</t>
  </si>
  <si>
    <t>BD-HNA-2025-0251</t>
  </si>
  <si>
    <t>Bonito Handles - C-4(N.H) - Black Concealed Handle  - 242mm</t>
  </si>
  <si>
    <t>BD-HNA-2025-0252</t>
  </si>
  <si>
    <t>Bonito Handles - C-4(N.H) - Black Concealed Handle  - 305mm</t>
  </si>
  <si>
    <t>BD-HNA-2025-0253</t>
  </si>
  <si>
    <t>Bonito Handles - C-4(N.H) - Black Concealed Handle  - 467mm</t>
  </si>
  <si>
    <t>BD-HNA-2025-0254</t>
  </si>
  <si>
    <t>Bonito Handles - C-4(N.H) - Black Concealed Handle  - 594mm</t>
  </si>
  <si>
    <t>BD-HNA-2025-0261</t>
  </si>
  <si>
    <t>Bonito Handles - C-4(N.H) - Copper and Black Concealed Handle  - 115mm</t>
  </si>
  <si>
    <t>BD-HNA-2025-0262</t>
  </si>
  <si>
    <t>Bonito Handles - C-4(N.H) - Copper and Black Concealed Handle  - 177mm</t>
  </si>
  <si>
    <t>BD-HNA-2025-0263</t>
  </si>
  <si>
    <t>Bonito Handles - C-4(N.H) - Copper and Black Concealed Handle  - 242mm</t>
  </si>
  <si>
    <t>BD-HNA-2025-0264</t>
  </si>
  <si>
    <t>Bonito Handles - C-4(N.H) - Copper and Black Concealed Handle  - 305mm</t>
  </si>
  <si>
    <t>BD-HNA-2025-0265</t>
  </si>
  <si>
    <t>Bonito Handles - C-4(N.H) - Copper and Black Concealed Handle  - 467mm</t>
  </si>
  <si>
    <t>BD-HNA-2025-0266</t>
  </si>
  <si>
    <t>Bonito Handles - C-4(N.H) - Copper and Black Concealed Handle  - 594mm</t>
  </si>
  <si>
    <t>BD-HNA-2025-0267</t>
  </si>
  <si>
    <t>Bonito Handles - CL-521(K.E-CH) - Antique and Gold Concealed Handle  - 130mm</t>
  </si>
  <si>
    <t>BD-HNA-2025-0268</t>
  </si>
  <si>
    <t>Bonito Handles - CL-521(K.E-CH) - Antique and Gold Concealed Handle  - 193mm</t>
  </si>
  <si>
    <t>BD-HNA-2025-0269</t>
  </si>
  <si>
    <t>Bonito Handles - CL-521(K.E-CH) - Antique and Gold Concealed Handle  - 257mm</t>
  </si>
  <si>
    <t>BD-HNA-2025-0273</t>
  </si>
  <si>
    <t>Bonito Handles - CL-521(K.E-CH) - Black Concealed Handle  - 130mm</t>
  </si>
  <si>
    <t>BD-HNA-2025-0274</t>
  </si>
  <si>
    <t>Bonito Handles - CL-521(K.E-CH) - Black Concealed Handle  - 193mm</t>
  </si>
  <si>
    <t>BD-HNA-2025-0275</t>
  </si>
  <si>
    <t>Bonito Handles - CL-521(K.E-CH) - Black Concealed Handle  - 257mm</t>
  </si>
  <si>
    <t>BD-HNA-2025-0270</t>
  </si>
  <si>
    <t>Bonito Handles - CL-521(K.E-CH) - Rose Gold Concealed Handle  - 130mm</t>
  </si>
  <si>
    <t>BD-HNA-2025-0271</t>
  </si>
  <si>
    <t>Bonito Handles - CL-521(K.E-CH) - Rose Gold Concealed Handle  - 193mm</t>
  </si>
  <si>
    <t>BD-HNA-2025-0272</t>
  </si>
  <si>
    <t>Bonito Handles - CL-521(K.E-CH) - Rose Gold Concealed Handle  - 257mm</t>
  </si>
  <si>
    <t>BD-HNA-2025-0294</t>
  </si>
  <si>
    <t>Bonito Handles - CL-522(K.E-CH) - Antique and Gold Concealed Handle  - 121mm</t>
  </si>
  <si>
    <t>BD-HNA-2025-0295</t>
  </si>
  <si>
    <t>Bonito Handles - CL-522(K.E-CH) - Antique and Gold Concealed Handle  - 185mm</t>
  </si>
  <si>
    <t>BD-HNA-2025-0296</t>
  </si>
  <si>
    <t>Bonito Handles - CL-522(K.E-CH) - Antique and Gold Concealed Handle  - 249mm</t>
  </si>
  <si>
    <t>BD-HNA-2025-0300</t>
  </si>
  <si>
    <t>Bonito Handles - CL-522(K.E-CH) - Black Concealed Handle  - 121mm</t>
  </si>
  <si>
    <t>BD-HNA-2025-0301</t>
  </si>
  <si>
    <t>Bonito Handles - CL-522(K.E-CH) - Black Concealed Handle  - 185mm</t>
  </si>
  <si>
    <t>BD-HNA-2025-0302</t>
  </si>
  <si>
    <t>Bonito Handles - CL-522(K.E-CH) - Black Concealed Handle  - 249mm</t>
  </si>
  <si>
    <t>BD-HNA-2025-0297</t>
  </si>
  <si>
    <t>Bonito Handles - CL-522(K.E-CH) - Rose Gold Concealed Handle  - 121mm</t>
  </si>
  <si>
    <t>BD-HNA-2025-0298</t>
  </si>
  <si>
    <t>Bonito Handles - CL-522(K.E-CH) - Rose Gold Concealed Handle  - 185mm</t>
  </si>
  <si>
    <t>BD-HNA-2025-0299</t>
  </si>
  <si>
    <t>Bonito Handles - CL-522(K.E-CH) - Rose Gold Concealed Handle  - 249mm</t>
  </si>
  <si>
    <t>BD-HNA-2025-0282</t>
  </si>
  <si>
    <t>Bonito Handles - CL-523(K.E-CH) - Black Concealed Handle  - 127mm</t>
  </si>
  <si>
    <t>BD-HNA-2025-0283</t>
  </si>
  <si>
    <t>Bonito Handles - CL-523(K.E-CH) - Black Concealed Handle  - 192mm</t>
  </si>
  <si>
    <t>BD-HNA-2025-0284</t>
  </si>
  <si>
    <t>Bonito Handles - CL-523(K.E-CH) - Black Concealed Handle  - 255mm</t>
  </si>
  <si>
    <t>BD-HNA-2025-0276</t>
  </si>
  <si>
    <t>Bonito Handles - CL-523(K.E-CH) - Gold and Black Concealed Handle  - 127mm</t>
  </si>
  <si>
    <t>BD-HNA-2025-0277</t>
  </si>
  <si>
    <t>Bonito Handles - CL-523(K.E-CH) - Gold and Black Concealed Handle  - 192mm</t>
  </si>
  <si>
    <t>BD-HNA-2025-0278</t>
  </si>
  <si>
    <t>Bonito Handles - CL-523(K.E-CH) - Gold and Black Concealed Handle  - 255mm</t>
  </si>
  <si>
    <t>BD-HNA-2025-0279</t>
  </si>
  <si>
    <t>Bonito Handles - CL-523(K.E-CH) - Rose Gold Concealed Handle  - 127mm</t>
  </si>
  <si>
    <t>BD-HNA-2025-0280</t>
  </si>
  <si>
    <t>Bonito Handles - CL-523(K.E-CH) - Rose Gold Concealed Handle  - 192mm</t>
  </si>
  <si>
    <t>BD-HNA-2025-0281</t>
  </si>
  <si>
    <t>Bonito Handles - CL-523(K.E-CH) - Rose Gold Concealed Handle  - 255mm</t>
  </si>
  <si>
    <t>BD-HNA-2025-0285</t>
  </si>
  <si>
    <t>Bonito Handles - CL-551(K.E.-CH) - Antique and Gold Concealed Handle  - 127mm</t>
  </si>
  <si>
    <t>BD-HNA-2025-0286</t>
  </si>
  <si>
    <t>Bonito Handles - CL-551(K.E.-CH) - Antique and Gold Concealed Handle  - 191mm</t>
  </si>
  <si>
    <t>BD-HNA-2025-0287</t>
  </si>
  <si>
    <t>Bonito Handles - CL-551(K.E.-CH) - Antique and Gold Concealed Handle  - 255mm</t>
  </si>
  <si>
    <t>BD-HNA-2025-0291</t>
  </si>
  <si>
    <t>Bonito Handles - CL-551(K.E.-CH) - Black and Grey Concealed Handle  - 127mm</t>
  </si>
  <si>
    <t>BD-HNA-2025-0292</t>
  </si>
  <si>
    <t>Bonito Handles - CL-551(K.E.-CH) - Black and Grey Concealed Handle  - 191mm</t>
  </si>
  <si>
    <t>BD-HNA-2025-0293</t>
  </si>
  <si>
    <t>Bonito Handles - CL-551(K.E.-CH) - Black and Grey Concealed Handle  - 255mm</t>
  </si>
  <si>
    <t>BD-HNA-2025-0288</t>
  </si>
  <si>
    <t>Bonito Handles - CL-551(K.E.-CH) - Rose Gold Concealed Handle  - 127mm</t>
  </si>
  <si>
    <t>BD-HNA-2025-0289</t>
  </si>
  <si>
    <t>Bonito Handles - CL-551(K.E.-CH) - Rose Gold Concealed Handle  - 191mm</t>
  </si>
  <si>
    <t>BD-HNA-2025-0290</t>
  </si>
  <si>
    <t>Bonito Handles - CL-551(K.E.-CH) - Rose Gold Concealed Handle  - 255mm</t>
  </si>
  <si>
    <t>BD-HNA-2025-0308</t>
  </si>
  <si>
    <t>Bonito Handles - CL-602(K.E -CH) - Black Concealed Handle  - 125mm</t>
  </si>
  <si>
    <t>BD-HNA-2025-0309</t>
  </si>
  <si>
    <t>Bonito Handles - CL-602(K.E -CH) - Black Concealed Handle  - 190mm</t>
  </si>
  <si>
    <t>BD-HNA-2025-0310</t>
  </si>
  <si>
    <t>Bonito Handles - CL-602(K.E -CH) - Black Concealed Handle  - 318mm</t>
  </si>
  <si>
    <t>BD-HNA-2025-0311</t>
  </si>
  <si>
    <t>Bonito Handles - CL-602(K.E -CH) - Black Concealed Handle  - 447mm</t>
  </si>
  <si>
    <t>BD-HNA-2025-0312</t>
  </si>
  <si>
    <t>Bonito Handles - CL-602(K.E -CH) - Black Concealed Handle  - 596mm</t>
  </si>
  <si>
    <t>BD-HNA-2025-0303</t>
  </si>
  <si>
    <t>Bonito Handles - CL-602(K.E -CH) - Rose Gold Concealed Handle  - 125mm</t>
  </si>
  <si>
    <t>BD-HNA-2025-0304</t>
  </si>
  <si>
    <t>Bonito Handles - CL-602(K.E -CH) - Rose Gold Concealed Handle  - 190mm</t>
  </si>
  <si>
    <t>BD-HNA-2025-0305</t>
  </si>
  <si>
    <t>Bonito Handles - CL-602(K.E -CH) - Rose Gold Concealed Handle  - 318mm</t>
  </si>
  <si>
    <t>BD-HNA-2025-0306</t>
  </si>
  <si>
    <t>Bonito Handles - CL-602(K.E -CH) - Rose Gold Concealed Handle  - 447mm</t>
  </si>
  <si>
    <t>BD-HNA-2025-0307</t>
  </si>
  <si>
    <t>Bonito Handles - CL-602(K.E -CH) - Rose Gold Concealed Handle  - 596mm</t>
  </si>
  <si>
    <t>BD-HNA-2025-0456</t>
  </si>
  <si>
    <t>Bonito Handles - DC-234(S.N) - Black and Gold Handle  - 200mm</t>
  </si>
  <si>
    <t>BD-HNA-2025-0457</t>
  </si>
  <si>
    <t>Bonito Handles - DC-234(S.N) - Black and Gold Handle  - 296mm</t>
  </si>
  <si>
    <t>BD-HNA-2025-0455</t>
  </si>
  <si>
    <t>Bonito Handles - DC-234(S.N) - Black and Gold Handle  - 80mm</t>
  </si>
  <si>
    <t>BD-HNA-2025-0459</t>
  </si>
  <si>
    <t>Bonito Handles - DC-234(S.N) - Bronze Handle  - 200mm</t>
  </si>
  <si>
    <t>BD-HNA-2025-0460</t>
  </si>
  <si>
    <t>Bonito Handles - DC-234(S.N) - Bronze Handle  - 296mm</t>
  </si>
  <si>
    <t>BD-HNA-2025-0458</t>
  </si>
  <si>
    <t>Bonito Handles - DC-234(S.N) - Bronze Handle  - 80mm</t>
  </si>
  <si>
    <t>BD-HNA-2025-0462</t>
  </si>
  <si>
    <t>Bonito Handles - DC-234(S.N) - Satin and Satin Black Handle  - 200mm</t>
  </si>
  <si>
    <t>BD-HNA-2025-0463</t>
  </si>
  <si>
    <t>Bonito Handles - DC-234(S.N) - Satin and Satin Black Handle  - 296mm</t>
  </si>
  <si>
    <t>BD-HNA-2025-0461</t>
  </si>
  <si>
    <t>Bonito Handles - DC-234(S.N) - Satin and Satin Black Handle  - 80mm</t>
  </si>
  <si>
    <t>BD-HNA-2025-0448</t>
  </si>
  <si>
    <t>Bonito Handles - DK-3026(S.N) - PVD Black Knob - 48x17mm</t>
  </si>
  <si>
    <t>BD-HNA-2025-0449</t>
  </si>
  <si>
    <t>Bonito Handles - DK-3026(S.N) - PVD Chrome Plated Knob - 48x17mm</t>
  </si>
  <si>
    <t>BD-HNA-2025-0446</t>
  </si>
  <si>
    <t>Bonito Handles - DK-3026(S.N) - PVD Gold Knob - 48x17mm</t>
  </si>
  <si>
    <t>BD-HNA-2025-0447</t>
  </si>
  <si>
    <t>Bonito Handles - DK-3026(S.N) - Rose Gold Knob - 48x17mm</t>
  </si>
  <si>
    <t>BD-HNA-2025-0088</t>
  </si>
  <si>
    <t>Bonito Handles - EVX(S.H-ZP) - Anodized Brass and Gold Handle  - 320mm</t>
  </si>
  <si>
    <t>BD-HNA-2025-0089</t>
  </si>
  <si>
    <t>Bonito Handles - EVX(S.H-ZP) - Anodized Brass and Gold Handle  - 630mm</t>
  </si>
  <si>
    <t>BD-HNA-2025-0092</t>
  </si>
  <si>
    <t>Bonito Handles - EVX(S.H-ZP) - Black Handle  - 320mm</t>
  </si>
  <si>
    <t>BD-HNA-2025-0093</t>
  </si>
  <si>
    <t>Bonito Handles - EVX(S.H-ZP) - Black Handle  - 630mm</t>
  </si>
  <si>
    <t>BD-HNA-2025-0090</t>
  </si>
  <si>
    <t>Bonito Handles - EVX(S.H-ZP) - Rose Gold Handle  - 320mm</t>
  </si>
  <si>
    <t>BD-HNA-2025-0091</t>
  </si>
  <si>
    <t>Bonito Handles - EVX(S.H-ZP) - Rose Gold Handle  - 630mm</t>
  </si>
  <si>
    <t>BD-HNA-2025-0215</t>
  </si>
  <si>
    <t>Bonito Handles - H-106 - Cola Matt Handle  - 136mm</t>
  </si>
  <si>
    <t>BD-HNA-2025-0216</t>
  </si>
  <si>
    <t>Bonito Handles - H-106 - Cola Matt Handle  - 210mm</t>
  </si>
  <si>
    <t>BD-HNA-2025-0213</t>
  </si>
  <si>
    <t>Bonito Handles - H-106 - Rustic Anodized Brass Handle  - 136mm</t>
  </si>
  <si>
    <t>BD-HNA-2025-0214</t>
  </si>
  <si>
    <t>Bonito Handles - H-106 - Rustic Anodized Brass Handle  - 210mm</t>
  </si>
  <si>
    <t>BD-HNA-2025-0211</t>
  </si>
  <si>
    <t>Bonito Handles - H-106 - Satin Handle  - 136mm</t>
  </si>
  <si>
    <t>BD-HNA-2025-0212</t>
  </si>
  <si>
    <t>Bonito Handles - H-106 - Satin Handle  - 210mm</t>
  </si>
  <si>
    <t>BD-HNA-2025-0143</t>
  </si>
  <si>
    <t>Bonito Handles - H-110 - Antique and Gold Handle  - 125mm</t>
  </si>
  <si>
    <t>BD-HNA-2025-0144</t>
  </si>
  <si>
    <t>Bonito Handles - H-110 - Antique and Gold Handle  - 191mm</t>
  </si>
  <si>
    <t>BD-HNA-2025-0145</t>
  </si>
  <si>
    <t>Bonito Handles - H-110 - Antique and Gold Handle  - 257mm</t>
  </si>
  <si>
    <t>BD-HNA-2025-0146</t>
  </si>
  <si>
    <t>Bonito Handles - H-110 - Antique and Gold Handle  - 323mm</t>
  </si>
  <si>
    <t>BD-HNA-2025-0135</t>
  </si>
  <si>
    <t>Bonito Handles - H-110 - Black Handle  - 125mm</t>
  </si>
  <si>
    <t>BD-HNA-2025-0136</t>
  </si>
  <si>
    <t>Bonito Handles - H-110 - Black Handle  - 191mm</t>
  </si>
  <si>
    <t>BD-HNA-2025-0137</t>
  </si>
  <si>
    <t>Bonito Handles - H-110 - Black Handle  - 257mm</t>
  </si>
  <si>
    <t>BD-HNA-2025-0138</t>
  </si>
  <si>
    <t>Bonito Handles - H-110 - Black Handle  - 323mm</t>
  </si>
  <si>
    <t>BD-HNA-2025-0139</t>
  </si>
  <si>
    <t>Bonito Handles - H-110 - Grey and Rose Gold Handle  - 125mm</t>
  </si>
  <si>
    <t>BD-HNA-2025-0140</t>
  </si>
  <si>
    <t>Bonito Handles - H-110 - Grey and Rose Gold Handle  - 191mm</t>
  </si>
  <si>
    <t>BD-HNA-2025-0141</t>
  </si>
  <si>
    <t>Bonito Handles - H-110 - Grey and Rose Gold Handle  - 257mm</t>
  </si>
  <si>
    <t>BD-HNA-2025-0142</t>
  </si>
  <si>
    <t>Bonito Handles - H-110 - Grey and Rose Gold Handle  - 323mm</t>
  </si>
  <si>
    <t>BD-HNA-2025-0195</t>
  </si>
  <si>
    <t>Bonito Handles - H-114 - Anodized Brass and Black Handle  - 157mm</t>
  </si>
  <si>
    <t>BD-HNA-2025-0196</t>
  </si>
  <si>
    <t>Bonito Handles - H-114 - Anodized Brass and Black Handle  - 228mm</t>
  </si>
  <si>
    <t>BD-HNA-2025-0197</t>
  </si>
  <si>
    <t>Bonito Handles - H-114 - Anodized Brass and Black Handle  - 367mm</t>
  </si>
  <si>
    <t>BD-HNA-2025-0192</t>
  </si>
  <si>
    <t>Bonito Handles - H-114 - Cola and White Handle  - 157mm</t>
  </si>
  <si>
    <t>BD-HNA-2025-0193</t>
  </si>
  <si>
    <t>Bonito Handles - H-114 - Cola and White Handle  - 228mm</t>
  </si>
  <si>
    <t>BD-HNA-2025-0194</t>
  </si>
  <si>
    <t>Bonito Handles - H-114 - Cola and White Handle  - 367mm</t>
  </si>
  <si>
    <t>BD-HNA-2025-0198</t>
  </si>
  <si>
    <t>Bonito Handles - H-114 - Satin and Wenge Handle  - 157mm</t>
  </si>
  <si>
    <t>BD-HNA-2025-0199</t>
  </si>
  <si>
    <t>Bonito Handles - H-114 - Satin and Wenge Handle  - 228mm</t>
  </si>
  <si>
    <t>BD-HNA-2025-0200</t>
  </si>
  <si>
    <t>Bonito Handles - H-114 - Satin and Wenge Handle  - 367mm</t>
  </si>
  <si>
    <t>BD-HNA-2025-0126</t>
  </si>
  <si>
    <t>Bonito Handles - H-115 - Black Handle  - 125mm</t>
  </si>
  <si>
    <t>BD-HNA-2025-0127</t>
  </si>
  <si>
    <t>Bonito Handles - H-115 - Black Handle  - 190mm</t>
  </si>
  <si>
    <t>BD-HNA-2025-0128</t>
  </si>
  <si>
    <t>Bonito Handles - H-115 - Black Handle  - 285mm</t>
  </si>
  <si>
    <t>BD-HNA-2025-0132</t>
  </si>
  <si>
    <t>Bonito Handles - H-115 - Gold Handle  - 125mm</t>
  </si>
  <si>
    <t>BD-HNA-2025-0133</t>
  </si>
  <si>
    <t>Bonito Handles - H-115 - Gold Handle  - 190mm</t>
  </si>
  <si>
    <t>BD-HNA-2025-0134</t>
  </si>
  <si>
    <t>Bonito Handles - H-115 - Gold Handle  - 285mm</t>
  </si>
  <si>
    <t>BD-HNA-2025-0129</t>
  </si>
  <si>
    <t>Bonito Handles - H-115 - Rose Gold Handle  - 125mm</t>
  </si>
  <si>
    <t>BD-HNA-2025-0130</t>
  </si>
  <si>
    <t>Bonito Handles - H-115 - Rose Gold Handle  - 190mm</t>
  </si>
  <si>
    <t>BD-HNA-2025-0131</t>
  </si>
  <si>
    <t>Bonito Handles - H-115 - Rose Gold Handle  - 285mm</t>
  </si>
  <si>
    <t>BD-HNA-2025-0123</t>
  </si>
  <si>
    <t>Bonito Handles - H-115 - Satin Handle  - 125mm</t>
  </si>
  <si>
    <t>BD-HNA-2025-0124</t>
  </si>
  <si>
    <t>Bonito Handles - H-115 - Satin Handle  - 190mm</t>
  </si>
  <si>
    <t>BD-HNA-2025-0125</t>
  </si>
  <si>
    <t>Bonito Handles - H-115 - Satin Handle  - 285mm</t>
  </si>
  <si>
    <t>BD-HNA-2025-0174</t>
  </si>
  <si>
    <t>Bonito Handles - H-119 - Black and Anodized Brass Handle  - 120mm</t>
  </si>
  <si>
    <t>BD-HNA-2025-0175</t>
  </si>
  <si>
    <t>Bonito Handles - H-119 - Black and Anodized Brass Handle  - 183mm</t>
  </si>
  <si>
    <t>BD-HNA-2025-0176</t>
  </si>
  <si>
    <t>Bonito Handles - H-119 - Black and Anodized Brass Handle  - 247mm</t>
  </si>
  <si>
    <t>BD-HNA-2025-0171</t>
  </si>
  <si>
    <t>Bonito Handles - H-119 - Satin Handle  - 120mm</t>
  </si>
  <si>
    <t>BD-HNA-2025-0172</t>
  </si>
  <si>
    <t>Bonito Handles - H-119 - Satin Handle  - 183mm</t>
  </si>
  <si>
    <t>BD-HNA-2025-0173</t>
  </si>
  <si>
    <t>Bonito Handles - H-119 - Satin Handle  - 247mm</t>
  </si>
  <si>
    <t>BD-HNA-2025-0177</t>
  </si>
  <si>
    <t>Bonito Handles - H-120 - Black and Satin Handle  - 130mm</t>
  </si>
  <si>
    <t>BD-HNA-2025-0178</t>
  </si>
  <si>
    <t>Bonito Handles - H-120 - Black and Satin Handle  - 195mm</t>
  </si>
  <si>
    <t>BD-HNA-2025-0179</t>
  </si>
  <si>
    <t>Bonito Handles - H-120 - Black and Satin Handle  - 262mm</t>
  </si>
  <si>
    <t>BD-HNA-2025-0180</t>
  </si>
  <si>
    <t>Bonito Handles - H-120 - Rose Gold Handle  - 130mm</t>
  </si>
  <si>
    <t>BD-HNA-2025-0181</t>
  </si>
  <si>
    <t>Bonito Handles - H-120 - Rose Gold Handle  - 195mm</t>
  </si>
  <si>
    <t>BD-HNA-2025-0182</t>
  </si>
  <si>
    <t>Bonito Handles - H-120 - Rose Gold Handle  - 262mm</t>
  </si>
  <si>
    <t>BD-HNA-2025-0203</t>
  </si>
  <si>
    <t>Bonito Handles - H-122 - Rose Gold Handle  - 175mm</t>
  </si>
  <si>
    <t>BD-HNA-2025-0204</t>
  </si>
  <si>
    <t>Bonito Handles - H-122 - Rose Gold Handle  - 305mm</t>
  </si>
  <si>
    <t>BD-HNA-2025-0201</t>
  </si>
  <si>
    <t>Bonito Handles - H-122 - Satin Handle  - 175mm</t>
  </si>
  <si>
    <t>BD-HNA-2025-0202</t>
  </si>
  <si>
    <t>Bonito Handles - H-122 - Satin Handle  - 305mm</t>
  </si>
  <si>
    <t>BD-HNA-2025-0221</t>
  </si>
  <si>
    <t>Bonito Handles - H-132 - Antique Handle  - 132mm</t>
  </si>
  <si>
    <t>BD-HNA-2025-0222</t>
  </si>
  <si>
    <t>Bonito Handles - H-132 - Antique Handle  - 200mm</t>
  </si>
  <si>
    <t>BD-HNA-2025-0223</t>
  </si>
  <si>
    <t>Bonito Handles - H-132 - Antique Handle  - 345mm</t>
  </si>
  <si>
    <t>BD-HNA-2025-0224</t>
  </si>
  <si>
    <t>Bonito Handles - H-132 - Copper Handle  - 132mm</t>
  </si>
  <si>
    <t>BD-HNA-2025-0225</t>
  </si>
  <si>
    <t>Bonito Handles - H-132 - Copper Handle  - 200mm</t>
  </si>
  <si>
    <t>BD-HNA-2025-0226</t>
  </si>
  <si>
    <t>Bonito Handles - H-132 - Copper Handle  - 345mm</t>
  </si>
  <si>
    <t>BD-HNA-2025-0227</t>
  </si>
  <si>
    <t>Bonito Handles - H-132 - Grey Handle  - 132mm</t>
  </si>
  <si>
    <t>BD-HNA-2025-0228</t>
  </si>
  <si>
    <t>Bonito Handles - H-132 - Grey Handle  - 200mm</t>
  </si>
  <si>
    <t>BD-HNA-2025-0229</t>
  </si>
  <si>
    <t>Bonito Handles - H-132 - Grey Handle  - 345mm</t>
  </si>
  <si>
    <t>BD-HNA-2025-0217</t>
  </si>
  <si>
    <t>Bonito Handles - H-136 - Antique Handle  - 130mm</t>
  </si>
  <si>
    <t>BD-HNA-2025-0218</t>
  </si>
  <si>
    <t>Bonito Handles - H-136 - Antique Handle  - 210mm</t>
  </si>
  <si>
    <t>BD-HNA-2025-0219</t>
  </si>
  <si>
    <t>Bonito Handles - H-136 - Antique Handle  - 293mm</t>
  </si>
  <si>
    <t>BD-HNA-2025-0220</t>
  </si>
  <si>
    <t>Bonito Handles - H-136 - Antique Handle  - 380mm</t>
  </si>
  <si>
    <t>BD-HNA-2025-0207</t>
  </si>
  <si>
    <t>Bonito Handles - H-158 - Antique Handle  - 192mm</t>
  </si>
  <si>
    <t>BD-HNA-2025-0208</t>
  </si>
  <si>
    <t>Bonito Handles - H-158 - Antique Handle  - 335mm</t>
  </si>
  <si>
    <t>BD-HNA-2025-0209</t>
  </si>
  <si>
    <t>Bonito Handles - H-158 - Rose Gold Handle  - 192mm</t>
  </si>
  <si>
    <t>BD-HNA-2025-0210</t>
  </si>
  <si>
    <t>Bonito Handles - H-158 - Rose Gold Handle  - 335mm</t>
  </si>
  <si>
    <t>BD-HNA-2025-0205</t>
  </si>
  <si>
    <t>Bonito Handles - H-158 - Satin Handle  - 192mm</t>
  </si>
  <si>
    <t>BD-HNA-2025-0206</t>
  </si>
  <si>
    <t>Bonito Handles - H-158 - Satin Handle  - 335mm</t>
  </si>
  <si>
    <t>BD-HNA-2025-0162</t>
  </si>
  <si>
    <t>Bonito Handles - H-161 - Antique Handle  - 135mm</t>
  </si>
  <si>
    <t>BD-HNA-2025-0163</t>
  </si>
  <si>
    <t>Bonito Handles - H-161 - Antique Handle  - 205mm</t>
  </si>
  <si>
    <t>BD-HNA-2025-0164</t>
  </si>
  <si>
    <t>Bonito Handles - H-161 - Antique Handle  - 333mm</t>
  </si>
  <si>
    <t>BD-HNA-2025-0165</t>
  </si>
  <si>
    <t>Bonito Handles - H-161 - Grey Handle  - 135mm</t>
  </si>
  <si>
    <t>BD-HNA-2025-0166</t>
  </si>
  <si>
    <t>Bonito Handles - H-161 - Grey Handle  - 205mm</t>
  </si>
  <si>
    <t>BD-HNA-2025-0167</t>
  </si>
  <si>
    <t>Bonito Handles - H-161 - Grey Handle  - 333mm</t>
  </si>
  <si>
    <t>BD-HNA-2025-0168</t>
  </si>
  <si>
    <t>Bonito Handles - H-161 - Rose Gold Handle  - 135mm</t>
  </si>
  <si>
    <t>BD-HNA-2025-0169</t>
  </si>
  <si>
    <t>Bonito Handles - H-161 - Rose Gold Handle  - 205mm</t>
  </si>
  <si>
    <t>BD-HNA-2025-0170</t>
  </si>
  <si>
    <t>Bonito Handles - H-161 - Rose Gold Handle  - 333mm</t>
  </si>
  <si>
    <t>BD-HNA-2025-0159</t>
  </si>
  <si>
    <t>Bonito Handles - H-161 - Satin Handle  - 135mm</t>
  </si>
  <si>
    <t>BD-HNA-2025-0160</t>
  </si>
  <si>
    <t>Bonito Handles - H-161 - Satin Handle  - 205mm</t>
  </si>
  <si>
    <t>BD-HNA-2025-0161</t>
  </si>
  <si>
    <t>Bonito Handles - H-161 - Satin Handle  - 333mm</t>
  </si>
  <si>
    <t>BD-HNA-2025-0121</t>
  </si>
  <si>
    <t>Bonito Handles - H-203 - Gold Handle  - 140mm</t>
  </si>
  <si>
    <t>BD-HNA-2025-0122</t>
  </si>
  <si>
    <t>Bonito Handles - H-203 - Gold Handle  - 209mm</t>
  </si>
  <si>
    <t>BD-HNA-2025-0119</t>
  </si>
  <si>
    <t>Bonito Handles - H-203 - Rose Gold Handle  - 140mm</t>
  </si>
  <si>
    <t>BD-HNA-2025-0120</t>
  </si>
  <si>
    <t>Bonito Handles - H-203 - Rose Gold Handle  - 209mm</t>
  </si>
  <si>
    <t>BD-HNA-2025-0106</t>
  </si>
  <si>
    <t>Bonito Handles - H-204 - Anodized Brass Handle  - 121mm</t>
  </si>
  <si>
    <t>BD-HNA-2025-0107</t>
  </si>
  <si>
    <t>Bonito Handles - H-204 - Anodized Brass Handle  - 152mm</t>
  </si>
  <si>
    <t>BD-HNA-2025-0108</t>
  </si>
  <si>
    <t>Bonito Handles - H-204 - Anodized Brass Handle  - 187mm</t>
  </si>
  <si>
    <t>BD-HNA-2025-0235</t>
  </si>
  <si>
    <t>Bonito Handles - H-221 - Black and Gold Handle  - 190mm</t>
  </si>
  <si>
    <t>BD-HNA-2025-0236</t>
  </si>
  <si>
    <t>Bonito Handles - H-221 - Black and Gold Handle  - 318mm</t>
  </si>
  <si>
    <t>BD-HNA-2025-0237</t>
  </si>
  <si>
    <t>Bonito Handles - H-221 - Black and Gold Handle  - 477mm</t>
  </si>
  <si>
    <t>BD-HNA-2025-0238</t>
  </si>
  <si>
    <t>Bonito Handles - H-221 - Black and Gold Handle  - 605mm</t>
  </si>
  <si>
    <t>BD-HNA-2025-0239</t>
  </si>
  <si>
    <t>Bonito Handles - H-221 - Black and Gold Handle  - 925mm</t>
  </si>
  <si>
    <t>BD-HNA-2025-0230</t>
  </si>
  <si>
    <t>Bonito Handles - H-221 - Black and Rose Gold Handle  - 190mm</t>
  </si>
  <si>
    <t>BD-HNA-2025-0231</t>
  </si>
  <si>
    <t>Bonito Handles - H-221 - Black and Rose Gold Handle  - 318mm</t>
  </si>
  <si>
    <t>BD-HNA-2025-0232</t>
  </si>
  <si>
    <t>Bonito Handles - H-221 - Black and Rose Gold Handle  - 477mm</t>
  </si>
  <si>
    <t>BD-HNA-2025-0233</t>
  </si>
  <si>
    <t>Bonito Handles - H-221 - Black and Rose Gold Handle  - 605mm</t>
  </si>
  <si>
    <t>BD-HNA-2025-0234</t>
  </si>
  <si>
    <t>Bonito Handles - H-221 - Black and Rose Gold Handle  - 925mm</t>
  </si>
  <si>
    <t>BD-HNA-2025-0342</t>
  </si>
  <si>
    <t>Bonito Handles - HA-503(D.E-UP) - Black Concealed Handle  - 148mm</t>
  </si>
  <si>
    <t>Sticker not proper</t>
  </si>
  <si>
    <t>BD-HNA-2025-0341</t>
  </si>
  <si>
    <t>Bonito Handles - HA-503(D.E-UP) - Gold Concealed Handle  - 148mm</t>
  </si>
  <si>
    <t>BD-HNA-2025-0340</t>
  </si>
  <si>
    <t>Bonito Handles - HA-503(D.E-UP) - Rose Gold Concealed Handle  - 148mm</t>
  </si>
  <si>
    <t>BD-HNA-2025-0334</t>
  </si>
  <si>
    <t>Bonito Handles - HA-504(D.E-UP) - Antique Concealed Handle  - 110mm</t>
  </si>
  <si>
    <t>BD-HNA-2025-0335</t>
  </si>
  <si>
    <t>Bonito Handles - HA-504(D.E-UP) - Antique Concealed Handle  - 173mm</t>
  </si>
  <si>
    <t>BD-HNA-2025-0338</t>
  </si>
  <si>
    <t>Bonito Handles - HA-504(D.E-UP) - Black Concealed Handle  - 110mm</t>
  </si>
  <si>
    <t>BD-HNA-2025-0339</t>
  </si>
  <si>
    <t>Bonito Handles - HA-504(D.E-UP) - Black Concealed Handle  - 173mm</t>
  </si>
  <si>
    <t>BD-HNA-2025-0336</t>
  </si>
  <si>
    <t>Bonito Handles - HA-504(D.E-UP) - Rose Gold Concealed Handle  - 110mm</t>
  </si>
  <si>
    <t>BD-HNA-2025-0337</t>
  </si>
  <si>
    <t>Bonito Handles - HA-504(D.E-UP) - Rose Gold Concealed Handle  - 173mm</t>
  </si>
  <si>
    <t>BD-HNA-2025-0432</t>
  </si>
  <si>
    <t>Bonito Handles - HA-7066(D.E -UP) - Anodized Brass and Gold Knob - 42x42mm</t>
  </si>
  <si>
    <t>BD-HNA-2025-0429</t>
  </si>
  <si>
    <t>Bonito Handles - HA-7066(D.E -UP) - Black and Satin Knob - 42x42mm</t>
  </si>
  <si>
    <t>BD-HNA-2025-0430</t>
  </si>
  <si>
    <t>Bonito Handles - HA-7066(D.E -UP) - Black Knob - 42x42mm</t>
  </si>
  <si>
    <t>BD-HNA-2025-0431</t>
  </si>
  <si>
    <t>Bonito Handles - HA-7066(D.E -UP) - Rose Gold Knob - 42x42mm</t>
  </si>
  <si>
    <t>BD-HNA-2025-0096</t>
  </si>
  <si>
    <t>Bonito Handles - LEAF(S.H-ZP) - Black Handle  - 305mm</t>
  </si>
  <si>
    <t>BD-HNA-2025-0097</t>
  </si>
  <si>
    <t>Bonito Handles - LEAF(S.H-ZP) - Black Handle  - 470mm</t>
  </si>
  <si>
    <t>BD-HNA-2025-0094</t>
  </si>
  <si>
    <t>Bonito Handles - LEAF(S.H-ZP) - Rose Handle  - 305mm</t>
  </si>
  <si>
    <t>BD-HNA-2025-0095</t>
  </si>
  <si>
    <t>Bonito Handles - LEAF(S.H-ZP) - Rose Handle  - 470mm</t>
  </si>
  <si>
    <t>BD-HNA-2025-0115</t>
  </si>
  <si>
    <t>Bonito Handles - M-7009(K.H) - Black Handle  - 240mm</t>
  </si>
  <si>
    <t>BD-HNA-2025-0116</t>
  </si>
  <si>
    <t>Bonito Handles - M-7009(K.H) - Black Handle  - 305mm</t>
  </si>
  <si>
    <t>BD-HNA-2025-0117</t>
  </si>
  <si>
    <t>Bonito Handles - M-7009(K.H) - Gold Handle  - 240mm</t>
  </si>
  <si>
    <t>BD-HNA-2025-0118</t>
  </si>
  <si>
    <t>Bonito Handles - M-7009(K.H) - Gold Handle  - 305mm</t>
  </si>
  <si>
    <t>BD-HNA-2025-0151</t>
  </si>
  <si>
    <t>Bonito Handles - MACAW(G.H) - Black Handle  - 200mm</t>
  </si>
  <si>
    <t>BD-HNA-2025-0152</t>
  </si>
  <si>
    <t>Bonito Handles - MACAW(G.H) - Black Handle  - 300mm</t>
  </si>
  <si>
    <t>BD-HNA-2025-0153</t>
  </si>
  <si>
    <t>Bonito Handles - MACAW(G.H) - Black Handle  - 450mm</t>
  </si>
  <si>
    <t>BD-HNA-2025-0154</t>
  </si>
  <si>
    <t>Bonito Handles - MACAW(G.H) - Black Handle  - 596mm</t>
  </si>
  <si>
    <t>BD-HNA-2025-0147</t>
  </si>
  <si>
    <t>Bonito Handles - MACAW(G.H) - Brushed Gold Handle  - 200mm</t>
  </si>
  <si>
    <t>BD-HNA-2025-0148</t>
  </si>
  <si>
    <t>Bonito Handles - MACAW(G.H) - Brushed Gold Handle  - 300mm</t>
  </si>
  <si>
    <t>BD-HNA-2025-0149</t>
  </si>
  <si>
    <t>Bonito Handles - MACAW(G.H) - Brushed Gold Handle  - 450mm</t>
  </si>
  <si>
    <t>BD-HNA-2025-0150</t>
  </si>
  <si>
    <t>Bonito Handles - MACAW(G.H) - Brushed Gold Handle  - 596mm</t>
  </si>
  <si>
    <t>BD-HNA-2025-0155</t>
  </si>
  <si>
    <t>Bonito Handles - MACAW(G.H) - Rose Handle  - 200mm</t>
  </si>
  <si>
    <t>BD-HNA-2025-0156</t>
  </si>
  <si>
    <t>Bonito Handles - MACAW(G.H) - Rose Handle  - 300mm</t>
  </si>
  <si>
    <t>BD-HNA-2025-0157</t>
  </si>
  <si>
    <t>Bonito Handles - MACAW(G.H) - Rose Handle  - 450mm</t>
  </si>
  <si>
    <t>BD-HNA-2025-0158</t>
  </si>
  <si>
    <t>Bonito Handles - MACAW(G.H) - Rose Handle  - 596mm</t>
  </si>
  <si>
    <t>BD-HNA-2025-0343</t>
  </si>
  <si>
    <t>Bonito Handles - N.H_VI-03 - Anodized SS Coated Profile Handle - 200mm</t>
  </si>
  <si>
    <t>BD-HNA-2025-0344</t>
  </si>
  <si>
    <t>Bonito Handles - N.H_VI-03 - Anodized SS Coated Profile Handle - 250mm</t>
  </si>
  <si>
    <t>BD-HNA-2025-0345</t>
  </si>
  <si>
    <t>Bonito Handles - N.H_VI-03 - Anodized SS Coated Profile Handle - 300mm</t>
  </si>
  <si>
    <t>BD-HNA-2025-0346</t>
  </si>
  <si>
    <t>Bonito Handles - N.H_VI-03 - Anodized SS Coated Profile Handle - 398mm</t>
  </si>
  <si>
    <t>BD-HNA-2025-0347</t>
  </si>
  <si>
    <t>Bonito Handles - N.H_VI-03 - Anodized SS Coated Profile Handle - 450mm</t>
  </si>
  <si>
    <t>BD-HNA-2025-0348</t>
  </si>
  <si>
    <t>Bonito Handles - N.H_VI-03 - Anodized SS Coated Profile Handle - 500mm</t>
  </si>
  <si>
    <t>BD-HNA-2025-0349</t>
  </si>
  <si>
    <t>Bonito Handles - N.H_VI-03 - Anodized SS Coated Profile Handle - 600mm</t>
  </si>
  <si>
    <t>BD-HNA-2025-0364</t>
  </si>
  <si>
    <t>Bonito Handles - N.H_VI-03 - Black Profile Handle - 200mm</t>
  </si>
  <si>
    <t>BD-HNA-2025-0365</t>
  </si>
  <si>
    <t>Bonito Handles - N.H_VI-03 - Black Profile Handle - 250mm</t>
  </si>
  <si>
    <t>BD-HNA-2025-0366</t>
  </si>
  <si>
    <t>Bonito Handles - N.H_VI-03 - Black Profile Handle - 300mm</t>
  </si>
  <si>
    <t>BD-HNA-2025-0367</t>
  </si>
  <si>
    <t>Bonito Handles - N.H_VI-03 - Black Profile Handle - 398mm</t>
  </si>
  <si>
    <t>BD-HNA-2025-0368</t>
  </si>
  <si>
    <t>Bonito Handles - N.H_VI-03 - Black Profile Handle - 450mm</t>
  </si>
  <si>
    <t>BD-HNA-2025-0369</t>
  </si>
  <si>
    <t>Bonito Handles - N.H_VI-03 - Black Profile Handle - 500mm</t>
  </si>
  <si>
    <t>BD-HNA-2025-0370</t>
  </si>
  <si>
    <t>Bonito Handles - N.H_VI-03 - Black Profile Handle - 600mm</t>
  </si>
  <si>
    <t>BD-HNA-2025-0371</t>
  </si>
  <si>
    <t>Bonito Handles - N.H_VI-03 - Gold Profile Handle - 200mm</t>
  </si>
  <si>
    <t>BD-HNA-2025-0372</t>
  </si>
  <si>
    <t>Bonito Handles - N.H_VI-03 - Gold Profile Handle - 250mm</t>
  </si>
  <si>
    <t>BD-HNA-2025-0373</t>
  </si>
  <si>
    <t>Bonito Handles - N.H_VI-03 - Gold Profile Handle - 300mm</t>
  </si>
  <si>
    <t>BD-HNA-2025-0374</t>
  </si>
  <si>
    <t>Bonito Handles - N.H_VI-03 - Gold Profile Handle - 398mm</t>
  </si>
  <si>
    <t>BD-HNA-2025-0375</t>
  </si>
  <si>
    <t>Bonito Handles - N.H_VI-03 - Gold Profile Handle - 450mm</t>
  </si>
  <si>
    <t>BD-HNA-2025-0376</t>
  </si>
  <si>
    <t>Bonito Handles - N.H_VI-03 - Gold Profile Handle - 500mm</t>
  </si>
  <si>
    <t>BD-HNA-2025-0377</t>
  </si>
  <si>
    <t>Bonito Handles - N.H_VI-03 - Gold Profile Handle - 600mm</t>
  </si>
  <si>
    <t>BD-HNA-2025-0357</t>
  </si>
  <si>
    <t>Bonito Handles - N.H_VI-03 - Grey Profile Handle - 200mm</t>
  </si>
  <si>
    <t>BD-HNA-2025-0358</t>
  </si>
  <si>
    <t>Bonito Handles - N.H_VI-03 - Grey Profile Handle - 250mm</t>
  </si>
  <si>
    <t>BD-HNA-2025-0359</t>
  </si>
  <si>
    <t>Bonito Handles - N.H_VI-03 - Grey Profile Handle - 300mm</t>
  </si>
  <si>
    <t>BD-HNA-2025-0360</t>
  </si>
  <si>
    <t>Bonito Handles - N.H_VI-03 - Grey Profile Handle - 398mm</t>
  </si>
  <si>
    <t>BD-HNA-2025-0361</t>
  </si>
  <si>
    <t>Bonito Handles - N.H_VI-03 - Grey Profile Handle - 450mm</t>
  </si>
  <si>
    <t>BD-HNA-2025-0362</t>
  </si>
  <si>
    <t>Bonito Handles - N.H_VI-03 - Grey Profile Handle - 500mm</t>
  </si>
  <si>
    <t>BD-HNA-2025-0363</t>
  </si>
  <si>
    <t>Bonito Handles - N.H_VI-03 - Grey Profile Handle - 600mm</t>
  </si>
  <si>
    <t>BD-HNA-2025-0350</t>
  </si>
  <si>
    <t>Bonito Handles - N.H_VI-03 - Rose Profile Handle - 200mm</t>
  </si>
  <si>
    <t>BD-HNA-2025-0351</t>
  </si>
  <si>
    <t>Bonito Handles - N.H_VI-03 - Rose Profile Handle - 250mm</t>
  </si>
  <si>
    <t>BD-HNA-2025-0352</t>
  </si>
  <si>
    <t>Bonito Handles - N.H_VI-03 - Rose Profile Handle - 300mm</t>
  </si>
  <si>
    <t>BD-HNA-2025-0353</t>
  </si>
  <si>
    <t>Bonito Handles - N.H_VI-03 - Rose Profile Handle - 398mm</t>
  </si>
  <si>
    <t>BD-HNA-2025-0354</t>
  </si>
  <si>
    <t>Bonito Handles - N.H_VI-03 - Rose Profile Handle - 450mm</t>
  </si>
  <si>
    <t>BD-HNA-2025-0355</t>
  </si>
  <si>
    <t>Bonito Handles - N.H_VI-03 - Rose Profile Handle - 500mm</t>
  </si>
  <si>
    <t>BD-HNA-2025-0356</t>
  </si>
  <si>
    <t>Bonito Handles - N.H_VI-03 - Rose Profile Handle - 600mm</t>
  </si>
  <si>
    <t>BD-HNA-2025-0450</t>
  </si>
  <si>
    <t>Bonito Handles - NO-66(G.H) - Black and Gold Knob - 87x20mm</t>
  </si>
  <si>
    <t>BD-HNA-2025-0451</t>
  </si>
  <si>
    <t>Bonito Handles - NO-66(G.H) - Black and White Knob - 87x20mm</t>
  </si>
  <si>
    <t>BD-HNA-2025-0452</t>
  </si>
  <si>
    <t>Bonito Handles - NO-66(G.H) - Grey and Black Knob - 87x20mm</t>
  </si>
  <si>
    <t>BD-HNA-2025-0454</t>
  </si>
  <si>
    <t>Bonito Handles - NO-66(G.H) - Rose Gold Knob - 87x20mm</t>
  </si>
  <si>
    <t>BD-HNA-2025-0453</t>
  </si>
  <si>
    <t>Bonito Handles - NO-66(G.H) - Satin and Grey Knob - 87x20mm</t>
  </si>
  <si>
    <t>BD-HNA-2025-0101</t>
  </si>
  <si>
    <t>Bonito Handles - P-36(S.H-ZP) - PVD Black Handle  - 305mm</t>
  </si>
  <si>
    <t>BD-HNA-2025-0102</t>
  </si>
  <si>
    <t>Bonito Handles - P-36(S.H-ZP) - Rose Gold Handle  - 305mm</t>
  </si>
  <si>
    <t>BD-HNA-2025-0113</t>
  </si>
  <si>
    <t>Bonito Handles - T-134(S.H-ZP) - Black Handle  - 120mm</t>
  </si>
  <si>
    <t>BD-HNA-2025-0114</t>
  </si>
  <si>
    <t>Bonito Handles - T-134(S.H-ZP) - Black Handle  - 300mm</t>
  </si>
  <si>
    <t>BD-HNA-2025-0111</t>
  </si>
  <si>
    <t>Bonito Handles - T-134(S.H-ZP) - Gold Handle  - 120mm</t>
  </si>
  <si>
    <t>BD-HNA-2025-0112</t>
  </si>
  <si>
    <t>Bonito Handles - T-134(S.H-ZP) - Gold Handle  - 300mm</t>
  </si>
  <si>
    <t>BD-HNA-2025-0109</t>
  </si>
  <si>
    <t>Bonito Handles - T-134(S.H-ZP) - Rose Handle  - 120mm</t>
  </si>
  <si>
    <t>BD-HNA-2025-0110</t>
  </si>
  <si>
    <t>Bonito Handles - T-134(S.H-ZP) - Rose Handle  - 300mm</t>
  </si>
  <si>
    <t>BD-HNA-2025-0100</t>
  </si>
  <si>
    <t>Bonito Handles - T-5537(S.H-ZP) - PVD Black Handle  - 450mm</t>
  </si>
  <si>
    <t>BD-HNA-2025-0098</t>
  </si>
  <si>
    <t>Bonito Handles - T-5537(S.H-ZP) - PVD Gold Handle  - 450mm</t>
  </si>
  <si>
    <t>BD-HNA-2025-0099</t>
  </si>
  <si>
    <t>Bonito Handles - T-5537(S.H-ZP) - Rose Gold Handle  - 450mm</t>
  </si>
  <si>
    <t>BD-HNA-2025-0411</t>
  </si>
  <si>
    <t>Bonito Handles - T-5538(S.H-ZP) - Black Concealed Handle - 200mm</t>
  </si>
  <si>
    <t>BD-HNA-2025-0412</t>
  </si>
  <si>
    <t>Bonito Handles - T-5538(S.H-ZP) - Black Concealed Handle - 300mm</t>
  </si>
  <si>
    <t>BD-HNA-2025-0415</t>
  </si>
  <si>
    <t>Bonito Handles - T-5538(S.H-ZP) - Gold Concealed Handle - 200mm</t>
  </si>
  <si>
    <t>BD-HNA-2025-0416</t>
  </si>
  <si>
    <t>Bonito Handles - T-5538(S.H-ZP) - Gold Concealed Handle - 300mm</t>
  </si>
  <si>
    <t>BD-HNA-2025-0413</t>
  </si>
  <si>
    <t>Bonito Handles - T-5538(S.H-ZP) - Rose Concealed Handle - 200mm</t>
  </si>
  <si>
    <t>BD-HNA-2025-0414</t>
  </si>
  <si>
    <t>Bonito Handles - T-5538(S.H-ZP) - Rose Concealed Handle - 300mm</t>
  </si>
  <si>
    <t>BD-HNA-2025-0439</t>
  </si>
  <si>
    <t>Bonito Handles - V-1437 Big(K.H) - Antique Knob - Dia: 45mm</t>
  </si>
  <si>
    <t>BD-HNA-2025-0440</t>
  </si>
  <si>
    <t>Bonito Handles - V-1437 Big(K.H) - Black Knob - Dia: 45mm</t>
  </si>
  <si>
    <t>BD-HNA-2025-0437</t>
  </si>
  <si>
    <t>Bonito Handles - V-1437 Big(K.H) - Gold Knob - Dia: 45mm</t>
  </si>
  <si>
    <t>BD-HNA-2025-0438</t>
  </si>
  <si>
    <t>Bonito Handles - V-1437 Big(K.H) - Rose Gold Knob - Dia: 45mm</t>
  </si>
  <si>
    <t>BD-HNA-2025-0435</t>
  </si>
  <si>
    <t>Bonito Handles - V-1437 Small(K.H) - Antique Knob - Dia: 36mm</t>
  </si>
  <si>
    <t>BD-HNA-2025-0436</t>
  </si>
  <si>
    <t>Bonito Handles - V-1437 Small(K.H) - Black Knob - Dia: 36mm</t>
  </si>
  <si>
    <t>BD-HNA-2025-0433</t>
  </si>
  <si>
    <t>Bonito Handles - V-1437 Small(K.H) - Gold Knob - Dia: 36mm</t>
  </si>
  <si>
    <t>BD-HNA-2025-0434</t>
  </si>
  <si>
    <t>Bonito Handles - V-1437 Small(K.H) - Rose Gold Knob - Dia: 36mm</t>
  </si>
  <si>
    <t>BD-HNA-2025-0331</t>
  </si>
  <si>
    <t>Bonito Handles - V-1561(K.H) - Black and Gold Concealed Handle  - 148mm</t>
  </si>
  <si>
    <t>BD-HNA-2025-0332</t>
  </si>
  <si>
    <t>Bonito Handles - V-1561(K.H) - Black Concealed Handle  - 148mm</t>
  </si>
  <si>
    <t>BD-HNA-2025-0333</t>
  </si>
  <si>
    <t>Bonito Handles - V-1561(K.H) - Rose Gold Concealed Handle  - 148mm</t>
  </si>
  <si>
    <t>BD-HNA-2025-0441</t>
  </si>
  <si>
    <t>Bonito Handles - V-3269(KH) - Black and Gold Knob - 49mm</t>
  </si>
  <si>
    <t>BD-HNA-2025-0442</t>
  </si>
  <si>
    <t>Bonito Handles - V-3269(KH) - Grey Knob - 49mm</t>
  </si>
  <si>
    <t>BD-HNA-2025-0445</t>
  </si>
  <si>
    <t>Bonito Handles - V-3276(K.H) - Black Knob - 40x40mm</t>
  </si>
  <si>
    <t>BD-HNA-2025-0443</t>
  </si>
  <si>
    <t>Bonito Handles - V-3276(K.H) - Gold Knob - 40x40mm</t>
  </si>
  <si>
    <t>BD-HNA-2025-0444</t>
  </si>
  <si>
    <t>Bonito Handles - V-3276(K.H) - Rose Gold Knob - 40x40mm</t>
  </si>
  <si>
    <t>BD-HNA-2025-0417</t>
  </si>
  <si>
    <t>Bonito Handles - V-3279(K.H) - Antique Knob - 50mm</t>
  </si>
  <si>
    <t>BD-HNA-2025-0418</t>
  </si>
  <si>
    <t>Bonito Handles - V-3279(K.H) - Black Knob - 50mm</t>
  </si>
  <si>
    <t>BD-HNA-2025-0419</t>
  </si>
  <si>
    <t>Bonito Handles - V-3279(K.H) - Gold Knob - 50mm</t>
  </si>
  <si>
    <t>BD-HNA-2025-0420</t>
  </si>
  <si>
    <t>Bonito Handles - V-3279(K.H) - Rose Gold Knob - 50mm</t>
  </si>
  <si>
    <t>BD-HNA-2025-0425</t>
  </si>
  <si>
    <t>Bonito Handles - V-3288(K.H) - Antique Knob - Dia: 39mm</t>
  </si>
  <si>
    <t>BD-HNA-2025-0427</t>
  </si>
  <si>
    <t>Bonito Handles - V-3288(K.H) - Gold Knob - Dia: 39mm</t>
  </si>
  <si>
    <t>BD-HNA-2025-0426</t>
  </si>
  <si>
    <t>Bonito Handles - V-3288(K.H) - Grey Knob - Dia: 39mm</t>
  </si>
  <si>
    <t>BD-HNA-2025-0428</t>
  </si>
  <si>
    <t>Bonito Handles - V-3288(K.H) - Rose Gold Knob - Dia: 39mm</t>
  </si>
  <si>
    <t>BD-HNA-2025-0421</t>
  </si>
  <si>
    <t>Bonito Handles - V-3294(K.H) - Antique Knob - 35mm</t>
  </si>
  <si>
    <t>BD-HNA-2025-0422</t>
  </si>
  <si>
    <t>Bonito Handles - V-3294(K.H) - Black Knob - 35mm</t>
  </si>
  <si>
    <t>BD-HNA-2025-0423</t>
  </si>
  <si>
    <t>Bonito Handles - V-3294(K.H) - Gold Knob - 35mm</t>
  </si>
  <si>
    <t>BD-HNA-2025-0424</t>
  </si>
  <si>
    <t>Bonito Handles - V-3294(K.H) - Rose Gold Knob - 35mm</t>
  </si>
  <si>
    <t>BD-HNA-2025-0381</t>
  </si>
  <si>
    <t>Bonito Handles - VI-01 PROFILE(V.H) - Anodized SS Coated Profile Handle - 250mm</t>
  </si>
  <si>
    <t>BD-HNA-2025-0382</t>
  </si>
  <si>
    <t>Bonito Handles - VI-01 PROFILE(V.H) - Anodized SS Coated Profile Handle - 450mm</t>
  </si>
  <si>
    <t>BD-HNA-2025-0383</t>
  </si>
  <si>
    <t>Bonito Handles - VI-01 PROFILE(V.H) - Anodized SS Coated Profile Handle - 600mm</t>
  </si>
  <si>
    <t>BD-HNA-2025-0378</t>
  </si>
  <si>
    <t>Bonito Handles - VI-01 PROFILE(V.H) - Black Profile Handle - 250mm</t>
  </si>
  <si>
    <t>BD-HNA-2025-0379</t>
  </si>
  <si>
    <t>Bonito Handles - VI-01 PROFILE(V.H) - Black Profile Handle - 450mm</t>
  </si>
  <si>
    <t>BD-HNA-2025-0380</t>
  </si>
  <si>
    <t>Bonito Handles - VI-01 PROFILE(V.H) - Black Profile Handle - 600mm</t>
  </si>
  <si>
    <t>BD-HNA-2025-0384</t>
  </si>
  <si>
    <t>Bonito Handles - VI-01 PROFILE(V.H) - Chrome Plated Profile Handle - 250mm</t>
  </si>
  <si>
    <t>BD-HNA-2025-0385</t>
  </si>
  <si>
    <t>Bonito Handles - VI-01 PROFILE(V.H) - Chrome Plated Profile Handle - 450mm</t>
  </si>
  <si>
    <t>BD-HNA-2025-0386</t>
  </si>
  <si>
    <t>Bonito Handles - VI-01 PROFILE(V.H) - Chrome Plated Profile Handle - 600mm</t>
  </si>
  <si>
    <t>BD-HNA-2025-0393</t>
  </si>
  <si>
    <t>Bonito Handles - VI-01 PROFILE(V.H) - Gold Profile Handle - 250mm</t>
  </si>
  <si>
    <t>BD-HNA-2025-0394</t>
  </si>
  <si>
    <t>Bonito Handles - VI-01 PROFILE(V.H) - Gold Profile Handle - 450mm</t>
  </si>
  <si>
    <t>BD-HNA-2025-0395</t>
  </si>
  <si>
    <t>Bonito Handles - VI-01 PROFILE(V.H) - Gold Profile Handle - 600mm</t>
  </si>
  <si>
    <t>BD-HNA-2025-0387</t>
  </si>
  <si>
    <t>Bonito Handles - VI-01 PROFILE(V.H) - Grey Profile Handle - 250mm</t>
  </si>
  <si>
    <t>BD-HNA-2025-0388</t>
  </si>
  <si>
    <t>Bonito Handles - VI-01 PROFILE(V.H) - Grey Profile Handle - 450mm</t>
  </si>
  <si>
    <t>BD-HNA-2025-0389</t>
  </si>
  <si>
    <t>Bonito Handles - VI-01 PROFILE(V.H) - Grey Profile Handle - 600mm</t>
  </si>
  <si>
    <t>BD-HNA-2025-0390</t>
  </si>
  <si>
    <t>Bonito Handles - VI-01 PROFILE(V.H) - Rose Profile Handle - 250mm</t>
  </si>
  <si>
    <t>BD-HNA-2025-0391</t>
  </si>
  <si>
    <t>Bonito Handles - VI-01 PROFILE(V.H) - Rose Profile Handle - 450mm</t>
  </si>
  <si>
    <t>BD-HNA-2025-0392</t>
  </si>
  <si>
    <t>Bonito Handles - VI-01 PROFILE(V.H) - Rose Profile Handle - 600mm</t>
  </si>
  <si>
    <t>BD-HNA-2025-0396</t>
  </si>
  <si>
    <t>Bonito Handles - VI-03 PROFILE(V.H) - Blasting Black Profile Handle - 250mm</t>
  </si>
  <si>
    <t>BD-HNA-2025-0397</t>
  </si>
  <si>
    <t>Bonito Handles - VI-03 PROFILE(V.H) - Blasting Black Profile Handle - 448mm</t>
  </si>
  <si>
    <t>BD-HNA-2025-0398</t>
  </si>
  <si>
    <t>Bonito Handles - VI-03 PROFILE(V.H) - Blasting Black Profile Handle - 600mm</t>
  </si>
  <si>
    <t>BD-HNA-2025-0399</t>
  </si>
  <si>
    <t>Bonito Handles - VI-03 PROFILE(V.H) - Blasting Black Profile Handle - 900mm</t>
  </si>
  <si>
    <t>BD-HNA-2025-0404</t>
  </si>
  <si>
    <t>Bonito Handles - VI-03 PROFILE(V.H) - Blasting Gold Profile Handle - 250mm</t>
  </si>
  <si>
    <t>BD-HNA-2025-0405</t>
  </si>
  <si>
    <t>Bonito Handles - VI-03 PROFILE(V.H) - Blasting Gold Profile Handle - 448mm</t>
  </si>
  <si>
    <t>BD-HNA-2025-0406</t>
  </si>
  <si>
    <t>Bonito Handles - VI-03 PROFILE(V.H) - Blasting Gold Profile Handle - 600mm</t>
  </si>
  <si>
    <t>BD-HNA-2025-0407</t>
  </si>
  <si>
    <t>Bonito Handles - VI-03 PROFILE(V.H) - Blasting Gold Profile Handle - 900mm</t>
  </si>
  <si>
    <t>BD-HNA-2025-0408</t>
  </si>
  <si>
    <t>Bonito Handles - VI-03 PROFILE(V.H) - Blasting Rose Profile Handle - 250mm</t>
  </si>
  <si>
    <t>BD-HNA-2025-0409</t>
  </si>
  <si>
    <t>Bonito Handles - VI-03 PROFILE(V.H) - Blasting Rose Profile Handle - 448mm</t>
  </si>
  <si>
    <t>BD-HNA-2025-0410</t>
  </si>
  <si>
    <t>Bonito Handles - VI-03 PROFILE(V.H) - Blasting Rose Profile Handle - 900mm</t>
  </si>
  <si>
    <t>BD-HNA-2025-0400</t>
  </si>
  <si>
    <t>Bonito Handles - VI-03 PROFILE(V.H) - Blasting Satin Profile Handle - 250mm</t>
  </si>
  <si>
    <t>BD-HNA-2025-0401</t>
  </si>
  <si>
    <t>Bonito Handles - VI-03 PROFILE(V.H) - Blasting Satin Profile Handle - 448mm</t>
  </si>
  <si>
    <t>BD-HNA-2025-0402</t>
  </si>
  <si>
    <t>Bonito Handles - VI-03 PROFILE(V.H) - Blasting Satin Profile Handle - 600mm</t>
  </si>
  <si>
    <t>BD-HNA-2025-0403</t>
  </si>
  <si>
    <t>Bonito Handles - VI-03 PROFILE(V.H) - Blasting Satin Profile Handle - 900mm</t>
  </si>
  <si>
    <t>HWLSBAH 128 SF</t>
  </si>
  <si>
    <t>Aluminium Handle-B (Special Finish) BAH-128-SF</t>
  </si>
  <si>
    <t>Ebco</t>
  </si>
  <si>
    <t>HWLSBAH 160 SF</t>
  </si>
  <si>
    <t>Aluminium Handle-B (Special Finish) BAH-160-SF</t>
  </si>
  <si>
    <t>HWLSBAH 224 SF</t>
  </si>
  <si>
    <t>Aluminium Handle-B (Special Finish) BAH-224-SF</t>
  </si>
  <si>
    <t>HWLSKNB-32-SF</t>
  </si>
  <si>
    <t>Aluminium Knob  - KNB-32-SF (New)</t>
  </si>
  <si>
    <t>HWLSBZK BL</t>
  </si>
  <si>
    <t>BZK-BL</t>
  </si>
  <si>
    <t>HWLSCZK1 CP</t>
  </si>
  <si>
    <t>CZK1-CP</t>
  </si>
  <si>
    <t>BD-HNA-2024-0030</t>
  </si>
  <si>
    <t>EB Aluminum Profile Shutter handle SH1-1935-3M-BG (Brushed Gold)</t>
  </si>
  <si>
    <t>HWLSCHH 32 CP</t>
  </si>
  <si>
    <t>Ebco (Livsmart) - Concealed Hook Handle -CHH-32</t>
  </si>
  <si>
    <t>HWLSAZK BL</t>
  </si>
  <si>
    <t>Ebco (Livsmart) - Zinc Handle -AZK-BL</t>
  </si>
  <si>
    <t>HWLSMZH 96 AT</t>
  </si>
  <si>
    <t>Ebco (Livsmart) - Zinc Handle -MZH-96-AT</t>
  </si>
  <si>
    <t>BD-HNA-2024-0024</t>
  </si>
  <si>
    <t>Ebco Aluminum Profile Shutter handle SH1-1935-3M-AB Black</t>
  </si>
  <si>
    <t>BD-HNA-2024-0026</t>
  </si>
  <si>
    <t>Ebco Aluminum Profile Shutter handle SH1-1935-3M-BA Brushed Aluminum</t>
  </si>
  <si>
    <t>BD-HNA-2024-0028</t>
  </si>
  <si>
    <t>Ebco Aluminum Profile Shutter handle SH1-1935-3M-CP Chrome</t>
  </si>
  <si>
    <t>HWLSSH1 1935 3M SF</t>
  </si>
  <si>
    <t>Ebco SH1-1935-3M-SF Alu. G Profile Shutter Handle (Special Finish)</t>
  </si>
  <si>
    <t>HWLSKFH I OR</t>
  </si>
  <si>
    <t>Kids Furniture Handle-Plastic KFH-I-OR</t>
  </si>
  <si>
    <t>HWLSKFH J OR</t>
  </si>
  <si>
    <t>Kids Furniture Handle-Plastic KFH-J-OR</t>
  </si>
  <si>
    <t>HWLSSH1 1935 3M AS</t>
  </si>
  <si>
    <t>Livsmart SH1-1935-3M-AS Alu.Profile Shutter Handle (Anodized Silver)</t>
  </si>
  <si>
    <t>HWHF C Profile 12637925</t>
  </si>
  <si>
    <t>Hafele - Gola Profile - C Profile - Dark Bronze - HWHF C Profile 12637925</t>
  </si>
  <si>
    <t>HWHF C Profile 12637928</t>
  </si>
  <si>
    <t>Hafele - Gola Profile - C Profile - Gold - HWHF C Profile 12637928</t>
  </si>
  <si>
    <t>HWHF C Profile 12637927</t>
  </si>
  <si>
    <t>Hafele - Gola Profile - C Profile - Graphite - HWHF C Profile 12637927</t>
  </si>
  <si>
    <t>HWHF C Profile 12637929</t>
  </si>
  <si>
    <t>Hafele - Gola Profile - C Profile - Rose Gold - HWHF C Profile 12637929</t>
  </si>
  <si>
    <t>HWHF C Profile 12637926</t>
  </si>
  <si>
    <t>Hafele - Gola Profile - C Profile - Silver - HWHF C Profile 12637926</t>
  </si>
  <si>
    <t>HWHF J Profile  12637909</t>
  </si>
  <si>
    <t>Hafele - Gola Profile - J Profile  - Dark Bronze - HWHF J Profile 12637909</t>
  </si>
  <si>
    <t>HWHF J Profile  12637904</t>
  </si>
  <si>
    <t>Hafele - Gola Profile - J Profile  - Gold - HWHF J Profile 12637904</t>
  </si>
  <si>
    <t>HWHF J Profile  12637903</t>
  </si>
  <si>
    <t>Hafele - Gola Profile - J Profile  - Graphite - HWHF J Profile 12637903</t>
  </si>
  <si>
    <t>HWHF J Profile  12637906</t>
  </si>
  <si>
    <t>Hafele - Gola Profile - J Profile  - Rose Gold - HWHF J Profile 12637906</t>
  </si>
  <si>
    <t>HWHF J Profile 12637902</t>
  </si>
  <si>
    <t>Hafele - Gola Profile - J Profile  - Silver - HWHF J Profile 12637902</t>
  </si>
  <si>
    <t>HWSS H5 WN 128mm</t>
  </si>
  <si>
    <t>Handle H5 128 mm</t>
  </si>
  <si>
    <t>Merixo</t>
  </si>
  <si>
    <t>HWSS H99 SS 4"</t>
  </si>
  <si>
    <t>Handle H-99 4 inch</t>
  </si>
  <si>
    <t>HWSS N34 SS</t>
  </si>
  <si>
    <t>HandleN-34</t>
  </si>
  <si>
    <t>HWSS N45 WT</t>
  </si>
  <si>
    <t>HandleN-45</t>
  </si>
  <si>
    <t>HWSS 347 WT 160mm</t>
  </si>
  <si>
    <t>Handles - 347 (CONCEALED)-160 mm-White/Chrome Plated</t>
  </si>
  <si>
    <t>HWSS 347 WD 160mm</t>
  </si>
  <si>
    <t>Handles - 347 (CONCEALED)-160 mm-Wood/Chrome Plated</t>
  </si>
  <si>
    <t>HWSS 347 WT 224mm</t>
  </si>
  <si>
    <t>Handles - 347 (CONCEALED)-224 mm-White/Chrome Plated</t>
  </si>
  <si>
    <t>HWSS 347 WD 224mm</t>
  </si>
  <si>
    <t>Handles - 347 (CONCEALED)-224 mm-Wood/Chrome Plated</t>
  </si>
  <si>
    <t>HWSS 347 WT 96mm</t>
  </si>
  <si>
    <t>Handles - 347 (CONCEALED)-96 mm-White/Chrome Plated</t>
  </si>
  <si>
    <t>HWSS 347 WD 96mm</t>
  </si>
  <si>
    <t>Handles - 347 (CONCEALED)-96 mm-Wood/Chrome Plated</t>
  </si>
  <si>
    <t>HWSS 354 BLK 160mm</t>
  </si>
  <si>
    <t>Handles - 354 (CONCEALED)-160 mm-Black/Stainless Steel</t>
  </si>
  <si>
    <t>HWSS 354 BLK 224mm</t>
  </si>
  <si>
    <t>Handles - 354 (CONCEALED)-224 mm-Black/Stainless Steel</t>
  </si>
  <si>
    <t>HWSS 354 BLK 96mm</t>
  </si>
  <si>
    <t>Handles - 354 (CONCEALED)-96 mm-Black/Stainless Steel</t>
  </si>
  <si>
    <t>HWSS 805 CP 160mm</t>
  </si>
  <si>
    <t>Handles - 805 (CONCEALED)-160 mm-Black/Chrome Plated</t>
  </si>
  <si>
    <t>HWSS 805 SS 160mm</t>
  </si>
  <si>
    <t>Handles - 805 (CONCEALED)-160 mm-Brown/Stainless Steel</t>
  </si>
  <si>
    <t>HWSS 805 CP 224mm</t>
  </si>
  <si>
    <t>Handles - 805 (CONCEALED)-224 mm-Black/Chrome Plated</t>
  </si>
  <si>
    <t>HWSS 805 SS 224mm</t>
  </si>
  <si>
    <t>Handles - 805 (CONCEALED)-224 mm-Brown/Stainless Steel</t>
  </si>
  <si>
    <t>HWSS 805 CP 96mm</t>
  </si>
  <si>
    <t>Handles - 805 (CONCEALED)-96 mm-Black/Chrome Plated</t>
  </si>
  <si>
    <t>HWSS 805 SS 96mm</t>
  </si>
  <si>
    <t>Handles - 805 (CONCEALED)-96 mm-Brown/Stainless Steel</t>
  </si>
  <si>
    <t>HWSS 812 AB 160mm</t>
  </si>
  <si>
    <t>Handles - 812 (CONCEALED)-160 mm-Antique</t>
  </si>
  <si>
    <t>HWSS 812 SS 160mm</t>
  </si>
  <si>
    <t>Handles - 812 (CONCEALED)-160 mm-Stainless Steel</t>
  </si>
  <si>
    <t>HWSS 812 AB 224mm</t>
  </si>
  <si>
    <t>Handles - 812 (CONCEALED)-224 mm-Antique</t>
  </si>
  <si>
    <t>HWSS 812 SS 224mm</t>
  </si>
  <si>
    <t>Handles - 812 (CONCEALED)-224 mm-Stainless Steel</t>
  </si>
  <si>
    <t>HWSS 812 AB 288mm</t>
  </si>
  <si>
    <t>Handles - 812 (CONCEALED)-288 mm-Antique</t>
  </si>
  <si>
    <t>HWSS 812 SS 288mm</t>
  </si>
  <si>
    <t>Handles - 812 (CONCEALED)-288 mm-Stainless Steel</t>
  </si>
  <si>
    <t>HWSS 812 AB 96mm</t>
  </si>
  <si>
    <t>Handles - 812 (CONCEALED)-96 mm-Antique</t>
  </si>
  <si>
    <t>HWSS 812 SS 96mm</t>
  </si>
  <si>
    <t>Handles - 812 (CONCEALED)-96 mm-Stainless Steel</t>
  </si>
  <si>
    <t>HWSS N3 AB</t>
  </si>
  <si>
    <t>Merixo AB N3 Knob Handle</t>
  </si>
  <si>
    <t>HWSS N38 CP</t>
  </si>
  <si>
    <t>Merixo CP N38 Knob Handle</t>
  </si>
  <si>
    <t>HWSS F37 SS</t>
  </si>
  <si>
    <t>Merixo SS F37 Folding Handle</t>
  </si>
  <si>
    <t>HWSS N74 SS</t>
  </si>
  <si>
    <t>Merixo SS N74 Knob Handle</t>
  </si>
  <si>
    <t>BD-HND-2023-0025</t>
  </si>
  <si>
    <t>Spacewood - Handle EP 01 - Aluminium</t>
  </si>
  <si>
    <t>BD-HND-2023-0027</t>
  </si>
  <si>
    <t>Spacewood - Handle EP 01 - Black Powder Coated</t>
  </si>
  <si>
    <t>BD-HND-2023-0026</t>
  </si>
  <si>
    <t>Spacewood - Handle EP 01 - Chrome</t>
  </si>
  <si>
    <t>BD-HND-2023-0007</t>
  </si>
  <si>
    <t>Spacewood - Handle H33 - Anodized Black - 297mm</t>
  </si>
  <si>
    <t>BD-HND-2023-0008</t>
  </si>
  <si>
    <t>Spacewood - Handle H33 - Anodized Black - 447mm</t>
  </si>
  <si>
    <t>BD-HND-2023-0009</t>
  </si>
  <si>
    <t>Spacewood - Handle H33 - Anodized Black - 497mm</t>
  </si>
  <si>
    <t>BD-HND-2023-0010</t>
  </si>
  <si>
    <t>Spacewood - Handle H33 - Anodized Black - 597mm</t>
  </si>
  <si>
    <t>BD-HND-2023-0011</t>
  </si>
  <si>
    <t>Spacewood - Handle H33 - Anodized Black - 797mm</t>
  </si>
  <si>
    <t>BD-HND-2023-0012</t>
  </si>
  <si>
    <t>Spacewood - Handle H33 - Anodized Black - 897mm</t>
  </si>
  <si>
    <t>BD-HND-2023-0001</t>
  </si>
  <si>
    <t>Spacewood - Handle H33 - Chrome - 297mm</t>
  </si>
  <si>
    <t>BD-HND-2023-0002</t>
  </si>
  <si>
    <t>Spacewood - Handle H33 - Chrome - 447mm</t>
  </si>
  <si>
    <t>BD-HND-2023-0003</t>
  </si>
  <si>
    <t>Spacewood - Handle H33 - Chrome - 497mm</t>
  </si>
  <si>
    <t>BD-HND-2023-0004</t>
  </si>
  <si>
    <t>Spacewood - Handle H33 - Chrome - 597mm</t>
  </si>
  <si>
    <t>BD-HND-2023-0005</t>
  </si>
  <si>
    <t>Spacewood - Handle H33 - Chrome - 797mm</t>
  </si>
  <si>
    <t>BD-HND-2023-0006</t>
  </si>
  <si>
    <t>Spacewood - Handle H33 - Chrome - 897mm</t>
  </si>
  <si>
    <t>BD-HNA-2023-0245</t>
  </si>
  <si>
    <t>Spacewood - Handle H33 Anodized Black 197mm</t>
  </si>
  <si>
    <t>BD-HNA-2023-0244</t>
  </si>
  <si>
    <t>Spacewood - Handle H33 Chrome 197mm</t>
  </si>
  <si>
    <t>BD-HND-2023-0019</t>
  </si>
  <si>
    <t>Spacewood - Handle H380 - Anodized Black - 297mm</t>
  </si>
  <si>
    <t>BD-HND-2023-0020</t>
  </si>
  <si>
    <t>Spacewood - Handle H380 - Anodized Black - 447mm</t>
  </si>
  <si>
    <t>BD-HND-2023-0021</t>
  </si>
  <si>
    <t>Spacewood - Handle H380 - Anodized Black - 497mm</t>
  </si>
  <si>
    <t>BD-HND-2023-0022</t>
  </si>
  <si>
    <t>Spacewood - Handle H380 - Anodized Black - 597mm</t>
  </si>
  <si>
    <t>BD-HND-2023-0023</t>
  </si>
  <si>
    <t>Spacewood - Handle H380 - Anodized Black - 797mm</t>
  </si>
  <si>
    <t>BD-HND-2023-0024</t>
  </si>
  <si>
    <t>Spacewood - Handle H380 - Anodized Black - 897mm</t>
  </si>
  <si>
    <t>BD-HND-2023-0013</t>
  </si>
  <si>
    <t>Spacewood - Handle H380 - Stainless Steel - 297mm</t>
  </si>
  <si>
    <t>BD-HND-2023-0014</t>
  </si>
  <si>
    <t>Spacewood - Handle H380 - Stainless Steel - 447mm</t>
  </si>
  <si>
    <t>BD-HND-2023-0015</t>
  </si>
  <si>
    <t>Spacewood - Handle H380 - Stainless Steel - 497mm</t>
  </si>
  <si>
    <t>BD-HND-2023-0016</t>
  </si>
  <si>
    <t>Spacewood - Handle H380 - Stainless Steel - 597mm</t>
  </si>
  <si>
    <t>BD-HND-2023-0017</t>
  </si>
  <si>
    <t>Spacewood - Handle H380 - Stainless Steel - 797mm</t>
  </si>
  <si>
    <t>BD-HND-2023-0018</t>
  </si>
  <si>
    <t>Spacewood - Handle H380 - Stainless Steel - 897mm</t>
  </si>
  <si>
    <t>BD-HNA-2023-0247</t>
  </si>
  <si>
    <t>Spacewood - Handle H380 Anodized Black 197mm</t>
  </si>
  <si>
    <t>BD-HNA-2023-0246</t>
  </si>
  <si>
    <t>Spacewood - Handle H380 Stainless Steel 197mm</t>
  </si>
  <si>
    <t>BD-HND-2023-0151</t>
  </si>
  <si>
    <t>Bonito Designer Handles - Concealed Handles Kadi-1 Alloy/Black</t>
  </si>
  <si>
    <t>SUJIN</t>
  </si>
  <si>
    <t>BD-HND-2023-0150</t>
  </si>
  <si>
    <t>Bonito Designer Handles - Concealed Handles Kadi-1 B/A</t>
  </si>
  <si>
    <t>BD-HND-2023-0147</t>
  </si>
  <si>
    <t>Bonito Designer Handles - Concealed Handles Kadi-1 Black/TT</t>
  </si>
  <si>
    <t>BD-HND-2023-0149</t>
  </si>
  <si>
    <t>Bonito Designer Handles - Concealed Handles Kadi-1 Cubic/CP</t>
  </si>
  <si>
    <t>BD-HND-2023-0152</t>
  </si>
  <si>
    <t>Bonito Designer Handles - Concealed Handles Kadi-1 Matt/Black</t>
  </si>
  <si>
    <t>BD-HND-2023-0148</t>
  </si>
  <si>
    <t>Bonito Designer Handles - Concealed Handles Kadi-1 Rose/TT</t>
  </si>
  <si>
    <t>BD-HND-2023-0146</t>
  </si>
  <si>
    <t>Bonito Designer Handles - Concealed Handles Kadi-1 Satin/CP</t>
  </si>
  <si>
    <t>BD-HND-2023-0158</t>
  </si>
  <si>
    <t>Bonito Designer Handles - Concealed Handles Kadi-3 Alloy/Black</t>
  </si>
  <si>
    <t>BD-HND-2023-0157</t>
  </si>
  <si>
    <t>Bonito Designer Handles - Concealed Handles Kadi-3 B/A</t>
  </si>
  <si>
    <t>BD-HND-2023-0154</t>
  </si>
  <si>
    <t>Bonito Designer Handles - Concealed Handles Kadi-3 Black/TT</t>
  </si>
  <si>
    <t>BD-HND-2023-0156</t>
  </si>
  <si>
    <t>Bonito Designer Handles - Concealed Handles Kadi-3 Cubic/CP</t>
  </si>
  <si>
    <t>BD-HND-2023-0159</t>
  </si>
  <si>
    <t>Bonito Designer Handles - Concealed Handles Kadi-3 Matt/Black</t>
  </si>
  <si>
    <t>BD-HND-2023-0155</t>
  </si>
  <si>
    <t>Bonito Designer Handles - Concealed Handles Kadi-3 Rose/TT</t>
  </si>
  <si>
    <t>BD-HND-2023-0153</t>
  </si>
  <si>
    <t>Bonito Designer Handles - Concealed Handles Kadi-3 Satin/CP</t>
  </si>
  <si>
    <t>BD-HND-2023-0165</t>
  </si>
  <si>
    <t>Bonito Designer Handles - Concealed Handles Kadi-4 Alloy/Black</t>
  </si>
  <si>
    <t>BD-HND-2023-0164</t>
  </si>
  <si>
    <t>Bonito Designer Handles - Concealed Handles Kadi-4 B/A</t>
  </si>
  <si>
    <t>BD-HND-2023-0162</t>
  </si>
  <si>
    <t>Bonito Designer Handles - Concealed Handles Kadi-4 Black/TT</t>
  </si>
  <si>
    <t>BD-HND-2023-0166</t>
  </si>
  <si>
    <t>Bonito Designer Handles - Concealed Handles Kadi-4 Matt/Black</t>
  </si>
  <si>
    <t>BD-HND-2023-0163</t>
  </si>
  <si>
    <t>Bonito Designer Handles - Concealed Handles Kadi-4 Rose/TT</t>
  </si>
  <si>
    <t>BD-HND-2023-0161</t>
  </si>
  <si>
    <t>Bonito Designer Handles - Concealed Handles Kadi-4 Satin/CP</t>
  </si>
  <si>
    <t>HWSUHCSI203BA160</t>
  </si>
  <si>
    <t>Sujin Antique Brass B/A SI-203 Cabinet Handle 160mm</t>
  </si>
  <si>
    <t>HWSUHCSI203BA224</t>
  </si>
  <si>
    <t>Sujin Antique Brass B/A SI-203 Cabinet Handle 224mm</t>
  </si>
  <si>
    <t>HWSUHCSI203BA288</t>
  </si>
  <si>
    <t>Sujin Antique Brass B/A SI-203 Cabinet Handle 288mm</t>
  </si>
  <si>
    <t>HWSUHCSI203BA96</t>
  </si>
  <si>
    <t>Sujin Antique Brass B/A SI-203 Cabinet Handle 96mm</t>
  </si>
  <si>
    <t>HWSUHC1ASS160</t>
  </si>
  <si>
    <t>Sujin Antique Stainless Steel ASS C-1 Concealed Handle 160mm</t>
  </si>
  <si>
    <t>HWSUHC1ASS224</t>
  </si>
  <si>
    <t>Sujin Antique Stainless Steel ASS C-1 Concealed Handle 224mm</t>
  </si>
  <si>
    <t>HWSUHC1ASS288</t>
  </si>
  <si>
    <t>Sujin Antique Stainless Steel ASS C-1 Concealed Handle 288mm</t>
  </si>
  <si>
    <t>HWSUHC1ASS448</t>
  </si>
  <si>
    <t>Sujin Antique Stainless Steel ASS C-1 Concealed Handle 448mm</t>
  </si>
  <si>
    <t>HWSUHC1ASS576</t>
  </si>
  <si>
    <t>Sujin Antique Stainless Steel ASS C-1 Concealed Handle 576mm</t>
  </si>
  <si>
    <t>HWSUHC1ASS96</t>
  </si>
  <si>
    <t>Sujin Antique Stainless Steel ASS C-1 Concealed Handle 96mm</t>
  </si>
  <si>
    <t>HWSUHCSI072ASS160</t>
  </si>
  <si>
    <t>Sujin Antique Stainless Steel ASS SI-072 Cabinet Handle 160mm</t>
  </si>
  <si>
    <t>HWSUHCSI072ASS224</t>
  </si>
  <si>
    <t>Sujin Antique Stainless Steel ASS SI-072 Cabinet Handle 224mm</t>
  </si>
  <si>
    <t>HWSUHCSI072ASS288</t>
  </si>
  <si>
    <t>Sujin Antique Stainless Steel ASS SI-072 Cabinet Handle 288mm</t>
  </si>
  <si>
    <t>HWSUHCSI072ASS448</t>
  </si>
  <si>
    <t>Sujin Antique Stainless Steel ASS SI-072 Cabinet Handle 448mm</t>
  </si>
  <si>
    <t>HWSUHCSI072ASS576</t>
  </si>
  <si>
    <t>Sujin Antique Stainless Steel ASS SI-072 Cabinet Handle 576mm</t>
  </si>
  <si>
    <t>HWSUHCSI072ASS896</t>
  </si>
  <si>
    <t>Sujin Antique Stainless Steel ASS SI-072 Cabinet Handle 896mm</t>
  </si>
  <si>
    <t>HWSUHCSI072ASS96</t>
  </si>
  <si>
    <t>Sujin Antique Stainless Steel ASS SI-072 Cabinet Handle 96mm</t>
  </si>
  <si>
    <t>HWSUHCSGH1019ASS200</t>
  </si>
  <si>
    <t>Sujin ASS SGH-1019 Cabinet Handle 200mm</t>
  </si>
  <si>
    <t>HWSUHCSGH1019ASS300</t>
  </si>
  <si>
    <t>Sujin ASS SGH-1019 Cabinet Handle 300mm</t>
  </si>
  <si>
    <t>HWSUHCSGH1019ASS450</t>
  </si>
  <si>
    <t>Sujin ASS SGH-1019 Cabinet Handle 450mm</t>
  </si>
  <si>
    <t>HWSUHCSGH1019ASS600</t>
  </si>
  <si>
    <t>Sujin ASS SGH-1019 Cabinet Handle 600mm</t>
  </si>
  <si>
    <t>HWSUHP1BL197</t>
  </si>
  <si>
    <t>Sujin Black BL P-1 Profile Handle 197mm</t>
  </si>
  <si>
    <t>HWSUHP1BL247</t>
  </si>
  <si>
    <t>Sujin Black BL P-1 Profile Handle 247mm</t>
  </si>
  <si>
    <t>HWSUHP1BL297</t>
  </si>
  <si>
    <t>Sujin Black BL P-1 Profile Handle 297mm</t>
  </si>
  <si>
    <t>HWSUHP1BL347</t>
  </si>
  <si>
    <t>Sujin Black BL P-1 Profile Handle 347mm</t>
  </si>
  <si>
    <t>HWSUHP1BL397</t>
  </si>
  <si>
    <t>Sujin Black BL P-1 Profile Handle 397mm</t>
  </si>
  <si>
    <t>HWSUHP1BL447</t>
  </si>
  <si>
    <t>Sujin Black BL P-1 Profile Handle 447mm</t>
  </si>
  <si>
    <t>HWSUHP1BL497</t>
  </si>
  <si>
    <t>Sujin Black BL P-1 Profile Handle 497mm</t>
  </si>
  <si>
    <t>HWSUHP1BL547</t>
  </si>
  <si>
    <t>Sujin Black BL P-1 Profile Handle 547mm</t>
  </si>
  <si>
    <t>HWSUHP1BL597</t>
  </si>
  <si>
    <t>Sujin Black BL P-1 Profile Handle 597mm</t>
  </si>
  <si>
    <t>HWSUHP1BL897</t>
  </si>
  <si>
    <t>Sujin Black BL P-1 Profile Handle 897mm</t>
  </si>
  <si>
    <t>HWSUHCSI201PD160</t>
  </si>
  <si>
    <t>Sujin PVD Gold PD SI-201 Cabinet Handle 160mm</t>
  </si>
  <si>
    <t>HWSUHCSI201PD224</t>
  </si>
  <si>
    <t>Sujin PVD Gold PD SI-201 Cabinet Handle 224mm</t>
  </si>
  <si>
    <t>HWSUHCSI201PD288</t>
  </si>
  <si>
    <t>Sujin PVD Gold PD SI-201 Cabinet Handle 288mm</t>
  </si>
  <si>
    <t>HWSUHCSI201PD96</t>
  </si>
  <si>
    <t>Sujin PVD Gold PD SI-201 Cabinet Handle 96mm</t>
  </si>
  <si>
    <t>HWSUHP2BL197</t>
  </si>
  <si>
    <t>Sujin Stainless Black BL P-2 Profile Handle 197mm</t>
  </si>
  <si>
    <t>HWSUHP2BL247</t>
  </si>
  <si>
    <t>Sujin Stainless Black BL P-2 Profile Handle 247mm</t>
  </si>
  <si>
    <t>HWSUHP2BL297</t>
  </si>
  <si>
    <t>Sujin Stainless Black BL P-2 Profile Handle 297mm</t>
  </si>
  <si>
    <t>HWSUHP2BL347</t>
  </si>
  <si>
    <t>Sujin Stainless Black BL P-2 Profile Handle 347mm</t>
  </si>
  <si>
    <t>HWSUHP2BL397</t>
  </si>
  <si>
    <t>Sujin Stainless Black BL P-2 Profile Handle 397mm</t>
  </si>
  <si>
    <t>HWSUHP2BL447</t>
  </si>
  <si>
    <t>Sujin Stainless Black BL P-2 Profile Handle 447mm</t>
  </si>
  <si>
    <t>HWSUHP2BL497</t>
  </si>
  <si>
    <t>Sujin Stainless Black BL P-2 Profile Handle 497mm</t>
  </si>
  <si>
    <t>HWSUHP2BL547</t>
  </si>
  <si>
    <t>Sujin Stainless Black BL P-2 Profile Handle 547mm</t>
  </si>
  <si>
    <t>HWSUHP2BL597</t>
  </si>
  <si>
    <t>Sujin Stainless Black BL P-2 Profile Handle 597mm</t>
  </si>
  <si>
    <t>HWSUHP2BL897</t>
  </si>
  <si>
    <t>Sujin Stainless Black BL P-2 Profile Handle 897mm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</si>
</sst>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8"/>
      <color rgb="FF833C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3"/>
      <color rgb="FFFFFFFF"/>
      <name val="Arial"/>
      <family val="2"/>
    </font>
    <font>
      <i/>
      <sz val="9"/>
      <color rgb="FF833C00"/>
      <name val="Arial"/>
      <family val="2"/>
    </font>
    <font>
      <sz val="9"/>
      <color rgb="FF000000"/>
      <name val="Arial"/>
      <family val="2"/>
    </font>
    <font>
      <sz val="9"/>
      <color rgb="FF833C00"/>
      <name val="Arial"/>
      <family val="2"/>
    </font>
    <font>
      <sz val="9"/>
      <name val="Arial"/>
      <family val="2"/>
    </font>
    <font>
      <sz val="8"/>
      <color rgb="FF833C00"/>
      <name val="Arial"/>
      <family val="2"/>
    </font>
    <font>
      <sz val="8"/>
      <color rgb="FF00000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5C2751"/>
      </patternFill>
    </fill>
    <fill>
      <patternFill patternType="solid">
        <fgColor rgb="FF1D6160"/>
      </patternFill>
    </fill>
    <fill>
      <patternFill patternType="solid">
        <fgColor rgb="FFFFFFFF"/>
      </patternFill>
    </fill>
    <fill>
      <patternFill patternType="solid">
        <fgColor rgb="FFDAE3F3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8D0F0"/>
      </patternFill>
    </fill>
    <fill>
      <patternFill patternType="solid">
        <fgColor rgb="FFD9F0EF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DAE3F3"/>
        <bgColor rgb="FFD9F0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C6500"/>
      </left>
      <right style="medium">
        <color rgb="FF9C65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center" vertical="center"/>
    </xf>
    <xf numFmtId="9" fontId="13" fillId="9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9" fontId="13" fillId="11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9" fontId="13" fillId="3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9" fontId="13" fillId="12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9" fontId="13" fillId="1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indent="1"/>
    </xf>
    <xf numFmtId="0" fontId="11" fillId="15" borderId="1" xfId="0" applyFont="1" applyFill="1" applyBorder="1" applyAlignment="1">
      <alignment horizontal="center" vertical="center"/>
    </xf>
    <xf numFmtId="9" fontId="13" fillId="15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7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indent="1"/>
    </xf>
    <xf numFmtId="0" fontId="10" fillId="3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indent="1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663"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33C00"/>
  </sheetPr>
  <dimension ref="B1:V2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4" sqref="C14"/>
    </sheetView>
  </sheetViews>
  <sheetFormatPr defaultRowHeight="14.4" x14ac:dyDescent="0.3"/>
  <cols>
    <col min="1" max="1" width="3" customWidth="1"/>
    <col min="2" max="2" width="30" customWidth="1"/>
    <col min="3" max="23" width="13" customWidth="1"/>
  </cols>
  <sheetData>
    <row r="1" spans="2:22" ht="34.200000000000003" customHeight="1" x14ac:dyDescent="0.3">
      <c r="B1" s="65" t="s">
        <v>605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2:22" ht="15" customHeight="1" x14ac:dyDescent="0.3">
      <c r="B2" s="59" t="s">
        <v>606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2:22" ht="7.95" customHeight="1" x14ac:dyDescent="0.3"/>
    <row r="4" spans="2:22" ht="18" customHeight="1" x14ac:dyDescent="0.3">
      <c r="B4" s="1"/>
      <c r="C4" s="61" t="s">
        <v>607</v>
      </c>
      <c r="D4" s="49"/>
      <c r="E4" s="49"/>
      <c r="F4" s="50"/>
      <c r="G4" s="63" t="s">
        <v>608</v>
      </c>
      <c r="H4" s="49"/>
      <c r="I4" s="49"/>
      <c r="J4" s="50"/>
      <c r="K4" s="56" t="s">
        <v>609</v>
      </c>
      <c r="L4" s="49"/>
      <c r="M4" s="49"/>
      <c r="N4" s="50"/>
      <c r="O4" s="57" t="s">
        <v>610</v>
      </c>
      <c r="P4" s="49"/>
      <c r="Q4" s="49"/>
      <c r="R4" s="50"/>
      <c r="S4" s="60" t="s">
        <v>611</v>
      </c>
      <c r="T4" s="49"/>
      <c r="U4" s="49"/>
      <c r="V4" s="50"/>
    </row>
    <row r="5" spans="2:22" ht="31.95" customHeight="1" x14ac:dyDescent="0.3">
      <c r="B5" s="2" t="s">
        <v>612</v>
      </c>
      <c r="C5" s="3" t="s">
        <v>613</v>
      </c>
      <c r="D5" s="3" t="s">
        <v>614</v>
      </c>
      <c r="E5" s="3" t="s">
        <v>615</v>
      </c>
      <c r="F5" s="3" t="s">
        <v>616</v>
      </c>
      <c r="G5" s="4" t="s">
        <v>613</v>
      </c>
      <c r="H5" s="4" t="s">
        <v>614</v>
      </c>
      <c r="I5" s="4" t="s">
        <v>615</v>
      </c>
      <c r="J5" s="4" t="s">
        <v>616</v>
      </c>
      <c r="K5" s="5" t="s">
        <v>613</v>
      </c>
      <c r="L5" s="5" t="s">
        <v>614</v>
      </c>
      <c r="M5" s="5" t="s">
        <v>615</v>
      </c>
      <c r="N5" s="5" t="s">
        <v>616</v>
      </c>
      <c r="O5" s="6" t="s">
        <v>613</v>
      </c>
      <c r="P5" s="6" t="s">
        <v>614</v>
      </c>
      <c r="Q5" s="6" t="s">
        <v>615</v>
      </c>
      <c r="R5" s="6" t="s">
        <v>616</v>
      </c>
      <c r="S5" s="7" t="s">
        <v>613</v>
      </c>
      <c r="T5" s="7" t="s">
        <v>614</v>
      </c>
      <c r="U5" s="7" t="s">
        <v>615</v>
      </c>
      <c r="V5" s="7" t="s">
        <v>616</v>
      </c>
    </row>
    <row r="6" spans="2:22" ht="19.95" customHeight="1" x14ac:dyDescent="0.3">
      <c r="B6" s="8" t="s">
        <v>617</v>
      </c>
      <c r="C6" s="9">
        <v>292</v>
      </c>
      <c r="D6" s="9">
        <f>COUNTIF(Laminates!M5:M288,"✓ OK")</f>
        <v>256</v>
      </c>
      <c r="E6" s="9">
        <f>COUNTIF(Laminates!M5:M288,"⚠ Check")+COUNTIF(Laminates!M5:M288,"⚠ Missing")+COUNTIF(Laminates!M5:M288,"❌ Disc")</f>
        <v>28</v>
      </c>
      <c r="F6" s="10">
        <f>IFERROR(COUNTIF(Laminates!E5:E288,"&lt;&gt;"&amp;"")/292,"—")</f>
        <v>0.9726027397260274</v>
      </c>
      <c r="G6" s="11">
        <v>292</v>
      </c>
      <c r="H6" s="11">
        <f>COUNTIF(Laminates!V5:V288,"✓ OK")</f>
        <v>212</v>
      </c>
      <c r="I6" s="11">
        <f>COUNTIF(Laminates!V5:V288,"⚠ Check")+COUNTIF(Laminates!V5:V288,"⚠ Missing")+COUNTIF(Laminates!V5:V288,"❌ Disc")</f>
        <v>72</v>
      </c>
      <c r="J6" s="12">
        <f>IFERROR(COUNTIF(Laminates!N5:N288,"&lt;&gt;"&amp;"")/292,"—")</f>
        <v>0.9726027397260274</v>
      </c>
      <c r="K6" s="13">
        <v>292</v>
      </c>
      <c r="L6" s="13">
        <f>COUNTIF(Laminates!AE5:AE288,"✓ OK")</f>
        <v>216</v>
      </c>
      <c r="M6" s="13">
        <f>COUNTIF(Laminates!AE5:AE288,"⚠ Check")+COUNTIF(Laminates!AE5:AE288,"⚠ Missing")+COUNTIF(Laminates!AE5:AE288,"❌ Disc")</f>
        <v>68</v>
      </c>
      <c r="N6" s="14">
        <f>IFERROR(COUNTIF(Laminates!W5:W288,"&lt;&gt;"&amp;"")/292,"—")</f>
        <v>0.9726027397260274</v>
      </c>
      <c r="O6" s="15">
        <v>292</v>
      </c>
      <c r="P6" s="15">
        <f>COUNTIF(Laminates!AN5:AN288,"✓ OK")</f>
        <v>197</v>
      </c>
      <c r="Q6" s="15">
        <f>COUNTIF(Laminates!AN5:AN288,"⚠ Check")+COUNTIF(Laminates!AN5:AN288,"⚠ Missing")+COUNTIF(Laminates!AN5:AN288,"❌ Disc")</f>
        <v>87</v>
      </c>
      <c r="R6" s="16">
        <f>IFERROR(COUNTIF(Laminates!AF5:AF288,"&lt;&gt;"&amp;"")/292,"—")</f>
        <v>0.9726027397260274</v>
      </c>
      <c r="S6" s="17">
        <v>292</v>
      </c>
      <c r="T6" s="17">
        <f>COUNTIF(Laminates!AW5:AW288,"✓ OK")</f>
        <v>0</v>
      </c>
      <c r="U6" s="17">
        <f>COUNTIF(Laminates!AW5:AW288,"⚠ Check")+COUNTIF(Laminates!AW5:AW288,"⚠ Missing")+COUNTIF(Laminates!AW5:AW288,"❌ Disc")</f>
        <v>0</v>
      </c>
      <c r="V6" s="18">
        <f>IFERROR(COUNTIF(Laminates!AO5:AO288,"&lt;&gt;"&amp;"")/292,"—")</f>
        <v>0</v>
      </c>
    </row>
    <row r="7" spans="2:22" ht="19.95" customHeight="1" x14ac:dyDescent="0.3">
      <c r="B7" s="19" t="s">
        <v>618</v>
      </c>
      <c r="C7" s="20">
        <v>63</v>
      </c>
      <c r="D7" s="20">
        <f>COUNTIF('Acrylic n Crystal Acrylic'!M5:M67,"✓ OK")</f>
        <v>63</v>
      </c>
      <c r="E7" s="20">
        <f>COUNTIF('Acrylic n Crystal Acrylic'!M5:M67,"⚠ Check")+COUNTIF('Acrylic n Crystal Acrylic'!M5:M67,"⚠ Missing")+COUNTIF('Acrylic n Crystal Acrylic'!M5:M67,"❌ Disc")</f>
        <v>0</v>
      </c>
      <c r="F7" s="21">
        <f>IFERROR(COUNTIF('Acrylic n Crystal Acrylic'!E5:E67,"&lt;&gt;"&amp;"")/63,"—")</f>
        <v>1</v>
      </c>
      <c r="G7" s="20">
        <v>63</v>
      </c>
      <c r="H7" s="20">
        <f>COUNTIF('Acrylic n Crystal Acrylic'!V5:V67,"✓ OK")</f>
        <v>63</v>
      </c>
      <c r="I7" s="20">
        <f>COUNTIF('Acrylic n Crystal Acrylic'!V5:V67,"⚠ Check")+COUNTIF('Acrylic n Crystal Acrylic'!V5:V67,"⚠ Missing")+COUNTIF('Acrylic n Crystal Acrylic'!V5:V67,"❌ Disc")</f>
        <v>0</v>
      </c>
      <c r="J7" s="21">
        <f>IFERROR(COUNTIF('Acrylic n Crystal Acrylic'!N5:N67,"&lt;&gt;"&amp;"")/63,"—")</f>
        <v>1</v>
      </c>
      <c r="K7" s="20">
        <v>63</v>
      </c>
      <c r="L7" s="20">
        <f>COUNTIF('Acrylic n Crystal Acrylic'!AE5:AE67,"✓ OK")</f>
        <v>63</v>
      </c>
      <c r="M7" s="20">
        <f>COUNTIF('Acrylic n Crystal Acrylic'!AE5:AE67,"⚠ Check")+COUNTIF('Acrylic n Crystal Acrylic'!AE5:AE67,"⚠ Missing")+COUNTIF('Acrylic n Crystal Acrylic'!AE5:AE67,"❌ Disc")</f>
        <v>0</v>
      </c>
      <c r="N7" s="21">
        <f>IFERROR(COUNTIF('Acrylic n Crystal Acrylic'!W5:W67,"&lt;&gt;"&amp;"")/63,"—")</f>
        <v>1</v>
      </c>
      <c r="O7" s="20">
        <v>63</v>
      </c>
      <c r="P7" s="20">
        <f>COUNTIF('Acrylic n Crystal Acrylic'!AN5:AN67,"✓ OK")</f>
        <v>63</v>
      </c>
      <c r="Q7" s="20">
        <f>COUNTIF('Acrylic n Crystal Acrylic'!AN5:AN67,"⚠ Check")+COUNTIF('Acrylic n Crystal Acrylic'!AN5:AN67,"⚠ Missing")+COUNTIF('Acrylic n Crystal Acrylic'!AN5:AN67,"❌ Disc")</f>
        <v>0</v>
      </c>
      <c r="R7" s="21">
        <f>IFERROR(COUNTIF('Acrylic n Crystal Acrylic'!AF5:AF67,"&lt;&gt;"&amp;"")/63,"—")</f>
        <v>1</v>
      </c>
      <c r="S7" s="20">
        <v>63</v>
      </c>
      <c r="T7" s="20">
        <f>COUNTIF('Acrylic n Crystal Acrylic'!AW5:AW67,"✓ OK")</f>
        <v>0</v>
      </c>
      <c r="U7" s="20">
        <f>COUNTIF('Acrylic n Crystal Acrylic'!AW5:AW67,"⚠ Check")+COUNTIF('Acrylic n Crystal Acrylic'!AW5:AW67,"⚠ Missing")+COUNTIF('Acrylic n Crystal Acrylic'!AW5:AW67,"❌ Disc")</f>
        <v>0</v>
      </c>
      <c r="V7" s="21">
        <f>IFERROR(COUNTIF('Acrylic n Crystal Acrylic'!AO5:AO67,"&lt;&gt;"&amp;"")/63,"—")</f>
        <v>0</v>
      </c>
    </row>
    <row r="8" spans="2:22" ht="19.95" customHeight="1" x14ac:dyDescent="0.3">
      <c r="B8" s="8" t="s">
        <v>619</v>
      </c>
      <c r="C8" s="9">
        <v>81</v>
      </c>
      <c r="D8" s="9">
        <f>COUNTIF('PU and Membrane'!M5:M85,"✓ OK")</f>
        <v>79</v>
      </c>
      <c r="E8" s="9">
        <f>COUNTIF('PU and Membrane'!M5:M85,"⚠ Check")+COUNTIF('PU and Membrane'!M5:M85,"⚠ Missing")+COUNTIF('PU and Membrane'!M5:M85,"❌ Disc")</f>
        <v>2</v>
      </c>
      <c r="F8" s="10">
        <f>IFERROR(COUNTIF('PU and Membrane'!E5:E85,"&lt;&gt;"&amp;"")/81,"—")</f>
        <v>1</v>
      </c>
      <c r="G8" s="11">
        <v>81</v>
      </c>
      <c r="H8" s="11">
        <f>COUNTIF('PU and Membrane'!V5:V85,"✓ OK")</f>
        <v>79</v>
      </c>
      <c r="I8" s="11">
        <f>COUNTIF('PU and Membrane'!V5:V85,"⚠ Check")+COUNTIF('PU and Membrane'!V5:V85,"⚠ Missing")+COUNTIF('PU and Membrane'!V5:V85,"❌ Disc")</f>
        <v>2</v>
      </c>
      <c r="J8" s="12">
        <f>IFERROR(COUNTIF('PU and Membrane'!N5:N85,"&lt;&gt;"&amp;"")/81,"—")</f>
        <v>1</v>
      </c>
      <c r="K8" s="13">
        <v>81</v>
      </c>
      <c r="L8" s="13">
        <f>COUNTIF('PU and Membrane'!AE5:AE85,"✓ OK")</f>
        <v>79</v>
      </c>
      <c r="M8" s="13">
        <f>COUNTIF('PU and Membrane'!AE5:AE85,"⚠ Check")+COUNTIF('PU and Membrane'!AE5:AE85,"⚠ Missing")+COUNTIF('PU and Membrane'!AE5:AE85,"❌ Disc")</f>
        <v>2</v>
      </c>
      <c r="N8" s="14">
        <f>IFERROR(COUNTIF('PU and Membrane'!W5:W85,"&lt;&gt;"&amp;"")/81,"—")</f>
        <v>1</v>
      </c>
      <c r="O8" s="15">
        <v>81</v>
      </c>
      <c r="P8" s="15">
        <f>COUNTIF('PU and Membrane'!AN5:AN85,"✓ OK")</f>
        <v>79</v>
      </c>
      <c r="Q8" s="15">
        <f>COUNTIF('PU and Membrane'!AN5:AN85,"⚠ Check")+COUNTIF('PU and Membrane'!AN5:AN85,"⚠ Missing")+COUNTIF('PU and Membrane'!AN5:AN85,"❌ Disc")</f>
        <v>2</v>
      </c>
      <c r="R8" s="16">
        <f>IFERROR(COUNTIF('PU and Membrane'!AF5:AF85,"&lt;&gt;"&amp;"")/81,"—")</f>
        <v>1</v>
      </c>
      <c r="S8" s="17">
        <v>81</v>
      </c>
      <c r="T8" s="17">
        <f>COUNTIF('PU and Membrane'!AW5:AW85,"✓ OK")</f>
        <v>0</v>
      </c>
      <c r="U8" s="17">
        <f>COUNTIF('PU and Membrane'!AW5:AW85,"⚠ Check")+COUNTIF('PU and Membrane'!AW5:AW85,"⚠ Missing")+COUNTIF('PU and Membrane'!AW5:AW85,"❌ Disc")</f>
        <v>0</v>
      </c>
      <c r="V8" s="18">
        <f>IFERROR(COUNTIF('PU and Membrane'!AO5:AO85,"&lt;&gt;"&amp;"")/81,"—")</f>
        <v>0</v>
      </c>
    </row>
    <row r="9" spans="2:22" ht="19.95" customHeight="1" x14ac:dyDescent="0.3">
      <c r="B9" s="19" t="s">
        <v>620</v>
      </c>
      <c r="C9" s="20">
        <v>164</v>
      </c>
      <c r="D9" s="20">
        <f>COUNTIF(Rafters!M5:M168,"✓ OK")</f>
        <v>150</v>
      </c>
      <c r="E9" s="20">
        <f>COUNTIF(Rafters!M5:M168,"⚠ Check")+COUNTIF(Rafters!M5:M168,"⚠ Missing")+COUNTIF(Rafters!M5:M168,"❌ Disc")</f>
        <v>14</v>
      </c>
      <c r="F9" s="21">
        <f>IFERROR(COUNTIF(Rafters!E5:E168,"&lt;&gt;"&amp;"")/164,"—")</f>
        <v>1</v>
      </c>
      <c r="G9" s="20">
        <v>164</v>
      </c>
      <c r="H9" s="20">
        <f>COUNTIF(Rafters!V5:V168,"✓ OK")</f>
        <v>144</v>
      </c>
      <c r="I9" s="20">
        <f>COUNTIF(Rafters!V5:V168,"⚠ Check")+COUNTIF(Rafters!V5:V168,"⚠ Missing")+COUNTIF(Rafters!V5:V168,"❌ Disc")</f>
        <v>20</v>
      </c>
      <c r="J9" s="21">
        <f>IFERROR(COUNTIF(Rafters!N5:N168,"&lt;&gt;"&amp;"")/164,"—")</f>
        <v>1</v>
      </c>
      <c r="K9" s="20">
        <v>164</v>
      </c>
      <c r="L9" s="20">
        <f>COUNTIF(Rafters!AE5:AE168,"✓ OK")</f>
        <v>144</v>
      </c>
      <c r="M9" s="20">
        <f>COUNTIF(Rafters!AE5:AE168,"⚠ Check")+COUNTIF(Rafters!AE5:AE168,"⚠ Missing")+COUNTIF(Rafters!AE5:AE168,"❌ Disc")</f>
        <v>20</v>
      </c>
      <c r="N9" s="21">
        <f>IFERROR(COUNTIF(Rafters!W5:W168,"&lt;&gt;"&amp;"")/164,"—")</f>
        <v>1</v>
      </c>
      <c r="O9" s="20">
        <v>164</v>
      </c>
      <c r="P9" s="20">
        <f>COUNTIF(Rafters!AN5:AN168,"✓ OK")</f>
        <v>141</v>
      </c>
      <c r="Q9" s="20">
        <f>COUNTIF(Rafters!AN5:AN168,"⚠ Check")+COUNTIF(Rafters!AN5:AN168,"⚠ Missing")+COUNTIF(Rafters!AN5:AN168,"❌ Disc")</f>
        <v>23</v>
      </c>
      <c r="R9" s="21">
        <f>IFERROR(COUNTIF(Rafters!AF5:AF168,"&lt;&gt;"&amp;"")/164,"—")</f>
        <v>1</v>
      </c>
      <c r="S9" s="20">
        <v>164</v>
      </c>
      <c r="T9" s="20">
        <f>COUNTIF(Rafters!AW5:AW168,"✓ OK")</f>
        <v>0</v>
      </c>
      <c r="U9" s="20">
        <f>COUNTIF(Rafters!AW5:AW168,"⚠ Check")+COUNTIF(Rafters!AW5:AW168,"⚠ Missing")+COUNTIF(Rafters!AW5:AW168,"❌ Disc")</f>
        <v>0</v>
      </c>
      <c r="V9" s="21">
        <f>IFERROR(COUNTIF(Rafters!AO5:AO168,"&lt;&gt;"&amp;"")/164,"—")</f>
        <v>0</v>
      </c>
    </row>
    <row r="10" spans="2:22" ht="19.95" customHeight="1" x14ac:dyDescent="0.3">
      <c r="B10" s="8" t="s">
        <v>621</v>
      </c>
      <c r="C10" s="9">
        <v>1409</v>
      </c>
      <c r="D10" s="9">
        <f>COUNTIF(Wallpaper!M5:M1413,"✓ OK")</f>
        <v>1406</v>
      </c>
      <c r="E10" s="9">
        <f>COUNTIF(Wallpaper!M5:M1413,"⚠ Check")+COUNTIF(Wallpaper!M5:M1413,"⚠ Missing")+COUNTIF(Wallpaper!M5:M1413,"❌ Disc")</f>
        <v>3</v>
      </c>
      <c r="F10" s="10">
        <f>IFERROR(COUNTIF(Wallpaper!E5:E1413,"&lt;&gt;"&amp;"")/1409,"—")</f>
        <v>1</v>
      </c>
      <c r="G10" s="11">
        <v>1409</v>
      </c>
      <c r="H10" s="11">
        <f>COUNTIF(Wallpaper!V5:V1413,"✓ OK")</f>
        <v>1406</v>
      </c>
      <c r="I10" s="11">
        <f>COUNTIF(Wallpaper!V5:V1413,"⚠ Check")+COUNTIF(Wallpaper!V5:V1413,"⚠ Missing")+COUNTIF(Wallpaper!V5:V1413,"❌ Disc")</f>
        <v>3</v>
      </c>
      <c r="J10" s="12">
        <f>IFERROR(COUNTIF(Wallpaper!N5:N1413,"&lt;&gt;"&amp;"")/1409,"—")</f>
        <v>1</v>
      </c>
      <c r="K10" s="13">
        <v>1409</v>
      </c>
      <c r="L10" s="13">
        <f>COUNTIF(Wallpaper!AE5:AE1413,"✓ OK")</f>
        <v>1406</v>
      </c>
      <c r="M10" s="13">
        <f>COUNTIF(Wallpaper!AE5:AE1413,"⚠ Check")+COUNTIF(Wallpaper!AE5:AE1413,"⚠ Missing")+COUNTIF(Wallpaper!AE5:AE1413,"❌ Disc")</f>
        <v>3</v>
      </c>
      <c r="N10" s="14">
        <f>IFERROR(COUNTIF(Wallpaper!W5:W1413,"&lt;&gt;"&amp;"")/1409,"—")</f>
        <v>1</v>
      </c>
      <c r="O10" s="15">
        <v>1409</v>
      </c>
      <c r="P10" s="15">
        <f>COUNTIF(Wallpaper!AN5:AN1413,"✓ OK")</f>
        <v>1406</v>
      </c>
      <c r="Q10" s="15">
        <f>COUNTIF(Wallpaper!AN5:AN1413,"⚠ Check")+COUNTIF(Wallpaper!AN5:AN1413,"⚠ Missing")+COUNTIF(Wallpaper!AN5:AN1413,"❌ Disc")</f>
        <v>3</v>
      </c>
      <c r="R10" s="16">
        <f>IFERROR(COUNTIF(Wallpaper!AF5:AF1413,"&lt;&gt;"&amp;"")/1409,"—")</f>
        <v>1</v>
      </c>
      <c r="S10" s="17">
        <v>1409</v>
      </c>
      <c r="T10" s="17">
        <f>COUNTIF(Wallpaper!AW5:AW1413,"✓ OK")</f>
        <v>0</v>
      </c>
      <c r="U10" s="17">
        <f>COUNTIF(Wallpaper!AW5:AW1413,"⚠ Check")+COUNTIF(Wallpaper!AW5:AW1413,"⚠ Missing")+COUNTIF(Wallpaper!AW5:AW1413,"❌ Disc")</f>
        <v>0</v>
      </c>
      <c r="V10" s="18">
        <f>IFERROR(COUNTIF(Wallpaper!AO5:AO1413,"&lt;&gt;"&amp;"")/1409,"—")</f>
        <v>0</v>
      </c>
    </row>
    <row r="11" spans="2:22" ht="19.95" customHeight="1" x14ac:dyDescent="0.3">
      <c r="B11" s="19" t="s">
        <v>622</v>
      </c>
      <c r="C11" s="20">
        <v>113</v>
      </c>
      <c r="D11" s="20">
        <f>COUNTIF(Quartz!M5:M117,"✓ OK")</f>
        <v>109</v>
      </c>
      <c r="E11" s="20">
        <f>COUNTIF(Quartz!M5:M117,"⚠ Check")+COUNTIF(Quartz!M5:M117,"⚠ Missing")+COUNTIF(Quartz!M5:M117,"❌ Disc")</f>
        <v>4</v>
      </c>
      <c r="F11" s="21">
        <f>IFERROR(COUNTIF(Quartz!E5:E117,"&lt;&gt;"&amp;"")/113,"—")</f>
        <v>1</v>
      </c>
      <c r="G11" s="20">
        <v>113</v>
      </c>
      <c r="H11" s="20">
        <f>COUNTIF(Quartz!V5:V77,"✓ OK")</f>
        <v>59</v>
      </c>
      <c r="I11" s="20">
        <f>COUNTIF(Quartz!V5:V77,"⚠ Check")+COUNTIF(Quartz!V5:V77,"⚠ Missing")+COUNTIF(Quartz!V5:V77,"❌ Disc")</f>
        <v>14</v>
      </c>
      <c r="J11" s="21">
        <f>IFERROR(COUNTIF(Quartz!N5:N77,"&lt;&gt;"&amp;"")/73,"—")</f>
        <v>1</v>
      </c>
      <c r="K11" s="20">
        <v>113</v>
      </c>
      <c r="L11" s="20">
        <f>COUNTIF(Quartz!AE5:AE77,"✓ OK")</f>
        <v>59</v>
      </c>
      <c r="M11" s="20">
        <f>COUNTIF(Quartz!AE5:AE77,"⚠ Check")+COUNTIF(Quartz!AE5:AE77,"⚠ Missing")+COUNTIF(Quartz!AE5:AE77,"❌ Disc")</f>
        <v>14</v>
      </c>
      <c r="N11" s="21">
        <f>IFERROR(COUNTIF(Quartz!W5:W77,"&lt;&gt;"&amp;"")/73,"—")</f>
        <v>1</v>
      </c>
      <c r="O11" s="20">
        <v>113</v>
      </c>
      <c r="P11" s="20">
        <f>COUNTIF(Quartz!AN5:AN77,"✓ OK")</f>
        <v>59</v>
      </c>
      <c r="Q11" s="20">
        <f>COUNTIF(Quartz!AN5:AN77,"⚠ Check")+COUNTIF(Quartz!AN5:AN77,"⚠ Missing")+COUNTIF(Quartz!AN5:AN77,"❌ Disc")</f>
        <v>14</v>
      </c>
      <c r="R11" s="21">
        <f>IFERROR(COUNTIF(Quartz!AF5:AF77,"&lt;&gt;"&amp;"")/73,"—")</f>
        <v>1</v>
      </c>
      <c r="S11" s="20">
        <v>113</v>
      </c>
      <c r="T11" s="20">
        <f>COUNTIF(Quartz!AW5:AW77,"✓ OK")</f>
        <v>0</v>
      </c>
      <c r="U11" s="20">
        <f>COUNTIF(Quartz!AW5:AW77,"⚠ Check")+COUNTIF(Quartz!AW5:AW77,"⚠ Missing")+COUNTIF(Quartz!AW5:AW77,"❌ Disc")</f>
        <v>0</v>
      </c>
      <c r="V11" s="21">
        <f>IFERROR(COUNTIF(Quartz!AO5:AO77,"&lt;&gt;"&amp;"")/73,"—")</f>
        <v>0</v>
      </c>
    </row>
    <row r="12" spans="2:22" ht="19.95" customHeight="1" x14ac:dyDescent="0.3">
      <c r="B12" s="8" t="s">
        <v>623</v>
      </c>
      <c r="C12" s="9">
        <v>12</v>
      </c>
      <c r="D12" s="9">
        <f>COUNTIF(Granite!M5:M16,"✓ OK")</f>
        <v>10</v>
      </c>
      <c r="E12" s="9">
        <f>COUNTIF(Granite!M5:M16,"⚠ Check")+COUNTIF(Granite!M5:M16,"⚠ Missing")+COUNTIF(Granite!M5:M16,"❌ Disc")</f>
        <v>2</v>
      </c>
      <c r="F12" s="10">
        <f>IFERROR(COUNTIF(Granite!E5:E16,"&lt;&gt;"&amp;"")/12,"—")</f>
        <v>1</v>
      </c>
      <c r="G12" s="11">
        <v>12</v>
      </c>
      <c r="H12" s="11">
        <f>COUNTIF(Granite!V5:V15,"✓ OK")</f>
        <v>9</v>
      </c>
      <c r="I12" s="11">
        <f>COUNTIF(Granite!V5:V15,"⚠ Check")+COUNTIF(Granite!V5:V15,"⚠ Missing")+COUNTIF(Granite!V5:V15,"❌ Disc")</f>
        <v>2</v>
      </c>
      <c r="J12" s="12">
        <f>IFERROR(COUNTIF(Granite!N5:N15,"&lt;&gt;"&amp;"")/11,"—")</f>
        <v>1</v>
      </c>
      <c r="K12" s="13">
        <v>12</v>
      </c>
      <c r="L12" s="13">
        <f>COUNTIF(Granite!AE5:AE15,"✓ OK")</f>
        <v>11</v>
      </c>
      <c r="M12" s="13">
        <f>COUNTIF(Granite!AE5:AE15,"⚠ Check")+COUNTIF(Granite!AE5:AE15,"⚠ Missing")+COUNTIF(Granite!AE5:AE15,"❌ Disc")</f>
        <v>0</v>
      </c>
      <c r="N12" s="14">
        <f>IFERROR(COUNTIF(Granite!W5:W15,"&lt;&gt;"&amp;"")/11,"—")</f>
        <v>1</v>
      </c>
      <c r="O12" s="15">
        <v>12</v>
      </c>
      <c r="P12" s="15">
        <f>COUNTIF(Granite!AN5:AN15,"✓ OK")</f>
        <v>11</v>
      </c>
      <c r="Q12" s="15">
        <f>COUNTIF(Granite!AN5:AN15,"⚠ Check")+COUNTIF(Granite!AN5:AN15,"⚠ Missing")+COUNTIF(Granite!AN5:AN15,"❌ Disc")</f>
        <v>0</v>
      </c>
      <c r="R12" s="16">
        <f>IFERROR(COUNTIF(Granite!AF5:AF15,"&lt;&gt;"&amp;"")/11,"—")</f>
        <v>1</v>
      </c>
      <c r="S12" s="17">
        <v>12</v>
      </c>
      <c r="T12" s="17">
        <f>COUNTIF(Granite!AW5:AW15,"✓ OK")</f>
        <v>0</v>
      </c>
      <c r="U12" s="17">
        <f>COUNTIF(Granite!AW5:AW15,"⚠ Check")+COUNTIF(Granite!AW5:AW15,"⚠ Missing")+COUNTIF(Granite!AW5:AW15,"❌ Disc")</f>
        <v>0</v>
      </c>
      <c r="V12" s="18">
        <f>IFERROR(COUNTIF(Granite!AO5:AO15,"&lt;&gt;"&amp;"")/11,"—")</f>
        <v>0</v>
      </c>
    </row>
    <row r="13" spans="2:22" ht="19.95" customHeight="1" x14ac:dyDescent="0.3">
      <c r="B13" s="19" t="s">
        <v>624</v>
      </c>
      <c r="C13" s="20">
        <v>22</v>
      </c>
      <c r="D13" s="20">
        <f>COUNTIF('Wooden Flooring'!M5:M26,"✓ OK")</f>
        <v>17</v>
      </c>
      <c r="E13" s="20">
        <f>COUNTIF('Wooden Flooring'!M5:M26,"⚠ Check")+COUNTIF('Wooden Flooring'!M5:M26,"⚠ Missing")+COUNTIF('Wooden Flooring'!M5:M26,"❌ Disc")</f>
        <v>5</v>
      </c>
      <c r="F13" s="21">
        <f>IFERROR(COUNTIF('Wooden Flooring'!E5:E26,"&lt;&gt;"&amp;"")/22,"—")</f>
        <v>1</v>
      </c>
      <c r="G13" s="20">
        <v>22</v>
      </c>
      <c r="H13" s="20">
        <f>COUNTIF('Wooden Flooring'!V5:V26,"✓ OK")</f>
        <v>17</v>
      </c>
      <c r="I13" s="20">
        <f>COUNTIF('Wooden Flooring'!V5:V26,"⚠ Check")+COUNTIF('Wooden Flooring'!V5:V26,"⚠ Missing")+COUNTIF('Wooden Flooring'!V5:V26,"❌ Disc")</f>
        <v>5</v>
      </c>
      <c r="J13" s="21">
        <f>IFERROR(COUNTIF('Wooden Flooring'!N5:N26,"&lt;&gt;"&amp;"")/22,"—")</f>
        <v>1</v>
      </c>
      <c r="K13" s="20">
        <v>22</v>
      </c>
      <c r="L13" s="20">
        <f>COUNTIF('Wooden Flooring'!AE5:AE26,"✓ OK")</f>
        <v>17</v>
      </c>
      <c r="M13" s="20">
        <f>COUNTIF('Wooden Flooring'!AE5:AE26,"⚠ Check")+COUNTIF('Wooden Flooring'!AE5:AE26,"⚠ Missing")+COUNTIF('Wooden Flooring'!AE5:AE26,"❌ Disc")</f>
        <v>5</v>
      </c>
      <c r="N13" s="21">
        <f>IFERROR(COUNTIF('Wooden Flooring'!W5:W26,"&lt;&gt;"&amp;"")/22,"—")</f>
        <v>1</v>
      </c>
      <c r="O13" s="20">
        <v>22</v>
      </c>
      <c r="P13" s="20">
        <f>COUNTIF('Wooden Flooring'!AN5:AN26,"✓ OK")</f>
        <v>17</v>
      </c>
      <c r="Q13" s="20">
        <f>COUNTIF('Wooden Flooring'!AN5:AN26,"⚠ Check")+COUNTIF('Wooden Flooring'!AN5:AN26,"⚠ Missing")+COUNTIF('Wooden Flooring'!AN5:AN26,"❌ Disc")</f>
        <v>5</v>
      </c>
      <c r="R13" s="21">
        <f>IFERROR(COUNTIF('Wooden Flooring'!AF5:AF26,"&lt;&gt;"&amp;"")/22,"—")</f>
        <v>1</v>
      </c>
      <c r="S13" s="20">
        <v>22</v>
      </c>
      <c r="T13" s="20">
        <f>COUNTIF('Wooden Flooring'!AW5:AW26,"✓ OK")</f>
        <v>0</v>
      </c>
      <c r="U13" s="20">
        <f>COUNTIF('Wooden Flooring'!AW5:AW26,"⚠ Check")+COUNTIF('Wooden Flooring'!AW5:AW26,"⚠ Missing")+COUNTIF('Wooden Flooring'!AW5:AW26,"❌ Disc")</f>
        <v>0</v>
      </c>
      <c r="V13" s="21">
        <f>IFERROR(COUNTIF('Wooden Flooring'!AO5:AO26,"&lt;&gt;"&amp;"")/22,"—")</f>
        <v>0</v>
      </c>
    </row>
    <row r="14" spans="2:22" ht="19.95" customHeight="1" x14ac:dyDescent="0.3">
      <c r="B14" s="8" t="s">
        <v>625</v>
      </c>
      <c r="C14" s="9">
        <v>35</v>
      </c>
      <c r="D14" s="9">
        <f>COUNTIF(Beading!M5:M39,"✓ OK")</f>
        <v>35</v>
      </c>
      <c r="E14" s="9">
        <f>COUNTIF(Beading!M5:M39,"⚠ Check")+COUNTIF(Beading!M5:M39,"⚠ Missing")+COUNTIF(Beading!M5:M39,"❌ Disc")</f>
        <v>0</v>
      </c>
      <c r="F14" s="10">
        <f>IFERROR(COUNTIF(Beading!E5:E39,"&lt;&gt;"&amp;"")/35,"—")</f>
        <v>1</v>
      </c>
      <c r="G14" s="11">
        <v>35</v>
      </c>
      <c r="H14" s="11">
        <f>COUNTIF(Beading!V5:V39,"✓ OK")</f>
        <v>35</v>
      </c>
      <c r="I14" s="11">
        <f>COUNTIF(Beading!V5:V39,"⚠ Check")+COUNTIF(Beading!V5:V39,"⚠ Missing")+COUNTIF(Beading!V5:V39,"❌ Disc")</f>
        <v>0</v>
      </c>
      <c r="J14" s="12">
        <f>IFERROR(COUNTIF(Beading!N5:N39,"&lt;&gt;"&amp;"")/35,"—")</f>
        <v>1</v>
      </c>
      <c r="K14" s="13">
        <v>35</v>
      </c>
      <c r="L14" s="13">
        <f>COUNTIF(Beading!AE5:AE39,"✓ OK")</f>
        <v>35</v>
      </c>
      <c r="M14" s="13">
        <f>COUNTIF(Beading!AE5:AE39,"⚠ Check")+COUNTIF(Beading!AE5:AE39,"⚠ Missing")+COUNTIF(Beading!AE5:AE39,"❌ Disc")</f>
        <v>0</v>
      </c>
      <c r="N14" s="14">
        <f>IFERROR(COUNTIF(Beading!W5:W39,"&lt;&gt;"&amp;"")/35,"—")</f>
        <v>1</v>
      </c>
      <c r="O14" s="15">
        <v>35</v>
      </c>
      <c r="P14" s="15">
        <f>COUNTIF(Beading!AN5:AN39,"✓ OK")</f>
        <v>35</v>
      </c>
      <c r="Q14" s="15">
        <f>COUNTIF(Beading!AN5:AN39,"⚠ Check")+COUNTIF(Beading!AN5:AN39,"⚠ Missing")+COUNTIF(Beading!AN5:AN39,"❌ Disc")</f>
        <v>0</v>
      </c>
      <c r="R14" s="16">
        <f>IFERROR(COUNTIF(Beading!AF5:AF39,"&lt;&gt;"&amp;"")/35,"—")</f>
        <v>1</v>
      </c>
      <c r="S14" s="17">
        <v>35</v>
      </c>
      <c r="T14" s="17">
        <f>COUNTIF(Beading!AW5:AW39,"✓ OK")</f>
        <v>0</v>
      </c>
      <c r="U14" s="17">
        <f>COUNTIF(Beading!AW5:AW39,"⚠ Check")+COUNTIF(Beading!AW5:AW39,"⚠ Missing")+COUNTIF(Beading!AW5:AW39,"❌ Disc")</f>
        <v>0</v>
      </c>
      <c r="V14" s="18">
        <f>IFERROR(COUNTIF(Beading!AO5:AO39,"&lt;&gt;"&amp;"")/35,"—")</f>
        <v>0</v>
      </c>
    </row>
    <row r="15" spans="2:22" ht="19.95" customHeight="1" x14ac:dyDescent="0.3">
      <c r="B15" s="19" t="s">
        <v>626</v>
      </c>
      <c r="C15" s="20">
        <v>76</v>
      </c>
      <c r="D15" s="20">
        <f>COUNTIF('Bonito Legs'!M5:M80,"✓ OK")</f>
        <v>76</v>
      </c>
      <c r="E15" s="20">
        <f>COUNTIF('Bonito Legs'!M5:M80,"⚠ Check")+COUNTIF('Bonito Legs'!M5:M80,"⚠ Missing")+COUNTIF('Bonito Legs'!M5:M80,"❌ Disc")</f>
        <v>0</v>
      </c>
      <c r="F15" s="21">
        <f>IFERROR(COUNTIF('Bonito Legs'!E5:E80,"&lt;&gt;"&amp;"")/76,"—")</f>
        <v>1</v>
      </c>
      <c r="G15" s="20">
        <v>76</v>
      </c>
      <c r="H15" s="20">
        <f>COUNTIF('Bonito Legs'!V5:V80,"✓ OK")</f>
        <v>76</v>
      </c>
      <c r="I15" s="20">
        <f>COUNTIF('Bonito Legs'!V5:V80,"⚠ Check")+COUNTIF('Bonito Legs'!V5:V80,"⚠ Missing")+COUNTIF('Bonito Legs'!V5:V80,"❌ Disc")</f>
        <v>0</v>
      </c>
      <c r="J15" s="21">
        <f>IFERROR(COUNTIF('Bonito Legs'!N5:N80,"&lt;&gt;"&amp;"")/76,"—")</f>
        <v>1</v>
      </c>
      <c r="K15" s="20">
        <v>76</v>
      </c>
      <c r="L15" s="20">
        <f>COUNTIF('Bonito Legs'!AE5:AE80,"✓ OK")</f>
        <v>76</v>
      </c>
      <c r="M15" s="20">
        <f>COUNTIF('Bonito Legs'!AE5:AE80,"⚠ Check")+COUNTIF('Bonito Legs'!AE5:AE80,"⚠ Missing")+COUNTIF('Bonito Legs'!AE5:AE80,"❌ Disc")</f>
        <v>0</v>
      </c>
      <c r="N15" s="21">
        <f>IFERROR(COUNTIF('Bonito Legs'!W5:W80,"&lt;&gt;"&amp;"")/76,"—")</f>
        <v>1</v>
      </c>
      <c r="O15" s="20">
        <v>76</v>
      </c>
      <c r="P15" s="20">
        <f>COUNTIF('Bonito Legs'!AN5:AN80,"✓ OK")</f>
        <v>76</v>
      </c>
      <c r="Q15" s="20">
        <f>COUNTIF('Bonito Legs'!AN5:AN80,"⚠ Check")+COUNTIF('Bonito Legs'!AN5:AN80,"⚠ Missing")+COUNTIF('Bonito Legs'!AN5:AN80,"❌ Disc")</f>
        <v>0</v>
      </c>
      <c r="R15" s="21">
        <f>IFERROR(COUNTIF('Bonito Legs'!AF5:AF80,"&lt;&gt;"&amp;"")/76,"—")</f>
        <v>1</v>
      </c>
      <c r="S15" s="20">
        <v>76</v>
      </c>
      <c r="T15" s="20">
        <f>COUNTIF('Bonito Legs'!AW5:AW80,"✓ OK")</f>
        <v>0</v>
      </c>
      <c r="U15" s="20">
        <f>COUNTIF('Bonito Legs'!AW5:AW80,"⚠ Check")+COUNTIF('Bonito Legs'!AW5:AW80,"⚠ Missing")+COUNTIF('Bonito Legs'!AW5:AW80,"❌ Disc")</f>
        <v>0</v>
      </c>
      <c r="V15" s="21">
        <f>IFERROR(COUNTIF('Bonito Legs'!AO5:AO80,"&lt;&gt;"&amp;"")/76,"—")</f>
        <v>0</v>
      </c>
    </row>
    <row r="16" spans="2:22" ht="19.95" customHeight="1" x14ac:dyDescent="0.3">
      <c r="B16" s="8" t="s">
        <v>627</v>
      </c>
      <c r="C16" s="9">
        <v>512</v>
      </c>
      <c r="D16" s="9">
        <f>COUNTIF(Handles!M5:M516,"✓ OK")</f>
        <v>396</v>
      </c>
      <c r="E16" s="9">
        <f>COUNTIF(Handles!M5:M516,"⚠ Check")+COUNTIF(Handles!M5:M516,"⚠ Missing")+COUNTIF(Handles!M5:M516,"❌ Disc")</f>
        <v>116</v>
      </c>
      <c r="F16" s="10">
        <f>IFERROR(COUNTIF(Handles!E5:E516,"&lt;&gt;"&amp;"")/512,"—")</f>
        <v>1</v>
      </c>
      <c r="G16" s="11">
        <v>512</v>
      </c>
      <c r="H16" s="11">
        <f>COUNTIF(Handles!V5:V516,"✓ OK")</f>
        <v>396</v>
      </c>
      <c r="I16" s="11">
        <f>COUNTIF(Handles!V5:V516,"⚠ Check")+COUNTIF(Handles!V5:V516,"⚠ Missing")+COUNTIF(Handles!V5:V516,"❌ Disc")</f>
        <v>116</v>
      </c>
      <c r="J16" s="12">
        <f>IFERROR(COUNTIF(Handles!N5:N516,"&lt;&gt;"&amp;"")/512,"—")</f>
        <v>1</v>
      </c>
      <c r="K16" s="13">
        <v>512</v>
      </c>
      <c r="L16" s="13">
        <f>COUNTIF(Handles!AE5:AE516,"✓ OK")</f>
        <v>394</v>
      </c>
      <c r="M16" s="13">
        <f>COUNTIF(Handles!AE5:AE516,"⚠ Check")+COUNTIF(Handles!AE5:AE516,"⚠ Missing")+COUNTIF(Handles!AE5:AE516,"❌ Disc")</f>
        <v>118</v>
      </c>
      <c r="N16" s="14">
        <f>IFERROR(COUNTIF(Handles!W5:W516,"&lt;&gt;"&amp;"")/512,"—")</f>
        <v>1</v>
      </c>
      <c r="O16" s="15">
        <v>512</v>
      </c>
      <c r="P16" s="15">
        <f>COUNTIF(Handles!AN5:AN516,"✓ OK")</f>
        <v>402</v>
      </c>
      <c r="Q16" s="15">
        <f>COUNTIF(Handles!AN5:AN516,"⚠ Check")+COUNTIF(Handles!AN5:AN516,"⚠ Missing")+COUNTIF(Handles!AN5:AN516,"❌ Disc")</f>
        <v>110</v>
      </c>
      <c r="R16" s="16">
        <f>IFERROR(COUNTIF(Handles!AF5:AF516,"&lt;&gt;"&amp;"")/512,"—")</f>
        <v>1</v>
      </c>
      <c r="S16" s="17">
        <v>512</v>
      </c>
      <c r="T16" s="17">
        <f>COUNTIF(Handles!AW5:AW516,"✓ OK")</f>
        <v>0</v>
      </c>
      <c r="U16" s="17">
        <f>COUNTIF(Handles!AW5:AW516,"⚠ Check")+COUNTIF(Handles!AW5:AW516,"⚠ Missing")+COUNTIF(Handles!AW5:AW516,"❌ Disc")</f>
        <v>0</v>
      </c>
      <c r="V16" s="18">
        <f>IFERROR(COUNTIF(Handles!AO5:AO516,"&lt;&gt;"&amp;"")/512,"—")</f>
        <v>0</v>
      </c>
    </row>
    <row r="17" spans="2:22" ht="19.95" customHeight="1" x14ac:dyDescent="0.3">
      <c r="B17" s="19" t="s">
        <v>628</v>
      </c>
      <c r="C17" s="20">
        <v>288</v>
      </c>
      <c r="D17" s="20">
        <f>COUNTIF(Fabric!M5:M292,"✓ OK")</f>
        <v>288</v>
      </c>
      <c r="E17" s="20">
        <f>COUNTIF(Fabric!M5:M292,"⚠ Check")+COUNTIF(Fabric!M5:M292,"⚠ Missing")+COUNTIF(Fabric!M5:M292,"❌ Disc")</f>
        <v>0</v>
      </c>
      <c r="F17" s="21">
        <f>IFERROR(COUNTIF(Fabric!E5:E292,"&lt;&gt;"&amp;"")/288,"—")</f>
        <v>1</v>
      </c>
      <c r="G17" s="20">
        <v>288</v>
      </c>
      <c r="H17" s="20">
        <f>COUNTIF(Fabric!V5:V292,"✓ OK")</f>
        <v>248</v>
      </c>
      <c r="I17" s="20">
        <f>COUNTIF(Fabric!V5:V292,"⚠ Check")+COUNTIF(Fabric!V5:V292,"⚠ Missing")+COUNTIF(Fabric!V5:V292,"❌ Disc")</f>
        <v>40</v>
      </c>
      <c r="J17" s="21">
        <f>IFERROR(COUNTIF(Fabric!N5:N292,"&lt;&gt;"&amp;"")/486,"—")</f>
        <v>0.59259259259259256</v>
      </c>
      <c r="K17" s="20">
        <v>288</v>
      </c>
      <c r="L17" s="20">
        <f>COUNTIF(Fabric!AE5:AE292,"✓ OK")</f>
        <v>248</v>
      </c>
      <c r="M17" s="20">
        <f>COUNTIF(Fabric!AE5:AE292,"⚠ Check")+COUNTIF(Fabric!AE5:AE292,"⚠ Missing")+COUNTIF(Fabric!AE5:AE292,"❌ Disc")</f>
        <v>40</v>
      </c>
      <c r="N17" s="21">
        <f>IFERROR(COUNTIF(Fabric!W5:W292,"&lt;&gt;"&amp;"")/486,"—")</f>
        <v>0.59259259259259256</v>
      </c>
      <c r="O17" s="20">
        <v>288</v>
      </c>
      <c r="P17" s="20">
        <f>COUNTIF(Fabric!AN5:AN292,"✓ OK")</f>
        <v>248</v>
      </c>
      <c r="Q17" s="20">
        <f>COUNTIF(Fabric!AN5:AN292,"⚠ Check")+COUNTIF(Fabric!AN5:AN292,"⚠ Missing")+COUNTIF(Fabric!AN5:AN292,"❌ Disc")</f>
        <v>40</v>
      </c>
      <c r="R17" s="21">
        <f>IFERROR(COUNTIF(Fabric!AF5:AF292,"&lt;&gt;"&amp;"")/486,"—")</f>
        <v>0.59259259259259256</v>
      </c>
      <c r="S17" s="20">
        <v>288</v>
      </c>
      <c r="T17" s="20">
        <f>COUNTIF(Fabric!AW5:AW292,"✓ OK")</f>
        <v>0</v>
      </c>
      <c r="U17" s="20">
        <f>COUNTIF(Fabric!AW5:AW292,"⚠ Check")+COUNTIF(Fabric!AW5:AW292,"⚠ Missing")+COUNTIF(Fabric!AW5:AW292,"❌ Disc")</f>
        <v>0</v>
      </c>
      <c r="V17" s="21">
        <f>IFERROR(COUNTIF(Fabric!AO5:AO292,"&lt;&gt;"&amp;"")/486,"—")</f>
        <v>0</v>
      </c>
    </row>
    <row r="18" spans="2:22" ht="19.95" customHeight="1" x14ac:dyDescent="0.3">
      <c r="B18" s="64" t="s">
        <v>629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50"/>
    </row>
    <row r="20" spans="2:22" hidden="1" x14ac:dyDescent="0.3">
      <c r="B20" s="56" t="s">
        <v>630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50"/>
    </row>
    <row r="21" spans="2:22" ht="16.2" hidden="1" customHeight="1" x14ac:dyDescent="0.3">
      <c r="B21" s="62" t="s">
        <v>631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50"/>
    </row>
    <row r="22" spans="2:22" ht="16.2" hidden="1" customHeight="1" x14ac:dyDescent="0.3">
      <c r="B22" s="58" t="s">
        <v>632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50"/>
    </row>
    <row r="23" spans="2:22" ht="16.2" hidden="1" customHeight="1" x14ac:dyDescent="0.3">
      <c r="B23" s="62" t="s">
        <v>633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50"/>
    </row>
    <row r="24" spans="2:22" ht="16.2" hidden="1" customHeight="1" x14ac:dyDescent="0.3">
      <c r="B24" s="58" t="s">
        <v>634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50"/>
    </row>
    <row r="25" spans="2:22" ht="16.2" hidden="1" customHeight="1" x14ac:dyDescent="0.3">
      <c r="B25" s="62" t="s">
        <v>635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50"/>
    </row>
    <row r="26" spans="2:22" ht="16.2" hidden="1" customHeight="1" x14ac:dyDescent="0.3">
      <c r="B26" s="58" t="s">
        <v>636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50"/>
    </row>
  </sheetData>
  <mergeCells count="15">
    <mergeCell ref="B26:V26"/>
    <mergeCell ref="B18:V18"/>
    <mergeCell ref="B1:V1"/>
    <mergeCell ref="B21:V21"/>
    <mergeCell ref="B25:V25"/>
    <mergeCell ref="G4:J4"/>
    <mergeCell ref="B20:V20"/>
    <mergeCell ref="B23:V23"/>
    <mergeCell ref="B22:V22"/>
    <mergeCell ref="K4:N4"/>
    <mergeCell ref="O4:R4"/>
    <mergeCell ref="B24:V24"/>
    <mergeCell ref="B2:V2"/>
    <mergeCell ref="S4:V4"/>
    <mergeCell ref="C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AW288"/>
  <sheetViews>
    <sheetView tabSelected="1" workbookViewId="0">
      <pane xSplit="4" ySplit="4" topLeftCell="E5" activePane="bottomRight" state="frozen"/>
      <selection pane="topRight" sqref="A1:AW1"/>
      <selection pane="bottomLeft" sqref="A1:AW1"/>
      <selection pane="bottomRight" activeCell="L5" sqref="L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637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638</v>
      </c>
      <c r="C5" s="25" t="s">
        <v>639</v>
      </c>
      <c r="D5" s="23" t="s">
        <v>640</v>
      </c>
      <c r="E5" s="43">
        <v>46125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68" si="0">IF(E5="","",IF(H5="Yes","❌ Disc",IF(G5="No","⚠ Missing",IF(J5="Yes","✓ OK","⚠ Check"))))</f>
        <v>✓ OK</v>
      </c>
      <c r="N5" s="43">
        <v>46193</v>
      </c>
      <c r="O5" s="26" t="s">
        <v>23</v>
      </c>
      <c r="P5" s="26" t="s">
        <v>25</v>
      </c>
      <c r="Q5" s="26" t="s">
        <v>24</v>
      </c>
      <c r="R5" s="26" t="s">
        <v>135</v>
      </c>
      <c r="S5" s="26" t="s">
        <v>25</v>
      </c>
      <c r="T5" s="27"/>
      <c r="U5" s="28" t="s">
        <v>25</v>
      </c>
      <c r="V5" s="29" t="str">
        <f t="shared" ref="V5:V68" si="1">IF(N5="","",IF(Q5="Yes","❌ Disc",IF(P5="No","⚠ Missing",IF(S5="Yes","✓ OK","⚠ Check"))))</f>
        <v>❌ Disc</v>
      </c>
      <c r="W5" s="45">
        <v>46248</v>
      </c>
      <c r="X5" s="30" t="s">
        <v>23</v>
      </c>
      <c r="Y5" s="30" t="s">
        <v>25</v>
      </c>
      <c r="Z5" s="30" t="s">
        <v>24</v>
      </c>
      <c r="AA5" s="30" t="s">
        <v>135</v>
      </c>
      <c r="AB5" s="30" t="s">
        <v>25</v>
      </c>
      <c r="AC5" s="27"/>
      <c r="AD5" s="31" t="s">
        <v>25</v>
      </c>
      <c r="AE5" s="32" t="str">
        <f t="shared" ref="AE5:AE68" si="2">IF(W5="","",IF(Z5="Yes","❌ Disc",IF(Y5="No","⚠ Missing",IF(AB5="Yes","✓ OK","⚠ Check"))))</f>
        <v>❌ Disc</v>
      </c>
      <c r="AF5" s="33" t="s">
        <v>27</v>
      </c>
      <c r="AG5" s="33" t="s">
        <v>23</v>
      </c>
      <c r="AH5" s="33" t="s">
        <v>25</v>
      </c>
      <c r="AI5" s="33" t="s">
        <v>24</v>
      </c>
      <c r="AJ5" s="33" t="s">
        <v>135</v>
      </c>
      <c r="AK5" s="33" t="s">
        <v>25</v>
      </c>
      <c r="AL5" s="27"/>
      <c r="AM5" s="34" t="s">
        <v>25</v>
      </c>
      <c r="AN5" s="35" t="str">
        <f t="shared" ref="AN5:AN68" si="3">IF(AF5="","",IF(AI5="Yes","❌ Disc",IF(AH5="No","⚠ Missing",IF(AK5="Yes","✓ OK","⚠ Check"))))</f>
        <v>❌ Disc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641</v>
      </c>
      <c r="C6" s="41" t="s">
        <v>642</v>
      </c>
      <c r="D6" s="39" t="s">
        <v>640</v>
      </c>
      <c r="E6" s="43">
        <v>46125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46193</v>
      </c>
      <c r="O6" s="26" t="s">
        <v>23</v>
      </c>
      <c r="P6" s="26" t="s">
        <v>25</v>
      </c>
      <c r="Q6" s="26" t="s">
        <v>24</v>
      </c>
      <c r="R6" s="26" t="s">
        <v>135</v>
      </c>
      <c r="S6" s="26" t="s">
        <v>25</v>
      </c>
      <c r="T6" s="27"/>
      <c r="U6" s="28" t="s">
        <v>25</v>
      </c>
      <c r="V6" s="29" t="str">
        <f t="shared" si="1"/>
        <v>❌ Disc</v>
      </c>
      <c r="W6" s="45">
        <v>46248</v>
      </c>
      <c r="X6" s="30" t="s">
        <v>23</v>
      </c>
      <c r="Y6" s="30" t="s">
        <v>25</v>
      </c>
      <c r="Z6" s="30" t="s">
        <v>24</v>
      </c>
      <c r="AA6" s="30" t="s">
        <v>135</v>
      </c>
      <c r="AB6" s="30" t="s">
        <v>25</v>
      </c>
      <c r="AC6" s="27"/>
      <c r="AD6" s="31" t="s">
        <v>25</v>
      </c>
      <c r="AE6" s="32" t="str">
        <f t="shared" si="2"/>
        <v>❌ Disc</v>
      </c>
      <c r="AF6" s="33" t="s">
        <v>27</v>
      </c>
      <c r="AG6" s="33" t="s">
        <v>23</v>
      </c>
      <c r="AH6" s="33" t="s">
        <v>25</v>
      </c>
      <c r="AI6" s="33" t="s">
        <v>24</v>
      </c>
      <c r="AJ6" s="33" t="s">
        <v>135</v>
      </c>
      <c r="AK6" s="33" t="s">
        <v>25</v>
      </c>
      <c r="AL6" s="27"/>
      <c r="AM6" s="34" t="s">
        <v>25</v>
      </c>
      <c r="AN6" s="35" t="str">
        <f t="shared" si="3"/>
        <v>❌ Disc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643</v>
      </c>
      <c r="C7" s="25" t="s">
        <v>644</v>
      </c>
      <c r="D7" s="23" t="s">
        <v>640</v>
      </c>
      <c r="E7" s="43">
        <v>46125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46193</v>
      </c>
      <c r="O7" s="26" t="s">
        <v>23</v>
      </c>
      <c r="P7" s="26" t="s">
        <v>25</v>
      </c>
      <c r="Q7" s="26" t="s">
        <v>24</v>
      </c>
      <c r="R7" s="26" t="s">
        <v>135</v>
      </c>
      <c r="S7" s="26" t="s">
        <v>25</v>
      </c>
      <c r="T7" s="27"/>
      <c r="U7" s="28" t="s">
        <v>25</v>
      </c>
      <c r="V7" s="29" t="str">
        <f t="shared" si="1"/>
        <v>❌ Disc</v>
      </c>
      <c r="W7" s="45">
        <v>46248</v>
      </c>
      <c r="X7" s="30" t="s">
        <v>23</v>
      </c>
      <c r="Y7" s="30" t="s">
        <v>25</v>
      </c>
      <c r="Z7" s="30" t="s">
        <v>24</v>
      </c>
      <c r="AA7" s="30" t="s">
        <v>135</v>
      </c>
      <c r="AB7" s="30" t="s">
        <v>25</v>
      </c>
      <c r="AC7" s="27"/>
      <c r="AD7" s="31" t="s">
        <v>25</v>
      </c>
      <c r="AE7" s="32" t="str">
        <f t="shared" si="2"/>
        <v>❌ Disc</v>
      </c>
      <c r="AF7" s="33" t="s">
        <v>27</v>
      </c>
      <c r="AG7" s="33" t="s">
        <v>23</v>
      </c>
      <c r="AH7" s="33" t="s">
        <v>25</v>
      </c>
      <c r="AI7" s="33" t="s">
        <v>24</v>
      </c>
      <c r="AJ7" s="33" t="s">
        <v>135</v>
      </c>
      <c r="AK7" s="33" t="s">
        <v>25</v>
      </c>
      <c r="AL7" s="27"/>
      <c r="AM7" s="34" t="s">
        <v>25</v>
      </c>
      <c r="AN7" s="35" t="str">
        <f t="shared" si="3"/>
        <v>❌ Disc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645</v>
      </c>
      <c r="C8" s="41" t="s">
        <v>646</v>
      </c>
      <c r="D8" s="39" t="s">
        <v>640</v>
      </c>
      <c r="E8" s="43">
        <v>46125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46193</v>
      </c>
      <c r="O8" s="26" t="s">
        <v>23</v>
      </c>
      <c r="P8" s="26" t="s">
        <v>25</v>
      </c>
      <c r="Q8" s="26" t="s">
        <v>24</v>
      </c>
      <c r="R8" s="26" t="s">
        <v>135</v>
      </c>
      <c r="S8" s="26" t="s">
        <v>25</v>
      </c>
      <c r="T8" s="27"/>
      <c r="U8" s="28" t="s">
        <v>25</v>
      </c>
      <c r="V8" s="29" t="str">
        <f t="shared" si="1"/>
        <v>❌ Disc</v>
      </c>
      <c r="W8" s="45">
        <v>46248</v>
      </c>
      <c r="X8" s="30" t="s">
        <v>23</v>
      </c>
      <c r="Y8" s="30" t="s">
        <v>25</v>
      </c>
      <c r="Z8" s="30" t="s">
        <v>24</v>
      </c>
      <c r="AA8" s="30" t="s">
        <v>135</v>
      </c>
      <c r="AB8" s="30" t="s">
        <v>25</v>
      </c>
      <c r="AC8" s="27"/>
      <c r="AD8" s="31" t="s">
        <v>25</v>
      </c>
      <c r="AE8" s="32" t="str">
        <f t="shared" si="2"/>
        <v>❌ Disc</v>
      </c>
      <c r="AF8" s="33" t="s">
        <v>27</v>
      </c>
      <c r="AG8" s="33" t="s">
        <v>23</v>
      </c>
      <c r="AH8" s="33" t="s">
        <v>25</v>
      </c>
      <c r="AI8" s="33" t="s">
        <v>24</v>
      </c>
      <c r="AJ8" s="33" t="s">
        <v>135</v>
      </c>
      <c r="AK8" s="33" t="s">
        <v>25</v>
      </c>
      <c r="AL8" s="27"/>
      <c r="AM8" s="34" t="s">
        <v>25</v>
      </c>
      <c r="AN8" s="35" t="str">
        <f t="shared" si="3"/>
        <v>❌ Disc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647</v>
      </c>
      <c r="C9" s="25" t="s">
        <v>648</v>
      </c>
      <c r="D9" s="23" t="s">
        <v>640</v>
      </c>
      <c r="E9" s="43">
        <v>46125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46193</v>
      </c>
      <c r="O9" s="26" t="s">
        <v>23</v>
      </c>
      <c r="P9" s="26" t="s">
        <v>25</v>
      </c>
      <c r="Q9" s="26" t="s">
        <v>24</v>
      </c>
      <c r="R9" s="26" t="s">
        <v>135</v>
      </c>
      <c r="S9" s="26" t="s">
        <v>25</v>
      </c>
      <c r="T9" s="27"/>
      <c r="U9" s="28" t="s">
        <v>25</v>
      </c>
      <c r="V9" s="29" t="str">
        <f t="shared" si="1"/>
        <v>❌ Disc</v>
      </c>
      <c r="W9" s="45">
        <v>46248</v>
      </c>
      <c r="X9" s="30" t="s">
        <v>23</v>
      </c>
      <c r="Y9" s="30" t="s">
        <v>25</v>
      </c>
      <c r="Z9" s="30" t="s">
        <v>24</v>
      </c>
      <c r="AA9" s="30" t="s">
        <v>135</v>
      </c>
      <c r="AB9" s="30" t="s">
        <v>25</v>
      </c>
      <c r="AC9" s="27"/>
      <c r="AD9" s="31" t="s">
        <v>25</v>
      </c>
      <c r="AE9" s="32" t="str">
        <f t="shared" si="2"/>
        <v>❌ Disc</v>
      </c>
      <c r="AF9" s="33" t="s">
        <v>27</v>
      </c>
      <c r="AG9" s="33" t="s">
        <v>23</v>
      </c>
      <c r="AH9" s="33" t="s">
        <v>25</v>
      </c>
      <c r="AI9" s="33" t="s">
        <v>24</v>
      </c>
      <c r="AJ9" s="33" t="s">
        <v>135</v>
      </c>
      <c r="AK9" s="33" t="s">
        <v>25</v>
      </c>
      <c r="AL9" s="27"/>
      <c r="AM9" s="34" t="s">
        <v>25</v>
      </c>
      <c r="AN9" s="35" t="str">
        <f t="shared" si="3"/>
        <v>❌ Disc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649</v>
      </c>
      <c r="C10" s="41" t="s">
        <v>650</v>
      </c>
      <c r="D10" s="39" t="s">
        <v>651</v>
      </c>
      <c r="E10" s="43">
        <v>46125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46193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652</v>
      </c>
      <c r="C11" s="25" t="s">
        <v>653</v>
      </c>
      <c r="D11" s="23" t="s">
        <v>651</v>
      </c>
      <c r="E11" s="43">
        <v>46125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46193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 t="s">
        <v>25</v>
      </c>
      <c r="AA11" s="30" t="s">
        <v>26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 t="s">
        <v>25</v>
      </c>
      <c r="AJ11" s="33" t="s">
        <v>26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654</v>
      </c>
      <c r="C12" s="41" t="s">
        <v>655</v>
      </c>
      <c r="D12" s="39" t="s">
        <v>651</v>
      </c>
      <c r="E12" s="43">
        <v>46125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46193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656</v>
      </c>
      <c r="C13" s="25" t="s">
        <v>657</v>
      </c>
      <c r="D13" s="23" t="s">
        <v>651</v>
      </c>
      <c r="E13" s="43">
        <v>46125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46193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 t="s">
        <v>25</v>
      </c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 t="s">
        <v>25</v>
      </c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658</v>
      </c>
      <c r="C14" s="41" t="s">
        <v>659</v>
      </c>
      <c r="D14" s="39" t="s">
        <v>651</v>
      </c>
      <c r="E14" s="43">
        <v>46125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46193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660</v>
      </c>
      <c r="C15" s="25" t="s">
        <v>661</v>
      </c>
      <c r="D15" s="23" t="s">
        <v>651</v>
      </c>
      <c r="E15" s="43">
        <v>46125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46193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662</v>
      </c>
      <c r="C16" s="41" t="s">
        <v>663</v>
      </c>
      <c r="D16" s="39" t="s">
        <v>651</v>
      </c>
      <c r="E16" s="43">
        <v>46125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46193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 t="s">
        <v>25</v>
      </c>
      <c r="AA16" s="30" t="s">
        <v>26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 t="s">
        <v>25</v>
      </c>
      <c r="AJ16" s="33" t="s">
        <v>26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664</v>
      </c>
      <c r="C17" s="25" t="s">
        <v>665</v>
      </c>
      <c r="D17" s="23" t="s">
        <v>651</v>
      </c>
      <c r="E17" s="43">
        <v>46125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46193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24</v>
      </c>
      <c r="Z17" s="30" t="s">
        <v>25</v>
      </c>
      <c r="AA17" s="30" t="s">
        <v>26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24</v>
      </c>
      <c r="AI17" s="33" t="s">
        <v>25</v>
      </c>
      <c r="AJ17" s="33" t="s">
        <v>26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666</v>
      </c>
      <c r="C18" s="41" t="s">
        <v>667</v>
      </c>
      <c r="D18" s="39" t="s">
        <v>651</v>
      </c>
      <c r="E18" s="43">
        <v>46125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46193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668</v>
      </c>
      <c r="C19" s="25" t="s">
        <v>669</v>
      </c>
      <c r="D19" s="23" t="s">
        <v>651</v>
      </c>
      <c r="E19" s="43">
        <v>46125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46193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670</v>
      </c>
      <c r="C20" s="41" t="s">
        <v>671</v>
      </c>
      <c r="D20" s="39" t="s">
        <v>651</v>
      </c>
      <c r="E20" s="43">
        <v>46125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46193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24</v>
      </c>
      <c r="Z20" s="30" t="s">
        <v>25</v>
      </c>
      <c r="AA20" s="30" t="s">
        <v>26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24</v>
      </c>
      <c r="AI20" s="33" t="s">
        <v>25</v>
      </c>
      <c r="AJ20" s="33" t="s">
        <v>26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672</v>
      </c>
      <c r="C21" s="25" t="s">
        <v>673</v>
      </c>
      <c r="D21" s="23" t="s">
        <v>651</v>
      </c>
      <c r="E21" s="43">
        <v>46125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46193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674</v>
      </c>
      <c r="C22" s="41" t="s">
        <v>675</v>
      </c>
      <c r="D22" s="39" t="s">
        <v>651</v>
      </c>
      <c r="E22" s="43">
        <v>46125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43">
        <v>46193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24</v>
      </c>
      <c r="Z22" s="30" t="s">
        <v>25</v>
      </c>
      <c r="AA22" s="30" t="s">
        <v>26</v>
      </c>
      <c r="AB22" s="30" t="s">
        <v>24</v>
      </c>
      <c r="AC22" s="27"/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24</v>
      </c>
      <c r="AI22" s="33" t="s">
        <v>25</v>
      </c>
      <c r="AJ22" s="33" t="s">
        <v>26</v>
      </c>
      <c r="AK22" s="33" t="s">
        <v>24</v>
      </c>
      <c r="AL22" s="27"/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676</v>
      </c>
      <c r="C23" s="25" t="s">
        <v>677</v>
      </c>
      <c r="D23" s="23" t="s">
        <v>651</v>
      </c>
      <c r="E23" s="43">
        <v>46125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46193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678</v>
      </c>
      <c r="C24" s="41" t="s">
        <v>679</v>
      </c>
      <c r="D24" s="39" t="s">
        <v>651</v>
      </c>
      <c r="E24" s="43">
        <v>46125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46193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24</v>
      </c>
      <c r="Z24" s="30" t="s">
        <v>25</v>
      </c>
      <c r="AA24" s="30" t="s">
        <v>26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24</v>
      </c>
      <c r="AI24" s="33" t="s">
        <v>25</v>
      </c>
      <c r="AJ24" s="33" t="s">
        <v>26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680</v>
      </c>
      <c r="C25" s="25" t="s">
        <v>681</v>
      </c>
      <c r="D25" s="23" t="s">
        <v>651</v>
      </c>
      <c r="E25" s="43">
        <v>46125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46193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682</v>
      </c>
      <c r="C26" s="41" t="s">
        <v>683</v>
      </c>
      <c r="D26" s="39" t="s">
        <v>651</v>
      </c>
      <c r="E26" s="43">
        <v>46125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46193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24</v>
      </c>
      <c r="Z26" s="30" t="s">
        <v>25</v>
      </c>
      <c r="AA26" s="30" t="s">
        <v>26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24</v>
      </c>
      <c r="AI26" s="33" t="s">
        <v>25</v>
      </c>
      <c r="AJ26" s="33" t="s">
        <v>26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684</v>
      </c>
      <c r="C27" s="25" t="s">
        <v>685</v>
      </c>
      <c r="D27" s="23" t="s">
        <v>651</v>
      </c>
      <c r="E27" s="43">
        <v>46125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46193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686</v>
      </c>
      <c r="C28" s="41" t="s">
        <v>687</v>
      </c>
      <c r="D28" s="39" t="s">
        <v>651</v>
      </c>
      <c r="E28" s="43">
        <v>46125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46193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24</v>
      </c>
      <c r="AI28" s="33" t="s">
        <v>25</v>
      </c>
      <c r="AJ28" s="33" t="s">
        <v>26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688</v>
      </c>
      <c r="C29" s="25" t="s">
        <v>689</v>
      </c>
      <c r="D29" s="23" t="s">
        <v>651</v>
      </c>
      <c r="E29" s="43">
        <v>46125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46193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690</v>
      </c>
      <c r="C30" s="41" t="s">
        <v>691</v>
      </c>
      <c r="D30" s="39" t="s">
        <v>651</v>
      </c>
      <c r="E30" s="43">
        <v>46125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46193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24</v>
      </c>
      <c r="Z30" s="30" t="s">
        <v>25</v>
      </c>
      <c r="AA30" s="30" t="s">
        <v>26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24</v>
      </c>
      <c r="AI30" s="33" t="s">
        <v>25</v>
      </c>
      <c r="AJ30" s="33" t="s">
        <v>26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692</v>
      </c>
      <c r="C31" s="25" t="s">
        <v>693</v>
      </c>
      <c r="D31" s="23" t="s">
        <v>651</v>
      </c>
      <c r="E31" s="43">
        <v>46125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46193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24</v>
      </c>
      <c r="AI31" s="33" t="s">
        <v>25</v>
      </c>
      <c r="AJ31" s="33" t="s">
        <v>26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694</v>
      </c>
      <c r="C32" s="41" t="s">
        <v>695</v>
      </c>
      <c r="D32" s="39" t="s">
        <v>651</v>
      </c>
      <c r="E32" s="43">
        <v>46125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46193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24</v>
      </c>
      <c r="Z32" s="30" t="s">
        <v>25</v>
      </c>
      <c r="AA32" s="30" t="s">
        <v>26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24</v>
      </c>
      <c r="AI32" s="33" t="s">
        <v>25</v>
      </c>
      <c r="AJ32" s="33" t="s">
        <v>26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696</v>
      </c>
      <c r="C33" s="25" t="s">
        <v>697</v>
      </c>
      <c r="D33" s="23" t="s">
        <v>651</v>
      </c>
      <c r="E33" s="43">
        <v>46125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46193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24</v>
      </c>
      <c r="Z33" s="30" t="s">
        <v>25</v>
      </c>
      <c r="AA33" s="30" t="s">
        <v>26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24</v>
      </c>
      <c r="AI33" s="33" t="s">
        <v>25</v>
      </c>
      <c r="AJ33" s="33" t="s">
        <v>26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698</v>
      </c>
      <c r="C34" s="41" t="s">
        <v>699</v>
      </c>
      <c r="D34" s="39" t="s">
        <v>651</v>
      </c>
      <c r="E34" s="43">
        <v>46125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46193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24</v>
      </c>
      <c r="Z34" s="30" t="s">
        <v>25</v>
      </c>
      <c r="AA34" s="30" t="s">
        <v>26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24</v>
      </c>
      <c r="AI34" s="33" t="s">
        <v>25</v>
      </c>
      <c r="AJ34" s="33" t="s">
        <v>26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700</v>
      </c>
      <c r="C35" s="25" t="s">
        <v>701</v>
      </c>
      <c r="D35" s="23" t="s">
        <v>651</v>
      </c>
      <c r="E35" s="43">
        <v>46125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46193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24</v>
      </c>
      <c r="Z35" s="30" t="s">
        <v>25</v>
      </c>
      <c r="AA35" s="30" t="s">
        <v>26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24</v>
      </c>
      <c r="AI35" s="33" t="s">
        <v>25</v>
      </c>
      <c r="AJ35" s="33" t="s">
        <v>26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702</v>
      </c>
      <c r="C36" s="41" t="s">
        <v>703</v>
      </c>
      <c r="D36" s="39" t="s">
        <v>651</v>
      </c>
      <c r="E36" s="43">
        <v>46125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46193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24</v>
      </c>
      <c r="Z36" s="30" t="s">
        <v>25</v>
      </c>
      <c r="AA36" s="30" t="s">
        <v>26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24</v>
      </c>
      <c r="AI36" s="33" t="s">
        <v>25</v>
      </c>
      <c r="AJ36" s="33" t="s">
        <v>26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704</v>
      </c>
      <c r="C37" s="25" t="s">
        <v>705</v>
      </c>
      <c r="D37" s="23" t="s">
        <v>651</v>
      </c>
      <c r="E37" s="43">
        <v>46125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si="0"/>
        <v>✓ OK</v>
      </c>
      <c r="N37" s="43">
        <v>46193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si="1"/>
        <v>✓ OK</v>
      </c>
      <c r="W37" s="45">
        <v>46248</v>
      </c>
      <c r="X37" s="30" t="s">
        <v>23</v>
      </c>
      <c r="Y37" s="30" t="s">
        <v>24</v>
      </c>
      <c r="Z37" s="30" t="s">
        <v>25</v>
      </c>
      <c r="AA37" s="30" t="s">
        <v>26</v>
      </c>
      <c r="AB37" s="30" t="s">
        <v>24</v>
      </c>
      <c r="AC37" s="27"/>
      <c r="AD37" s="31" t="s">
        <v>25</v>
      </c>
      <c r="AE37" s="32" t="str">
        <f t="shared" si="2"/>
        <v>✓ OK</v>
      </c>
      <c r="AF37" s="33" t="s">
        <v>27</v>
      </c>
      <c r="AG37" s="33" t="s">
        <v>23</v>
      </c>
      <c r="AH37" s="33" t="s">
        <v>24</v>
      </c>
      <c r="AI37" s="33" t="s">
        <v>25</v>
      </c>
      <c r="AJ37" s="33" t="s">
        <v>26</v>
      </c>
      <c r="AK37" s="33" t="s">
        <v>24</v>
      </c>
      <c r="AL37" s="27"/>
      <c r="AM37" s="34" t="s">
        <v>25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706</v>
      </c>
      <c r="C38" s="41" t="s">
        <v>707</v>
      </c>
      <c r="D38" s="39" t="s">
        <v>651</v>
      </c>
      <c r="E38" s="43">
        <v>46125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0"/>
        <v>✓ OK</v>
      </c>
      <c r="N38" s="43">
        <v>46193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1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2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708</v>
      </c>
      <c r="C39" s="25" t="s">
        <v>709</v>
      </c>
      <c r="D39" s="23" t="s">
        <v>651</v>
      </c>
      <c r="E39" s="43">
        <v>46125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0"/>
        <v>✓ OK</v>
      </c>
      <c r="N39" s="43">
        <v>46193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1"/>
        <v>✓ OK</v>
      </c>
      <c r="W39" s="45">
        <v>46248</v>
      </c>
      <c r="X39" s="30" t="s">
        <v>23</v>
      </c>
      <c r="Y39" s="30" t="s">
        <v>24</v>
      </c>
      <c r="Z39" s="30" t="s">
        <v>25</v>
      </c>
      <c r="AA39" s="30" t="s">
        <v>26</v>
      </c>
      <c r="AB39" s="30" t="s">
        <v>24</v>
      </c>
      <c r="AC39" s="27"/>
      <c r="AD39" s="31" t="s">
        <v>25</v>
      </c>
      <c r="AE39" s="32" t="str">
        <f t="shared" si="2"/>
        <v>✓ OK</v>
      </c>
      <c r="AF39" s="33" t="s">
        <v>27</v>
      </c>
      <c r="AG39" s="33" t="s">
        <v>23</v>
      </c>
      <c r="AH39" s="33" t="s">
        <v>24</v>
      </c>
      <c r="AI39" s="33" t="s">
        <v>25</v>
      </c>
      <c r="AJ39" s="33" t="s">
        <v>26</v>
      </c>
      <c r="AK39" s="33" t="s">
        <v>24</v>
      </c>
      <c r="AL39" s="27"/>
      <c r="AM39" s="34" t="s">
        <v>25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710</v>
      </c>
      <c r="C40" s="41" t="s">
        <v>711</v>
      </c>
      <c r="D40" s="39" t="s">
        <v>651</v>
      </c>
      <c r="E40" s="43">
        <v>46125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0"/>
        <v>✓ OK</v>
      </c>
      <c r="N40" s="43">
        <v>46193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1"/>
        <v>✓ OK</v>
      </c>
      <c r="W40" s="45">
        <v>46248</v>
      </c>
      <c r="X40" s="30" t="s">
        <v>23</v>
      </c>
      <c r="Y40" s="30" t="s">
        <v>24</v>
      </c>
      <c r="Z40" s="30" t="s">
        <v>25</v>
      </c>
      <c r="AA40" s="30" t="s">
        <v>26</v>
      </c>
      <c r="AB40" s="30" t="s">
        <v>24</v>
      </c>
      <c r="AC40" s="27"/>
      <c r="AD40" s="31" t="s">
        <v>25</v>
      </c>
      <c r="AE40" s="32" t="str">
        <f t="shared" si="2"/>
        <v>✓ OK</v>
      </c>
      <c r="AF40" s="33" t="s">
        <v>27</v>
      </c>
      <c r="AG40" s="33" t="s">
        <v>23</v>
      </c>
      <c r="AH40" s="33" t="s">
        <v>24</v>
      </c>
      <c r="AI40" s="33" t="s">
        <v>25</v>
      </c>
      <c r="AJ40" s="33" t="s">
        <v>26</v>
      </c>
      <c r="AK40" s="33" t="s">
        <v>24</v>
      </c>
      <c r="AL40" s="27"/>
      <c r="AM40" s="34" t="s">
        <v>25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712</v>
      </c>
      <c r="C41" s="25" t="s">
        <v>713</v>
      </c>
      <c r="D41" s="23" t="s">
        <v>651</v>
      </c>
      <c r="E41" s="43">
        <v>46125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0"/>
        <v>✓ OK</v>
      </c>
      <c r="N41" s="43">
        <v>46193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1"/>
        <v>✓ OK</v>
      </c>
      <c r="W41" s="45">
        <v>46248</v>
      </c>
      <c r="X41" s="30" t="s">
        <v>23</v>
      </c>
      <c r="Y41" s="30" t="s">
        <v>24</v>
      </c>
      <c r="Z41" s="30" t="s">
        <v>25</v>
      </c>
      <c r="AA41" s="30" t="s">
        <v>26</v>
      </c>
      <c r="AB41" s="30" t="s">
        <v>24</v>
      </c>
      <c r="AC41" s="27"/>
      <c r="AD41" s="31" t="s">
        <v>25</v>
      </c>
      <c r="AE41" s="32" t="str">
        <f t="shared" si="2"/>
        <v>✓ OK</v>
      </c>
      <c r="AF41" s="33" t="s">
        <v>27</v>
      </c>
      <c r="AG41" s="33" t="s">
        <v>23</v>
      </c>
      <c r="AH41" s="33" t="s">
        <v>24</v>
      </c>
      <c r="AI41" s="33" t="s">
        <v>25</v>
      </c>
      <c r="AJ41" s="33" t="s">
        <v>26</v>
      </c>
      <c r="AK41" s="33" t="s">
        <v>24</v>
      </c>
      <c r="AL41" s="27"/>
      <c r="AM41" s="34" t="s">
        <v>25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714</v>
      </c>
      <c r="C42" s="41" t="s">
        <v>715</v>
      </c>
      <c r="D42" s="39" t="s">
        <v>651</v>
      </c>
      <c r="E42" s="43">
        <v>46125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0"/>
        <v>✓ OK</v>
      </c>
      <c r="N42" s="43">
        <v>46193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1"/>
        <v>✓ OK</v>
      </c>
      <c r="W42" s="45">
        <v>46248</v>
      </c>
      <c r="X42" s="30" t="s">
        <v>23</v>
      </c>
      <c r="Y42" s="30" t="s">
        <v>24</v>
      </c>
      <c r="Z42" s="30" t="s">
        <v>25</v>
      </c>
      <c r="AA42" s="30" t="s">
        <v>26</v>
      </c>
      <c r="AB42" s="30" t="s">
        <v>24</v>
      </c>
      <c r="AC42" s="27"/>
      <c r="AD42" s="31" t="s">
        <v>25</v>
      </c>
      <c r="AE42" s="32" t="str">
        <f t="shared" si="2"/>
        <v>✓ OK</v>
      </c>
      <c r="AF42" s="33" t="s">
        <v>27</v>
      </c>
      <c r="AG42" s="33" t="s">
        <v>23</v>
      </c>
      <c r="AH42" s="33" t="s">
        <v>24</v>
      </c>
      <c r="AI42" s="33" t="s">
        <v>25</v>
      </c>
      <c r="AJ42" s="33" t="s">
        <v>26</v>
      </c>
      <c r="AK42" s="33" t="s">
        <v>24</v>
      </c>
      <c r="AL42" s="27"/>
      <c r="AM42" s="34" t="s">
        <v>25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716</v>
      </c>
      <c r="C43" s="25" t="s">
        <v>717</v>
      </c>
      <c r="D43" s="23" t="s">
        <v>651</v>
      </c>
      <c r="E43" s="43">
        <v>46125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0"/>
        <v>✓ OK</v>
      </c>
      <c r="N43" s="43">
        <v>46193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1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2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718</v>
      </c>
      <c r="C44" s="41" t="s">
        <v>719</v>
      </c>
      <c r="D44" s="39" t="s">
        <v>651</v>
      </c>
      <c r="E44" s="43">
        <v>46125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0"/>
        <v>✓ OK</v>
      </c>
      <c r="N44" s="43">
        <v>46193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1"/>
        <v>✓ OK</v>
      </c>
      <c r="W44" s="45">
        <v>46248</v>
      </c>
      <c r="X44" s="30" t="s">
        <v>23</v>
      </c>
      <c r="Y44" s="30" t="s">
        <v>24</v>
      </c>
      <c r="Z44" s="30" t="s">
        <v>25</v>
      </c>
      <c r="AA44" s="30" t="s">
        <v>26</v>
      </c>
      <c r="AB44" s="30" t="s">
        <v>24</v>
      </c>
      <c r="AC44" s="27"/>
      <c r="AD44" s="31" t="s">
        <v>25</v>
      </c>
      <c r="AE44" s="32" t="str">
        <f t="shared" si="2"/>
        <v>✓ OK</v>
      </c>
      <c r="AF44" s="33" t="s">
        <v>27</v>
      </c>
      <c r="AG44" s="33" t="s">
        <v>23</v>
      </c>
      <c r="AH44" s="33" t="s">
        <v>24</v>
      </c>
      <c r="AI44" s="33" t="s">
        <v>25</v>
      </c>
      <c r="AJ44" s="33" t="s">
        <v>26</v>
      </c>
      <c r="AK44" s="33" t="s">
        <v>24</v>
      </c>
      <c r="AL44" s="27"/>
      <c r="AM44" s="34" t="s">
        <v>25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720</v>
      </c>
      <c r="C45" s="25" t="s">
        <v>721</v>
      </c>
      <c r="D45" s="23" t="s">
        <v>651</v>
      </c>
      <c r="E45" s="43">
        <v>46125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0"/>
        <v>✓ OK</v>
      </c>
      <c r="N45" s="43">
        <v>46193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1"/>
        <v>✓ OK</v>
      </c>
      <c r="W45" s="45">
        <v>46248</v>
      </c>
      <c r="X45" s="30" t="s">
        <v>23</v>
      </c>
      <c r="Y45" s="30" t="s">
        <v>24</v>
      </c>
      <c r="Z45" s="30" t="s">
        <v>25</v>
      </c>
      <c r="AA45" s="30" t="s">
        <v>26</v>
      </c>
      <c r="AB45" s="30" t="s">
        <v>24</v>
      </c>
      <c r="AC45" s="27"/>
      <c r="AD45" s="31" t="s">
        <v>25</v>
      </c>
      <c r="AE45" s="32" t="str">
        <f t="shared" si="2"/>
        <v>✓ OK</v>
      </c>
      <c r="AF45" s="33" t="s">
        <v>27</v>
      </c>
      <c r="AG45" s="33" t="s">
        <v>23</v>
      </c>
      <c r="AH45" s="33" t="s">
        <v>24</v>
      </c>
      <c r="AI45" s="33" t="s">
        <v>25</v>
      </c>
      <c r="AJ45" s="33" t="s">
        <v>26</v>
      </c>
      <c r="AK45" s="33" t="s">
        <v>24</v>
      </c>
      <c r="AL45" s="27"/>
      <c r="AM45" s="34" t="s">
        <v>25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722</v>
      </c>
      <c r="C46" s="41" t="s">
        <v>723</v>
      </c>
      <c r="D46" s="39" t="s">
        <v>651</v>
      </c>
      <c r="E46" s="43">
        <v>46125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0"/>
        <v>✓ OK</v>
      </c>
      <c r="N46" s="43">
        <v>46193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1"/>
        <v>✓ OK</v>
      </c>
      <c r="W46" s="45">
        <v>46248</v>
      </c>
      <c r="X46" s="30" t="s">
        <v>23</v>
      </c>
      <c r="Y46" s="30" t="s">
        <v>24</v>
      </c>
      <c r="Z46" s="30" t="s">
        <v>25</v>
      </c>
      <c r="AA46" s="30" t="s">
        <v>26</v>
      </c>
      <c r="AB46" s="30" t="s">
        <v>24</v>
      </c>
      <c r="AC46" s="27"/>
      <c r="AD46" s="31" t="s">
        <v>25</v>
      </c>
      <c r="AE46" s="32" t="str">
        <f t="shared" si="2"/>
        <v>✓ OK</v>
      </c>
      <c r="AF46" s="33" t="s">
        <v>27</v>
      </c>
      <c r="AG46" s="33" t="s">
        <v>23</v>
      </c>
      <c r="AH46" s="33" t="s">
        <v>24</v>
      </c>
      <c r="AI46" s="33" t="s">
        <v>25</v>
      </c>
      <c r="AJ46" s="33" t="s">
        <v>26</v>
      </c>
      <c r="AK46" s="33" t="s">
        <v>24</v>
      </c>
      <c r="AL46" s="27"/>
      <c r="AM46" s="34" t="s">
        <v>25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724</v>
      </c>
      <c r="C47" s="25" t="s">
        <v>725</v>
      </c>
      <c r="D47" s="23" t="s">
        <v>651</v>
      </c>
      <c r="E47" s="43">
        <v>46125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0"/>
        <v>✓ OK</v>
      </c>
      <c r="N47" s="43">
        <v>46193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1"/>
        <v>✓ OK</v>
      </c>
      <c r="W47" s="45">
        <v>46248</v>
      </c>
      <c r="X47" s="30" t="s">
        <v>23</v>
      </c>
      <c r="Y47" s="30" t="s">
        <v>24</v>
      </c>
      <c r="Z47" s="30" t="s">
        <v>25</v>
      </c>
      <c r="AA47" s="30" t="s">
        <v>26</v>
      </c>
      <c r="AB47" s="30" t="s">
        <v>24</v>
      </c>
      <c r="AC47" s="27"/>
      <c r="AD47" s="31" t="s">
        <v>25</v>
      </c>
      <c r="AE47" s="32" t="str">
        <f t="shared" si="2"/>
        <v>✓ OK</v>
      </c>
      <c r="AF47" s="33" t="s">
        <v>27</v>
      </c>
      <c r="AG47" s="33" t="s">
        <v>23</v>
      </c>
      <c r="AH47" s="33" t="s">
        <v>24</v>
      </c>
      <c r="AI47" s="33" t="s">
        <v>25</v>
      </c>
      <c r="AJ47" s="33" t="s">
        <v>26</v>
      </c>
      <c r="AK47" s="33" t="s">
        <v>24</v>
      </c>
      <c r="AL47" s="27"/>
      <c r="AM47" s="34" t="s">
        <v>25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726</v>
      </c>
      <c r="C48" s="41" t="s">
        <v>727</v>
      </c>
      <c r="D48" s="39" t="s">
        <v>651</v>
      </c>
      <c r="E48" s="43">
        <v>46125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0"/>
        <v>✓ OK</v>
      </c>
      <c r="N48" s="43">
        <v>46193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1"/>
        <v>✓ OK</v>
      </c>
      <c r="W48" s="45">
        <v>46248</v>
      </c>
      <c r="X48" s="30" t="s">
        <v>23</v>
      </c>
      <c r="Y48" s="30" t="s">
        <v>24</v>
      </c>
      <c r="Z48" s="30" t="s">
        <v>25</v>
      </c>
      <c r="AA48" s="30" t="s">
        <v>26</v>
      </c>
      <c r="AB48" s="30" t="s">
        <v>24</v>
      </c>
      <c r="AC48" s="27"/>
      <c r="AD48" s="31" t="s">
        <v>25</v>
      </c>
      <c r="AE48" s="32" t="str">
        <f t="shared" si="2"/>
        <v>✓ OK</v>
      </c>
      <c r="AF48" s="33" t="s">
        <v>27</v>
      </c>
      <c r="AG48" s="33" t="s">
        <v>23</v>
      </c>
      <c r="AH48" s="33" t="s">
        <v>24</v>
      </c>
      <c r="AI48" s="33" t="s">
        <v>25</v>
      </c>
      <c r="AJ48" s="33" t="s">
        <v>26</v>
      </c>
      <c r="AK48" s="33" t="s">
        <v>24</v>
      </c>
      <c r="AL48" s="27"/>
      <c r="AM48" s="34" t="s">
        <v>25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53</v>
      </c>
      <c r="B49" s="24" t="s">
        <v>728</v>
      </c>
      <c r="C49" s="25" t="s">
        <v>729</v>
      </c>
      <c r="D49" s="23" t="s">
        <v>730</v>
      </c>
      <c r="E49" s="43">
        <v>46125</v>
      </c>
      <c r="F49" s="26" t="s">
        <v>23</v>
      </c>
      <c r="G49" s="26" t="s">
        <v>24</v>
      </c>
      <c r="H49" s="26" t="s">
        <v>25</v>
      </c>
      <c r="I49" s="26" t="s">
        <v>731</v>
      </c>
      <c r="J49" s="26" t="s">
        <v>25</v>
      </c>
      <c r="K49" s="27" t="s">
        <v>732</v>
      </c>
      <c r="L49" s="28" t="s">
        <v>24</v>
      </c>
      <c r="M49" s="29" t="str">
        <f t="shared" si="0"/>
        <v>⚠ Check</v>
      </c>
      <c r="N49" s="43">
        <v>46193</v>
      </c>
      <c r="O49" s="26" t="s">
        <v>23</v>
      </c>
      <c r="P49" s="26" t="s">
        <v>24</v>
      </c>
      <c r="Q49" s="26" t="s">
        <v>25</v>
      </c>
      <c r="R49" s="26" t="s">
        <v>731</v>
      </c>
      <c r="S49" s="26" t="s">
        <v>25</v>
      </c>
      <c r="T49" s="27" t="s">
        <v>732</v>
      </c>
      <c r="U49" s="28" t="s">
        <v>24</v>
      </c>
      <c r="V49" s="29" t="str">
        <f t="shared" si="1"/>
        <v>⚠ Check</v>
      </c>
      <c r="W49" s="45">
        <v>46248</v>
      </c>
      <c r="X49" s="30" t="s">
        <v>23</v>
      </c>
      <c r="Y49" s="30" t="s">
        <v>24</v>
      </c>
      <c r="Z49" s="30" t="s">
        <v>25</v>
      </c>
      <c r="AA49" s="30" t="s">
        <v>731</v>
      </c>
      <c r="AB49" s="30" t="s">
        <v>25</v>
      </c>
      <c r="AC49" s="27" t="s">
        <v>732</v>
      </c>
      <c r="AD49" s="31" t="s">
        <v>24</v>
      </c>
      <c r="AE49" s="32" t="str">
        <f t="shared" si="2"/>
        <v>⚠ Check</v>
      </c>
      <c r="AF49" s="33" t="s">
        <v>27</v>
      </c>
      <c r="AG49" s="33" t="s">
        <v>23</v>
      </c>
      <c r="AH49" s="33" t="s">
        <v>24</v>
      </c>
      <c r="AI49" s="33" t="s">
        <v>25</v>
      </c>
      <c r="AJ49" s="33" t="s">
        <v>26</v>
      </c>
      <c r="AK49" s="33" t="s">
        <v>24</v>
      </c>
      <c r="AL49" s="27"/>
      <c r="AM49" s="34" t="s">
        <v>25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54</v>
      </c>
      <c r="B50" s="40" t="s">
        <v>733</v>
      </c>
      <c r="C50" s="41" t="s">
        <v>734</v>
      </c>
      <c r="D50" s="39" t="s">
        <v>730</v>
      </c>
      <c r="E50" s="43">
        <v>46125</v>
      </c>
      <c r="F50" s="26" t="s">
        <v>23</v>
      </c>
      <c r="G50" s="26" t="s">
        <v>25</v>
      </c>
      <c r="H50" s="26" t="s">
        <v>25</v>
      </c>
      <c r="I50" s="26" t="s">
        <v>735</v>
      </c>
      <c r="J50" s="26" t="s">
        <v>25</v>
      </c>
      <c r="K50" s="27"/>
      <c r="L50" s="28" t="s">
        <v>24</v>
      </c>
      <c r="M50" s="29" t="str">
        <f t="shared" si="0"/>
        <v>⚠ Missing</v>
      </c>
      <c r="N50" s="43">
        <v>46193</v>
      </c>
      <c r="O50" s="26" t="s">
        <v>23</v>
      </c>
      <c r="P50" s="26" t="s">
        <v>25</v>
      </c>
      <c r="Q50" s="26" t="s">
        <v>25</v>
      </c>
      <c r="R50" s="26" t="s">
        <v>735</v>
      </c>
      <c r="S50" s="26" t="s">
        <v>25</v>
      </c>
      <c r="T50" s="27"/>
      <c r="U50" s="28" t="s">
        <v>24</v>
      </c>
      <c r="V50" s="29" t="str">
        <f t="shared" si="1"/>
        <v>⚠ Missing</v>
      </c>
      <c r="W50" s="45">
        <v>46248</v>
      </c>
      <c r="X50" s="30" t="s">
        <v>23</v>
      </c>
      <c r="Y50" s="30" t="s">
        <v>25</v>
      </c>
      <c r="Z50" s="30" t="s">
        <v>25</v>
      </c>
      <c r="AA50" s="30" t="s">
        <v>735</v>
      </c>
      <c r="AB50" s="30" t="s">
        <v>25</v>
      </c>
      <c r="AC50" s="27"/>
      <c r="AD50" s="31" t="s">
        <v>24</v>
      </c>
      <c r="AE50" s="32" t="str">
        <f t="shared" si="2"/>
        <v>⚠ Missing</v>
      </c>
      <c r="AF50" s="33" t="s">
        <v>27</v>
      </c>
      <c r="AG50" s="33" t="s">
        <v>23</v>
      </c>
      <c r="AH50" s="33" t="s">
        <v>25</v>
      </c>
      <c r="AI50" s="33" t="s">
        <v>25</v>
      </c>
      <c r="AJ50" s="33" t="s">
        <v>735</v>
      </c>
      <c r="AK50" s="33" t="s">
        <v>25</v>
      </c>
      <c r="AL50" s="27"/>
      <c r="AM50" s="34" t="s">
        <v>24</v>
      </c>
      <c r="AN50" s="35" t="str">
        <f t="shared" si="3"/>
        <v>⚠ Missing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55</v>
      </c>
      <c r="B51" s="24" t="s">
        <v>736</v>
      </c>
      <c r="C51" s="25" t="s">
        <v>737</v>
      </c>
      <c r="D51" s="23" t="s">
        <v>730</v>
      </c>
      <c r="E51" s="43">
        <v>46125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0"/>
        <v>✓ OK</v>
      </c>
      <c r="N51" s="43">
        <v>46193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1"/>
        <v>✓ OK</v>
      </c>
      <c r="W51" s="45">
        <v>46248</v>
      </c>
      <c r="X51" s="30" t="s">
        <v>23</v>
      </c>
      <c r="Y51" s="30" t="s">
        <v>24</v>
      </c>
      <c r="Z51" s="30" t="s">
        <v>25</v>
      </c>
      <c r="AA51" s="30" t="s">
        <v>26</v>
      </c>
      <c r="AB51" s="30" t="s">
        <v>24</v>
      </c>
      <c r="AC51" s="27"/>
      <c r="AD51" s="31" t="s">
        <v>25</v>
      </c>
      <c r="AE51" s="32" t="str">
        <f t="shared" si="2"/>
        <v>✓ OK</v>
      </c>
      <c r="AF51" s="33" t="s">
        <v>27</v>
      </c>
      <c r="AG51" s="33" t="s">
        <v>23</v>
      </c>
      <c r="AH51" s="33" t="s">
        <v>24</v>
      </c>
      <c r="AI51" s="33" t="s">
        <v>25</v>
      </c>
      <c r="AJ51" s="33" t="s">
        <v>26</v>
      </c>
      <c r="AK51" s="33" t="s">
        <v>24</v>
      </c>
      <c r="AL51" s="27"/>
      <c r="AM51" s="34" t="s">
        <v>25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56</v>
      </c>
      <c r="B52" s="40" t="s">
        <v>738</v>
      </c>
      <c r="C52" s="41" t="s">
        <v>739</v>
      </c>
      <c r="D52" s="39" t="s">
        <v>730</v>
      </c>
      <c r="E52" s="43">
        <v>46125</v>
      </c>
      <c r="F52" s="26" t="s">
        <v>23</v>
      </c>
      <c r="G52" s="26" t="s">
        <v>24</v>
      </c>
      <c r="H52" s="26" t="s">
        <v>25</v>
      </c>
      <c r="I52" s="26" t="s">
        <v>731</v>
      </c>
      <c r="J52" s="26" t="s">
        <v>25</v>
      </c>
      <c r="K52" s="27" t="s">
        <v>740</v>
      </c>
      <c r="L52" s="28" t="s">
        <v>24</v>
      </c>
      <c r="M52" s="29" t="str">
        <f t="shared" si="0"/>
        <v>⚠ Check</v>
      </c>
      <c r="N52" s="43">
        <v>46193</v>
      </c>
      <c r="O52" s="26" t="s">
        <v>23</v>
      </c>
      <c r="P52" s="26" t="s">
        <v>24</v>
      </c>
      <c r="Q52" s="26" t="s">
        <v>25</v>
      </c>
      <c r="R52" s="26" t="s">
        <v>731</v>
      </c>
      <c r="S52" s="26" t="s">
        <v>25</v>
      </c>
      <c r="T52" s="27" t="s">
        <v>740</v>
      </c>
      <c r="U52" s="28" t="s">
        <v>24</v>
      </c>
      <c r="V52" s="29" t="str">
        <f t="shared" si="1"/>
        <v>⚠ Check</v>
      </c>
      <c r="W52" s="45">
        <v>46248</v>
      </c>
      <c r="X52" s="30" t="s">
        <v>23</v>
      </c>
      <c r="Y52" s="30" t="s">
        <v>24</v>
      </c>
      <c r="Z52" s="30" t="s">
        <v>25</v>
      </c>
      <c r="AA52" s="30" t="s">
        <v>26</v>
      </c>
      <c r="AB52" s="30" t="s">
        <v>24</v>
      </c>
      <c r="AC52" s="27"/>
      <c r="AD52" s="31" t="s">
        <v>24</v>
      </c>
      <c r="AE52" s="32" t="str">
        <f t="shared" si="2"/>
        <v>✓ OK</v>
      </c>
      <c r="AF52" s="33" t="s">
        <v>27</v>
      </c>
      <c r="AG52" s="33" t="s">
        <v>23</v>
      </c>
      <c r="AH52" s="33" t="s">
        <v>24</v>
      </c>
      <c r="AI52" s="33" t="s">
        <v>25</v>
      </c>
      <c r="AJ52" s="33" t="s">
        <v>26</v>
      </c>
      <c r="AK52" s="33" t="s">
        <v>24</v>
      </c>
      <c r="AL52" s="27"/>
      <c r="AM52" s="34" t="s">
        <v>25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57</v>
      </c>
      <c r="B53" s="24" t="s">
        <v>741</v>
      </c>
      <c r="C53" s="25" t="s">
        <v>742</v>
      </c>
      <c r="D53" s="23" t="s">
        <v>730</v>
      </c>
      <c r="E53" s="43">
        <v>46125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0"/>
        <v>✓ OK</v>
      </c>
      <c r="N53" s="43">
        <v>46193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1"/>
        <v>✓ OK</v>
      </c>
      <c r="W53" s="45">
        <v>46248</v>
      </c>
      <c r="X53" s="30" t="s">
        <v>23</v>
      </c>
      <c r="Y53" s="30" t="s">
        <v>24</v>
      </c>
      <c r="Z53" s="30" t="s">
        <v>25</v>
      </c>
      <c r="AA53" s="30" t="s">
        <v>26</v>
      </c>
      <c r="AB53" s="30" t="s">
        <v>24</v>
      </c>
      <c r="AC53" s="27"/>
      <c r="AD53" s="31" t="s">
        <v>25</v>
      </c>
      <c r="AE53" s="32" t="str">
        <f t="shared" si="2"/>
        <v>✓ OK</v>
      </c>
      <c r="AF53" s="33" t="s">
        <v>27</v>
      </c>
      <c r="AG53" s="33" t="s">
        <v>23</v>
      </c>
      <c r="AH53" s="33" t="s">
        <v>24</v>
      </c>
      <c r="AI53" s="33" t="s">
        <v>25</v>
      </c>
      <c r="AJ53" s="33" t="s">
        <v>26</v>
      </c>
      <c r="AK53" s="33" t="s">
        <v>24</v>
      </c>
      <c r="AL53" s="27"/>
      <c r="AM53" s="34" t="s">
        <v>25</v>
      </c>
      <c r="AN53" s="35" t="str">
        <f t="shared" si="3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58</v>
      </c>
      <c r="B54" s="40" t="s">
        <v>743</v>
      </c>
      <c r="C54" s="41" t="s">
        <v>744</v>
      </c>
      <c r="D54" s="39" t="s">
        <v>730</v>
      </c>
      <c r="E54" s="43">
        <v>46125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0"/>
        <v>✓ OK</v>
      </c>
      <c r="N54" s="43">
        <v>46193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1"/>
        <v>✓ OK</v>
      </c>
      <c r="W54" s="45">
        <v>46248</v>
      </c>
      <c r="X54" s="30" t="s">
        <v>23</v>
      </c>
      <c r="Y54" s="30" t="s">
        <v>24</v>
      </c>
      <c r="Z54" s="30" t="s">
        <v>25</v>
      </c>
      <c r="AA54" s="30" t="s">
        <v>26</v>
      </c>
      <c r="AB54" s="30" t="s">
        <v>24</v>
      </c>
      <c r="AC54" s="27"/>
      <c r="AD54" s="31" t="s">
        <v>25</v>
      </c>
      <c r="AE54" s="32" t="str">
        <f t="shared" si="2"/>
        <v>✓ OK</v>
      </c>
      <c r="AF54" s="33" t="s">
        <v>27</v>
      </c>
      <c r="AG54" s="33" t="s">
        <v>23</v>
      </c>
      <c r="AH54" s="33" t="s">
        <v>24</v>
      </c>
      <c r="AI54" s="33" t="s">
        <v>25</v>
      </c>
      <c r="AJ54" s="33" t="s">
        <v>26</v>
      </c>
      <c r="AK54" s="33" t="s">
        <v>24</v>
      </c>
      <c r="AL54" s="27"/>
      <c r="AM54" s="34" t="s">
        <v>25</v>
      </c>
      <c r="AN54" s="35" t="str">
        <f t="shared" si="3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59</v>
      </c>
      <c r="B55" s="24" t="s">
        <v>745</v>
      </c>
      <c r="C55" s="25" t="s">
        <v>746</v>
      </c>
      <c r="D55" s="23" t="s">
        <v>730</v>
      </c>
      <c r="E55" s="43">
        <v>46125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0"/>
        <v>✓ OK</v>
      </c>
      <c r="N55" s="43">
        <v>46193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1"/>
        <v>✓ OK</v>
      </c>
      <c r="W55" s="45">
        <v>46248</v>
      </c>
      <c r="X55" s="30" t="s">
        <v>23</v>
      </c>
      <c r="Y55" s="30" t="s">
        <v>24</v>
      </c>
      <c r="Z55" s="30" t="s">
        <v>25</v>
      </c>
      <c r="AA55" s="30" t="s">
        <v>26</v>
      </c>
      <c r="AB55" s="30" t="s">
        <v>24</v>
      </c>
      <c r="AC55" s="27"/>
      <c r="AD55" s="31" t="s">
        <v>25</v>
      </c>
      <c r="AE55" s="32" t="str">
        <f t="shared" si="2"/>
        <v>✓ OK</v>
      </c>
      <c r="AF55" s="33" t="s">
        <v>27</v>
      </c>
      <c r="AG55" s="33" t="s">
        <v>23</v>
      </c>
      <c r="AH55" s="33" t="s">
        <v>24</v>
      </c>
      <c r="AI55" s="33" t="s">
        <v>25</v>
      </c>
      <c r="AJ55" s="33" t="s">
        <v>26</v>
      </c>
      <c r="AK55" s="33" t="s">
        <v>24</v>
      </c>
      <c r="AL55" s="27"/>
      <c r="AM55" s="34" t="s">
        <v>25</v>
      </c>
      <c r="AN55" s="35" t="str">
        <f t="shared" si="3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60</v>
      </c>
      <c r="B56" s="40" t="s">
        <v>747</v>
      </c>
      <c r="C56" s="41" t="s">
        <v>748</v>
      </c>
      <c r="D56" s="39" t="s">
        <v>730</v>
      </c>
      <c r="E56" s="43">
        <v>46125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0"/>
        <v>✓ OK</v>
      </c>
      <c r="N56" s="43">
        <v>46193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1"/>
        <v>✓ OK</v>
      </c>
      <c r="W56" s="45">
        <v>46248</v>
      </c>
      <c r="X56" s="30" t="s">
        <v>23</v>
      </c>
      <c r="Y56" s="30" t="s">
        <v>24</v>
      </c>
      <c r="Z56" s="30" t="s">
        <v>25</v>
      </c>
      <c r="AA56" s="30" t="s">
        <v>26</v>
      </c>
      <c r="AB56" s="30" t="s">
        <v>24</v>
      </c>
      <c r="AC56" s="27"/>
      <c r="AD56" s="31" t="s">
        <v>25</v>
      </c>
      <c r="AE56" s="32" t="str">
        <f t="shared" si="2"/>
        <v>✓ OK</v>
      </c>
      <c r="AF56" s="33" t="s">
        <v>27</v>
      </c>
      <c r="AG56" s="33" t="s">
        <v>23</v>
      </c>
      <c r="AH56" s="33" t="s">
        <v>24</v>
      </c>
      <c r="AI56" s="33" t="s">
        <v>25</v>
      </c>
      <c r="AJ56" s="33" t="s">
        <v>26</v>
      </c>
      <c r="AK56" s="33" t="s">
        <v>24</v>
      </c>
      <c r="AL56" s="27"/>
      <c r="AM56" s="34" t="s">
        <v>25</v>
      </c>
      <c r="AN56" s="35" t="str">
        <f t="shared" si="3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61</v>
      </c>
      <c r="B57" s="24" t="s">
        <v>749</v>
      </c>
      <c r="C57" s="25" t="s">
        <v>750</v>
      </c>
      <c r="D57" s="23" t="s">
        <v>730</v>
      </c>
      <c r="E57" s="43">
        <v>46125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0"/>
        <v>✓ OK</v>
      </c>
      <c r="N57" s="43">
        <v>46193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1"/>
        <v>✓ OK</v>
      </c>
      <c r="W57" s="45">
        <v>46248</v>
      </c>
      <c r="X57" s="30" t="s">
        <v>23</v>
      </c>
      <c r="Y57" s="30" t="s">
        <v>24</v>
      </c>
      <c r="Z57" s="30" t="s">
        <v>25</v>
      </c>
      <c r="AA57" s="30" t="s">
        <v>26</v>
      </c>
      <c r="AB57" s="30" t="s">
        <v>24</v>
      </c>
      <c r="AC57" s="27"/>
      <c r="AD57" s="31" t="s">
        <v>25</v>
      </c>
      <c r="AE57" s="32" t="str">
        <f t="shared" si="2"/>
        <v>✓ OK</v>
      </c>
      <c r="AF57" s="33" t="s">
        <v>27</v>
      </c>
      <c r="AG57" s="33" t="s">
        <v>23</v>
      </c>
      <c r="AH57" s="33" t="s">
        <v>24</v>
      </c>
      <c r="AI57" s="33" t="s">
        <v>25</v>
      </c>
      <c r="AJ57" s="33" t="s">
        <v>26</v>
      </c>
      <c r="AK57" s="33" t="s">
        <v>24</v>
      </c>
      <c r="AL57" s="27"/>
      <c r="AM57" s="34" t="s">
        <v>25</v>
      </c>
      <c r="AN57" s="35" t="str">
        <f t="shared" si="3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62</v>
      </c>
      <c r="B58" s="40" t="s">
        <v>751</v>
      </c>
      <c r="C58" s="41" t="s">
        <v>752</v>
      </c>
      <c r="D58" s="39" t="s">
        <v>730</v>
      </c>
      <c r="E58" s="43">
        <v>46125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0"/>
        <v>✓ OK</v>
      </c>
      <c r="N58" s="43">
        <v>46193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1"/>
        <v>✓ OK</v>
      </c>
      <c r="W58" s="45">
        <v>46248</v>
      </c>
      <c r="X58" s="30" t="s">
        <v>23</v>
      </c>
      <c r="Y58" s="30" t="s">
        <v>24</v>
      </c>
      <c r="Z58" s="30" t="s">
        <v>25</v>
      </c>
      <c r="AA58" s="30" t="s">
        <v>26</v>
      </c>
      <c r="AB58" s="30" t="s">
        <v>24</v>
      </c>
      <c r="AC58" s="27"/>
      <c r="AD58" s="31" t="s">
        <v>25</v>
      </c>
      <c r="AE58" s="32" t="str">
        <f t="shared" si="2"/>
        <v>✓ OK</v>
      </c>
      <c r="AF58" s="33" t="s">
        <v>27</v>
      </c>
      <c r="AG58" s="33" t="s">
        <v>23</v>
      </c>
      <c r="AH58" s="33" t="s">
        <v>24</v>
      </c>
      <c r="AI58" s="33" t="s">
        <v>25</v>
      </c>
      <c r="AJ58" s="33" t="s">
        <v>26</v>
      </c>
      <c r="AK58" s="33" t="s">
        <v>24</v>
      </c>
      <c r="AL58" s="27"/>
      <c r="AM58" s="34" t="s">
        <v>25</v>
      </c>
      <c r="AN58" s="35" t="str">
        <f t="shared" si="3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63</v>
      </c>
      <c r="B59" s="24" t="s">
        <v>753</v>
      </c>
      <c r="C59" s="25" t="s">
        <v>754</v>
      </c>
      <c r="D59" s="23" t="s">
        <v>730</v>
      </c>
      <c r="E59" s="43">
        <v>46125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0"/>
        <v>✓ OK</v>
      </c>
      <c r="N59" s="43">
        <v>46193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1"/>
        <v>✓ OK</v>
      </c>
      <c r="W59" s="45">
        <v>46248</v>
      </c>
      <c r="X59" s="30" t="s">
        <v>23</v>
      </c>
      <c r="Y59" s="30" t="s">
        <v>24</v>
      </c>
      <c r="Z59" s="30" t="s">
        <v>25</v>
      </c>
      <c r="AA59" s="30" t="s">
        <v>26</v>
      </c>
      <c r="AB59" s="30" t="s">
        <v>24</v>
      </c>
      <c r="AC59" s="27"/>
      <c r="AD59" s="31" t="s">
        <v>25</v>
      </c>
      <c r="AE59" s="32" t="str">
        <f t="shared" si="2"/>
        <v>✓ OK</v>
      </c>
      <c r="AF59" s="33" t="s">
        <v>27</v>
      </c>
      <c r="AG59" s="33" t="s">
        <v>23</v>
      </c>
      <c r="AH59" s="33" t="s">
        <v>25</v>
      </c>
      <c r="AI59" s="33" t="s">
        <v>24</v>
      </c>
      <c r="AJ59" s="33" t="s">
        <v>135</v>
      </c>
      <c r="AK59" s="33" t="s">
        <v>25</v>
      </c>
      <c r="AL59" s="27"/>
      <c r="AM59" s="34" t="s">
        <v>25</v>
      </c>
      <c r="AN59" s="35" t="str">
        <f t="shared" si="3"/>
        <v>❌ Disc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64</v>
      </c>
      <c r="B60" s="40" t="s">
        <v>755</v>
      </c>
      <c r="C60" s="41" t="s">
        <v>756</v>
      </c>
      <c r="D60" s="39" t="s">
        <v>730</v>
      </c>
      <c r="E60" s="43">
        <v>46125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0"/>
        <v>✓ OK</v>
      </c>
      <c r="N60" s="43">
        <v>46193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1"/>
        <v>✓ OK</v>
      </c>
      <c r="W60" s="45">
        <v>46248</v>
      </c>
      <c r="X60" s="30" t="s">
        <v>23</v>
      </c>
      <c r="Y60" s="30" t="s">
        <v>24</v>
      </c>
      <c r="Z60" s="30" t="s">
        <v>25</v>
      </c>
      <c r="AA60" s="30" t="s">
        <v>26</v>
      </c>
      <c r="AB60" s="30" t="s">
        <v>24</v>
      </c>
      <c r="AC60" s="27"/>
      <c r="AD60" s="31" t="s">
        <v>25</v>
      </c>
      <c r="AE60" s="32" t="str">
        <f t="shared" si="2"/>
        <v>✓ OK</v>
      </c>
      <c r="AF60" s="33" t="s">
        <v>27</v>
      </c>
      <c r="AG60" s="33" t="s">
        <v>23</v>
      </c>
      <c r="AH60" s="33" t="s">
        <v>24</v>
      </c>
      <c r="AI60" s="33" t="s">
        <v>25</v>
      </c>
      <c r="AJ60" s="33" t="s">
        <v>26</v>
      </c>
      <c r="AK60" s="33" t="s">
        <v>24</v>
      </c>
      <c r="AL60" s="27"/>
      <c r="AM60" s="34" t="s">
        <v>25</v>
      </c>
      <c r="AN60" s="35" t="str">
        <f t="shared" si="3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65</v>
      </c>
      <c r="B61" s="24" t="s">
        <v>757</v>
      </c>
      <c r="C61" s="25" t="s">
        <v>758</v>
      </c>
      <c r="D61" s="23" t="s">
        <v>730</v>
      </c>
      <c r="E61" s="43">
        <v>46125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0"/>
        <v>✓ OK</v>
      </c>
      <c r="N61" s="43">
        <v>46193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1"/>
        <v>✓ OK</v>
      </c>
      <c r="W61" s="45">
        <v>46248</v>
      </c>
      <c r="X61" s="30" t="s">
        <v>23</v>
      </c>
      <c r="Y61" s="30" t="s">
        <v>24</v>
      </c>
      <c r="Z61" s="30" t="s">
        <v>25</v>
      </c>
      <c r="AA61" s="30" t="s">
        <v>26</v>
      </c>
      <c r="AB61" s="30" t="s">
        <v>24</v>
      </c>
      <c r="AC61" s="27"/>
      <c r="AD61" s="31" t="s">
        <v>25</v>
      </c>
      <c r="AE61" s="32" t="str">
        <f t="shared" si="2"/>
        <v>✓ OK</v>
      </c>
      <c r="AF61" s="33" t="s">
        <v>27</v>
      </c>
      <c r="AG61" s="33" t="s">
        <v>23</v>
      </c>
      <c r="AH61" s="33" t="s">
        <v>24</v>
      </c>
      <c r="AI61" s="33" t="s">
        <v>25</v>
      </c>
      <c r="AJ61" s="33" t="s">
        <v>26</v>
      </c>
      <c r="AK61" s="33" t="s">
        <v>24</v>
      </c>
      <c r="AL61" s="27"/>
      <c r="AM61" s="34" t="s">
        <v>25</v>
      </c>
      <c r="AN61" s="35" t="str">
        <f t="shared" si="3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66</v>
      </c>
      <c r="B62" s="40" t="s">
        <v>759</v>
      </c>
      <c r="C62" s="41" t="s">
        <v>760</v>
      </c>
      <c r="D62" s="39" t="s">
        <v>730</v>
      </c>
      <c r="E62" s="43">
        <v>46125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0"/>
        <v>✓ OK</v>
      </c>
      <c r="N62" s="43">
        <v>46193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1"/>
        <v>✓ OK</v>
      </c>
      <c r="W62" s="45">
        <v>46248</v>
      </c>
      <c r="X62" s="30" t="s">
        <v>23</v>
      </c>
      <c r="Y62" s="30" t="s">
        <v>24</v>
      </c>
      <c r="Z62" s="30" t="s">
        <v>25</v>
      </c>
      <c r="AA62" s="30" t="s">
        <v>26</v>
      </c>
      <c r="AB62" s="30" t="s">
        <v>24</v>
      </c>
      <c r="AC62" s="27"/>
      <c r="AD62" s="31" t="s">
        <v>25</v>
      </c>
      <c r="AE62" s="32" t="str">
        <f t="shared" si="2"/>
        <v>✓ OK</v>
      </c>
      <c r="AF62" s="33" t="s">
        <v>27</v>
      </c>
      <c r="AG62" s="33" t="s">
        <v>23</v>
      </c>
      <c r="AH62" s="33" t="s">
        <v>24</v>
      </c>
      <c r="AI62" s="33" t="s">
        <v>25</v>
      </c>
      <c r="AJ62" s="33" t="s">
        <v>26</v>
      </c>
      <c r="AK62" s="33" t="s">
        <v>24</v>
      </c>
      <c r="AL62" s="27"/>
      <c r="AM62" s="34" t="s">
        <v>25</v>
      </c>
      <c r="AN62" s="35" t="str">
        <f t="shared" si="3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67</v>
      </c>
      <c r="B63" s="24" t="s">
        <v>761</v>
      </c>
      <c r="C63" s="25" t="s">
        <v>762</v>
      </c>
      <c r="D63" s="23" t="s">
        <v>730</v>
      </c>
      <c r="E63" s="43">
        <v>46125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0"/>
        <v>✓ OK</v>
      </c>
      <c r="N63" s="43">
        <v>46193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1"/>
        <v>✓ OK</v>
      </c>
      <c r="W63" s="45">
        <v>46248</v>
      </c>
      <c r="X63" s="30" t="s">
        <v>23</v>
      </c>
      <c r="Y63" s="30" t="s">
        <v>24</v>
      </c>
      <c r="Z63" s="30" t="s">
        <v>25</v>
      </c>
      <c r="AA63" s="30" t="s">
        <v>26</v>
      </c>
      <c r="AB63" s="30" t="s">
        <v>24</v>
      </c>
      <c r="AC63" s="27"/>
      <c r="AD63" s="31" t="s">
        <v>25</v>
      </c>
      <c r="AE63" s="32" t="str">
        <f t="shared" si="2"/>
        <v>✓ OK</v>
      </c>
      <c r="AF63" s="33" t="s">
        <v>27</v>
      </c>
      <c r="AG63" s="33" t="s">
        <v>23</v>
      </c>
      <c r="AH63" s="33" t="s">
        <v>24</v>
      </c>
      <c r="AI63" s="33" t="s">
        <v>25</v>
      </c>
      <c r="AJ63" s="33" t="s">
        <v>26</v>
      </c>
      <c r="AK63" s="33" t="s">
        <v>24</v>
      </c>
      <c r="AL63" s="27"/>
      <c r="AM63" s="34" t="s">
        <v>25</v>
      </c>
      <c r="AN63" s="35" t="str">
        <f t="shared" si="3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68</v>
      </c>
      <c r="B64" s="40" t="s">
        <v>763</v>
      </c>
      <c r="C64" s="41" t="s">
        <v>764</v>
      </c>
      <c r="D64" s="39" t="s">
        <v>730</v>
      </c>
      <c r="E64" s="43">
        <v>46125</v>
      </c>
      <c r="F64" s="26" t="s">
        <v>23</v>
      </c>
      <c r="G64" s="26" t="s">
        <v>24</v>
      </c>
      <c r="H64" s="26" t="s">
        <v>25</v>
      </c>
      <c r="I64" s="26" t="s">
        <v>731</v>
      </c>
      <c r="J64" s="26" t="s">
        <v>25</v>
      </c>
      <c r="K64" s="27" t="s">
        <v>732</v>
      </c>
      <c r="L64" s="28" t="s">
        <v>24</v>
      </c>
      <c r="M64" s="29" t="str">
        <f t="shared" si="0"/>
        <v>⚠ Check</v>
      </c>
      <c r="N64" s="43">
        <v>46193</v>
      </c>
      <c r="O64" s="26" t="s">
        <v>23</v>
      </c>
      <c r="P64" s="26" t="s">
        <v>24</v>
      </c>
      <c r="Q64" s="26" t="s">
        <v>25</v>
      </c>
      <c r="R64" s="26" t="s">
        <v>731</v>
      </c>
      <c r="S64" s="26" t="s">
        <v>25</v>
      </c>
      <c r="T64" s="27" t="s">
        <v>732</v>
      </c>
      <c r="U64" s="28" t="s">
        <v>24</v>
      </c>
      <c r="V64" s="29" t="str">
        <f t="shared" si="1"/>
        <v>⚠ Check</v>
      </c>
      <c r="W64" s="45">
        <v>46248</v>
      </c>
      <c r="X64" s="30" t="s">
        <v>23</v>
      </c>
      <c r="Y64" s="30" t="s">
        <v>24</v>
      </c>
      <c r="Z64" s="30" t="s">
        <v>25</v>
      </c>
      <c r="AA64" s="30" t="s">
        <v>731</v>
      </c>
      <c r="AB64" s="30" t="s">
        <v>25</v>
      </c>
      <c r="AC64" s="27" t="s">
        <v>732</v>
      </c>
      <c r="AD64" s="31" t="s">
        <v>24</v>
      </c>
      <c r="AE64" s="32" t="str">
        <f t="shared" si="2"/>
        <v>⚠ Check</v>
      </c>
      <c r="AF64" s="33" t="s">
        <v>27</v>
      </c>
      <c r="AG64" s="33" t="s">
        <v>23</v>
      </c>
      <c r="AH64" s="33" t="s">
        <v>24</v>
      </c>
      <c r="AI64" s="33" t="s">
        <v>25</v>
      </c>
      <c r="AJ64" s="33" t="s">
        <v>26</v>
      </c>
      <c r="AK64" s="33" t="s">
        <v>24</v>
      </c>
      <c r="AL64" s="27"/>
      <c r="AM64" s="34" t="s">
        <v>25</v>
      </c>
      <c r="AN64" s="35" t="str">
        <f t="shared" si="3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69</v>
      </c>
      <c r="B65" s="24" t="s">
        <v>765</v>
      </c>
      <c r="C65" s="25" t="s">
        <v>766</v>
      </c>
      <c r="D65" s="23" t="s">
        <v>767</v>
      </c>
      <c r="E65" s="43">
        <v>46125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0"/>
        <v>✓ OK</v>
      </c>
      <c r="N65" s="43">
        <v>46193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1"/>
        <v>✓ OK</v>
      </c>
      <c r="W65" s="45">
        <v>46248</v>
      </c>
      <c r="X65" s="30" t="s">
        <v>23</v>
      </c>
      <c r="Y65" s="30" t="s">
        <v>25</v>
      </c>
      <c r="Z65" s="30" t="s">
        <v>24</v>
      </c>
      <c r="AA65" s="30" t="s">
        <v>135</v>
      </c>
      <c r="AB65" s="30" t="s">
        <v>25</v>
      </c>
      <c r="AC65" s="27"/>
      <c r="AD65" s="31" t="s">
        <v>25</v>
      </c>
      <c r="AE65" s="32" t="str">
        <f t="shared" si="2"/>
        <v>❌ Disc</v>
      </c>
      <c r="AF65" s="33" t="s">
        <v>27</v>
      </c>
      <c r="AG65" s="33" t="s">
        <v>23</v>
      </c>
      <c r="AH65" s="33" t="s">
        <v>25</v>
      </c>
      <c r="AI65" s="33" t="s">
        <v>24</v>
      </c>
      <c r="AJ65" s="33" t="s">
        <v>135</v>
      </c>
      <c r="AK65" s="33" t="s">
        <v>25</v>
      </c>
      <c r="AL65" s="27"/>
      <c r="AM65" s="34" t="s">
        <v>25</v>
      </c>
      <c r="AN65" s="35" t="str">
        <f t="shared" si="3"/>
        <v>❌ Disc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70</v>
      </c>
      <c r="B66" s="40" t="s">
        <v>768</v>
      </c>
      <c r="C66" s="41" t="s">
        <v>769</v>
      </c>
      <c r="D66" s="39" t="s">
        <v>767</v>
      </c>
      <c r="E66" s="43">
        <v>46125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0"/>
        <v>✓ OK</v>
      </c>
      <c r="N66" s="43">
        <v>46193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1"/>
        <v>✓ OK</v>
      </c>
      <c r="W66" s="45">
        <v>46248</v>
      </c>
      <c r="X66" s="30" t="s">
        <v>23</v>
      </c>
      <c r="Y66" s="30" t="s">
        <v>24</v>
      </c>
      <c r="Z66" s="30" t="s">
        <v>25</v>
      </c>
      <c r="AA66" s="30" t="s">
        <v>26</v>
      </c>
      <c r="AB66" s="30" t="s">
        <v>24</v>
      </c>
      <c r="AC66" s="27"/>
      <c r="AD66" s="31" t="s">
        <v>25</v>
      </c>
      <c r="AE66" s="32" t="str">
        <f t="shared" si="2"/>
        <v>✓ OK</v>
      </c>
      <c r="AF66" s="33" t="s">
        <v>27</v>
      </c>
      <c r="AG66" s="33" t="s">
        <v>23</v>
      </c>
      <c r="AH66" s="33" t="s">
        <v>25</v>
      </c>
      <c r="AI66" s="33" t="s">
        <v>24</v>
      </c>
      <c r="AJ66" s="33" t="s">
        <v>135</v>
      </c>
      <c r="AK66" s="33" t="s">
        <v>25</v>
      </c>
      <c r="AL66" s="27"/>
      <c r="AM66" s="34" t="s">
        <v>25</v>
      </c>
      <c r="AN66" s="35" t="str">
        <f t="shared" si="3"/>
        <v>❌ Disc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71</v>
      </c>
      <c r="B67" s="24" t="s">
        <v>770</v>
      </c>
      <c r="C67" s="25" t="s">
        <v>771</v>
      </c>
      <c r="D67" s="23" t="s">
        <v>767</v>
      </c>
      <c r="E67" s="43">
        <v>46125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0"/>
        <v>✓ OK</v>
      </c>
      <c r="N67" s="43">
        <v>46193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1"/>
        <v>✓ OK</v>
      </c>
      <c r="W67" s="45">
        <v>46248</v>
      </c>
      <c r="X67" s="30" t="s">
        <v>23</v>
      </c>
      <c r="Y67" s="30" t="s">
        <v>24</v>
      </c>
      <c r="Z67" s="30" t="s">
        <v>25</v>
      </c>
      <c r="AA67" s="30" t="s">
        <v>26</v>
      </c>
      <c r="AB67" s="30" t="s">
        <v>24</v>
      </c>
      <c r="AC67" s="27"/>
      <c r="AD67" s="31" t="s">
        <v>25</v>
      </c>
      <c r="AE67" s="32" t="str">
        <f t="shared" si="2"/>
        <v>✓ OK</v>
      </c>
      <c r="AF67" s="33" t="s">
        <v>27</v>
      </c>
      <c r="AG67" s="33" t="s">
        <v>23</v>
      </c>
      <c r="AH67" s="33" t="s">
        <v>25</v>
      </c>
      <c r="AI67" s="33" t="s">
        <v>24</v>
      </c>
      <c r="AJ67" s="33" t="s">
        <v>135</v>
      </c>
      <c r="AK67" s="33" t="s">
        <v>25</v>
      </c>
      <c r="AL67" s="27"/>
      <c r="AM67" s="34" t="s">
        <v>25</v>
      </c>
      <c r="AN67" s="35" t="str">
        <f t="shared" si="3"/>
        <v>❌ Disc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72</v>
      </c>
      <c r="B68" s="40" t="s">
        <v>772</v>
      </c>
      <c r="C68" s="41" t="s">
        <v>773</v>
      </c>
      <c r="D68" s="39" t="s">
        <v>767</v>
      </c>
      <c r="E68" s="43">
        <v>46125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0"/>
        <v>✓ OK</v>
      </c>
      <c r="N68" s="43">
        <v>46193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1"/>
        <v>✓ OK</v>
      </c>
      <c r="W68" s="45">
        <v>46248</v>
      </c>
      <c r="X68" s="30" t="s">
        <v>23</v>
      </c>
      <c r="Y68" s="30" t="s">
        <v>24</v>
      </c>
      <c r="Z68" s="30" t="s">
        <v>25</v>
      </c>
      <c r="AA68" s="30" t="s">
        <v>26</v>
      </c>
      <c r="AB68" s="30" t="s">
        <v>24</v>
      </c>
      <c r="AC68" s="27"/>
      <c r="AD68" s="31" t="s">
        <v>25</v>
      </c>
      <c r="AE68" s="32" t="str">
        <f t="shared" si="2"/>
        <v>✓ OK</v>
      </c>
      <c r="AF68" s="33" t="s">
        <v>27</v>
      </c>
      <c r="AG68" s="33" t="s">
        <v>23</v>
      </c>
      <c r="AH68" s="33" t="s">
        <v>24</v>
      </c>
      <c r="AI68" s="33" t="s">
        <v>25</v>
      </c>
      <c r="AJ68" s="33" t="s">
        <v>26</v>
      </c>
      <c r="AK68" s="33" t="s">
        <v>24</v>
      </c>
      <c r="AL68" s="27"/>
      <c r="AM68" s="34" t="s">
        <v>25</v>
      </c>
      <c r="AN68" s="35" t="str">
        <f t="shared" si="3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73</v>
      </c>
      <c r="B69" s="24" t="s">
        <v>774</v>
      </c>
      <c r="C69" s="25" t="s">
        <v>775</v>
      </c>
      <c r="D69" s="23" t="s">
        <v>767</v>
      </c>
      <c r="E69" s="43">
        <v>46125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32" si="5">IF(E69="","",IF(H69="Yes","❌ Disc",IF(G69="No","⚠ Missing",IF(J69="Yes","✓ OK","⚠ Check"))))</f>
        <v>✓ OK</v>
      </c>
      <c r="N69" s="43">
        <v>46193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132" si="6">IF(N69="","",IF(Q69="Yes","❌ Disc",IF(P69="No","⚠ Missing",IF(S69="Yes","✓ OK","⚠ Check"))))</f>
        <v>✓ OK</v>
      </c>
      <c r="W69" s="45">
        <v>46248</v>
      </c>
      <c r="X69" s="30" t="s">
        <v>23</v>
      </c>
      <c r="Y69" s="30" t="s">
        <v>24</v>
      </c>
      <c r="Z69" s="30" t="s">
        <v>25</v>
      </c>
      <c r="AA69" s="30" t="s">
        <v>26</v>
      </c>
      <c r="AB69" s="30" t="s">
        <v>24</v>
      </c>
      <c r="AC69" s="27"/>
      <c r="AD69" s="31" t="s">
        <v>25</v>
      </c>
      <c r="AE69" s="32" t="str">
        <f t="shared" ref="AE69:AE132" si="7">IF(W69="","",IF(Z69="Yes","❌ Disc",IF(Y69="No","⚠ Missing",IF(AB69="Yes","✓ OK","⚠ Check"))))</f>
        <v>✓ OK</v>
      </c>
      <c r="AF69" s="33" t="s">
        <v>27</v>
      </c>
      <c r="AG69" s="33" t="s">
        <v>23</v>
      </c>
      <c r="AH69" s="33" t="s">
        <v>24</v>
      </c>
      <c r="AI69" s="33" t="s">
        <v>25</v>
      </c>
      <c r="AJ69" s="33" t="s">
        <v>26</v>
      </c>
      <c r="AK69" s="33" t="s">
        <v>24</v>
      </c>
      <c r="AL69" s="27"/>
      <c r="AM69" s="34" t="s">
        <v>25</v>
      </c>
      <c r="AN69" s="35" t="str">
        <f t="shared" ref="AN69:AN132" si="8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9">
        <v>74</v>
      </c>
      <c r="B70" s="40" t="s">
        <v>776</v>
      </c>
      <c r="C70" s="41" t="s">
        <v>777</v>
      </c>
      <c r="D70" s="39" t="s">
        <v>767</v>
      </c>
      <c r="E70" s="43">
        <v>46125</v>
      </c>
      <c r="F70" s="26" t="s">
        <v>23</v>
      </c>
      <c r="G70" s="26" t="s">
        <v>24</v>
      </c>
      <c r="H70" s="26" t="s">
        <v>25</v>
      </c>
      <c r="I70" s="26" t="s">
        <v>731</v>
      </c>
      <c r="J70" s="26" t="s">
        <v>25</v>
      </c>
      <c r="K70" s="27" t="s">
        <v>740</v>
      </c>
      <c r="L70" s="28" t="s">
        <v>24</v>
      </c>
      <c r="M70" s="29" t="str">
        <f t="shared" si="5"/>
        <v>⚠ Check</v>
      </c>
      <c r="N70" s="43">
        <v>46193</v>
      </c>
      <c r="O70" s="26" t="s">
        <v>23</v>
      </c>
      <c r="P70" s="26" t="s">
        <v>24</v>
      </c>
      <c r="Q70" s="26" t="s">
        <v>25</v>
      </c>
      <c r="R70" s="26" t="s">
        <v>731</v>
      </c>
      <c r="S70" s="26" t="s">
        <v>25</v>
      </c>
      <c r="T70" s="27" t="s">
        <v>740</v>
      </c>
      <c r="U70" s="28" t="s">
        <v>24</v>
      </c>
      <c r="V70" s="29" t="str">
        <f t="shared" si="6"/>
        <v>⚠ Check</v>
      </c>
      <c r="W70" s="45">
        <v>46248</v>
      </c>
      <c r="X70" s="30" t="s">
        <v>23</v>
      </c>
      <c r="Y70" s="30" t="s">
        <v>24</v>
      </c>
      <c r="Z70" s="30" t="s">
        <v>25</v>
      </c>
      <c r="AA70" s="30" t="s">
        <v>26</v>
      </c>
      <c r="AB70" s="30" t="s">
        <v>24</v>
      </c>
      <c r="AC70" s="27"/>
      <c r="AD70" s="31" t="s">
        <v>24</v>
      </c>
      <c r="AE70" s="32" t="str">
        <f t="shared" si="7"/>
        <v>✓ OK</v>
      </c>
      <c r="AF70" s="33" t="s">
        <v>27</v>
      </c>
      <c r="AG70" s="33" t="s">
        <v>23</v>
      </c>
      <c r="AH70" s="33" t="s">
        <v>24</v>
      </c>
      <c r="AI70" s="33" t="s">
        <v>24</v>
      </c>
      <c r="AJ70" s="33" t="s">
        <v>26</v>
      </c>
      <c r="AK70" s="33" t="s">
        <v>24</v>
      </c>
      <c r="AL70" s="27"/>
      <c r="AM70" s="34" t="s">
        <v>25</v>
      </c>
      <c r="AN70" s="35" t="str">
        <f t="shared" si="8"/>
        <v>❌ Disc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8" customHeight="1" x14ac:dyDescent="0.3">
      <c r="A71" s="23">
        <v>75</v>
      </c>
      <c r="B71" s="24" t="s">
        <v>778</v>
      </c>
      <c r="C71" s="25" t="s">
        <v>779</v>
      </c>
      <c r="D71" s="23" t="s">
        <v>767</v>
      </c>
      <c r="E71" s="43">
        <v>46125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5"/>
        <v>✓ OK</v>
      </c>
      <c r="N71" s="43">
        <v>46193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6"/>
        <v>✓ OK</v>
      </c>
      <c r="W71" s="45">
        <v>46248</v>
      </c>
      <c r="X71" s="30" t="s">
        <v>23</v>
      </c>
      <c r="Y71" s="30" t="s">
        <v>24</v>
      </c>
      <c r="Z71" s="30" t="s">
        <v>25</v>
      </c>
      <c r="AA71" s="30" t="s">
        <v>26</v>
      </c>
      <c r="AB71" s="30" t="s">
        <v>24</v>
      </c>
      <c r="AC71" s="27"/>
      <c r="AD71" s="31" t="s">
        <v>25</v>
      </c>
      <c r="AE71" s="32" t="str">
        <f t="shared" si="7"/>
        <v>✓ OK</v>
      </c>
      <c r="AF71" s="33" t="s">
        <v>27</v>
      </c>
      <c r="AG71" s="33" t="s">
        <v>23</v>
      </c>
      <c r="AH71" s="33" t="s">
        <v>24</v>
      </c>
      <c r="AI71" s="33" t="s">
        <v>25</v>
      </c>
      <c r="AJ71" s="33" t="s">
        <v>26</v>
      </c>
      <c r="AK71" s="33" t="s">
        <v>24</v>
      </c>
      <c r="AL71" s="27"/>
      <c r="AM71" s="34" t="s">
        <v>25</v>
      </c>
      <c r="AN71" s="35" t="str">
        <f t="shared" si="8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8" customHeight="1" x14ac:dyDescent="0.3">
      <c r="A72" s="39">
        <v>76</v>
      </c>
      <c r="B72" s="40" t="s">
        <v>780</v>
      </c>
      <c r="C72" s="41" t="s">
        <v>781</v>
      </c>
      <c r="D72" s="39" t="s">
        <v>767</v>
      </c>
      <c r="E72" s="43">
        <v>46125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5"/>
        <v>✓ OK</v>
      </c>
      <c r="N72" s="43">
        <v>46193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24</v>
      </c>
      <c r="T72" s="27"/>
      <c r="U72" s="28" t="s">
        <v>25</v>
      </c>
      <c r="V72" s="29" t="str">
        <f t="shared" si="6"/>
        <v>✓ OK</v>
      </c>
      <c r="W72" s="45">
        <v>46248</v>
      </c>
      <c r="X72" s="30" t="s">
        <v>23</v>
      </c>
      <c r="Y72" s="30" t="s">
        <v>24</v>
      </c>
      <c r="Z72" s="30" t="s">
        <v>25</v>
      </c>
      <c r="AA72" s="30" t="s">
        <v>26</v>
      </c>
      <c r="AB72" s="30" t="s">
        <v>24</v>
      </c>
      <c r="AC72" s="27"/>
      <c r="AD72" s="31" t="s">
        <v>25</v>
      </c>
      <c r="AE72" s="32" t="str">
        <f t="shared" si="7"/>
        <v>✓ OK</v>
      </c>
      <c r="AF72" s="33" t="s">
        <v>27</v>
      </c>
      <c r="AG72" s="33" t="s">
        <v>23</v>
      </c>
      <c r="AH72" s="33" t="s">
        <v>24</v>
      </c>
      <c r="AI72" s="33" t="s">
        <v>25</v>
      </c>
      <c r="AJ72" s="33" t="s">
        <v>26</v>
      </c>
      <c r="AK72" s="33" t="s">
        <v>24</v>
      </c>
      <c r="AL72" s="27"/>
      <c r="AM72" s="34" t="s">
        <v>25</v>
      </c>
      <c r="AN72" s="35" t="str">
        <f t="shared" si="8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8" customHeight="1" x14ac:dyDescent="0.3">
      <c r="A73" s="23">
        <v>77</v>
      </c>
      <c r="B73" s="24" t="s">
        <v>782</v>
      </c>
      <c r="C73" s="25" t="s">
        <v>783</v>
      </c>
      <c r="D73" s="23" t="s">
        <v>767</v>
      </c>
      <c r="E73" s="43">
        <v>46125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24</v>
      </c>
      <c r="M73" s="29" t="str">
        <f t="shared" si="5"/>
        <v>✓ OK</v>
      </c>
      <c r="N73" s="43">
        <v>46193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24</v>
      </c>
      <c r="V73" s="29" t="str">
        <f t="shared" si="6"/>
        <v>✓ OK</v>
      </c>
      <c r="W73" s="45">
        <v>46248</v>
      </c>
      <c r="X73" s="30" t="s">
        <v>23</v>
      </c>
      <c r="Y73" s="30" t="s">
        <v>24</v>
      </c>
      <c r="Z73" s="30" t="s">
        <v>25</v>
      </c>
      <c r="AA73" s="30" t="s">
        <v>26</v>
      </c>
      <c r="AB73" s="30" t="s">
        <v>24</v>
      </c>
      <c r="AC73" s="27"/>
      <c r="AD73" s="31" t="s">
        <v>24</v>
      </c>
      <c r="AE73" s="32" t="str">
        <f t="shared" si="7"/>
        <v>✓ OK</v>
      </c>
      <c r="AF73" s="33" t="s">
        <v>27</v>
      </c>
      <c r="AG73" s="33" t="s">
        <v>23</v>
      </c>
      <c r="AH73" s="33" t="s">
        <v>24</v>
      </c>
      <c r="AI73" s="33" t="s">
        <v>25</v>
      </c>
      <c r="AJ73" s="33" t="s">
        <v>26</v>
      </c>
      <c r="AK73" s="33" t="s">
        <v>24</v>
      </c>
      <c r="AL73" s="27"/>
      <c r="AM73" s="34" t="s">
        <v>24</v>
      </c>
      <c r="AN73" s="35" t="str">
        <f t="shared" si="8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8" customHeight="1" x14ac:dyDescent="0.3">
      <c r="A74" s="39">
        <v>78</v>
      </c>
      <c r="B74" s="40" t="s">
        <v>784</v>
      </c>
      <c r="C74" s="41" t="s">
        <v>785</v>
      </c>
      <c r="D74" s="39" t="s">
        <v>767</v>
      </c>
      <c r="E74" s="43">
        <v>46125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5"/>
        <v>✓ OK</v>
      </c>
      <c r="N74" s="43">
        <v>46193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6"/>
        <v>✓ OK</v>
      </c>
      <c r="W74" s="45">
        <v>46248</v>
      </c>
      <c r="X74" s="30" t="s">
        <v>23</v>
      </c>
      <c r="Y74" s="30" t="s">
        <v>24</v>
      </c>
      <c r="Z74" s="30" t="s">
        <v>25</v>
      </c>
      <c r="AA74" s="30" t="s">
        <v>26</v>
      </c>
      <c r="AB74" s="30" t="s">
        <v>24</v>
      </c>
      <c r="AC74" s="27"/>
      <c r="AD74" s="31" t="s">
        <v>25</v>
      </c>
      <c r="AE74" s="32" t="str">
        <f t="shared" si="7"/>
        <v>✓ OK</v>
      </c>
      <c r="AF74" s="33" t="s">
        <v>27</v>
      </c>
      <c r="AG74" s="33" t="s">
        <v>23</v>
      </c>
      <c r="AH74" s="33" t="s">
        <v>24</v>
      </c>
      <c r="AI74" s="33" t="s">
        <v>25</v>
      </c>
      <c r="AJ74" s="33" t="s">
        <v>26</v>
      </c>
      <c r="AK74" s="33" t="s">
        <v>24</v>
      </c>
      <c r="AL74" s="27"/>
      <c r="AM74" s="34" t="s">
        <v>25</v>
      </c>
      <c r="AN74" s="35" t="str">
        <f t="shared" si="8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8" customHeight="1" x14ac:dyDescent="0.3">
      <c r="A75" s="23">
        <v>79</v>
      </c>
      <c r="B75" s="24" t="s">
        <v>786</v>
      </c>
      <c r="C75" s="25" t="s">
        <v>787</v>
      </c>
      <c r="D75" s="23" t="s">
        <v>767</v>
      </c>
      <c r="E75" s="43">
        <v>46125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5"/>
        <v>✓ OK</v>
      </c>
      <c r="N75" s="43">
        <v>46193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6"/>
        <v>✓ OK</v>
      </c>
      <c r="W75" s="45">
        <v>46248</v>
      </c>
      <c r="X75" s="30" t="s">
        <v>23</v>
      </c>
      <c r="Y75" s="30" t="s">
        <v>24</v>
      </c>
      <c r="Z75" s="30" t="s">
        <v>25</v>
      </c>
      <c r="AA75" s="30" t="s">
        <v>26</v>
      </c>
      <c r="AB75" s="30" t="s">
        <v>24</v>
      </c>
      <c r="AC75" s="27"/>
      <c r="AD75" s="31" t="s">
        <v>25</v>
      </c>
      <c r="AE75" s="32" t="str">
        <f t="shared" si="7"/>
        <v>✓ OK</v>
      </c>
      <c r="AF75" s="33" t="s">
        <v>27</v>
      </c>
      <c r="AG75" s="33" t="s">
        <v>23</v>
      </c>
      <c r="AH75" s="33" t="s">
        <v>24</v>
      </c>
      <c r="AI75" s="33" t="s">
        <v>25</v>
      </c>
      <c r="AJ75" s="33" t="s">
        <v>26</v>
      </c>
      <c r="AK75" s="33" t="s">
        <v>24</v>
      </c>
      <c r="AL75" s="27"/>
      <c r="AM75" s="34" t="s">
        <v>25</v>
      </c>
      <c r="AN75" s="35" t="str">
        <f t="shared" si="8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8" customHeight="1" x14ac:dyDescent="0.3">
      <c r="A76" s="39">
        <v>80</v>
      </c>
      <c r="B76" s="40" t="s">
        <v>788</v>
      </c>
      <c r="C76" s="41" t="s">
        <v>789</v>
      </c>
      <c r="D76" s="39" t="s">
        <v>767</v>
      </c>
      <c r="E76" s="43">
        <v>46125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5"/>
        <v>✓ OK</v>
      </c>
      <c r="N76" s="43">
        <v>46193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6"/>
        <v>✓ OK</v>
      </c>
      <c r="W76" s="45">
        <v>46248</v>
      </c>
      <c r="X76" s="30" t="s">
        <v>23</v>
      </c>
      <c r="Y76" s="30" t="s">
        <v>24</v>
      </c>
      <c r="Z76" s="30" t="s">
        <v>25</v>
      </c>
      <c r="AA76" s="30" t="s">
        <v>26</v>
      </c>
      <c r="AB76" s="30" t="s">
        <v>24</v>
      </c>
      <c r="AC76" s="27"/>
      <c r="AD76" s="31" t="s">
        <v>25</v>
      </c>
      <c r="AE76" s="32" t="str">
        <f t="shared" si="7"/>
        <v>✓ OK</v>
      </c>
      <c r="AF76" s="33" t="s">
        <v>27</v>
      </c>
      <c r="AG76" s="33" t="s">
        <v>23</v>
      </c>
      <c r="AH76" s="33" t="s">
        <v>24</v>
      </c>
      <c r="AI76" s="33" t="s">
        <v>25</v>
      </c>
      <c r="AJ76" s="33" t="s">
        <v>26</v>
      </c>
      <c r="AK76" s="33" t="s">
        <v>24</v>
      </c>
      <c r="AL76" s="27"/>
      <c r="AM76" s="34" t="s">
        <v>25</v>
      </c>
      <c r="AN76" s="35" t="str">
        <f t="shared" si="8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8" customHeight="1" x14ac:dyDescent="0.3">
      <c r="A77" s="23">
        <v>81</v>
      </c>
      <c r="B77" s="24" t="s">
        <v>790</v>
      </c>
      <c r="C77" s="25" t="s">
        <v>791</v>
      </c>
      <c r="D77" s="23" t="s">
        <v>767</v>
      </c>
      <c r="E77" s="43">
        <v>46125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5"/>
        <v>✓ OK</v>
      </c>
      <c r="N77" s="43">
        <v>46193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6"/>
        <v>✓ OK</v>
      </c>
      <c r="W77" s="45">
        <v>46248</v>
      </c>
      <c r="X77" s="30" t="s">
        <v>23</v>
      </c>
      <c r="Y77" s="30" t="s">
        <v>24</v>
      </c>
      <c r="Z77" s="30" t="s">
        <v>25</v>
      </c>
      <c r="AA77" s="30" t="s">
        <v>26</v>
      </c>
      <c r="AB77" s="30" t="s">
        <v>24</v>
      </c>
      <c r="AC77" s="27"/>
      <c r="AD77" s="31" t="s">
        <v>25</v>
      </c>
      <c r="AE77" s="32" t="str">
        <f t="shared" si="7"/>
        <v>✓ OK</v>
      </c>
      <c r="AF77" s="33" t="s">
        <v>27</v>
      </c>
      <c r="AG77" s="33" t="s">
        <v>23</v>
      </c>
      <c r="AH77" s="33" t="s">
        <v>24</v>
      </c>
      <c r="AI77" s="33" t="s">
        <v>25</v>
      </c>
      <c r="AJ77" s="33" t="s">
        <v>26</v>
      </c>
      <c r="AK77" s="33" t="s">
        <v>24</v>
      </c>
      <c r="AL77" s="27"/>
      <c r="AM77" s="34" t="s">
        <v>25</v>
      </c>
      <c r="AN77" s="35" t="str">
        <f t="shared" si="8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8" customHeight="1" x14ac:dyDescent="0.3">
      <c r="A78" s="39">
        <v>82</v>
      </c>
      <c r="B78" s="40" t="s">
        <v>792</v>
      </c>
      <c r="C78" s="41" t="s">
        <v>793</v>
      </c>
      <c r="D78" s="39" t="s">
        <v>767</v>
      </c>
      <c r="E78" s="43">
        <v>46125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5"/>
        <v>✓ OK</v>
      </c>
      <c r="N78" s="43">
        <v>46193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6"/>
        <v>✓ OK</v>
      </c>
      <c r="W78" s="45">
        <v>46248</v>
      </c>
      <c r="X78" s="30" t="s">
        <v>23</v>
      </c>
      <c r="Y78" s="30" t="s">
        <v>24</v>
      </c>
      <c r="Z78" s="30" t="s">
        <v>25</v>
      </c>
      <c r="AA78" s="30" t="s">
        <v>26</v>
      </c>
      <c r="AB78" s="30" t="s">
        <v>24</v>
      </c>
      <c r="AC78" s="27"/>
      <c r="AD78" s="31" t="s">
        <v>25</v>
      </c>
      <c r="AE78" s="32" t="str">
        <f t="shared" si="7"/>
        <v>✓ OK</v>
      </c>
      <c r="AF78" s="33" t="s">
        <v>27</v>
      </c>
      <c r="AG78" s="33" t="s">
        <v>23</v>
      </c>
      <c r="AH78" s="33" t="s">
        <v>25</v>
      </c>
      <c r="AI78" s="33" t="s">
        <v>24</v>
      </c>
      <c r="AJ78" s="33" t="s">
        <v>135</v>
      </c>
      <c r="AK78" s="33" t="s">
        <v>25</v>
      </c>
      <c r="AL78" s="27"/>
      <c r="AM78" s="34" t="s">
        <v>25</v>
      </c>
      <c r="AN78" s="35" t="str">
        <f t="shared" si="8"/>
        <v>❌ Disc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8" customHeight="1" x14ac:dyDescent="0.3">
      <c r="A79" s="23">
        <v>83</v>
      </c>
      <c r="B79" s="24" t="s">
        <v>794</v>
      </c>
      <c r="C79" s="25" t="s">
        <v>795</v>
      </c>
      <c r="D79" s="23" t="s">
        <v>767</v>
      </c>
      <c r="E79" s="43">
        <v>46125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5"/>
        <v>✓ OK</v>
      </c>
      <c r="N79" s="43">
        <v>46193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6"/>
        <v>✓ OK</v>
      </c>
      <c r="W79" s="45">
        <v>46248</v>
      </c>
      <c r="X79" s="30" t="s">
        <v>23</v>
      </c>
      <c r="Y79" s="30" t="s">
        <v>24</v>
      </c>
      <c r="Z79" s="30" t="s">
        <v>25</v>
      </c>
      <c r="AA79" s="30" t="s">
        <v>26</v>
      </c>
      <c r="AB79" s="30" t="s">
        <v>24</v>
      </c>
      <c r="AC79" s="27"/>
      <c r="AD79" s="31" t="s">
        <v>25</v>
      </c>
      <c r="AE79" s="32" t="str">
        <f t="shared" si="7"/>
        <v>✓ OK</v>
      </c>
      <c r="AF79" s="33" t="s">
        <v>27</v>
      </c>
      <c r="AG79" s="33" t="s">
        <v>23</v>
      </c>
      <c r="AH79" s="33" t="s">
        <v>25</v>
      </c>
      <c r="AI79" s="33" t="s">
        <v>24</v>
      </c>
      <c r="AJ79" s="33" t="s">
        <v>135</v>
      </c>
      <c r="AK79" s="33" t="s">
        <v>25</v>
      </c>
      <c r="AL79" s="27"/>
      <c r="AM79" s="34" t="s">
        <v>25</v>
      </c>
      <c r="AN79" s="35" t="str">
        <f t="shared" si="8"/>
        <v>❌ Disc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8" customHeight="1" x14ac:dyDescent="0.3">
      <c r="A80" s="39">
        <v>84</v>
      </c>
      <c r="B80" s="40" t="s">
        <v>796</v>
      </c>
      <c r="C80" s="41" t="s">
        <v>797</v>
      </c>
      <c r="D80" s="39" t="s">
        <v>767</v>
      </c>
      <c r="E80" s="43">
        <v>46125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5"/>
        <v>✓ OK</v>
      </c>
      <c r="N80" s="43">
        <v>46193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6"/>
        <v>✓ OK</v>
      </c>
      <c r="W80" s="45">
        <v>46248</v>
      </c>
      <c r="X80" s="30" t="s">
        <v>23</v>
      </c>
      <c r="Y80" s="30" t="s">
        <v>24</v>
      </c>
      <c r="Z80" s="30" t="s">
        <v>25</v>
      </c>
      <c r="AA80" s="30" t="s">
        <v>26</v>
      </c>
      <c r="AB80" s="30" t="s">
        <v>24</v>
      </c>
      <c r="AC80" s="27"/>
      <c r="AD80" s="31" t="s">
        <v>25</v>
      </c>
      <c r="AE80" s="32" t="str">
        <f t="shared" si="7"/>
        <v>✓ OK</v>
      </c>
      <c r="AF80" s="33" t="s">
        <v>27</v>
      </c>
      <c r="AG80" s="33" t="s">
        <v>23</v>
      </c>
      <c r="AH80" s="33" t="s">
        <v>25</v>
      </c>
      <c r="AI80" s="33" t="s">
        <v>24</v>
      </c>
      <c r="AJ80" s="33" t="s">
        <v>135</v>
      </c>
      <c r="AK80" s="33" t="s">
        <v>25</v>
      </c>
      <c r="AL80" s="27"/>
      <c r="AM80" s="34" t="s">
        <v>25</v>
      </c>
      <c r="AN80" s="35" t="str">
        <f t="shared" si="8"/>
        <v>❌ Disc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8" customHeight="1" x14ac:dyDescent="0.3">
      <c r="A81" s="23">
        <v>85</v>
      </c>
      <c r="B81" s="24" t="s">
        <v>798</v>
      </c>
      <c r="C81" s="25" t="s">
        <v>799</v>
      </c>
      <c r="D81" s="23" t="s">
        <v>767</v>
      </c>
      <c r="E81" s="43">
        <v>46125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5"/>
        <v>✓ OK</v>
      </c>
      <c r="N81" s="43">
        <v>46193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6"/>
        <v>✓ OK</v>
      </c>
      <c r="W81" s="45">
        <v>46248</v>
      </c>
      <c r="X81" s="30" t="s">
        <v>23</v>
      </c>
      <c r="Y81" s="30" t="s">
        <v>24</v>
      </c>
      <c r="Z81" s="30" t="s">
        <v>25</v>
      </c>
      <c r="AA81" s="30" t="s">
        <v>26</v>
      </c>
      <c r="AB81" s="30" t="s">
        <v>24</v>
      </c>
      <c r="AC81" s="27"/>
      <c r="AD81" s="31" t="s">
        <v>25</v>
      </c>
      <c r="AE81" s="32" t="str">
        <f t="shared" si="7"/>
        <v>✓ OK</v>
      </c>
      <c r="AF81" s="33" t="s">
        <v>27</v>
      </c>
      <c r="AG81" s="33" t="s">
        <v>23</v>
      </c>
      <c r="AH81" s="33" t="s">
        <v>24</v>
      </c>
      <c r="AI81" s="33" t="s">
        <v>25</v>
      </c>
      <c r="AJ81" s="33" t="s">
        <v>26</v>
      </c>
      <c r="AK81" s="33" t="s">
        <v>24</v>
      </c>
      <c r="AL81" s="27"/>
      <c r="AM81" s="34" t="s">
        <v>25</v>
      </c>
      <c r="AN81" s="35" t="str">
        <f t="shared" si="8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8" customHeight="1" x14ac:dyDescent="0.3">
      <c r="A82" s="39">
        <v>86</v>
      </c>
      <c r="B82" s="40" t="s">
        <v>800</v>
      </c>
      <c r="C82" s="41" t="s">
        <v>801</v>
      </c>
      <c r="D82" s="39" t="s">
        <v>767</v>
      </c>
      <c r="E82" s="43">
        <v>46125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5"/>
        <v>✓ OK</v>
      </c>
      <c r="N82" s="43">
        <v>46193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6"/>
        <v>✓ OK</v>
      </c>
      <c r="W82" s="45">
        <v>46248</v>
      </c>
      <c r="X82" s="30" t="s">
        <v>23</v>
      </c>
      <c r="Y82" s="30" t="s">
        <v>24</v>
      </c>
      <c r="Z82" s="30" t="s">
        <v>25</v>
      </c>
      <c r="AA82" s="30" t="s">
        <v>26</v>
      </c>
      <c r="AB82" s="30" t="s">
        <v>24</v>
      </c>
      <c r="AC82" s="27"/>
      <c r="AD82" s="31" t="s">
        <v>25</v>
      </c>
      <c r="AE82" s="32" t="str">
        <f t="shared" si="7"/>
        <v>✓ OK</v>
      </c>
      <c r="AF82" s="33" t="s">
        <v>27</v>
      </c>
      <c r="AG82" s="33" t="s">
        <v>23</v>
      </c>
      <c r="AH82" s="33" t="s">
        <v>24</v>
      </c>
      <c r="AI82" s="33" t="s">
        <v>25</v>
      </c>
      <c r="AJ82" s="33" t="s">
        <v>26</v>
      </c>
      <c r="AK82" s="33" t="s">
        <v>24</v>
      </c>
      <c r="AL82" s="27"/>
      <c r="AM82" s="34" t="s">
        <v>25</v>
      </c>
      <c r="AN82" s="35" t="str">
        <f t="shared" si="8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8" customHeight="1" x14ac:dyDescent="0.3">
      <c r="A83" s="23">
        <v>87</v>
      </c>
      <c r="B83" s="24" t="s">
        <v>802</v>
      </c>
      <c r="C83" s="25" t="s">
        <v>803</v>
      </c>
      <c r="D83" s="23" t="s">
        <v>767</v>
      </c>
      <c r="E83" s="43">
        <v>46125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5"/>
        <v>✓ OK</v>
      </c>
      <c r="N83" s="43">
        <v>46193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6"/>
        <v>✓ OK</v>
      </c>
      <c r="W83" s="45">
        <v>46248</v>
      </c>
      <c r="X83" s="30" t="s">
        <v>23</v>
      </c>
      <c r="Y83" s="30" t="s">
        <v>24</v>
      </c>
      <c r="Z83" s="30" t="s">
        <v>25</v>
      </c>
      <c r="AA83" s="30" t="s">
        <v>26</v>
      </c>
      <c r="AB83" s="30" t="s">
        <v>24</v>
      </c>
      <c r="AC83" s="27"/>
      <c r="AD83" s="31" t="s">
        <v>25</v>
      </c>
      <c r="AE83" s="32" t="str">
        <f t="shared" si="7"/>
        <v>✓ OK</v>
      </c>
      <c r="AF83" s="33" t="s">
        <v>27</v>
      </c>
      <c r="AG83" s="33" t="s">
        <v>23</v>
      </c>
      <c r="AH83" s="33" t="s">
        <v>24</v>
      </c>
      <c r="AI83" s="33" t="s">
        <v>25</v>
      </c>
      <c r="AJ83" s="33" t="s">
        <v>26</v>
      </c>
      <c r="AK83" s="33" t="s">
        <v>24</v>
      </c>
      <c r="AL83" s="27"/>
      <c r="AM83" s="34" t="s">
        <v>25</v>
      </c>
      <c r="AN83" s="35" t="str">
        <f t="shared" si="8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8" customHeight="1" x14ac:dyDescent="0.3">
      <c r="A84" s="39">
        <v>88</v>
      </c>
      <c r="B84" s="40" t="s">
        <v>804</v>
      </c>
      <c r="C84" s="41" t="s">
        <v>805</v>
      </c>
      <c r="D84" s="39" t="s">
        <v>767</v>
      </c>
      <c r="E84" s="43">
        <v>46125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5"/>
        <v>✓ OK</v>
      </c>
      <c r="N84" s="43">
        <v>46193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6"/>
        <v>✓ OK</v>
      </c>
      <c r="W84" s="45">
        <v>46248</v>
      </c>
      <c r="X84" s="30" t="s">
        <v>23</v>
      </c>
      <c r="Y84" s="30" t="s">
        <v>24</v>
      </c>
      <c r="Z84" s="30" t="s">
        <v>25</v>
      </c>
      <c r="AA84" s="30" t="s">
        <v>26</v>
      </c>
      <c r="AB84" s="30" t="s">
        <v>24</v>
      </c>
      <c r="AC84" s="27"/>
      <c r="AD84" s="31" t="s">
        <v>25</v>
      </c>
      <c r="AE84" s="32" t="str">
        <f t="shared" si="7"/>
        <v>✓ OK</v>
      </c>
      <c r="AF84" s="33" t="s">
        <v>27</v>
      </c>
      <c r="AG84" s="33" t="s">
        <v>23</v>
      </c>
      <c r="AH84" s="33" t="s">
        <v>25</v>
      </c>
      <c r="AI84" s="33" t="s">
        <v>24</v>
      </c>
      <c r="AJ84" s="33" t="s">
        <v>135</v>
      </c>
      <c r="AK84" s="33" t="s">
        <v>25</v>
      </c>
      <c r="AL84" s="27"/>
      <c r="AM84" s="34" t="s">
        <v>25</v>
      </c>
      <c r="AN84" s="35" t="str">
        <f t="shared" si="8"/>
        <v>❌ Disc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8" customHeight="1" x14ac:dyDescent="0.3">
      <c r="A85" s="23">
        <v>89</v>
      </c>
      <c r="B85" s="24" t="s">
        <v>806</v>
      </c>
      <c r="C85" s="25" t="s">
        <v>807</v>
      </c>
      <c r="D85" s="23" t="s">
        <v>767</v>
      </c>
      <c r="E85" s="43">
        <v>46125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5"/>
        <v>✓ OK</v>
      </c>
      <c r="N85" s="43">
        <v>46193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6"/>
        <v>✓ OK</v>
      </c>
      <c r="W85" s="45">
        <v>46248</v>
      </c>
      <c r="X85" s="30" t="s">
        <v>23</v>
      </c>
      <c r="Y85" s="30" t="s">
        <v>24</v>
      </c>
      <c r="Z85" s="30" t="s">
        <v>25</v>
      </c>
      <c r="AA85" s="30" t="s">
        <v>26</v>
      </c>
      <c r="AB85" s="30" t="s">
        <v>24</v>
      </c>
      <c r="AC85" s="27"/>
      <c r="AD85" s="31" t="s">
        <v>25</v>
      </c>
      <c r="AE85" s="32" t="str">
        <f t="shared" si="7"/>
        <v>✓ OK</v>
      </c>
      <c r="AF85" s="33" t="s">
        <v>27</v>
      </c>
      <c r="AG85" s="33" t="s">
        <v>23</v>
      </c>
      <c r="AH85" s="33" t="s">
        <v>25</v>
      </c>
      <c r="AI85" s="33" t="s">
        <v>24</v>
      </c>
      <c r="AJ85" s="33" t="s">
        <v>135</v>
      </c>
      <c r="AK85" s="33" t="s">
        <v>25</v>
      </c>
      <c r="AL85" s="27"/>
      <c r="AM85" s="34" t="s">
        <v>25</v>
      </c>
      <c r="AN85" s="35" t="str">
        <f t="shared" si="8"/>
        <v>❌ Disc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8" customHeight="1" x14ac:dyDescent="0.3">
      <c r="A86" s="39">
        <v>90</v>
      </c>
      <c r="B86" s="40" t="s">
        <v>808</v>
      </c>
      <c r="C86" s="41" t="s">
        <v>809</v>
      </c>
      <c r="D86" s="39" t="s">
        <v>767</v>
      </c>
      <c r="E86" s="43">
        <v>46125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5"/>
        <v>✓ OK</v>
      </c>
      <c r="N86" s="43">
        <v>46193</v>
      </c>
      <c r="O86" s="26" t="s">
        <v>23</v>
      </c>
      <c r="P86" s="26" t="s">
        <v>24</v>
      </c>
      <c r="Q86" s="26" t="s">
        <v>25</v>
      </c>
      <c r="R86" s="26" t="s">
        <v>26</v>
      </c>
      <c r="S86" s="26" t="s">
        <v>24</v>
      </c>
      <c r="T86" s="27"/>
      <c r="U86" s="28" t="s">
        <v>25</v>
      </c>
      <c r="V86" s="29" t="str">
        <f t="shared" si="6"/>
        <v>✓ OK</v>
      </c>
      <c r="W86" s="45">
        <v>46248</v>
      </c>
      <c r="X86" s="30" t="s">
        <v>23</v>
      </c>
      <c r="Y86" s="30" t="s">
        <v>24</v>
      </c>
      <c r="Z86" s="30" t="s">
        <v>25</v>
      </c>
      <c r="AA86" s="30" t="s">
        <v>26</v>
      </c>
      <c r="AB86" s="30" t="s">
        <v>24</v>
      </c>
      <c r="AC86" s="27"/>
      <c r="AD86" s="31" t="s">
        <v>25</v>
      </c>
      <c r="AE86" s="32" t="str">
        <f t="shared" si="7"/>
        <v>✓ OK</v>
      </c>
      <c r="AF86" s="33" t="s">
        <v>27</v>
      </c>
      <c r="AG86" s="33" t="s">
        <v>23</v>
      </c>
      <c r="AH86" s="33" t="s">
        <v>24</v>
      </c>
      <c r="AI86" s="33" t="s">
        <v>25</v>
      </c>
      <c r="AJ86" s="33" t="s">
        <v>26</v>
      </c>
      <c r="AK86" s="33" t="s">
        <v>24</v>
      </c>
      <c r="AL86" s="27"/>
      <c r="AM86" s="34" t="s">
        <v>25</v>
      </c>
      <c r="AN86" s="35" t="str">
        <f t="shared" si="8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8" customHeight="1" x14ac:dyDescent="0.3">
      <c r="A87" s="23">
        <v>91</v>
      </c>
      <c r="B87" s="24" t="s">
        <v>810</v>
      </c>
      <c r="C87" s="25" t="s">
        <v>811</v>
      </c>
      <c r="D87" s="23" t="s">
        <v>767</v>
      </c>
      <c r="E87" s="43">
        <v>46125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5"/>
        <v>✓ OK</v>
      </c>
      <c r="N87" s="43">
        <v>46193</v>
      </c>
      <c r="O87" s="26" t="s">
        <v>23</v>
      </c>
      <c r="P87" s="26" t="s">
        <v>24</v>
      </c>
      <c r="Q87" s="26" t="s">
        <v>25</v>
      </c>
      <c r="R87" s="26" t="s">
        <v>26</v>
      </c>
      <c r="S87" s="26" t="s">
        <v>24</v>
      </c>
      <c r="T87" s="27"/>
      <c r="U87" s="28" t="s">
        <v>25</v>
      </c>
      <c r="V87" s="29" t="str">
        <f t="shared" si="6"/>
        <v>✓ OK</v>
      </c>
      <c r="W87" s="45">
        <v>46248</v>
      </c>
      <c r="X87" s="30" t="s">
        <v>23</v>
      </c>
      <c r="Y87" s="30" t="s">
        <v>24</v>
      </c>
      <c r="Z87" s="30" t="s">
        <v>25</v>
      </c>
      <c r="AA87" s="30" t="s">
        <v>26</v>
      </c>
      <c r="AB87" s="30" t="s">
        <v>24</v>
      </c>
      <c r="AC87" s="27"/>
      <c r="AD87" s="31" t="s">
        <v>25</v>
      </c>
      <c r="AE87" s="32" t="str">
        <f t="shared" si="7"/>
        <v>✓ OK</v>
      </c>
      <c r="AF87" s="33" t="s">
        <v>27</v>
      </c>
      <c r="AG87" s="33" t="s">
        <v>23</v>
      </c>
      <c r="AH87" s="33" t="s">
        <v>24</v>
      </c>
      <c r="AI87" s="33" t="s">
        <v>25</v>
      </c>
      <c r="AJ87" s="33" t="s">
        <v>26</v>
      </c>
      <c r="AK87" s="33" t="s">
        <v>24</v>
      </c>
      <c r="AL87" s="27"/>
      <c r="AM87" s="34" t="s">
        <v>25</v>
      </c>
      <c r="AN87" s="35" t="str">
        <f t="shared" si="8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8" customHeight="1" x14ac:dyDescent="0.3">
      <c r="A88" s="39">
        <v>92</v>
      </c>
      <c r="B88" s="40" t="s">
        <v>812</v>
      </c>
      <c r="C88" s="41" t="s">
        <v>813</v>
      </c>
      <c r="D88" s="39" t="s">
        <v>767</v>
      </c>
      <c r="E88" s="43">
        <v>46125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5"/>
        <v>✓ OK</v>
      </c>
      <c r="N88" s="43">
        <v>46193</v>
      </c>
      <c r="O88" s="26" t="s">
        <v>23</v>
      </c>
      <c r="P88" s="26" t="s">
        <v>24</v>
      </c>
      <c r="Q88" s="26" t="s">
        <v>25</v>
      </c>
      <c r="R88" s="26" t="s">
        <v>26</v>
      </c>
      <c r="S88" s="26" t="s">
        <v>24</v>
      </c>
      <c r="T88" s="27"/>
      <c r="U88" s="28" t="s">
        <v>25</v>
      </c>
      <c r="V88" s="29" t="str">
        <f t="shared" si="6"/>
        <v>✓ OK</v>
      </c>
      <c r="W88" s="45">
        <v>46248</v>
      </c>
      <c r="X88" s="30" t="s">
        <v>23</v>
      </c>
      <c r="Y88" s="30" t="s">
        <v>24</v>
      </c>
      <c r="Z88" s="30" t="s">
        <v>25</v>
      </c>
      <c r="AA88" s="30" t="s">
        <v>26</v>
      </c>
      <c r="AB88" s="30" t="s">
        <v>24</v>
      </c>
      <c r="AC88" s="27"/>
      <c r="AD88" s="31" t="s">
        <v>25</v>
      </c>
      <c r="AE88" s="32" t="str">
        <f t="shared" si="7"/>
        <v>✓ OK</v>
      </c>
      <c r="AF88" s="33" t="s">
        <v>27</v>
      </c>
      <c r="AG88" s="33" t="s">
        <v>23</v>
      </c>
      <c r="AH88" s="33" t="s">
        <v>24</v>
      </c>
      <c r="AI88" s="33" t="s">
        <v>25</v>
      </c>
      <c r="AJ88" s="33" t="s">
        <v>26</v>
      </c>
      <c r="AK88" s="33" t="s">
        <v>24</v>
      </c>
      <c r="AL88" s="27"/>
      <c r="AM88" s="34" t="s">
        <v>25</v>
      </c>
      <c r="AN88" s="35" t="str">
        <f t="shared" si="8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8" customHeight="1" x14ac:dyDescent="0.3">
      <c r="A89" s="23">
        <v>93</v>
      </c>
      <c r="B89" s="24" t="s">
        <v>814</v>
      </c>
      <c r="C89" s="25" t="s">
        <v>815</v>
      </c>
      <c r="D89" s="23" t="s">
        <v>767</v>
      </c>
      <c r="E89" s="43">
        <v>46125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5"/>
        <v>✓ OK</v>
      </c>
      <c r="N89" s="43">
        <v>46193</v>
      </c>
      <c r="O89" s="26" t="s">
        <v>23</v>
      </c>
      <c r="P89" s="26" t="s">
        <v>25</v>
      </c>
      <c r="Q89" s="26" t="s">
        <v>24</v>
      </c>
      <c r="R89" s="26" t="s">
        <v>135</v>
      </c>
      <c r="S89" s="26" t="s">
        <v>25</v>
      </c>
      <c r="T89" s="27"/>
      <c r="U89" s="28" t="s">
        <v>25</v>
      </c>
      <c r="V89" s="29" t="str">
        <f t="shared" si="6"/>
        <v>❌ Disc</v>
      </c>
      <c r="W89" s="45">
        <v>46248</v>
      </c>
      <c r="X89" s="30" t="s">
        <v>23</v>
      </c>
      <c r="Y89" s="30" t="s">
        <v>25</v>
      </c>
      <c r="Z89" s="30" t="s">
        <v>24</v>
      </c>
      <c r="AA89" s="30" t="s">
        <v>135</v>
      </c>
      <c r="AB89" s="30" t="s">
        <v>25</v>
      </c>
      <c r="AC89" s="27"/>
      <c r="AD89" s="31" t="s">
        <v>25</v>
      </c>
      <c r="AE89" s="32" t="str">
        <f t="shared" si="7"/>
        <v>❌ Disc</v>
      </c>
      <c r="AF89" s="33" t="s">
        <v>27</v>
      </c>
      <c r="AG89" s="33" t="s">
        <v>23</v>
      </c>
      <c r="AH89" s="33" t="s">
        <v>25</v>
      </c>
      <c r="AI89" s="33" t="s">
        <v>24</v>
      </c>
      <c r="AJ89" s="33" t="s">
        <v>135</v>
      </c>
      <c r="AK89" s="33" t="s">
        <v>25</v>
      </c>
      <c r="AL89" s="27"/>
      <c r="AM89" s="34" t="s">
        <v>25</v>
      </c>
      <c r="AN89" s="35" t="str">
        <f t="shared" si="8"/>
        <v>❌ Disc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8" customHeight="1" x14ac:dyDescent="0.3">
      <c r="A90" s="39">
        <v>94</v>
      </c>
      <c r="B90" s="40" t="s">
        <v>816</v>
      </c>
      <c r="C90" s="41" t="s">
        <v>817</v>
      </c>
      <c r="D90" s="39" t="s">
        <v>767</v>
      </c>
      <c r="E90" s="43">
        <v>46125</v>
      </c>
      <c r="F90" s="26" t="s">
        <v>23</v>
      </c>
      <c r="G90" s="26" t="s">
        <v>24</v>
      </c>
      <c r="H90" s="26" t="s">
        <v>25</v>
      </c>
      <c r="I90" s="26" t="s">
        <v>731</v>
      </c>
      <c r="J90" s="26" t="s">
        <v>25</v>
      </c>
      <c r="K90" s="27" t="s">
        <v>732</v>
      </c>
      <c r="L90" s="28" t="s">
        <v>24</v>
      </c>
      <c r="M90" s="29" t="str">
        <f t="shared" si="5"/>
        <v>⚠ Check</v>
      </c>
      <c r="N90" s="43">
        <v>46193</v>
      </c>
      <c r="O90" s="26" t="s">
        <v>23</v>
      </c>
      <c r="P90" s="26" t="s">
        <v>24</v>
      </c>
      <c r="Q90" s="26" t="s">
        <v>25</v>
      </c>
      <c r="R90" s="26" t="s">
        <v>731</v>
      </c>
      <c r="S90" s="26" t="s">
        <v>25</v>
      </c>
      <c r="T90" s="27" t="s">
        <v>732</v>
      </c>
      <c r="U90" s="28" t="s">
        <v>24</v>
      </c>
      <c r="V90" s="29" t="str">
        <f t="shared" si="6"/>
        <v>⚠ Check</v>
      </c>
      <c r="W90" s="45">
        <v>46248</v>
      </c>
      <c r="X90" s="30" t="s">
        <v>23</v>
      </c>
      <c r="Y90" s="30" t="s">
        <v>25</v>
      </c>
      <c r="Z90" s="30" t="s">
        <v>24</v>
      </c>
      <c r="AA90" s="30" t="s">
        <v>135</v>
      </c>
      <c r="AB90" s="30" t="s">
        <v>25</v>
      </c>
      <c r="AC90" s="27" t="s">
        <v>732</v>
      </c>
      <c r="AD90" s="31" t="s">
        <v>25</v>
      </c>
      <c r="AE90" s="32" t="str">
        <f t="shared" si="7"/>
        <v>❌ Disc</v>
      </c>
      <c r="AF90" s="33" t="s">
        <v>27</v>
      </c>
      <c r="AG90" s="33" t="s">
        <v>23</v>
      </c>
      <c r="AH90" s="33" t="s">
        <v>24</v>
      </c>
      <c r="AI90" s="33" t="s">
        <v>24</v>
      </c>
      <c r="AJ90" s="33" t="s">
        <v>26</v>
      </c>
      <c r="AK90" s="33" t="s">
        <v>24</v>
      </c>
      <c r="AL90" s="27"/>
      <c r="AM90" s="34" t="s">
        <v>25</v>
      </c>
      <c r="AN90" s="35" t="str">
        <f t="shared" si="8"/>
        <v>❌ Disc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8" customHeight="1" x14ac:dyDescent="0.3">
      <c r="A91" s="23">
        <v>95</v>
      </c>
      <c r="B91" s="24" t="s">
        <v>818</v>
      </c>
      <c r="C91" s="25" t="s">
        <v>819</v>
      </c>
      <c r="D91" s="23" t="s">
        <v>767</v>
      </c>
      <c r="E91" s="43">
        <v>46125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5"/>
        <v>✓ OK</v>
      </c>
      <c r="N91" s="43">
        <v>46193</v>
      </c>
      <c r="O91" s="26" t="s">
        <v>23</v>
      </c>
      <c r="P91" s="26" t="s">
        <v>25</v>
      </c>
      <c r="Q91" s="26" t="s">
        <v>24</v>
      </c>
      <c r="R91" s="26" t="s">
        <v>135</v>
      </c>
      <c r="S91" s="26" t="s">
        <v>25</v>
      </c>
      <c r="T91" s="27"/>
      <c r="U91" s="28" t="s">
        <v>25</v>
      </c>
      <c r="V91" s="29" t="str">
        <f t="shared" si="6"/>
        <v>❌ Disc</v>
      </c>
      <c r="W91" s="45">
        <v>46248</v>
      </c>
      <c r="X91" s="30" t="s">
        <v>23</v>
      </c>
      <c r="Y91" s="30" t="s">
        <v>25</v>
      </c>
      <c r="Z91" s="30" t="s">
        <v>24</v>
      </c>
      <c r="AA91" s="30" t="s">
        <v>135</v>
      </c>
      <c r="AB91" s="30" t="s">
        <v>25</v>
      </c>
      <c r="AC91" s="27"/>
      <c r="AD91" s="31" t="s">
        <v>25</v>
      </c>
      <c r="AE91" s="32" t="str">
        <f t="shared" si="7"/>
        <v>❌ Disc</v>
      </c>
      <c r="AF91" s="33" t="s">
        <v>27</v>
      </c>
      <c r="AG91" s="33" t="s">
        <v>23</v>
      </c>
      <c r="AH91" s="33" t="s">
        <v>25</v>
      </c>
      <c r="AI91" s="33" t="s">
        <v>24</v>
      </c>
      <c r="AJ91" s="33" t="s">
        <v>135</v>
      </c>
      <c r="AK91" s="33" t="s">
        <v>25</v>
      </c>
      <c r="AL91" s="27"/>
      <c r="AM91" s="34" t="s">
        <v>25</v>
      </c>
      <c r="AN91" s="35" t="str">
        <f t="shared" si="8"/>
        <v>❌ Disc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8" customHeight="1" x14ac:dyDescent="0.3">
      <c r="A92" s="39">
        <v>96</v>
      </c>
      <c r="B92" s="40" t="s">
        <v>820</v>
      </c>
      <c r="C92" s="41" t="s">
        <v>821</v>
      </c>
      <c r="D92" s="39" t="s">
        <v>767</v>
      </c>
      <c r="E92" s="43">
        <v>46125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 t="s">
        <v>822</v>
      </c>
      <c r="L92" s="28" t="s">
        <v>25</v>
      </c>
      <c r="M92" s="29" t="str">
        <f t="shared" si="5"/>
        <v>✓ OK</v>
      </c>
      <c r="N92" s="43">
        <v>46193</v>
      </c>
      <c r="O92" s="26" t="s">
        <v>23</v>
      </c>
      <c r="P92" s="26" t="s">
        <v>24</v>
      </c>
      <c r="Q92" s="26" t="s">
        <v>25</v>
      </c>
      <c r="R92" s="26" t="s">
        <v>26</v>
      </c>
      <c r="S92" s="26" t="s">
        <v>24</v>
      </c>
      <c r="T92" s="27" t="s">
        <v>822</v>
      </c>
      <c r="U92" s="28" t="s">
        <v>25</v>
      </c>
      <c r="V92" s="29" t="str">
        <f t="shared" si="6"/>
        <v>✓ OK</v>
      </c>
      <c r="W92" s="45">
        <v>46248</v>
      </c>
      <c r="X92" s="30" t="s">
        <v>23</v>
      </c>
      <c r="Y92" s="30" t="s">
        <v>24</v>
      </c>
      <c r="Z92" s="30" t="s">
        <v>25</v>
      </c>
      <c r="AA92" s="30" t="s">
        <v>26</v>
      </c>
      <c r="AB92" s="30" t="s">
        <v>24</v>
      </c>
      <c r="AC92" s="27" t="s">
        <v>822</v>
      </c>
      <c r="AD92" s="31" t="s">
        <v>25</v>
      </c>
      <c r="AE92" s="32" t="str">
        <f t="shared" si="7"/>
        <v>✓ OK</v>
      </c>
      <c r="AF92" s="33" t="s">
        <v>27</v>
      </c>
      <c r="AG92" s="33" t="s">
        <v>23</v>
      </c>
      <c r="AH92" s="33" t="s">
        <v>24</v>
      </c>
      <c r="AI92" s="33" t="s">
        <v>25</v>
      </c>
      <c r="AJ92" s="33" t="s">
        <v>26</v>
      </c>
      <c r="AK92" s="33" t="s">
        <v>24</v>
      </c>
      <c r="AL92" s="27" t="s">
        <v>822</v>
      </c>
      <c r="AM92" s="34" t="s">
        <v>25</v>
      </c>
      <c r="AN92" s="35" t="str">
        <f t="shared" si="8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8" customHeight="1" x14ac:dyDescent="0.3">
      <c r="A93" s="23">
        <v>97</v>
      </c>
      <c r="B93" s="24" t="s">
        <v>823</v>
      </c>
      <c r="C93" s="25" t="s">
        <v>824</v>
      </c>
      <c r="D93" s="23" t="s">
        <v>767</v>
      </c>
      <c r="E93" s="43">
        <v>46125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 t="s">
        <v>822</v>
      </c>
      <c r="L93" s="28" t="s">
        <v>25</v>
      </c>
      <c r="M93" s="29" t="str">
        <f t="shared" si="5"/>
        <v>✓ OK</v>
      </c>
      <c r="N93" s="43">
        <v>46193</v>
      </c>
      <c r="O93" s="26" t="s">
        <v>23</v>
      </c>
      <c r="P93" s="26" t="s">
        <v>24</v>
      </c>
      <c r="Q93" s="26" t="s">
        <v>25</v>
      </c>
      <c r="R93" s="26" t="s">
        <v>26</v>
      </c>
      <c r="S93" s="26" t="s">
        <v>24</v>
      </c>
      <c r="T93" s="27" t="s">
        <v>822</v>
      </c>
      <c r="U93" s="28" t="s">
        <v>25</v>
      </c>
      <c r="V93" s="29" t="str">
        <f t="shared" si="6"/>
        <v>✓ OK</v>
      </c>
      <c r="W93" s="45">
        <v>46248</v>
      </c>
      <c r="X93" s="30" t="s">
        <v>23</v>
      </c>
      <c r="Y93" s="30" t="s">
        <v>24</v>
      </c>
      <c r="Z93" s="30" t="s">
        <v>25</v>
      </c>
      <c r="AA93" s="30" t="s">
        <v>26</v>
      </c>
      <c r="AB93" s="30" t="s">
        <v>24</v>
      </c>
      <c r="AC93" s="27" t="s">
        <v>822</v>
      </c>
      <c r="AD93" s="31" t="s">
        <v>25</v>
      </c>
      <c r="AE93" s="32" t="str">
        <f t="shared" si="7"/>
        <v>✓ OK</v>
      </c>
      <c r="AF93" s="33" t="s">
        <v>27</v>
      </c>
      <c r="AG93" s="33" t="s">
        <v>23</v>
      </c>
      <c r="AH93" s="33" t="s">
        <v>24</v>
      </c>
      <c r="AI93" s="33" t="s">
        <v>25</v>
      </c>
      <c r="AJ93" s="33" t="s">
        <v>26</v>
      </c>
      <c r="AK93" s="33" t="s">
        <v>24</v>
      </c>
      <c r="AL93" s="27" t="s">
        <v>822</v>
      </c>
      <c r="AM93" s="34" t="s">
        <v>25</v>
      </c>
      <c r="AN93" s="35" t="str">
        <f t="shared" si="8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8" customHeight="1" x14ac:dyDescent="0.3">
      <c r="A94" s="39">
        <v>98</v>
      </c>
      <c r="B94" s="40" t="s">
        <v>825</v>
      </c>
      <c r="C94" s="41" t="s">
        <v>826</v>
      </c>
      <c r="D94" s="39" t="s">
        <v>767</v>
      </c>
      <c r="E94" s="43">
        <v>46125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 t="s">
        <v>822</v>
      </c>
      <c r="L94" s="28" t="s">
        <v>25</v>
      </c>
      <c r="M94" s="29" t="str">
        <f t="shared" si="5"/>
        <v>✓ OK</v>
      </c>
      <c r="N94" s="43">
        <v>46193</v>
      </c>
      <c r="O94" s="26" t="s">
        <v>23</v>
      </c>
      <c r="P94" s="26" t="s">
        <v>24</v>
      </c>
      <c r="Q94" s="26" t="s">
        <v>25</v>
      </c>
      <c r="R94" s="26" t="s">
        <v>26</v>
      </c>
      <c r="S94" s="26" t="s">
        <v>24</v>
      </c>
      <c r="T94" s="27" t="s">
        <v>822</v>
      </c>
      <c r="U94" s="28" t="s">
        <v>25</v>
      </c>
      <c r="V94" s="29" t="str">
        <f t="shared" si="6"/>
        <v>✓ OK</v>
      </c>
      <c r="W94" s="45">
        <v>46248</v>
      </c>
      <c r="X94" s="30" t="s">
        <v>23</v>
      </c>
      <c r="Y94" s="30" t="s">
        <v>24</v>
      </c>
      <c r="Z94" s="30" t="s">
        <v>25</v>
      </c>
      <c r="AA94" s="30" t="s">
        <v>26</v>
      </c>
      <c r="AB94" s="30" t="s">
        <v>24</v>
      </c>
      <c r="AC94" s="27" t="s">
        <v>822</v>
      </c>
      <c r="AD94" s="31" t="s">
        <v>25</v>
      </c>
      <c r="AE94" s="32" t="str">
        <f t="shared" si="7"/>
        <v>✓ OK</v>
      </c>
      <c r="AF94" s="33" t="s">
        <v>27</v>
      </c>
      <c r="AG94" s="33" t="s">
        <v>23</v>
      </c>
      <c r="AH94" s="33" t="s">
        <v>25</v>
      </c>
      <c r="AI94" s="33" t="s">
        <v>24</v>
      </c>
      <c r="AJ94" s="33" t="s">
        <v>135</v>
      </c>
      <c r="AK94" s="33" t="s">
        <v>25</v>
      </c>
      <c r="AL94" s="27"/>
      <c r="AM94" s="34" t="s">
        <v>25</v>
      </c>
      <c r="AN94" s="35" t="str">
        <f t="shared" si="8"/>
        <v>❌ Disc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8" customHeight="1" x14ac:dyDescent="0.3">
      <c r="A95" s="23">
        <v>99</v>
      </c>
      <c r="B95" s="24" t="s">
        <v>827</v>
      </c>
      <c r="C95" s="25" t="s">
        <v>828</v>
      </c>
      <c r="D95" s="23" t="s">
        <v>767</v>
      </c>
      <c r="E95" s="43">
        <v>46125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5"/>
        <v>✓ OK</v>
      </c>
      <c r="N95" s="43">
        <v>46193</v>
      </c>
      <c r="O95" s="26" t="s">
        <v>23</v>
      </c>
      <c r="P95" s="26" t="s">
        <v>24</v>
      </c>
      <c r="Q95" s="26" t="s">
        <v>25</v>
      </c>
      <c r="R95" s="26" t="s">
        <v>26</v>
      </c>
      <c r="S95" s="26" t="s">
        <v>24</v>
      </c>
      <c r="T95" s="27"/>
      <c r="U95" s="28" t="s">
        <v>25</v>
      </c>
      <c r="V95" s="29" t="str">
        <f t="shared" si="6"/>
        <v>✓ OK</v>
      </c>
      <c r="W95" s="45">
        <v>46248</v>
      </c>
      <c r="X95" s="30" t="s">
        <v>23</v>
      </c>
      <c r="Y95" s="30" t="s">
        <v>25</v>
      </c>
      <c r="Z95" s="30" t="s">
        <v>24</v>
      </c>
      <c r="AA95" s="30" t="s">
        <v>135</v>
      </c>
      <c r="AB95" s="30" t="s">
        <v>25</v>
      </c>
      <c r="AC95" s="27"/>
      <c r="AD95" s="31" t="s">
        <v>25</v>
      </c>
      <c r="AE95" s="32" t="str">
        <f t="shared" si="7"/>
        <v>❌ Disc</v>
      </c>
      <c r="AF95" s="33" t="s">
        <v>27</v>
      </c>
      <c r="AG95" s="33" t="s">
        <v>23</v>
      </c>
      <c r="AH95" s="33" t="s">
        <v>25</v>
      </c>
      <c r="AI95" s="33" t="s">
        <v>24</v>
      </c>
      <c r="AJ95" s="33" t="s">
        <v>135</v>
      </c>
      <c r="AK95" s="33" t="s">
        <v>25</v>
      </c>
      <c r="AL95" s="27"/>
      <c r="AM95" s="34" t="s">
        <v>25</v>
      </c>
      <c r="AN95" s="35" t="str">
        <f t="shared" si="8"/>
        <v>❌ Disc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8" customHeight="1" x14ac:dyDescent="0.3">
      <c r="A96" s="39">
        <v>100</v>
      </c>
      <c r="B96" s="40" t="s">
        <v>829</v>
      </c>
      <c r="C96" s="41" t="s">
        <v>830</v>
      </c>
      <c r="D96" s="39" t="s">
        <v>767</v>
      </c>
      <c r="E96" s="43">
        <v>46125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5"/>
        <v>✓ OK</v>
      </c>
      <c r="N96" s="43">
        <v>46193</v>
      </c>
      <c r="O96" s="26" t="s">
        <v>23</v>
      </c>
      <c r="P96" s="26" t="s">
        <v>25</v>
      </c>
      <c r="Q96" s="26" t="s">
        <v>24</v>
      </c>
      <c r="R96" s="26" t="s">
        <v>135</v>
      </c>
      <c r="S96" s="26" t="s">
        <v>25</v>
      </c>
      <c r="T96" s="27"/>
      <c r="U96" s="28" t="s">
        <v>25</v>
      </c>
      <c r="V96" s="29" t="str">
        <f t="shared" si="6"/>
        <v>❌ Disc</v>
      </c>
      <c r="W96" s="45">
        <v>46248</v>
      </c>
      <c r="X96" s="30" t="s">
        <v>23</v>
      </c>
      <c r="Y96" s="30" t="s">
        <v>25</v>
      </c>
      <c r="Z96" s="30" t="s">
        <v>24</v>
      </c>
      <c r="AA96" s="30" t="s">
        <v>135</v>
      </c>
      <c r="AB96" s="30" t="s">
        <v>25</v>
      </c>
      <c r="AC96" s="27"/>
      <c r="AD96" s="31" t="s">
        <v>25</v>
      </c>
      <c r="AE96" s="32" t="str">
        <f t="shared" si="7"/>
        <v>❌ Disc</v>
      </c>
      <c r="AF96" s="33" t="s">
        <v>27</v>
      </c>
      <c r="AG96" s="33" t="s">
        <v>23</v>
      </c>
      <c r="AH96" s="33" t="s">
        <v>25</v>
      </c>
      <c r="AI96" s="33" t="s">
        <v>24</v>
      </c>
      <c r="AJ96" s="33" t="s">
        <v>135</v>
      </c>
      <c r="AK96" s="33" t="s">
        <v>25</v>
      </c>
      <c r="AL96" s="27"/>
      <c r="AM96" s="34" t="s">
        <v>25</v>
      </c>
      <c r="AN96" s="35" t="str">
        <f t="shared" si="8"/>
        <v>❌ Disc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8" customHeight="1" x14ac:dyDescent="0.3">
      <c r="A97" s="23">
        <v>101</v>
      </c>
      <c r="B97" s="24" t="s">
        <v>831</v>
      </c>
      <c r="C97" s="25" t="s">
        <v>832</v>
      </c>
      <c r="D97" s="23" t="s">
        <v>767</v>
      </c>
      <c r="E97" s="43">
        <v>46125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5"/>
        <v>✓ OK</v>
      </c>
      <c r="N97" s="43">
        <v>46193</v>
      </c>
      <c r="O97" s="26" t="s">
        <v>23</v>
      </c>
      <c r="P97" s="26" t="s">
        <v>24</v>
      </c>
      <c r="Q97" s="26" t="s">
        <v>25</v>
      </c>
      <c r="R97" s="26" t="s">
        <v>26</v>
      </c>
      <c r="S97" s="26" t="s">
        <v>24</v>
      </c>
      <c r="T97" s="27"/>
      <c r="U97" s="28" t="s">
        <v>25</v>
      </c>
      <c r="V97" s="29" t="str">
        <f t="shared" si="6"/>
        <v>✓ OK</v>
      </c>
      <c r="W97" s="45">
        <v>46248</v>
      </c>
      <c r="X97" s="30" t="s">
        <v>23</v>
      </c>
      <c r="Y97" s="30" t="s">
        <v>24</v>
      </c>
      <c r="Z97" s="30" t="s">
        <v>25</v>
      </c>
      <c r="AA97" s="30" t="s">
        <v>26</v>
      </c>
      <c r="AB97" s="30" t="s">
        <v>24</v>
      </c>
      <c r="AC97" s="27"/>
      <c r="AD97" s="31" t="s">
        <v>25</v>
      </c>
      <c r="AE97" s="32" t="str">
        <f t="shared" si="7"/>
        <v>✓ OK</v>
      </c>
      <c r="AF97" s="33" t="s">
        <v>27</v>
      </c>
      <c r="AG97" s="33" t="s">
        <v>23</v>
      </c>
      <c r="AH97" s="33" t="s">
        <v>25</v>
      </c>
      <c r="AI97" s="33" t="s">
        <v>24</v>
      </c>
      <c r="AJ97" s="33" t="s">
        <v>135</v>
      </c>
      <c r="AK97" s="33" t="s">
        <v>25</v>
      </c>
      <c r="AL97" s="27"/>
      <c r="AM97" s="34" t="s">
        <v>25</v>
      </c>
      <c r="AN97" s="35" t="str">
        <f t="shared" si="8"/>
        <v>❌ Disc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8" customHeight="1" x14ac:dyDescent="0.3">
      <c r="A98" s="39">
        <v>102</v>
      </c>
      <c r="B98" s="40" t="s">
        <v>833</v>
      </c>
      <c r="C98" s="41" t="s">
        <v>834</v>
      </c>
      <c r="D98" s="39" t="s">
        <v>767</v>
      </c>
      <c r="E98" s="43">
        <v>46125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5"/>
        <v>✓ OK</v>
      </c>
      <c r="N98" s="43">
        <v>46193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6"/>
        <v>✓ OK</v>
      </c>
      <c r="W98" s="45">
        <v>46248</v>
      </c>
      <c r="X98" s="30" t="s">
        <v>23</v>
      </c>
      <c r="Y98" s="30" t="s">
        <v>24</v>
      </c>
      <c r="Z98" s="30" t="s">
        <v>25</v>
      </c>
      <c r="AA98" s="30" t="s">
        <v>26</v>
      </c>
      <c r="AB98" s="30" t="s">
        <v>24</v>
      </c>
      <c r="AC98" s="27"/>
      <c r="AD98" s="31" t="s">
        <v>25</v>
      </c>
      <c r="AE98" s="32" t="str">
        <f t="shared" si="7"/>
        <v>✓ OK</v>
      </c>
      <c r="AF98" s="33" t="s">
        <v>27</v>
      </c>
      <c r="AG98" s="33" t="s">
        <v>23</v>
      </c>
      <c r="AH98" s="33" t="s">
        <v>25</v>
      </c>
      <c r="AI98" s="33" t="s">
        <v>24</v>
      </c>
      <c r="AJ98" s="33" t="s">
        <v>135</v>
      </c>
      <c r="AK98" s="33" t="s">
        <v>25</v>
      </c>
      <c r="AL98" s="27"/>
      <c r="AM98" s="34" t="s">
        <v>25</v>
      </c>
      <c r="AN98" s="35" t="str">
        <f t="shared" si="8"/>
        <v>❌ Disc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8" customHeight="1" x14ac:dyDescent="0.3">
      <c r="A99" s="23">
        <v>103</v>
      </c>
      <c r="B99" s="24" t="s">
        <v>835</v>
      </c>
      <c r="C99" s="25" t="s">
        <v>836</v>
      </c>
      <c r="D99" s="23" t="s">
        <v>767</v>
      </c>
      <c r="E99" s="43">
        <v>46125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5"/>
        <v>✓ OK</v>
      </c>
      <c r="N99" s="43">
        <v>46193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6"/>
        <v>✓ OK</v>
      </c>
      <c r="W99" s="45">
        <v>46248</v>
      </c>
      <c r="X99" s="30" t="s">
        <v>23</v>
      </c>
      <c r="Y99" s="30" t="s">
        <v>24</v>
      </c>
      <c r="Z99" s="30" t="s">
        <v>25</v>
      </c>
      <c r="AA99" s="30" t="s">
        <v>26</v>
      </c>
      <c r="AB99" s="30" t="s">
        <v>24</v>
      </c>
      <c r="AC99" s="27"/>
      <c r="AD99" s="31" t="s">
        <v>25</v>
      </c>
      <c r="AE99" s="32" t="str">
        <f t="shared" si="7"/>
        <v>✓ OK</v>
      </c>
      <c r="AF99" s="33" t="s">
        <v>27</v>
      </c>
      <c r="AG99" s="33" t="s">
        <v>23</v>
      </c>
      <c r="AH99" s="33" t="s">
        <v>25</v>
      </c>
      <c r="AI99" s="33" t="s">
        <v>24</v>
      </c>
      <c r="AJ99" s="33" t="s">
        <v>135</v>
      </c>
      <c r="AK99" s="33" t="s">
        <v>25</v>
      </c>
      <c r="AL99" s="27"/>
      <c r="AM99" s="34" t="s">
        <v>25</v>
      </c>
      <c r="AN99" s="35" t="str">
        <f t="shared" si="8"/>
        <v>❌ Disc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8" customHeight="1" x14ac:dyDescent="0.3">
      <c r="A100" s="39">
        <v>104</v>
      </c>
      <c r="B100" s="40" t="s">
        <v>837</v>
      </c>
      <c r="C100" s="41" t="s">
        <v>838</v>
      </c>
      <c r="D100" s="39" t="s">
        <v>767</v>
      </c>
      <c r="E100" s="43">
        <v>46125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5"/>
        <v>✓ OK</v>
      </c>
      <c r="N100" s="43">
        <v>46193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6"/>
        <v>✓ OK</v>
      </c>
      <c r="W100" s="45">
        <v>46248</v>
      </c>
      <c r="X100" s="30" t="s">
        <v>23</v>
      </c>
      <c r="Y100" s="30" t="s">
        <v>24</v>
      </c>
      <c r="Z100" s="30" t="s">
        <v>25</v>
      </c>
      <c r="AA100" s="30" t="s">
        <v>26</v>
      </c>
      <c r="AB100" s="30" t="s">
        <v>24</v>
      </c>
      <c r="AC100" s="27"/>
      <c r="AD100" s="31" t="s">
        <v>25</v>
      </c>
      <c r="AE100" s="32" t="str">
        <f t="shared" si="7"/>
        <v>✓ OK</v>
      </c>
      <c r="AF100" s="33" t="s">
        <v>27</v>
      </c>
      <c r="AG100" s="33" t="s">
        <v>23</v>
      </c>
      <c r="AH100" s="33" t="s">
        <v>24</v>
      </c>
      <c r="AI100" s="33" t="s">
        <v>25</v>
      </c>
      <c r="AJ100" s="33" t="s">
        <v>26</v>
      </c>
      <c r="AK100" s="33" t="s">
        <v>24</v>
      </c>
      <c r="AL100" s="27"/>
      <c r="AM100" s="34" t="s">
        <v>25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8" customHeight="1" x14ac:dyDescent="0.3">
      <c r="A101" s="23">
        <v>105</v>
      </c>
      <c r="B101" s="24" t="s">
        <v>839</v>
      </c>
      <c r="C101" s="25" t="s">
        <v>840</v>
      </c>
      <c r="D101" s="23" t="s">
        <v>767</v>
      </c>
      <c r="E101" s="43">
        <v>46125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si="5"/>
        <v>✓ OK</v>
      </c>
      <c r="N101" s="43">
        <v>46193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si="6"/>
        <v>✓ OK</v>
      </c>
      <c r="W101" s="45">
        <v>46248</v>
      </c>
      <c r="X101" s="30" t="s">
        <v>23</v>
      </c>
      <c r="Y101" s="30" t="s">
        <v>24</v>
      </c>
      <c r="Z101" s="30" t="s">
        <v>25</v>
      </c>
      <c r="AA101" s="30" t="s">
        <v>26</v>
      </c>
      <c r="AB101" s="30" t="s">
        <v>24</v>
      </c>
      <c r="AC101" s="27"/>
      <c r="AD101" s="31" t="s">
        <v>25</v>
      </c>
      <c r="AE101" s="32" t="str">
        <f t="shared" si="7"/>
        <v>✓ OK</v>
      </c>
      <c r="AF101" s="33" t="s">
        <v>27</v>
      </c>
      <c r="AG101" s="33" t="s">
        <v>23</v>
      </c>
      <c r="AH101" s="33" t="s">
        <v>24</v>
      </c>
      <c r="AI101" s="33" t="s">
        <v>25</v>
      </c>
      <c r="AJ101" s="33" t="s">
        <v>26</v>
      </c>
      <c r="AK101" s="33" t="s">
        <v>24</v>
      </c>
      <c r="AL101" s="27"/>
      <c r="AM101" s="34" t="s">
        <v>25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8" customHeight="1" x14ac:dyDescent="0.3">
      <c r="A102" s="39">
        <v>106</v>
      </c>
      <c r="B102" s="40" t="s">
        <v>841</v>
      </c>
      <c r="C102" s="41" t="s">
        <v>842</v>
      </c>
      <c r="D102" s="39" t="s">
        <v>767</v>
      </c>
      <c r="E102" s="43">
        <v>46125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5"/>
        <v>✓ OK</v>
      </c>
      <c r="N102" s="43">
        <v>46193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6"/>
        <v>✓ OK</v>
      </c>
      <c r="W102" s="45">
        <v>46248</v>
      </c>
      <c r="X102" s="30" t="s">
        <v>23</v>
      </c>
      <c r="Y102" s="30" t="s">
        <v>24</v>
      </c>
      <c r="Z102" s="30" t="s">
        <v>25</v>
      </c>
      <c r="AA102" s="30" t="s">
        <v>26</v>
      </c>
      <c r="AB102" s="30" t="s">
        <v>24</v>
      </c>
      <c r="AC102" s="27"/>
      <c r="AD102" s="31" t="s">
        <v>25</v>
      </c>
      <c r="AE102" s="32" t="str">
        <f t="shared" si="7"/>
        <v>✓ OK</v>
      </c>
      <c r="AF102" s="33" t="s">
        <v>27</v>
      </c>
      <c r="AG102" s="33" t="s">
        <v>23</v>
      </c>
      <c r="AH102" s="33" t="s">
        <v>24</v>
      </c>
      <c r="AI102" s="33" t="s">
        <v>25</v>
      </c>
      <c r="AJ102" s="33" t="s">
        <v>26</v>
      </c>
      <c r="AK102" s="33" t="s">
        <v>24</v>
      </c>
      <c r="AL102" s="27"/>
      <c r="AM102" s="34" t="s">
        <v>25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8" customHeight="1" x14ac:dyDescent="0.3">
      <c r="A103" s="23">
        <v>107</v>
      </c>
      <c r="B103" s="24" t="s">
        <v>843</v>
      </c>
      <c r="C103" s="25" t="s">
        <v>844</v>
      </c>
      <c r="D103" s="23" t="s">
        <v>767</v>
      </c>
      <c r="E103" s="43">
        <v>46125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5"/>
        <v>✓ OK</v>
      </c>
      <c r="N103" s="43">
        <v>46193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6"/>
        <v>✓ OK</v>
      </c>
      <c r="W103" s="45">
        <v>46248</v>
      </c>
      <c r="X103" s="30" t="s">
        <v>23</v>
      </c>
      <c r="Y103" s="30" t="s">
        <v>24</v>
      </c>
      <c r="Z103" s="30" t="s">
        <v>25</v>
      </c>
      <c r="AA103" s="30" t="s">
        <v>26</v>
      </c>
      <c r="AB103" s="30" t="s">
        <v>24</v>
      </c>
      <c r="AC103" s="27"/>
      <c r="AD103" s="31" t="s">
        <v>25</v>
      </c>
      <c r="AE103" s="32" t="str">
        <f t="shared" si="7"/>
        <v>✓ OK</v>
      </c>
      <c r="AF103" s="33" t="s">
        <v>27</v>
      </c>
      <c r="AG103" s="33" t="s">
        <v>23</v>
      </c>
      <c r="AH103" s="33" t="s">
        <v>24</v>
      </c>
      <c r="AI103" s="33" t="s">
        <v>25</v>
      </c>
      <c r="AJ103" s="33" t="s">
        <v>26</v>
      </c>
      <c r="AK103" s="33" t="s">
        <v>24</v>
      </c>
      <c r="AL103" s="27"/>
      <c r="AM103" s="34" t="s">
        <v>25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8" customHeight="1" x14ac:dyDescent="0.3">
      <c r="A104" s="39">
        <v>108</v>
      </c>
      <c r="B104" s="40" t="s">
        <v>845</v>
      </c>
      <c r="C104" s="41" t="s">
        <v>846</v>
      </c>
      <c r="D104" s="39" t="s">
        <v>767</v>
      </c>
      <c r="E104" s="43">
        <v>46125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5"/>
        <v>✓ OK</v>
      </c>
      <c r="N104" s="43">
        <v>46193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6"/>
        <v>✓ OK</v>
      </c>
      <c r="W104" s="45">
        <v>46248</v>
      </c>
      <c r="X104" s="30" t="s">
        <v>23</v>
      </c>
      <c r="Y104" s="30" t="s">
        <v>24</v>
      </c>
      <c r="Z104" s="30" t="s">
        <v>25</v>
      </c>
      <c r="AA104" s="30" t="s">
        <v>26</v>
      </c>
      <c r="AB104" s="30" t="s">
        <v>24</v>
      </c>
      <c r="AC104" s="27"/>
      <c r="AD104" s="31" t="s">
        <v>25</v>
      </c>
      <c r="AE104" s="32" t="str">
        <f t="shared" si="7"/>
        <v>✓ OK</v>
      </c>
      <c r="AF104" s="33" t="s">
        <v>27</v>
      </c>
      <c r="AG104" s="33" t="s">
        <v>23</v>
      </c>
      <c r="AH104" s="33" t="s">
        <v>24</v>
      </c>
      <c r="AI104" s="33" t="s">
        <v>25</v>
      </c>
      <c r="AJ104" s="33" t="s">
        <v>26</v>
      </c>
      <c r="AK104" s="33" t="s">
        <v>24</v>
      </c>
      <c r="AL104" s="27"/>
      <c r="AM104" s="34" t="s">
        <v>25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8" customHeight="1" x14ac:dyDescent="0.3">
      <c r="A105" s="23">
        <v>109</v>
      </c>
      <c r="B105" s="24" t="s">
        <v>847</v>
      </c>
      <c r="C105" s="25" t="s">
        <v>848</v>
      </c>
      <c r="D105" s="23" t="s">
        <v>767</v>
      </c>
      <c r="E105" s="43">
        <v>46125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5"/>
        <v>✓ OK</v>
      </c>
      <c r="N105" s="43">
        <v>46193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6"/>
        <v>✓ OK</v>
      </c>
      <c r="W105" s="45">
        <v>46248</v>
      </c>
      <c r="X105" s="30" t="s">
        <v>23</v>
      </c>
      <c r="Y105" s="30" t="s">
        <v>24</v>
      </c>
      <c r="Z105" s="30" t="s">
        <v>25</v>
      </c>
      <c r="AA105" s="30" t="s">
        <v>26</v>
      </c>
      <c r="AB105" s="30" t="s">
        <v>24</v>
      </c>
      <c r="AC105" s="27"/>
      <c r="AD105" s="31" t="s">
        <v>25</v>
      </c>
      <c r="AE105" s="32" t="str">
        <f t="shared" si="7"/>
        <v>✓ OK</v>
      </c>
      <c r="AF105" s="33" t="s">
        <v>27</v>
      </c>
      <c r="AG105" s="33" t="s">
        <v>23</v>
      </c>
      <c r="AH105" s="33" t="s">
        <v>24</v>
      </c>
      <c r="AI105" s="33" t="s">
        <v>25</v>
      </c>
      <c r="AJ105" s="33" t="s">
        <v>26</v>
      </c>
      <c r="AK105" s="33" t="s">
        <v>24</v>
      </c>
      <c r="AL105" s="27"/>
      <c r="AM105" s="34" t="s">
        <v>25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8" customHeight="1" x14ac:dyDescent="0.3">
      <c r="A106" s="39">
        <v>110</v>
      </c>
      <c r="B106" s="40" t="s">
        <v>849</v>
      </c>
      <c r="C106" s="41" t="s">
        <v>850</v>
      </c>
      <c r="D106" s="39" t="s">
        <v>767</v>
      </c>
      <c r="E106" s="43">
        <v>46125</v>
      </c>
      <c r="F106" s="26" t="s">
        <v>23</v>
      </c>
      <c r="G106" s="26" t="s">
        <v>24</v>
      </c>
      <c r="H106" s="26" t="s">
        <v>25</v>
      </c>
      <c r="I106" s="26" t="s">
        <v>731</v>
      </c>
      <c r="J106" s="26" t="s">
        <v>25</v>
      </c>
      <c r="K106" s="27" t="s">
        <v>851</v>
      </c>
      <c r="L106" s="28" t="s">
        <v>24</v>
      </c>
      <c r="M106" s="29" t="str">
        <f t="shared" si="5"/>
        <v>⚠ Check</v>
      </c>
      <c r="N106" s="43">
        <v>46193</v>
      </c>
      <c r="O106" s="26" t="s">
        <v>23</v>
      </c>
      <c r="P106" s="26" t="s">
        <v>24</v>
      </c>
      <c r="Q106" s="26" t="s">
        <v>25</v>
      </c>
      <c r="R106" s="26" t="s">
        <v>731</v>
      </c>
      <c r="S106" s="26" t="s">
        <v>25</v>
      </c>
      <c r="T106" s="27" t="s">
        <v>851</v>
      </c>
      <c r="U106" s="28" t="s">
        <v>24</v>
      </c>
      <c r="V106" s="29" t="str">
        <f t="shared" si="6"/>
        <v>⚠ Check</v>
      </c>
      <c r="W106" s="45">
        <v>46248</v>
      </c>
      <c r="X106" s="30" t="s">
        <v>23</v>
      </c>
      <c r="Y106" s="30" t="s">
        <v>24</v>
      </c>
      <c r="Z106" s="30" t="s">
        <v>25</v>
      </c>
      <c r="AA106" s="30" t="s">
        <v>26</v>
      </c>
      <c r="AB106" s="30" t="s">
        <v>24</v>
      </c>
      <c r="AC106" s="27"/>
      <c r="AD106" s="31" t="s">
        <v>24</v>
      </c>
      <c r="AE106" s="32" t="str">
        <f t="shared" si="7"/>
        <v>✓ OK</v>
      </c>
      <c r="AF106" s="33" t="s">
        <v>27</v>
      </c>
      <c r="AG106" s="33" t="s">
        <v>23</v>
      </c>
      <c r="AH106" s="33" t="s">
        <v>24</v>
      </c>
      <c r="AI106" s="33" t="s">
        <v>25</v>
      </c>
      <c r="AJ106" s="33" t="s">
        <v>26</v>
      </c>
      <c r="AK106" s="33" t="s">
        <v>24</v>
      </c>
      <c r="AL106" s="27"/>
      <c r="AM106" s="34" t="s">
        <v>25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8" customHeight="1" x14ac:dyDescent="0.3">
      <c r="A107" s="23">
        <v>111</v>
      </c>
      <c r="B107" s="24" t="s">
        <v>852</v>
      </c>
      <c r="C107" s="25" t="s">
        <v>853</v>
      </c>
      <c r="D107" s="23" t="s">
        <v>767</v>
      </c>
      <c r="E107" s="43">
        <v>46125</v>
      </c>
      <c r="F107" s="26" t="s">
        <v>23</v>
      </c>
      <c r="G107" s="26" t="s">
        <v>24</v>
      </c>
      <c r="H107" s="26" t="s">
        <v>25</v>
      </c>
      <c r="I107" s="26" t="s">
        <v>731</v>
      </c>
      <c r="J107" s="26" t="s">
        <v>25</v>
      </c>
      <c r="K107" s="27" t="s">
        <v>732</v>
      </c>
      <c r="L107" s="28" t="s">
        <v>24</v>
      </c>
      <c r="M107" s="29" t="str">
        <f t="shared" si="5"/>
        <v>⚠ Check</v>
      </c>
      <c r="N107" s="43">
        <v>46193</v>
      </c>
      <c r="O107" s="26" t="s">
        <v>23</v>
      </c>
      <c r="P107" s="26" t="s">
        <v>25</v>
      </c>
      <c r="Q107" s="26" t="s">
        <v>24</v>
      </c>
      <c r="R107" s="26" t="s">
        <v>135</v>
      </c>
      <c r="S107" s="26" t="s">
        <v>25</v>
      </c>
      <c r="T107" s="27"/>
      <c r="U107" s="28" t="s">
        <v>24</v>
      </c>
      <c r="V107" s="29" t="str">
        <f t="shared" si="6"/>
        <v>❌ Disc</v>
      </c>
      <c r="W107" s="45">
        <v>46248</v>
      </c>
      <c r="X107" s="30" t="s">
        <v>23</v>
      </c>
      <c r="Y107" s="30" t="s">
        <v>25</v>
      </c>
      <c r="Z107" s="30" t="s">
        <v>24</v>
      </c>
      <c r="AA107" s="30" t="s">
        <v>135</v>
      </c>
      <c r="AB107" s="30" t="s">
        <v>25</v>
      </c>
      <c r="AC107" s="27"/>
      <c r="AD107" s="31" t="s">
        <v>25</v>
      </c>
      <c r="AE107" s="32" t="str">
        <f t="shared" si="7"/>
        <v>❌ Disc</v>
      </c>
      <c r="AF107" s="33" t="s">
        <v>27</v>
      </c>
      <c r="AG107" s="33" t="s">
        <v>23</v>
      </c>
      <c r="AH107" s="33" t="s">
        <v>24</v>
      </c>
      <c r="AI107" s="33" t="s">
        <v>24</v>
      </c>
      <c r="AJ107" s="33" t="s">
        <v>26</v>
      </c>
      <c r="AK107" s="33" t="s">
        <v>24</v>
      </c>
      <c r="AL107" s="27"/>
      <c r="AM107" s="34" t="s">
        <v>25</v>
      </c>
      <c r="AN107" s="35" t="str">
        <f t="shared" si="8"/>
        <v>❌ Disc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8" customHeight="1" x14ac:dyDescent="0.3">
      <c r="A108" s="39">
        <v>112</v>
      </c>
      <c r="B108" s="40" t="s">
        <v>854</v>
      </c>
      <c r="C108" s="41" t="s">
        <v>855</v>
      </c>
      <c r="D108" s="39" t="s">
        <v>767</v>
      </c>
      <c r="E108" s="43">
        <v>46125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5"/>
        <v>✓ OK</v>
      </c>
      <c r="N108" s="43">
        <v>46193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6"/>
        <v>✓ OK</v>
      </c>
      <c r="W108" s="45">
        <v>46248</v>
      </c>
      <c r="X108" s="30" t="s">
        <v>23</v>
      </c>
      <c r="Y108" s="30" t="s">
        <v>24</v>
      </c>
      <c r="Z108" s="30" t="s">
        <v>25</v>
      </c>
      <c r="AA108" s="30" t="s">
        <v>26</v>
      </c>
      <c r="AB108" s="30" t="s">
        <v>24</v>
      </c>
      <c r="AC108" s="27"/>
      <c r="AD108" s="31" t="s">
        <v>25</v>
      </c>
      <c r="AE108" s="32" t="str">
        <f t="shared" si="7"/>
        <v>✓ OK</v>
      </c>
      <c r="AF108" s="33" t="s">
        <v>27</v>
      </c>
      <c r="AG108" s="33" t="s">
        <v>23</v>
      </c>
      <c r="AH108" s="33" t="s">
        <v>24</v>
      </c>
      <c r="AI108" s="33" t="s">
        <v>25</v>
      </c>
      <c r="AJ108" s="33" t="s">
        <v>26</v>
      </c>
      <c r="AK108" s="33" t="s">
        <v>24</v>
      </c>
      <c r="AL108" s="27"/>
      <c r="AM108" s="34" t="s">
        <v>25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8" customHeight="1" x14ac:dyDescent="0.3">
      <c r="A109" s="23">
        <v>113</v>
      </c>
      <c r="B109" s="24" t="s">
        <v>856</v>
      </c>
      <c r="C109" s="25" t="s">
        <v>857</v>
      </c>
      <c r="D109" s="23" t="s">
        <v>767</v>
      </c>
      <c r="E109" s="43">
        <v>46125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5"/>
        <v>✓ OK</v>
      </c>
      <c r="N109" s="43">
        <v>46193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6"/>
        <v>✓ OK</v>
      </c>
      <c r="W109" s="45">
        <v>46248</v>
      </c>
      <c r="X109" s="30" t="s">
        <v>23</v>
      </c>
      <c r="Y109" s="30" t="s">
        <v>24</v>
      </c>
      <c r="Z109" s="30" t="s">
        <v>25</v>
      </c>
      <c r="AA109" s="30" t="s">
        <v>26</v>
      </c>
      <c r="AB109" s="30" t="s">
        <v>24</v>
      </c>
      <c r="AC109" s="27"/>
      <c r="AD109" s="31" t="s">
        <v>25</v>
      </c>
      <c r="AE109" s="32" t="str">
        <f t="shared" si="7"/>
        <v>✓ OK</v>
      </c>
      <c r="AF109" s="33" t="s">
        <v>27</v>
      </c>
      <c r="AG109" s="33" t="s">
        <v>23</v>
      </c>
      <c r="AH109" s="33" t="s">
        <v>24</v>
      </c>
      <c r="AI109" s="33" t="s">
        <v>25</v>
      </c>
      <c r="AJ109" s="33" t="s">
        <v>26</v>
      </c>
      <c r="AK109" s="33" t="s">
        <v>24</v>
      </c>
      <c r="AL109" s="27"/>
      <c r="AM109" s="34" t="s">
        <v>25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8" customHeight="1" x14ac:dyDescent="0.3">
      <c r="A110" s="39">
        <v>114</v>
      </c>
      <c r="B110" s="40" t="s">
        <v>858</v>
      </c>
      <c r="C110" s="41" t="s">
        <v>859</v>
      </c>
      <c r="D110" s="39" t="s">
        <v>767</v>
      </c>
      <c r="E110" s="43">
        <v>46125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5"/>
        <v>✓ OK</v>
      </c>
      <c r="N110" s="43">
        <v>46193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6"/>
        <v>✓ OK</v>
      </c>
      <c r="W110" s="45">
        <v>46248</v>
      </c>
      <c r="X110" s="30" t="s">
        <v>23</v>
      </c>
      <c r="Y110" s="30" t="s">
        <v>25</v>
      </c>
      <c r="Z110" s="30" t="s">
        <v>24</v>
      </c>
      <c r="AA110" s="30" t="s">
        <v>135</v>
      </c>
      <c r="AB110" s="30" t="s">
        <v>25</v>
      </c>
      <c r="AC110" s="27"/>
      <c r="AD110" s="31" t="s">
        <v>25</v>
      </c>
      <c r="AE110" s="32" t="str">
        <f t="shared" si="7"/>
        <v>❌ Disc</v>
      </c>
      <c r="AF110" s="33" t="s">
        <v>27</v>
      </c>
      <c r="AG110" s="33" t="s">
        <v>23</v>
      </c>
      <c r="AH110" s="33" t="s">
        <v>25</v>
      </c>
      <c r="AI110" s="33" t="s">
        <v>24</v>
      </c>
      <c r="AJ110" s="33" t="s">
        <v>135</v>
      </c>
      <c r="AK110" s="33" t="s">
        <v>25</v>
      </c>
      <c r="AL110" s="27"/>
      <c r="AM110" s="34" t="s">
        <v>25</v>
      </c>
      <c r="AN110" s="35" t="str">
        <f t="shared" si="8"/>
        <v>❌ Disc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8" customHeight="1" x14ac:dyDescent="0.3">
      <c r="A111" s="23">
        <v>115</v>
      </c>
      <c r="B111" s="24" t="s">
        <v>860</v>
      </c>
      <c r="C111" s="25" t="s">
        <v>861</v>
      </c>
      <c r="D111" s="23" t="s">
        <v>767</v>
      </c>
      <c r="E111" s="43">
        <v>46125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5"/>
        <v>✓ OK</v>
      </c>
      <c r="N111" s="43">
        <v>46193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6"/>
        <v>✓ OK</v>
      </c>
      <c r="W111" s="45">
        <v>46248</v>
      </c>
      <c r="X111" s="30" t="s">
        <v>23</v>
      </c>
      <c r="Y111" s="30" t="s">
        <v>24</v>
      </c>
      <c r="Z111" s="30" t="s">
        <v>25</v>
      </c>
      <c r="AA111" s="30" t="s">
        <v>26</v>
      </c>
      <c r="AB111" s="30" t="s">
        <v>24</v>
      </c>
      <c r="AC111" s="27"/>
      <c r="AD111" s="31" t="s">
        <v>25</v>
      </c>
      <c r="AE111" s="32" t="str">
        <f t="shared" si="7"/>
        <v>✓ OK</v>
      </c>
      <c r="AF111" s="33" t="s">
        <v>27</v>
      </c>
      <c r="AG111" s="33" t="s">
        <v>23</v>
      </c>
      <c r="AH111" s="33" t="s">
        <v>24</v>
      </c>
      <c r="AI111" s="33" t="s">
        <v>25</v>
      </c>
      <c r="AJ111" s="33" t="s">
        <v>26</v>
      </c>
      <c r="AK111" s="33" t="s">
        <v>24</v>
      </c>
      <c r="AL111" s="27"/>
      <c r="AM111" s="34" t="s">
        <v>25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8" customHeight="1" x14ac:dyDescent="0.3">
      <c r="A112" s="39">
        <v>116</v>
      </c>
      <c r="B112" s="40" t="s">
        <v>862</v>
      </c>
      <c r="C112" s="41" t="s">
        <v>863</v>
      </c>
      <c r="D112" s="39" t="s">
        <v>767</v>
      </c>
      <c r="E112" s="43">
        <v>46125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5"/>
        <v>✓ OK</v>
      </c>
      <c r="N112" s="43">
        <v>46193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6"/>
        <v>✓ OK</v>
      </c>
      <c r="W112" s="45">
        <v>46248</v>
      </c>
      <c r="X112" s="30" t="s">
        <v>23</v>
      </c>
      <c r="Y112" s="30" t="s">
        <v>25</v>
      </c>
      <c r="Z112" s="30" t="s">
        <v>24</v>
      </c>
      <c r="AA112" s="30" t="s">
        <v>135</v>
      </c>
      <c r="AB112" s="30" t="s">
        <v>25</v>
      </c>
      <c r="AC112" s="27"/>
      <c r="AD112" s="31" t="s">
        <v>25</v>
      </c>
      <c r="AE112" s="32" t="str">
        <f t="shared" si="7"/>
        <v>❌ Disc</v>
      </c>
      <c r="AF112" s="33" t="s">
        <v>27</v>
      </c>
      <c r="AG112" s="33" t="s">
        <v>23</v>
      </c>
      <c r="AH112" s="33" t="s">
        <v>25</v>
      </c>
      <c r="AI112" s="33" t="s">
        <v>24</v>
      </c>
      <c r="AJ112" s="33" t="s">
        <v>135</v>
      </c>
      <c r="AK112" s="33" t="s">
        <v>25</v>
      </c>
      <c r="AL112" s="27"/>
      <c r="AM112" s="34" t="s">
        <v>25</v>
      </c>
      <c r="AN112" s="35" t="str">
        <f t="shared" si="8"/>
        <v>❌ Disc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8" customHeight="1" x14ac:dyDescent="0.3">
      <c r="A113" s="23">
        <v>117</v>
      </c>
      <c r="B113" s="24" t="s">
        <v>864</v>
      </c>
      <c r="C113" s="25" t="s">
        <v>865</v>
      </c>
      <c r="D113" s="23" t="s">
        <v>767</v>
      </c>
      <c r="E113" s="43">
        <v>46125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 t="s">
        <v>822</v>
      </c>
      <c r="L113" s="28" t="s">
        <v>25</v>
      </c>
      <c r="M113" s="29" t="str">
        <f t="shared" si="5"/>
        <v>✓ OK</v>
      </c>
      <c r="N113" s="43">
        <v>46193</v>
      </c>
      <c r="O113" s="26" t="s">
        <v>23</v>
      </c>
      <c r="P113" s="26" t="s">
        <v>25</v>
      </c>
      <c r="Q113" s="26" t="s">
        <v>24</v>
      </c>
      <c r="R113" s="26" t="s">
        <v>135</v>
      </c>
      <c r="S113" s="26" t="s">
        <v>25</v>
      </c>
      <c r="T113" s="27"/>
      <c r="U113" s="28" t="s">
        <v>25</v>
      </c>
      <c r="V113" s="29" t="str">
        <f t="shared" si="6"/>
        <v>❌ Disc</v>
      </c>
      <c r="W113" s="45">
        <v>46248</v>
      </c>
      <c r="X113" s="30" t="s">
        <v>23</v>
      </c>
      <c r="Y113" s="30" t="s">
        <v>25</v>
      </c>
      <c r="Z113" s="30" t="s">
        <v>24</v>
      </c>
      <c r="AA113" s="30" t="s">
        <v>135</v>
      </c>
      <c r="AB113" s="30" t="s">
        <v>25</v>
      </c>
      <c r="AC113" s="27"/>
      <c r="AD113" s="31" t="s">
        <v>25</v>
      </c>
      <c r="AE113" s="32" t="str">
        <f t="shared" si="7"/>
        <v>❌ Disc</v>
      </c>
      <c r="AF113" s="33" t="s">
        <v>27</v>
      </c>
      <c r="AG113" s="33" t="s">
        <v>23</v>
      </c>
      <c r="AH113" s="33" t="s">
        <v>25</v>
      </c>
      <c r="AI113" s="33" t="s">
        <v>24</v>
      </c>
      <c r="AJ113" s="33" t="s">
        <v>135</v>
      </c>
      <c r="AK113" s="33" t="s">
        <v>25</v>
      </c>
      <c r="AL113" s="27"/>
      <c r="AM113" s="34" t="s">
        <v>25</v>
      </c>
      <c r="AN113" s="35" t="str">
        <f t="shared" si="8"/>
        <v>❌ Disc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8" customHeight="1" x14ac:dyDescent="0.3">
      <c r="A114" s="39">
        <v>118</v>
      </c>
      <c r="B114" s="40" t="s">
        <v>866</v>
      </c>
      <c r="C114" s="41" t="s">
        <v>867</v>
      </c>
      <c r="D114" s="39" t="s">
        <v>767</v>
      </c>
      <c r="E114" s="43">
        <v>46125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5"/>
        <v>✓ OK</v>
      </c>
      <c r="N114" s="43">
        <v>46193</v>
      </c>
      <c r="O114" s="26" t="s">
        <v>23</v>
      </c>
      <c r="P114" s="26" t="s">
        <v>25</v>
      </c>
      <c r="Q114" s="26" t="s">
        <v>24</v>
      </c>
      <c r="R114" s="26" t="s">
        <v>135</v>
      </c>
      <c r="S114" s="26" t="s">
        <v>25</v>
      </c>
      <c r="T114" s="27"/>
      <c r="U114" s="28" t="s">
        <v>25</v>
      </c>
      <c r="V114" s="29" t="str">
        <f t="shared" si="6"/>
        <v>❌ Disc</v>
      </c>
      <c r="W114" s="45">
        <v>46248</v>
      </c>
      <c r="X114" s="30" t="s">
        <v>23</v>
      </c>
      <c r="Y114" s="30" t="s">
        <v>25</v>
      </c>
      <c r="Z114" s="30" t="s">
        <v>24</v>
      </c>
      <c r="AA114" s="30" t="s">
        <v>135</v>
      </c>
      <c r="AB114" s="30" t="s">
        <v>25</v>
      </c>
      <c r="AC114" s="27"/>
      <c r="AD114" s="31" t="s">
        <v>25</v>
      </c>
      <c r="AE114" s="32" t="str">
        <f t="shared" si="7"/>
        <v>❌ Disc</v>
      </c>
      <c r="AF114" s="33" t="s">
        <v>27</v>
      </c>
      <c r="AG114" s="33" t="s">
        <v>23</v>
      </c>
      <c r="AH114" s="33" t="s">
        <v>25</v>
      </c>
      <c r="AI114" s="33" t="s">
        <v>24</v>
      </c>
      <c r="AJ114" s="33" t="s">
        <v>135</v>
      </c>
      <c r="AK114" s="33" t="s">
        <v>25</v>
      </c>
      <c r="AL114" s="27"/>
      <c r="AM114" s="34" t="s">
        <v>25</v>
      </c>
      <c r="AN114" s="35" t="str">
        <f t="shared" si="8"/>
        <v>❌ Disc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8" customHeight="1" x14ac:dyDescent="0.3">
      <c r="A115" s="23">
        <v>119</v>
      </c>
      <c r="B115" s="24" t="s">
        <v>868</v>
      </c>
      <c r="C115" s="25" t="s">
        <v>869</v>
      </c>
      <c r="D115" s="23" t="s">
        <v>767</v>
      </c>
      <c r="E115" s="43">
        <v>46125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5"/>
        <v>✓ OK</v>
      </c>
      <c r="N115" s="43">
        <v>46193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6"/>
        <v>✓ OK</v>
      </c>
      <c r="W115" s="45">
        <v>46248</v>
      </c>
      <c r="X115" s="30" t="s">
        <v>23</v>
      </c>
      <c r="Y115" s="30" t="s">
        <v>24</v>
      </c>
      <c r="Z115" s="30" t="s">
        <v>25</v>
      </c>
      <c r="AA115" s="30" t="s">
        <v>26</v>
      </c>
      <c r="AB115" s="30" t="s">
        <v>24</v>
      </c>
      <c r="AC115" s="27"/>
      <c r="AD115" s="31" t="s">
        <v>25</v>
      </c>
      <c r="AE115" s="32" t="str">
        <f t="shared" si="7"/>
        <v>✓ OK</v>
      </c>
      <c r="AF115" s="33" t="s">
        <v>27</v>
      </c>
      <c r="AG115" s="33" t="s">
        <v>23</v>
      </c>
      <c r="AH115" s="33" t="s">
        <v>24</v>
      </c>
      <c r="AI115" s="33" t="s">
        <v>25</v>
      </c>
      <c r="AJ115" s="33" t="s">
        <v>26</v>
      </c>
      <c r="AK115" s="33" t="s">
        <v>24</v>
      </c>
      <c r="AL115" s="27"/>
      <c r="AM115" s="34" t="s">
        <v>25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8" customHeight="1" x14ac:dyDescent="0.3">
      <c r="A116" s="39">
        <v>120</v>
      </c>
      <c r="B116" s="40" t="s">
        <v>870</v>
      </c>
      <c r="C116" s="41" t="s">
        <v>871</v>
      </c>
      <c r="D116" s="39" t="s">
        <v>767</v>
      </c>
      <c r="E116" s="43">
        <v>46125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5"/>
        <v>✓ OK</v>
      </c>
      <c r="N116" s="43">
        <v>46193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6"/>
        <v>✓ OK</v>
      </c>
      <c r="W116" s="45">
        <v>46248</v>
      </c>
      <c r="X116" s="30" t="s">
        <v>23</v>
      </c>
      <c r="Y116" s="30" t="s">
        <v>24</v>
      </c>
      <c r="Z116" s="30" t="s">
        <v>25</v>
      </c>
      <c r="AA116" s="30" t="s">
        <v>26</v>
      </c>
      <c r="AB116" s="30" t="s">
        <v>24</v>
      </c>
      <c r="AC116" s="27"/>
      <c r="AD116" s="31" t="s">
        <v>25</v>
      </c>
      <c r="AE116" s="32" t="str">
        <f t="shared" si="7"/>
        <v>✓ OK</v>
      </c>
      <c r="AF116" s="33" t="s">
        <v>27</v>
      </c>
      <c r="AG116" s="33" t="s">
        <v>23</v>
      </c>
      <c r="AH116" s="33" t="s">
        <v>24</v>
      </c>
      <c r="AI116" s="33" t="s">
        <v>25</v>
      </c>
      <c r="AJ116" s="33" t="s">
        <v>26</v>
      </c>
      <c r="AK116" s="33" t="s">
        <v>24</v>
      </c>
      <c r="AL116" s="27"/>
      <c r="AM116" s="34" t="s">
        <v>25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8" customHeight="1" x14ac:dyDescent="0.3">
      <c r="A117" s="23">
        <v>121</v>
      </c>
      <c r="B117" s="24" t="s">
        <v>872</v>
      </c>
      <c r="C117" s="25" t="s">
        <v>873</v>
      </c>
      <c r="D117" s="23" t="s">
        <v>767</v>
      </c>
      <c r="E117" s="43">
        <v>46125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5"/>
        <v>✓ OK</v>
      </c>
      <c r="N117" s="43">
        <v>46193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6"/>
        <v>✓ OK</v>
      </c>
      <c r="W117" s="45">
        <v>46248</v>
      </c>
      <c r="X117" s="30" t="s">
        <v>23</v>
      </c>
      <c r="Y117" s="30" t="s">
        <v>24</v>
      </c>
      <c r="Z117" s="30" t="s">
        <v>25</v>
      </c>
      <c r="AA117" s="30" t="s">
        <v>26</v>
      </c>
      <c r="AB117" s="30" t="s">
        <v>24</v>
      </c>
      <c r="AC117" s="27"/>
      <c r="AD117" s="31" t="s">
        <v>25</v>
      </c>
      <c r="AE117" s="32" t="str">
        <f t="shared" si="7"/>
        <v>✓ OK</v>
      </c>
      <c r="AF117" s="33" t="s">
        <v>27</v>
      </c>
      <c r="AG117" s="33" t="s">
        <v>23</v>
      </c>
      <c r="AH117" s="33" t="s">
        <v>25</v>
      </c>
      <c r="AI117" s="33" t="s">
        <v>24</v>
      </c>
      <c r="AJ117" s="33" t="s">
        <v>135</v>
      </c>
      <c r="AK117" s="33" t="s">
        <v>25</v>
      </c>
      <c r="AL117" s="27"/>
      <c r="AM117" s="34" t="s">
        <v>25</v>
      </c>
      <c r="AN117" s="35" t="str">
        <f t="shared" si="8"/>
        <v>❌ Disc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8" customHeight="1" x14ac:dyDescent="0.3">
      <c r="A118" s="39">
        <v>122</v>
      </c>
      <c r="B118" s="40" t="s">
        <v>874</v>
      </c>
      <c r="C118" s="41" t="s">
        <v>875</v>
      </c>
      <c r="D118" s="39" t="s">
        <v>767</v>
      </c>
      <c r="E118" s="43">
        <v>46125</v>
      </c>
      <c r="F118" s="26" t="s">
        <v>23</v>
      </c>
      <c r="G118" s="26" t="s">
        <v>24</v>
      </c>
      <c r="H118" s="26" t="s">
        <v>25</v>
      </c>
      <c r="I118" s="26" t="s">
        <v>26</v>
      </c>
      <c r="J118" s="26" t="s">
        <v>24</v>
      </c>
      <c r="K118" s="27" t="s">
        <v>822</v>
      </c>
      <c r="L118" s="28" t="s">
        <v>25</v>
      </c>
      <c r="M118" s="29" t="str">
        <f t="shared" si="5"/>
        <v>✓ OK</v>
      </c>
      <c r="N118" s="43">
        <v>46193</v>
      </c>
      <c r="O118" s="26" t="s">
        <v>23</v>
      </c>
      <c r="P118" s="26" t="s">
        <v>24</v>
      </c>
      <c r="Q118" s="26" t="s">
        <v>25</v>
      </c>
      <c r="R118" s="26" t="s">
        <v>26</v>
      </c>
      <c r="S118" s="26" t="s">
        <v>24</v>
      </c>
      <c r="T118" s="27" t="s">
        <v>822</v>
      </c>
      <c r="U118" s="28" t="s">
        <v>25</v>
      </c>
      <c r="V118" s="29" t="str">
        <f t="shared" si="6"/>
        <v>✓ OK</v>
      </c>
      <c r="W118" s="45">
        <v>46248</v>
      </c>
      <c r="X118" s="30" t="s">
        <v>23</v>
      </c>
      <c r="Y118" s="30" t="s">
        <v>25</v>
      </c>
      <c r="Z118" s="30" t="s">
        <v>24</v>
      </c>
      <c r="AA118" s="30" t="s">
        <v>135</v>
      </c>
      <c r="AB118" s="30" t="s">
        <v>25</v>
      </c>
      <c r="AC118" s="27" t="s">
        <v>822</v>
      </c>
      <c r="AD118" s="31" t="s">
        <v>25</v>
      </c>
      <c r="AE118" s="32" t="str">
        <f t="shared" si="7"/>
        <v>❌ Disc</v>
      </c>
      <c r="AF118" s="33" t="s">
        <v>27</v>
      </c>
      <c r="AG118" s="33" t="s">
        <v>23</v>
      </c>
      <c r="AH118" s="33" t="s">
        <v>25</v>
      </c>
      <c r="AI118" s="33" t="s">
        <v>24</v>
      </c>
      <c r="AJ118" s="33" t="s">
        <v>135</v>
      </c>
      <c r="AK118" s="33" t="s">
        <v>25</v>
      </c>
      <c r="AL118" s="27"/>
      <c r="AM118" s="34" t="s">
        <v>25</v>
      </c>
      <c r="AN118" s="35" t="str">
        <f t="shared" si="8"/>
        <v>❌ Disc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8" customHeight="1" x14ac:dyDescent="0.3">
      <c r="A119" s="23">
        <v>123</v>
      </c>
      <c r="B119" s="24" t="s">
        <v>876</v>
      </c>
      <c r="C119" s="25" t="s">
        <v>877</v>
      </c>
      <c r="D119" s="23" t="s">
        <v>767</v>
      </c>
      <c r="E119" s="43">
        <v>46125</v>
      </c>
      <c r="F119" s="26" t="s">
        <v>23</v>
      </c>
      <c r="G119" s="26" t="s">
        <v>24</v>
      </c>
      <c r="H119" s="26" t="s">
        <v>25</v>
      </c>
      <c r="I119" s="26" t="s">
        <v>26</v>
      </c>
      <c r="J119" s="26" t="s">
        <v>24</v>
      </c>
      <c r="K119" s="27" t="s">
        <v>822</v>
      </c>
      <c r="L119" s="28" t="s">
        <v>25</v>
      </c>
      <c r="M119" s="29" t="str">
        <f t="shared" si="5"/>
        <v>✓ OK</v>
      </c>
      <c r="N119" s="43">
        <v>46193</v>
      </c>
      <c r="O119" s="26" t="s">
        <v>23</v>
      </c>
      <c r="P119" s="26" t="s">
        <v>24</v>
      </c>
      <c r="Q119" s="26" t="s">
        <v>25</v>
      </c>
      <c r="R119" s="26" t="s">
        <v>26</v>
      </c>
      <c r="S119" s="26" t="s">
        <v>24</v>
      </c>
      <c r="T119" s="27" t="s">
        <v>822</v>
      </c>
      <c r="U119" s="28" t="s">
        <v>25</v>
      </c>
      <c r="V119" s="29" t="str">
        <f t="shared" si="6"/>
        <v>✓ OK</v>
      </c>
      <c r="W119" s="45">
        <v>46248</v>
      </c>
      <c r="X119" s="30" t="s">
        <v>23</v>
      </c>
      <c r="Y119" s="30" t="s">
        <v>25</v>
      </c>
      <c r="Z119" s="30" t="s">
        <v>24</v>
      </c>
      <c r="AA119" s="30" t="s">
        <v>135</v>
      </c>
      <c r="AB119" s="30" t="s">
        <v>25</v>
      </c>
      <c r="AC119" s="27" t="s">
        <v>822</v>
      </c>
      <c r="AD119" s="31" t="s">
        <v>25</v>
      </c>
      <c r="AE119" s="32" t="str">
        <f t="shared" si="7"/>
        <v>❌ Disc</v>
      </c>
      <c r="AF119" s="33" t="s">
        <v>27</v>
      </c>
      <c r="AG119" s="33" t="s">
        <v>23</v>
      </c>
      <c r="AH119" s="33" t="s">
        <v>25</v>
      </c>
      <c r="AI119" s="33" t="s">
        <v>24</v>
      </c>
      <c r="AJ119" s="33" t="s">
        <v>135</v>
      </c>
      <c r="AK119" s="33" t="s">
        <v>25</v>
      </c>
      <c r="AL119" s="27"/>
      <c r="AM119" s="34" t="s">
        <v>25</v>
      </c>
      <c r="AN119" s="35" t="str">
        <f t="shared" si="8"/>
        <v>❌ Disc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8" customHeight="1" x14ac:dyDescent="0.3">
      <c r="A120" s="39">
        <v>124</v>
      </c>
      <c r="B120" s="40" t="s">
        <v>878</v>
      </c>
      <c r="C120" s="41" t="s">
        <v>879</v>
      </c>
      <c r="D120" s="39" t="s">
        <v>767</v>
      </c>
      <c r="E120" s="43">
        <v>46125</v>
      </c>
      <c r="F120" s="26" t="s">
        <v>23</v>
      </c>
      <c r="G120" s="26" t="s">
        <v>24</v>
      </c>
      <c r="H120" s="26" t="s">
        <v>25</v>
      </c>
      <c r="I120" s="26" t="s">
        <v>731</v>
      </c>
      <c r="J120" s="26" t="s">
        <v>25</v>
      </c>
      <c r="K120" s="27" t="s">
        <v>732</v>
      </c>
      <c r="L120" s="28" t="s">
        <v>24</v>
      </c>
      <c r="M120" s="29" t="str">
        <f t="shared" si="5"/>
        <v>⚠ Check</v>
      </c>
      <c r="N120" s="43">
        <v>46193</v>
      </c>
      <c r="O120" s="26" t="s">
        <v>23</v>
      </c>
      <c r="P120" s="26" t="s">
        <v>24</v>
      </c>
      <c r="Q120" s="26" t="s">
        <v>25</v>
      </c>
      <c r="R120" s="26" t="s">
        <v>731</v>
      </c>
      <c r="S120" s="26" t="s">
        <v>25</v>
      </c>
      <c r="T120" s="27" t="s">
        <v>732</v>
      </c>
      <c r="U120" s="28" t="s">
        <v>24</v>
      </c>
      <c r="V120" s="29" t="str">
        <f t="shared" si="6"/>
        <v>⚠ Check</v>
      </c>
      <c r="W120" s="45">
        <v>46248</v>
      </c>
      <c r="X120" s="30" t="s">
        <v>23</v>
      </c>
      <c r="Y120" s="30" t="s">
        <v>24</v>
      </c>
      <c r="Z120" s="30" t="s">
        <v>25</v>
      </c>
      <c r="AA120" s="30" t="s">
        <v>731</v>
      </c>
      <c r="AB120" s="30" t="s">
        <v>25</v>
      </c>
      <c r="AC120" s="27" t="s">
        <v>732</v>
      </c>
      <c r="AD120" s="31" t="s">
        <v>24</v>
      </c>
      <c r="AE120" s="32" t="str">
        <f t="shared" si="7"/>
        <v>⚠ Check</v>
      </c>
      <c r="AF120" s="33" t="s">
        <v>27</v>
      </c>
      <c r="AG120" s="33" t="s">
        <v>23</v>
      </c>
      <c r="AH120" s="33" t="s">
        <v>24</v>
      </c>
      <c r="AI120" s="33" t="s">
        <v>24</v>
      </c>
      <c r="AJ120" s="33" t="s">
        <v>26</v>
      </c>
      <c r="AK120" s="33" t="s">
        <v>24</v>
      </c>
      <c r="AL120" s="27"/>
      <c r="AM120" s="34" t="s">
        <v>25</v>
      </c>
      <c r="AN120" s="35" t="str">
        <f t="shared" si="8"/>
        <v>❌ Disc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8" customHeight="1" x14ac:dyDescent="0.3">
      <c r="A121" s="23">
        <v>125</v>
      </c>
      <c r="B121" s="24" t="s">
        <v>880</v>
      </c>
      <c r="C121" s="25" t="s">
        <v>881</v>
      </c>
      <c r="D121" s="23" t="s">
        <v>767</v>
      </c>
      <c r="E121" s="43">
        <v>46125</v>
      </c>
      <c r="F121" s="26" t="s">
        <v>23</v>
      </c>
      <c r="G121" s="26" t="s">
        <v>24</v>
      </c>
      <c r="H121" s="26" t="s">
        <v>25</v>
      </c>
      <c r="I121" s="26" t="s">
        <v>731</v>
      </c>
      <c r="J121" s="26" t="s">
        <v>25</v>
      </c>
      <c r="K121" s="27" t="s">
        <v>851</v>
      </c>
      <c r="L121" s="28" t="s">
        <v>24</v>
      </c>
      <c r="M121" s="29" t="str">
        <f t="shared" si="5"/>
        <v>⚠ Check</v>
      </c>
      <c r="N121" s="43">
        <v>46193</v>
      </c>
      <c r="O121" s="26" t="s">
        <v>23</v>
      </c>
      <c r="P121" s="26" t="s">
        <v>24</v>
      </c>
      <c r="Q121" s="26" t="s">
        <v>25</v>
      </c>
      <c r="R121" s="26" t="s">
        <v>731</v>
      </c>
      <c r="S121" s="26" t="s">
        <v>25</v>
      </c>
      <c r="T121" s="27" t="s">
        <v>851</v>
      </c>
      <c r="U121" s="28" t="s">
        <v>24</v>
      </c>
      <c r="V121" s="29" t="str">
        <f t="shared" si="6"/>
        <v>⚠ Check</v>
      </c>
      <c r="W121" s="45">
        <v>46248</v>
      </c>
      <c r="X121" s="30" t="s">
        <v>23</v>
      </c>
      <c r="Y121" s="30" t="s">
        <v>24</v>
      </c>
      <c r="Z121" s="30" t="s">
        <v>25</v>
      </c>
      <c r="AA121" s="30" t="s">
        <v>26</v>
      </c>
      <c r="AB121" s="30" t="s">
        <v>24</v>
      </c>
      <c r="AC121" s="27"/>
      <c r="AD121" s="31" t="s">
        <v>24</v>
      </c>
      <c r="AE121" s="32" t="str">
        <f t="shared" si="7"/>
        <v>✓ OK</v>
      </c>
      <c r="AF121" s="33" t="s">
        <v>27</v>
      </c>
      <c r="AG121" s="33" t="s">
        <v>23</v>
      </c>
      <c r="AH121" s="33" t="s">
        <v>24</v>
      </c>
      <c r="AI121" s="33" t="s">
        <v>25</v>
      </c>
      <c r="AJ121" s="33" t="s">
        <v>26</v>
      </c>
      <c r="AK121" s="33" t="s">
        <v>24</v>
      </c>
      <c r="AL121" s="27"/>
      <c r="AM121" s="34" t="s">
        <v>25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8" customHeight="1" x14ac:dyDescent="0.3">
      <c r="A122" s="39">
        <v>126</v>
      </c>
      <c r="B122" s="40" t="s">
        <v>882</v>
      </c>
      <c r="C122" s="41" t="s">
        <v>883</v>
      </c>
      <c r="D122" s="39" t="s">
        <v>767</v>
      </c>
      <c r="E122" s="43">
        <v>46125</v>
      </c>
      <c r="F122" s="26" t="s">
        <v>23</v>
      </c>
      <c r="G122" s="26" t="s">
        <v>24</v>
      </c>
      <c r="H122" s="26" t="s">
        <v>25</v>
      </c>
      <c r="I122" s="26" t="s">
        <v>26</v>
      </c>
      <c r="J122" s="26" t="s">
        <v>24</v>
      </c>
      <c r="K122" s="27"/>
      <c r="L122" s="28" t="s">
        <v>25</v>
      </c>
      <c r="M122" s="29" t="str">
        <f t="shared" si="5"/>
        <v>✓ OK</v>
      </c>
      <c r="N122" s="43">
        <v>46193</v>
      </c>
      <c r="O122" s="26" t="s">
        <v>23</v>
      </c>
      <c r="P122" s="26" t="s">
        <v>24</v>
      </c>
      <c r="Q122" s="26" t="s">
        <v>25</v>
      </c>
      <c r="R122" s="26" t="s">
        <v>26</v>
      </c>
      <c r="S122" s="26" t="s">
        <v>24</v>
      </c>
      <c r="T122" s="27"/>
      <c r="U122" s="28" t="s">
        <v>25</v>
      </c>
      <c r="V122" s="29" t="str">
        <f t="shared" si="6"/>
        <v>✓ OK</v>
      </c>
      <c r="W122" s="45">
        <v>46248</v>
      </c>
      <c r="X122" s="30" t="s">
        <v>23</v>
      </c>
      <c r="Y122" s="30" t="s">
        <v>24</v>
      </c>
      <c r="Z122" s="30" t="s">
        <v>25</v>
      </c>
      <c r="AA122" s="30" t="s">
        <v>26</v>
      </c>
      <c r="AB122" s="30" t="s">
        <v>24</v>
      </c>
      <c r="AC122" s="27"/>
      <c r="AD122" s="31" t="s">
        <v>25</v>
      </c>
      <c r="AE122" s="32" t="str">
        <f t="shared" si="7"/>
        <v>✓ OK</v>
      </c>
      <c r="AF122" s="33" t="s">
        <v>27</v>
      </c>
      <c r="AG122" s="33" t="s">
        <v>23</v>
      </c>
      <c r="AH122" s="33" t="s">
        <v>24</v>
      </c>
      <c r="AI122" s="33" t="s">
        <v>25</v>
      </c>
      <c r="AJ122" s="33" t="s">
        <v>26</v>
      </c>
      <c r="AK122" s="33" t="s">
        <v>24</v>
      </c>
      <c r="AL122" s="27"/>
      <c r="AM122" s="34" t="s">
        <v>25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8" customHeight="1" x14ac:dyDescent="0.3">
      <c r="A123" s="23">
        <v>127</v>
      </c>
      <c r="B123" s="24" t="s">
        <v>884</v>
      </c>
      <c r="C123" s="25" t="s">
        <v>885</v>
      </c>
      <c r="D123" s="23" t="s">
        <v>767</v>
      </c>
      <c r="E123" s="43">
        <v>46125</v>
      </c>
      <c r="F123" s="26" t="s">
        <v>23</v>
      </c>
      <c r="G123" s="26" t="s">
        <v>24</v>
      </c>
      <c r="H123" s="26" t="s">
        <v>25</v>
      </c>
      <c r="I123" s="26" t="s">
        <v>26</v>
      </c>
      <c r="J123" s="26" t="s">
        <v>24</v>
      </c>
      <c r="K123" s="27"/>
      <c r="L123" s="28" t="s">
        <v>25</v>
      </c>
      <c r="M123" s="29" t="str">
        <f t="shared" si="5"/>
        <v>✓ OK</v>
      </c>
      <c r="N123" s="43">
        <v>46193</v>
      </c>
      <c r="O123" s="26" t="s">
        <v>23</v>
      </c>
      <c r="P123" s="26" t="s">
        <v>24</v>
      </c>
      <c r="Q123" s="26" t="s">
        <v>25</v>
      </c>
      <c r="R123" s="26" t="s">
        <v>26</v>
      </c>
      <c r="S123" s="26" t="s">
        <v>24</v>
      </c>
      <c r="T123" s="27"/>
      <c r="U123" s="28" t="s">
        <v>25</v>
      </c>
      <c r="V123" s="29" t="str">
        <f t="shared" si="6"/>
        <v>✓ OK</v>
      </c>
      <c r="W123" s="45">
        <v>46248</v>
      </c>
      <c r="X123" s="30" t="s">
        <v>23</v>
      </c>
      <c r="Y123" s="30" t="s">
        <v>24</v>
      </c>
      <c r="Z123" s="30" t="s">
        <v>25</v>
      </c>
      <c r="AA123" s="30" t="s">
        <v>26</v>
      </c>
      <c r="AB123" s="30" t="s">
        <v>24</v>
      </c>
      <c r="AC123" s="27"/>
      <c r="AD123" s="31" t="s">
        <v>25</v>
      </c>
      <c r="AE123" s="32" t="str">
        <f t="shared" si="7"/>
        <v>✓ OK</v>
      </c>
      <c r="AF123" s="33" t="s">
        <v>27</v>
      </c>
      <c r="AG123" s="33" t="s">
        <v>23</v>
      </c>
      <c r="AH123" s="33" t="s">
        <v>24</v>
      </c>
      <c r="AI123" s="33" t="s">
        <v>25</v>
      </c>
      <c r="AJ123" s="33" t="s">
        <v>26</v>
      </c>
      <c r="AK123" s="33" t="s">
        <v>24</v>
      </c>
      <c r="AL123" s="27"/>
      <c r="AM123" s="34" t="s">
        <v>25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8" customHeight="1" x14ac:dyDescent="0.3">
      <c r="A124" s="39">
        <v>128</v>
      </c>
      <c r="B124" s="40" t="s">
        <v>886</v>
      </c>
      <c r="C124" s="41" t="s">
        <v>887</v>
      </c>
      <c r="D124" s="39" t="s">
        <v>767</v>
      </c>
      <c r="E124" s="43">
        <v>46125</v>
      </c>
      <c r="F124" s="26" t="s">
        <v>23</v>
      </c>
      <c r="G124" s="26" t="s">
        <v>24</v>
      </c>
      <c r="H124" s="26" t="s">
        <v>25</v>
      </c>
      <c r="I124" s="26" t="s">
        <v>26</v>
      </c>
      <c r="J124" s="26" t="s">
        <v>24</v>
      </c>
      <c r="K124" s="27"/>
      <c r="L124" s="28" t="s">
        <v>25</v>
      </c>
      <c r="M124" s="29" t="str">
        <f t="shared" si="5"/>
        <v>✓ OK</v>
      </c>
      <c r="N124" s="43">
        <v>46193</v>
      </c>
      <c r="O124" s="26" t="s">
        <v>23</v>
      </c>
      <c r="P124" s="26" t="s">
        <v>24</v>
      </c>
      <c r="Q124" s="26" t="s">
        <v>25</v>
      </c>
      <c r="R124" s="26" t="s">
        <v>26</v>
      </c>
      <c r="S124" s="26" t="s">
        <v>24</v>
      </c>
      <c r="T124" s="27"/>
      <c r="U124" s="28" t="s">
        <v>25</v>
      </c>
      <c r="V124" s="29" t="str">
        <f t="shared" si="6"/>
        <v>✓ OK</v>
      </c>
      <c r="W124" s="45">
        <v>46248</v>
      </c>
      <c r="X124" s="30" t="s">
        <v>23</v>
      </c>
      <c r="Y124" s="30" t="s">
        <v>24</v>
      </c>
      <c r="Z124" s="30" t="s">
        <v>25</v>
      </c>
      <c r="AA124" s="30" t="s">
        <v>26</v>
      </c>
      <c r="AB124" s="30" t="s">
        <v>24</v>
      </c>
      <c r="AC124" s="27"/>
      <c r="AD124" s="31" t="s">
        <v>25</v>
      </c>
      <c r="AE124" s="32" t="str">
        <f t="shared" si="7"/>
        <v>✓ OK</v>
      </c>
      <c r="AF124" s="33" t="s">
        <v>27</v>
      </c>
      <c r="AG124" s="33" t="s">
        <v>23</v>
      </c>
      <c r="AH124" s="33" t="s">
        <v>24</v>
      </c>
      <c r="AI124" s="33" t="s">
        <v>25</v>
      </c>
      <c r="AJ124" s="33" t="s">
        <v>26</v>
      </c>
      <c r="AK124" s="33" t="s">
        <v>24</v>
      </c>
      <c r="AL124" s="27"/>
      <c r="AM124" s="34" t="s">
        <v>25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8" customHeight="1" x14ac:dyDescent="0.3">
      <c r="A125" s="23">
        <v>129</v>
      </c>
      <c r="B125" s="24" t="s">
        <v>888</v>
      </c>
      <c r="C125" s="25" t="s">
        <v>889</v>
      </c>
      <c r="D125" s="23" t="s">
        <v>767</v>
      </c>
      <c r="E125" s="43">
        <v>46125</v>
      </c>
      <c r="F125" s="26" t="s">
        <v>23</v>
      </c>
      <c r="G125" s="26" t="s">
        <v>24</v>
      </c>
      <c r="H125" s="26" t="s">
        <v>25</v>
      </c>
      <c r="I125" s="26" t="s">
        <v>26</v>
      </c>
      <c r="J125" s="26" t="s">
        <v>24</v>
      </c>
      <c r="K125" s="27" t="s">
        <v>822</v>
      </c>
      <c r="L125" s="28" t="s">
        <v>25</v>
      </c>
      <c r="M125" s="29" t="str">
        <f t="shared" si="5"/>
        <v>✓ OK</v>
      </c>
      <c r="N125" s="43">
        <v>46193</v>
      </c>
      <c r="O125" s="26" t="s">
        <v>23</v>
      </c>
      <c r="P125" s="26" t="s">
        <v>24</v>
      </c>
      <c r="Q125" s="26" t="s">
        <v>25</v>
      </c>
      <c r="R125" s="26" t="s">
        <v>26</v>
      </c>
      <c r="S125" s="26" t="s">
        <v>24</v>
      </c>
      <c r="T125" s="27" t="s">
        <v>822</v>
      </c>
      <c r="U125" s="28" t="s">
        <v>25</v>
      </c>
      <c r="V125" s="29" t="str">
        <f t="shared" si="6"/>
        <v>✓ OK</v>
      </c>
      <c r="W125" s="45">
        <v>46248</v>
      </c>
      <c r="X125" s="30" t="s">
        <v>23</v>
      </c>
      <c r="Y125" s="30" t="s">
        <v>24</v>
      </c>
      <c r="Z125" s="30" t="s">
        <v>25</v>
      </c>
      <c r="AA125" s="30" t="s">
        <v>26</v>
      </c>
      <c r="AB125" s="30" t="s">
        <v>24</v>
      </c>
      <c r="AC125" s="27" t="s">
        <v>822</v>
      </c>
      <c r="AD125" s="31" t="s">
        <v>25</v>
      </c>
      <c r="AE125" s="32" t="str">
        <f t="shared" si="7"/>
        <v>✓ OK</v>
      </c>
      <c r="AF125" s="33" t="s">
        <v>27</v>
      </c>
      <c r="AG125" s="33" t="s">
        <v>23</v>
      </c>
      <c r="AH125" s="33" t="s">
        <v>24</v>
      </c>
      <c r="AI125" s="33" t="s">
        <v>25</v>
      </c>
      <c r="AJ125" s="33" t="s">
        <v>26</v>
      </c>
      <c r="AK125" s="33" t="s">
        <v>24</v>
      </c>
      <c r="AL125" s="27" t="s">
        <v>822</v>
      </c>
      <c r="AM125" s="34" t="s">
        <v>25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8" customHeight="1" x14ac:dyDescent="0.3">
      <c r="A126" s="39">
        <v>130</v>
      </c>
      <c r="B126" s="40" t="s">
        <v>890</v>
      </c>
      <c r="C126" s="41" t="s">
        <v>891</v>
      </c>
      <c r="D126" s="39" t="s">
        <v>767</v>
      </c>
      <c r="E126" s="43">
        <v>46125</v>
      </c>
      <c r="F126" s="26" t="s">
        <v>23</v>
      </c>
      <c r="G126" s="26" t="s">
        <v>24</v>
      </c>
      <c r="H126" s="26" t="s">
        <v>25</v>
      </c>
      <c r="I126" s="26" t="s">
        <v>26</v>
      </c>
      <c r="J126" s="26" t="s">
        <v>24</v>
      </c>
      <c r="K126" s="27" t="s">
        <v>822</v>
      </c>
      <c r="L126" s="28" t="s">
        <v>25</v>
      </c>
      <c r="M126" s="29" t="str">
        <f t="shared" si="5"/>
        <v>✓ OK</v>
      </c>
      <c r="N126" s="43">
        <v>46193</v>
      </c>
      <c r="O126" s="26" t="s">
        <v>23</v>
      </c>
      <c r="P126" s="26" t="s">
        <v>24</v>
      </c>
      <c r="Q126" s="26" t="s">
        <v>25</v>
      </c>
      <c r="R126" s="26" t="s">
        <v>26</v>
      </c>
      <c r="S126" s="26" t="s">
        <v>24</v>
      </c>
      <c r="T126" s="27" t="s">
        <v>822</v>
      </c>
      <c r="U126" s="28" t="s">
        <v>25</v>
      </c>
      <c r="V126" s="29" t="str">
        <f t="shared" si="6"/>
        <v>✓ OK</v>
      </c>
      <c r="W126" s="45">
        <v>46248</v>
      </c>
      <c r="X126" s="30" t="s">
        <v>23</v>
      </c>
      <c r="Y126" s="30" t="s">
        <v>24</v>
      </c>
      <c r="Z126" s="30" t="s">
        <v>25</v>
      </c>
      <c r="AA126" s="30" t="s">
        <v>26</v>
      </c>
      <c r="AB126" s="30" t="s">
        <v>24</v>
      </c>
      <c r="AC126" s="27" t="s">
        <v>822</v>
      </c>
      <c r="AD126" s="31" t="s">
        <v>25</v>
      </c>
      <c r="AE126" s="32" t="str">
        <f t="shared" si="7"/>
        <v>✓ OK</v>
      </c>
      <c r="AF126" s="33" t="s">
        <v>27</v>
      </c>
      <c r="AG126" s="33" t="s">
        <v>23</v>
      </c>
      <c r="AH126" s="33" t="s">
        <v>24</v>
      </c>
      <c r="AI126" s="33" t="s">
        <v>25</v>
      </c>
      <c r="AJ126" s="33" t="s">
        <v>26</v>
      </c>
      <c r="AK126" s="33" t="s">
        <v>24</v>
      </c>
      <c r="AL126" s="27" t="s">
        <v>822</v>
      </c>
      <c r="AM126" s="34" t="s">
        <v>25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8" customHeight="1" x14ac:dyDescent="0.3">
      <c r="A127" s="23">
        <v>131</v>
      </c>
      <c r="B127" s="24" t="s">
        <v>892</v>
      </c>
      <c r="C127" s="25" t="s">
        <v>893</v>
      </c>
      <c r="D127" s="23" t="s">
        <v>767</v>
      </c>
      <c r="E127" s="43">
        <v>46125</v>
      </c>
      <c r="F127" s="26" t="s">
        <v>23</v>
      </c>
      <c r="G127" s="26" t="s">
        <v>24</v>
      </c>
      <c r="H127" s="26" t="s">
        <v>25</v>
      </c>
      <c r="I127" s="26" t="s">
        <v>26</v>
      </c>
      <c r="J127" s="26" t="s">
        <v>24</v>
      </c>
      <c r="K127" s="27"/>
      <c r="L127" s="28" t="s">
        <v>25</v>
      </c>
      <c r="M127" s="29" t="str">
        <f t="shared" si="5"/>
        <v>✓ OK</v>
      </c>
      <c r="N127" s="43">
        <v>46193</v>
      </c>
      <c r="O127" s="26" t="s">
        <v>23</v>
      </c>
      <c r="P127" s="26" t="s">
        <v>24</v>
      </c>
      <c r="Q127" s="26" t="s">
        <v>25</v>
      </c>
      <c r="R127" s="26" t="s">
        <v>26</v>
      </c>
      <c r="S127" s="26" t="s">
        <v>24</v>
      </c>
      <c r="T127" s="27"/>
      <c r="U127" s="28" t="s">
        <v>25</v>
      </c>
      <c r="V127" s="29" t="str">
        <f t="shared" si="6"/>
        <v>✓ OK</v>
      </c>
      <c r="W127" s="45">
        <v>46248</v>
      </c>
      <c r="X127" s="30" t="s">
        <v>23</v>
      </c>
      <c r="Y127" s="30" t="s">
        <v>24</v>
      </c>
      <c r="Z127" s="30" t="s">
        <v>25</v>
      </c>
      <c r="AA127" s="30" t="s">
        <v>26</v>
      </c>
      <c r="AB127" s="30" t="s">
        <v>24</v>
      </c>
      <c r="AC127" s="27"/>
      <c r="AD127" s="31" t="s">
        <v>25</v>
      </c>
      <c r="AE127" s="32" t="str">
        <f t="shared" si="7"/>
        <v>✓ OK</v>
      </c>
      <c r="AF127" s="33" t="s">
        <v>27</v>
      </c>
      <c r="AG127" s="33" t="s">
        <v>23</v>
      </c>
      <c r="AH127" s="33" t="s">
        <v>24</v>
      </c>
      <c r="AI127" s="33" t="s">
        <v>25</v>
      </c>
      <c r="AJ127" s="33" t="s">
        <v>26</v>
      </c>
      <c r="AK127" s="33" t="s">
        <v>24</v>
      </c>
      <c r="AL127" s="27"/>
      <c r="AM127" s="34" t="s">
        <v>25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8" customHeight="1" x14ac:dyDescent="0.3">
      <c r="A128" s="39">
        <v>132</v>
      </c>
      <c r="B128" s="40" t="s">
        <v>894</v>
      </c>
      <c r="C128" s="41" t="s">
        <v>895</v>
      </c>
      <c r="D128" s="39" t="s">
        <v>767</v>
      </c>
      <c r="E128" s="43">
        <v>46125</v>
      </c>
      <c r="F128" s="26" t="s">
        <v>23</v>
      </c>
      <c r="G128" s="26" t="s">
        <v>25</v>
      </c>
      <c r="H128" s="26" t="s">
        <v>25</v>
      </c>
      <c r="I128" s="26" t="s">
        <v>735</v>
      </c>
      <c r="J128" s="26" t="s">
        <v>25</v>
      </c>
      <c r="K128" s="27"/>
      <c r="L128" s="28" t="s">
        <v>24</v>
      </c>
      <c r="M128" s="29" t="str">
        <f t="shared" si="5"/>
        <v>⚠ Missing</v>
      </c>
      <c r="N128" s="43">
        <v>46193</v>
      </c>
      <c r="O128" s="26" t="s">
        <v>23</v>
      </c>
      <c r="P128" s="26" t="s">
        <v>25</v>
      </c>
      <c r="Q128" s="26" t="s">
        <v>25</v>
      </c>
      <c r="R128" s="26" t="s">
        <v>735</v>
      </c>
      <c r="S128" s="26" t="s">
        <v>25</v>
      </c>
      <c r="T128" s="27"/>
      <c r="U128" s="28" t="s">
        <v>24</v>
      </c>
      <c r="V128" s="29" t="str">
        <f t="shared" si="6"/>
        <v>⚠ Missing</v>
      </c>
      <c r="W128" s="45">
        <v>46248</v>
      </c>
      <c r="X128" s="30" t="s">
        <v>23</v>
      </c>
      <c r="Y128" s="30" t="s">
        <v>25</v>
      </c>
      <c r="Z128" s="30" t="s">
        <v>25</v>
      </c>
      <c r="AA128" s="30" t="s">
        <v>735</v>
      </c>
      <c r="AB128" s="30" t="s">
        <v>25</v>
      </c>
      <c r="AC128" s="27"/>
      <c r="AD128" s="31" t="s">
        <v>24</v>
      </c>
      <c r="AE128" s="32" t="str">
        <f t="shared" si="7"/>
        <v>⚠ Missing</v>
      </c>
      <c r="AF128" s="33" t="s">
        <v>27</v>
      </c>
      <c r="AG128" s="33" t="s">
        <v>23</v>
      </c>
      <c r="AH128" s="33" t="s">
        <v>25</v>
      </c>
      <c r="AI128" s="33" t="s">
        <v>25</v>
      </c>
      <c r="AJ128" s="33" t="s">
        <v>735</v>
      </c>
      <c r="AK128" s="33" t="s">
        <v>25</v>
      </c>
      <c r="AL128" s="27"/>
      <c r="AM128" s="34" t="s">
        <v>24</v>
      </c>
      <c r="AN128" s="35" t="str">
        <f t="shared" si="8"/>
        <v>⚠ Missing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8" customHeight="1" x14ac:dyDescent="0.3">
      <c r="A129" s="23">
        <v>133</v>
      </c>
      <c r="B129" s="24" t="s">
        <v>896</v>
      </c>
      <c r="C129" s="25" t="s">
        <v>897</v>
      </c>
      <c r="D129" s="23" t="s">
        <v>767</v>
      </c>
      <c r="E129" s="43">
        <v>46125</v>
      </c>
      <c r="F129" s="26" t="s">
        <v>23</v>
      </c>
      <c r="G129" s="26" t="s">
        <v>24</v>
      </c>
      <c r="H129" s="26" t="s">
        <v>25</v>
      </c>
      <c r="I129" s="26" t="s">
        <v>26</v>
      </c>
      <c r="J129" s="26" t="s">
        <v>25</v>
      </c>
      <c r="K129" s="27" t="s">
        <v>740</v>
      </c>
      <c r="L129" s="28" t="s">
        <v>24</v>
      </c>
      <c r="M129" s="29" t="str">
        <f t="shared" si="5"/>
        <v>⚠ Check</v>
      </c>
      <c r="N129" s="43">
        <v>46193</v>
      </c>
      <c r="O129" s="26" t="s">
        <v>23</v>
      </c>
      <c r="P129" s="26" t="s">
        <v>24</v>
      </c>
      <c r="Q129" s="26" t="s">
        <v>25</v>
      </c>
      <c r="R129" s="26" t="s">
        <v>26</v>
      </c>
      <c r="S129" s="26" t="s">
        <v>25</v>
      </c>
      <c r="T129" s="27" t="s">
        <v>740</v>
      </c>
      <c r="U129" s="28" t="s">
        <v>24</v>
      </c>
      <c r="V129" s="29" t="str">
        <f t="shared" si="6"/>
        <v>⚠ Check</v>
      </c>
      <c r="W129" s="45">
        <v>46248</v>
      </c>
      <c r="X129" s="30" t="s">
        <v>23</v>
      </c>
      <c r="Y129" s="30" t="s">
        <v>24</v>
      </c>
      <c r="Z129" s="30" t="s">
        <v>25</v>
      </c>
      <c r="AA129" s="30" t="s">
        <v>26</v>
      </c>
      <c r="AB129" s="30" t="s">
        <v>24</v>
      </c>
      <c r="AC129" s="27"/>
      <c r="AD129" s="31" t="s">
        <v>24</v>
      </c>
      <c r="AE129" s="32" t="str">
        <f t="shared" si="7"/>
        <v>✓ OK</v>
      </c>
      <c r="AF129" s="33" t="s">
        <v>27</v>
      </c>
      <c r="AG129" s="33" t="s">
        <v>23</v>
      </c>
      <c r="AH129" s="33" t="s">
        <v>24</v>
      </c>
      <c r="AI129" s="33" t="s">
        <v>25</v>
      </c>
      <c r="AJ129" s="33" t="s">
        <v>26</v>
      </c>
      <c r="AK129" s="33" t="s">
        <v>24</v>
      </c>
      <c r="AL129" s="27"/>
      <c r="AM129" s="34" t="s">
        <v>25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8" customHeight="1" x14ac:dyDescent="0.3">
      <c r="A130" s="39">
        <v>134</v>
      </c>
      <c r="B130" s="40" t="s">
        <v>898</v>
      </c>
      <c r="C130" s="41" t="s">
        <v>899</v>
      </c>
      <c r="D130" s="39" t="s">
        <v>767</v>
      </c>
      <c r="E130" s="43">
        <v>46125</v>
      </c>
      <c r="F130" s="26" t="s">
        <v>23</v>
      </c>
      <c r="G130" s="26" t="s">
        <v>24</v>
      </c>
      <c r="H130" s="26" t="s">
        <v>25</v>
      </c>
      <c r="I130" s="26" t="s">
        <v>26</v>
      </c>
      <c r="J130" s="26" t="s">
        <v>24</v>
      </c>
      <c r="K130" s="27"/>
      <c r="L130" s="28" t="s">
        <v>25</v>
      </c>
      <c r="M130" s="29" t="str">
        <f t="shared" si="5"/>
        <v>✓ OK</v>
      </c>
      <c r="N130" s="43">
        <v>46193</v>
      </c>
      <c r="O130" s="26" t="s">
        <v>23</v>
      </c>
      <c r="P130" s="26" t="s">
        <v>25</v>
      </c>
      <c r="Q130" s="26" t="s">
        <v>24</v>
      </c>
      <c r="R130" s="26" t="s">
        <v>135</v>
      </c>
      <c r="S130" s="26" t="s">
        <v>25</v>
      </c>
      <c r="T130" s="27"/>
      <c r="U130" s="28" t="s">
        <v>25</v>
      </c>
      <c r="V130" s="29" t="str">
        <f t="shared" si="6"/>
        <v>❌ Disc</v>
      </c>
      <c r="W130" s="45">
        <v>46248</v>
      </c>
      <c r="X130" s="30" t="s">
        <v>23</v>
      </c>
      <c r="Y130" s="30" t="s">
        <v>25</v>
      </c>
      <c r="Z130" s="30" t="s">
        <v>24</v>
      </c>
      <c r="AA130" s="30" t="s">
        <v>135</v>
      </c>
      <c r="AB130" s="30" t="s">
        <v>25</v>
      </c>
      <c r="AC130" s="27"/>
      <c r="AD130" s="31" t="s">
        <v>25</v>
      </c>
      <c r="AE130" s="32" t="str">
        <f t="shared" si="7"/>
        <v>❌ Disc</v>
      </c>
      <c r="AF130" s="33" t="s">
        <v>27</v>
      </c>
      <c r="AG130" s="33" t="s">
        <v>23</v>
      </c>
      <c r="AH130" s="33" t="s">
        <v>25</v>
      </c>
      <c r="AI130" s="33" t="s">
        <v>24</v>
      </c>
      <c r="AJ130" s="33" t="s">
        <v>135</v>
      </c>
      <c r="AK130" s="33" t="s">
        <v>25</v>
      </c>
      <c r="AL130" s="27"/>
      <c r="AM130" s="34" t="s">
        <v>25</v>
      </c>
      <c r="AN130" s="35" t="str">
        <f t="shared" si="8"/>
        <v>❌ Disc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8" customHeight="1" x14ac:dyDescent="0.3">
      <c r="A131" s="23">
        <v>135</v>
      </c>
      <c r="B131" s="24" t="s">
        <v>900</v>
      </c>
      <c r="C131" s="25" t="s">
        <v>901</v>
      </c>
      <c r="D131" s="23" t="s">
        <v>767</v>
      </c>
      <c r="E131" s="43">
        <v>46125</v>
      </c>
      <c r="F131" s="26" t="s">
        <v>23</v>
      </c>
      <c r="G131" s="26" t="s">
        <v>24</v>
      </c>
      <c r="H131" s="26" t="s">
        <v>25</v>
      </c>
      <c r="I131" s="26" t="s">
        <v>26</v>
      </c>
      <c r="J131" s="26" t="s">
        <v>24</v>
      </c>
      <c r="K131" s="27"/>
      <c r="L131" s="28" t="s">
        <v>25</v>
      </c>
      <c r="M131" s="29" t="str">
        <f t="shared" si="5"/>
        <v>✓ OK</v>
      </c>
      <c r="N131" s="43">
        <v>46193</v>
      </c>
      <c r="O131" s="26" t="s">
        <v>23</v>
      </c>
      <c r="P131" s="26" t="s">
        <v>25</v>
      </c>
      <c r="Q131" s="26" t="s">
        <v>24</v>
      </c>
      <c r="R131" s="26" t="s">
        <v>135</v>
      </c>
      <c r="S131" s="26" t="s">
        <v>25</v>
      </c>
      <c r="T131" s="27"/>
      <c r="U131" s="28" t="s">
        <v>25</v>
      </c>
      <c r="V131" s="29" t="str">
        <f t="shared" si="6"/>
        <v>❌ Disc</v>
      </c>
      <c r="W131" s="45">
        <v>46248</v>
      </c>
      <c r="X131" s="30" t="s">
        <v>23</v>
      </c>
      <c r="Y131" s="30" t="s">
        <v>25</v>
      </c>
      <c r="Z131" s="30" t="s">
        <v>24</v>
      </c>
      <c r="AA131" s="30" t="s">
        <v>135</v>
      </c>
      <c r="AB131" s="30" t="s">
        <v>25</v>
      </c>
      <c r="AC131" s="27"/>
      <c r="AD131" s="31" t="s">
        <v>25</v>
      </c>
      <c r="AE131" s="32" t="str">
        <f t="shared" si="7"/>
        <v>❌ Disc</v>
      </c>
      <c r="AF131" s="33" t="s">
        <v>27</v>
      </c>
      <c r="AG131" s="33" t="s">
        <v>23</v>
      </c>
      <c r="AH131" s="33" t="s">
        <v>25</v>
      </c>
      <c r="AI131" s="33" t="s">
        <v>24</v>
      </c>
      <c r="AJ131" s="33" t="s">
        <v>135</v>
      </c>
      <c r="AK131" s="33" t="s">
        <v>25</v>
      </c>
      <c r="AL131" s="27"/>
      <c r="AM131" s="34" t="s">
        <v>25</v>
      </c>
      <c r="AN131" s="35" t="str">
        <f t="shared" si="8"/>
        <v>❌ Disc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8" customHeight="1" x14ac:dyDescent="0.3">
      <c r="A132" s="39">
        <v>136</v>
      </c>
      <c r="B132" s="40" t="s">
        <v>902</v>
      </c>
      <c r="C132" s="41" t="s">
        <v>903</v>
      </c>
      <c r="D132" s="39" t="s">
        <v>767</v>
      </c>
      <c r="E132" s="43">
        <v>46125</v>
      </c>
      <c r="F132" s="26" t="s">
        <v>23</v>
      </c>
      <c r="G132" s="26" t="s">
        <v>24</v>
      </c>
      <c r="H132" s="26" t="s">
        <v>25</v>
      </c>
      <c r="I132" s="26" t="s">
        <v>26</v>
      </c>
      <c r="J132" s="26" t="s">
        <v>24</v>
      </c>
      <c r="K132" s="27" t="s">
        <v>822</v>
      </c>
      <c r="L132" s="28" t="s">
        <v>25</v>
      </c>
      <c r="M132" s="29" t="str">
        <f t="shared" si="5"/>
        <v>✓ OK</v>
      </c>
      <c r="N132" s="43">
        <v>46193</v>
      </c>
      <c r="O132" s="26" t="s">
        <v>23</v>
      </c>
      <c r="P132" s="26" t="s">
        <v>24</v>
      </c>
      <c r="Q132" s="26" t="s">
        <v>25</v>
      </c>
      <c r="R132" s="26" t="s">
        <v>26</v>
      </c>
      <c r="S132" s="26" t="s">
        <v>24</v>
      </c>
      <c r="T132" s="27" t="s">
        <v>822</v>
      </c>
      <c r="U132" s="28" t="s">
        <v>25</v>
      </c>
      <c r="V132" s="29" t="str">
        <f t="shared" si="6"/>
        <v>✓ OK</v>
      </c>
      <c r="W132" s="45">
        <v>46248</v>
      </c>
      <c r="X132" s="30" t="s">
        <v>23</v>
      </c>
      <c r="Y132" s="30" t="s">
        <v>24</v>
      </c>
      <c r="Z132" s="30" t="s">
        <v>25</v>
      </c>
      <c r="AA132" s="30" t="s">
        <v>26</v>
      </c>
      <c r="AB132" s="30" t="s">
        <v>24</v>
      </c>
      <c r="AC132" s="27" t="s">
        <v>822</v>
      </c>
      <c r="AD132" s="31" t="s">
        <v>25</v>
      </c>
      <c r="AE132" s="32" t="str">
        <f t="shared" si="7"/>
        <v>✓ OK</v>
      </c>
      <c r="AF132" s="33" t="s">
        <v>27</v>
      </c>
      <c r="AG132" s="33" t="s">
        <v>23</v>
      </c>
      <c r="AH132" s="33" t="s">
        <v>24</v>
      </c>
      <c r="AI132" s="33" t="s">
        <v>25</v>
      </c>
      <c r="AJ132" s="33" t="s">
        <v>26</v>
      </c>
      <c r="AK132" s="33" t="s">
        <v>24</v>
      </c>
      <c r="AL132" s="27" t="s">
        <v>822</v>
      </c>
      <c r="AM132" s="34" t="s">
        <v>25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8" customHeight="1" x14ac:dyDescent="0.3">
      <c r="A133" s="23">
        <v>137</v>
      </c>
      <c r="B133" s="24" t="s">
        <v>904</v>
      </c>
      <c r="C133" s="25" t="s">
        <v>905</v>
      </c>
      <c r="D133" s="23" t="s">
        <v>767</v>
      </c>
      <c r="E133" s="43">
        <v>46125</v>
      </c>
      <c r="F133" s="26" t="s">
        <v>23</v>
      </c>
      <c r="G133" s="26" t="s">
        <v>24</v>
      </c>
      <c r="H133" s="26" t="s">
        <v>25</v>
      </c>
      <c r="I133" s="26" t="s">
        <v>731</v>
      </c>
      <c r="J133" s="26" t="s">
        <v>25</v>
      </c>
      <c r="K133" s="27" t="s">
        <v>740</v>
      </c>
      <c r="L133" s="28" t="s">
        <v>24</v>
      </c>
      <c r="M133" s="29" t="str">
        <f t="shared" ref="M133:M196" si="10">IF(E133="","",IF(H133="Yes","❌ Disc",IF(G133="No","⚠ Missing",IF(J133="Yes","✓ OK","⚠ Check"))))</f>
        <v>⚠ Check</v>
      </c>
      <c r="N133" s="43">
        <v>46193</v>
      </c>
      <c r="O133" s="26" t="s">
        <v>23</v>
      </c>
      <c r="P133" s="26" t="s">
        <v>24</v>
      </c>
      <c r="Q133" s="26" t="s">
        <v>25</v>
      </c>
      <c r="R133" s="26" t="s">
        <v>731</v>
      </c>
      <c r="S133" s="26" t="s">
        <v>25</v>
      </c>
      <c r="T133" s="27" t="s">
        <v>740</v>
      </c>
      <c r="U133" s="28" t="s">
        <v>24</v>
      </c>
      <c r="V133" s="29" t="str">
        <f t="shared" ref="V133:V196" si="11">IF(N133="","",IF(Q133="Yes","❌ Disc",IF(P133="No","⚠ Missing",IF(S133="Yes","✓ OK","⚠ Check"))))</f>
        <v>⚠ Check</v>
      </c>
      <c r="W133" s="45">
        <v>46248</v>
      </c>
      <c r="X133" s="30" t="s">
        <v>23</v>
      </c>
      <c r="Y133" s="30" t="s">
        <v>24</v>
      </c>
      <c r="Z133" s="30" t="s">
        <v>25</v>
      </c>
      <c r="AA133" s="30" t="s">
        <v>26</v>
      </c>
      <c r="AB133" s="30" t="s">
        <v>24</v>
      </c>
      <c r="AC133" s="27"/>
      <c r="AD133" s="31" t="s">
        <v>24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27</v>
      </c>
      <c r="AG133" s="33" t="s">
        <v>23</v>
      </c>
      <c r="AH133" s="33" t="s">
        <v>24</v>
      </c>
      <c r="AI133" s="33" t="s">
        <v>25</v>
      </c>
      <c r="AJ133" s="33" t="s">
        <v>26</v>
      </c>
      <c r="AK133" s="33" t="s">
        <v>24</v>
      </c>
      <c r="AL133" s="27"/>
      <c r="AM133" s="34" t="s">
        <v>25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9">
        <v>138</v>
      </c>
      <c r="B134" s="40" t="s">
        <v>906</v>
      </c>
      <c r="C134" s="41" t="s">
        <v>907</v>
      </c>
      <c r="D134" s="39" t="s">
        <v>767</v>
      </c>
      <c r="E134" s="43">
        <v>46125</v>
      </c>
      <c r="F134" s="26" t="s">
        <v>23</v>
      </c>
      <c r="G134" s="26" t="s">
        <v>24</v>
      </c>
      <c r="H134" s="26" t="s">
        <v>25</v>
      </c>
      <c r="I134" s="26" t="s">
        <v>26</v>
      </c>
      <c r="J134" s="26" t="s">
        <v>24</v>
      </c>
      <c r="K134" s="27"/>
      <c r="L134" s="28" t="s">
        <v>25</v>
      </c>
      <c r="M134" s="29" t="str">
        <f t="shared" si="10"/>
        <v>✓ OK</v>
      </c>
      <c r="N134" s="43">
        <v>46193</v>
      </c>
      <c r="O134" s="26" t="s">
        <v>23</v>
      </c>
      <c r="P134" s="26" t="s">
        <v>24</v>
      </c>
      <c r="Q134" s="26" t="s">
        <v>25</v>
      </c>
      <c r="R134" s="26" t="s">
        <v>26</v>
      </c>
      <c r="S134" s="26" t="s">
        <v>24</v>
      </c>
      <c r="T134" s="27"/>
      <c r="U134" s="28" t="s">
        <v>25</v>
      </c>
      <c r="V134" s="29" t="str">
        <f t="shared" si="11"/>
        <v>✓ OK</v>
      </c>
      <c r="W134" s="45">
        <v>46248</v>
      </c>
      <c r="X134" s="30" t="s">
        <v>23</v>
      </c>
      <c r="Y134" s="30" t="s">
        <v>24</v>
      </c>
      <c r="Z134" s="30" t="s">
        <v>25</v>
      </c>
      <c r="AA134" s="30" t="s">
        <v>26</v>
      </c>
      <c r="AB134" s="30" t="s">
        <v>24</v>
      </c>
      <c r="AC134" s="27"/>
      <c r="AD134" s="31" t="s">
        <v>25</v>
      </c>
      <c r="AE134" s="32" t="str">
        <f t="shared" si="12"/>
        <v>✓ OK</v>
      </c>
      <c r="AF134" s="33" t="s">
        <v>27</v>
      </c>
      <c r="AG134" s="33" t="s">
        <v>23</v>
      </c>
      <c r="AH134" s="33" t="s">
        <v>24</v>
      </c>
      <c r="AI134" s="33" t="s">
        <v>25</v>
      </c>
      <c r="AJ134" s="33" t="s">
        <v>26</v>
      </c>
      <c r="AK134" s="33" t="s">
        <v>24</v>
      </c>
      <c r="AL134" s="27"/>
      <c r="AM134" s="34" t="s">
        <v>25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8" customHeight="1" x14ac:dyDescent="0.3">
      <c r="A135" s="23">
        <v>139</v>
      </c>
      <c r="B135" s="24" t="s">
        <v>908</v>
      </c>
      <c r="C135" s="25" t="s">
        <v>909</v>
      </c>
      <c r="D135" s="23" t="s">
        <v>767</v>
      </c>
      <c r="E135" s="43">
        <v>46125</v>
      </c>
      <c r="F135" s="26" t="s">
        <v>23</v>
      </c>
      <c r="G135" s="26" t="s">
        <v>24</v>
      </c>
      <c r="H135" s="26" t="s">
        <v>25</v>
      </c>
      <c r="I135" s="26" t="s">
        <v>26</v>
      </c>
      <c r="J135" s="26" t="s">
        <v>24</v>
      </c>
      <c r="K135" s="27" t="s">
        <v>822</v>
      </c>
      <c r="L135" s="28" t="s">
        <v>25</v>
      </c>
      <c r="M135" s="29" t="str">
        <f t="shared" si="10"/>
        <v>✓ OK</v>
      </c>
      <c r="N135" s="43">
        <v>46193</v>
      </c>
      <c r="O135" s="26" t="s">
        <v>23</v>
      </c>
      <c r="P135" s="26" t="s">
        <v>24</v>
      </c>
      <c r="Q135" s="26" t="s">
        <v>25</v>
      </c>
      <c r="R135" s="26" t="s">
        <v>26</v>
      </c>
      <c r="S135" s="26" t="s">
        <v>24</v>
      </c>
      <c r="T135" s="27" t="s">
        <v>822</v>
      </c>
      <c r="U135" s="28" t="s">
        <v>25</v>
      </c>
      <c r="V135" s="29" t="str">
        <f t="shared" si="11"/>
        <v>✓ OK</v>
      </c>
      <c r="W135" s="45">
        <v>46248</v>
      </c>
      <c r="X135" s="30" t="s">
        <v>23</v>
      </c>
      <c r="Y135" s="30" t="s">
        <v>24</v>
      </c>
      <c r="Z135" s="30" t="s">
        <v>25</v>
      </c>
      <c r="AA135" s="30" t="s">
        <v>26</v>
      </c>
      <c r="AB135" s="30" t="s">
        <v>24</v>
      </c>
      <c r="AC135" s="27" t="s">
        <v>822</v>
      </c>
      <c r="AD135" s="31" t="s">
        <v>25</v>
      </c>
      <c r="AE135" s="32" t="str">
        <f t="shared" si="12"/>
        <v>✓ OK</v>
      </c>
      <c r="AF135" s="33" t="s">
        <v>27</v>
      </c>
      <c r="AG135" s="33" t="s">
        <v>23</v>
      </c>
      <c r="AH135" s="33" t="s">
        <v>24</v>
      </c>
      <c r="AI135" s="33" t="s">
        <v>25</v>
      </c>
      <c r="AJ135" s="33" t="s">
        <v>26</v>
      </c>
      <c r="AK135" s="33" t="s">
        <v>24</v>
      </c>
      <c r="AL135" s="27" t="s">
        <v>822</v>
      </c>
      <c r="AM135" s="34" t="s">
        <v>25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8" customHeight="1" x14ac:dyDescent="0.3">
      <c r="A136" s="39">
        <v>140</v>
      </c>
      <c r="B136" s="40" t="s">
        <v>910</v>
      </c>
      <c r="C136" s="41" t="s">
        <v>911</v>
      </c>
      <c r="D136" s="39" t="s">
        <v>767</v>
      </c>
      <c r="E136" s="43">
        <v>46125</v>
      </c>
      <c r="F136" s="26" t="s">
        <v>23</v>
      </c>
      <c r="G136" s="26" t="s">
        <v>24</v>
      </c>
      <c r="H136" s="26" t="s">
        <v>25</v>
      </c>
      <c r="I136" s="26" t="s">
        <v>26</v>
      </c>
      <c r="J136" s="26" t="s">
        <v>24</v>
      </c>
      <c r="K136" s="27" t="s">
        <v>822</v>
      </c>
      <c r="L136" s="28" t="s">
        <v>25</v>
      </c>
      <c r="M136" s="29" t="str">
        <f t="shared" si="10"/>
        <v>✓ OK</v>
      </c>
      <c r="N136" s="43">
        <v>46193</v>
      </c>
      <c r="O136" s="26" t="s">
        <v>23</v>
      </c>
      <c r="P136" s="26" t="s">
        <v>25</v>
      </c>
      <c r="Q136" s="26" t="s">
        <v>24</v>
      </c>
      <c r="R136" s="26" t="s">
        <v>135</v>
      </c>
      <c r="S136" s="26" t="s">
        <v>25</v>
      </c>
      <c r="T136" s="27"/>
      <c r="U136" s="28" t="s">
        <v>25</v>
      </c>
      <c r="V136" s="29" t="str">
        <f t="shared" si="11"/>
        <v>❌ Disc</v>
      </c>
      <c r="W136" s="45">
        <v>46248</v>
      </c>
      <c r="X136" s="30" t="s">
        <v>23</v>
      </c>
      <c r="Y136" s="30" t="s">
        <v>25</v>
      </c>
      <c r="Z136" s="30" t="s">
        <v>24</v>
      </c>
      <c r="AA136" s="30" t="s">
        <v>135</v>
      </c>
      <c r="AB136" s="30" t="s">
        <v>25</v>
      </c>
      <c r="AC136" s="27"/>
      <c r="AD136" s="31" t="s">
        <v>25</v>
      </c>
      <c r="AE136" s="32" t="str">
        <f t="shared" si="12"/>
        <v>❌ Disc</v>
      </c>
      <c r="AF136" s="33" t="s">
        <v>27</v>
      </c>
      <c r="AG136" s="33" t="s">
        <v>23</v>
      </c>
      <c r="AH136" s="33" t="s">
        <v>25</v>
      </c>
      <c r="AI136" s="33" t="s">
        <v>24</v>
      </c>
      <c r="AJ136" s="33" t="s">
        <v>135</v>
      </c>
      <c r="AK136" s="33" t="s">
        <v>25</v>
      </c>
      <c r="AL136" s="27"/>
      <c r="AM136" s="34" t="s">
        <v>25</v>
      </c>
      <c r="AN136" s="35" t="str">
        <f t="shared" si="13"/>
        <v>❌ Disc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8" customHeight="1" x14ac:dyDescent="0.3">
      <c r="A137" s="23">
        <v>141</v>
      </c>
      <c r="B137" s="24" t="s">
        <v>912</v>
      </c>
      <c r="C137" s="25" t="s">
        <v>913</v>
      </c>
      <c r="D137" s="23" t="s">
        <v>767</v>
      </c>
      <c r="E137" s="43">
        <v>46125</v>
      </c>
      <c r="F137" s="26" t="s">
        <v>23</v>
      </c>
      <c r="G137" s="26" t="s">
        <v>24</v>
      </c>
      <c r="H137" s="26" t="s">
        <v>25</v>
      </c>
      <c r="I137" s="26" t="s">
        <v>26</v>
      </c>
      <c r="J137" s="26" t="s">
        <v>24</v>
      </c>
      <c r="K137" s="27"/>
      <c r="L137" s="28" t="s">
        <v>25</v>
      </c>
      <c r="M137" s="29" t="str">
        <f t="shared" si="10"/>
        <v>✓ OK</v>
      </c>
      <c r="N137" s="43">
        <v>46193</v>
      </c>
      <c r="O137" s="26" t="s">
        <v>23</v>
      </c>
      <c r="P137" s="26" t="s">
        <v>25</v>
      </c>
      <c r="Q137" s="26" t="s">
        <v>24</v>
      </c>
      <c r="R137" s="26" t="s">
        <v>135</v>
      </c>
      <c r="S137" s="26" t="s">
        <v>25</v>
      </c>
      <c r="T137" s="27"/>
      <c r="U137" s="28" t="s">
        <v>25</v>
      </c>
      <c r="V137" s="29" t="str">
        <f t="shared" si="11"/>
        <v>❌ Disc</v>
      </c>
      <c r="W137" s="45">
        <v>46248</v>
      </c>
      <c r="X137" s="30" t="s">
        <v>23</v>
      </c>
      <c r="Y137" s="30" t="s">
        <v>25</v>
      </c>
      <c r="Z137" s="30" t="s">
        <v>24</v>
      </c>
      <c r="AA137" s="30" t="s">
        <v>135</v>
      </c>
      <c r="AB137" s="30" t="s">
        <v>25</v>
      </c>
      <c r="AC137" s="27"/>
      <c r="AD137" s="31" t="s">
        <v>25</v>
      </c>
      <c r="AE137" s="32" t="str">
        <f t="shared" si="12"/>
        <v>❌ Disc</v>
      </c>
      <c r="AF137" s="33" t="s">
        <v>27</v>
      </c>
      <c r="AG137" s="33" t="s">
        <v>23</v>
      </c>
      <c r="AH137" s="33" t="s">
        <v>25</v>
      </c>
      <c r="AI137" s="33" t="s">
        <v>24</v>
      </c>
      <c r="AJ137" s="33" t="s">
        <v>135</v>
      </c>
      <c r="AK137" s="33" t="s">
        <v>25</v>
      </c>
      <c r="AL137" s="27"/>
      <c r="AM137" s="34" t="s">
        <v>25</v>
      </c>
      <c r="AN137" s="35" t="str">
        <f t="shared" si="13"/>
        <v>❌ Disc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8" customHeight="1" x14ac:dyDescent="0.3">
      <c r="A138" s="39">
        <v>142</v>
      </c>
      <c r="B138" s="40" t="s">
        <v>914</v>
      </c>
      <c r="C138" s="41" t="s">
        <v>915</v>
      </c>
      <c r="D138" s="39" t="s">
        <v>767</v>
      </c>
      <c r="E138" s="43">
        <v>46125</v>
      </c>
      <c r="F138" s="26" t="s">
        <v>23</v>
      </c>
      <c r="G138" s="26" t="s">
        <v>24</v>
      </c>
      <c r="H138" s="26" t="s">
        <v>25</v>
      </c>
      <c r="I138" s="26" t="s">
        <v>26</v>
      </c>
      <c r="J138" s="26" t="s">
        <v>24</v>
      </c>
      <c r="K138" s="27" t="s">
        <v>822</v>
      </c>
      <c r="L138" s="28" t="s">
        <v>25</v>
      </c>
      <c r="M138" s="29" t="str">
        <f t="shared" si="10"/>
        <v>✓ OK</v>
      </c>
      <c r="N138" s="43">
        <v>46193</v>
      </c>
      <c r="O138" s="26" t="s">
        <v>23</v>
      </c>
      <c r="P138" s="26" t="s">
        <v>24</v>
      </c>
      <c r="Q138" s="26" t="s">
        <v>25</v>
      </c>
      <c r="R138" s="26" t="s">
        <v>26</v>
      </c>
      <c r="S138" s="26" t="s">
        <v>24</v>
      </c>
      <c r="T138" s="27" t="s">
        <v>822</v>
      </c>
      <c r="U138" s="28" t="s">
        <v>25</v>
      </c>
      <c r="V138" s="29" t="str">
        <f t="shared" si="11"/>
        <v>✓ OK</v>
      </c>
      <c r="W138" s="45">
        <v>46248</v>
      </c>
      <c r="X138" s="30" t="s">
        <v>23</v>
      </c>
      <c r="Y138" s="30" t="s">
        <v>24</v>
      </c>
      <c r="Z138" s="30" t="s">
        <v>25</v>
      </c>
      <c r="AA138" s="30" t="s">
        <v>26</v>
      </c>
      <c r="AB138" s="30" t="s">
        <v>24</v>
      </c>
      <c r="AC138" s="27" t="s">
        <v>822</v>
      </c>
      <c r="AD138" s="31" t="s">
        <v>25</v>
      </c>
      <c r="AE138" s="32" t="str">
        <f t="shared" si="12"/>
        <v>✓ OK</v>
      </c>
      <c r="AF138" s="33" t="s">
        <v>27</v>
      </c>
      <c r="AG138" s="33" t="s">
        <v>23</v>
      </c>
      <c r="AH138" s="33" t="s">
        <v>25</v>
      </c>
      <c r="AI138" s="33" t="s">
        <v>24</v>
      </c>
      <c r="AJ138" s="33" t="s">
        <v>135</v>
      </c>
      <c r="AK138" s="33" t="s">
        <v>25</v>
      </c>
      <c r="AL138" s="27"/>
      <c r="AM138" s="34" t="s">
        <v>25</v>
      </c>
      <c r="AN138" s="35" t="str">
        <f t="shared" si="13"/>
        <v>❌ Disc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8" customHeight="1" x14ac:dyDescent="0.3">
      <c r="A139" s="23">
        <v>143</v>
      </c>
      <c r="B139" s="24" t="s">
        <v>916</v>
      </c>
      <c r="C139" s="25" t="s">
        <v>917</v>
      </c>
      <c r="D139" s="23" t="s">
        <v>767</v>
      </c>
      <c r="E139" s="43">
        <v>46125</v>
      </c>
      <c r="F139" s="26" t="s">
        <v>23</v>
      </c>
      <c r="G139" s="26" t="s">
        <v>24</v>
      </c>
      <c r="H139" s="26" t="s">
        <v>25</v>
      </c>
      <c r="I139" s="26" t="s">
        <v>26</v>
      </c>
      <c r="J139" s="26" t="s">
        <v>24</v>
      </c>
      <c r="K139" s="27" t="s">
        <v>822</v>
      </c>
      <c r="L139" s="28" t="s">
        <v>25</v>
      </c>
      <c r="M139" s="29" t="str">
        <f t="shared" si="10"/>
        <v>✓ OK</v>
      </c>
      <c r="N139" s="43">
        <v>46193</v>
      </c>
      <c r="O139" s="26" t="s">
        <v>23</v>
      </c>
      <c r="P139" s="26" t="s">
        <v>24</v>
      </c>
      <c r="Q139" s="26" t="s">
        <v>25</v>
      </c>
      <c r="R139" s="26" t="s">
        <v>26</v>
      </c>
      <c r="S139" s="26" t="s">
        <v>24</v>
      </c>
      <c r="T139" s="27" t="s">
        <v>822</v>
      </c>
      <c r="U139" s="28" t="s">
        <v>25</v>
      </c>
      <c r="V139" s="29" t="str">
        <f t="shared" si="11"/>
        <v>✓ OK</v>
      </c>
      <c r="W139" s="45">
        <v>46248</v>
      </c>
      <c r="X139" s="30" t="s">
        <v>23</v>
      </c>
      <c r="Y139" s="30" t="s">
        <v>24</v>
      </c>
      <c r="Z139" s="30" t="s">
        <v>25</v>
      </c>
      <c r="AA139" s="30" t="s">
        <v>26</v>
      </c>
      <c r="AB139" s="30" t="s">
        <v>24</v>
      </c>
      <c r="AC139" s="27" t="s">
        <v>822</v>
      </c>
      <c r="AD139" s="31" t="s">
        <v>25</v>
      </c>
      <c r="AE139" s="32" t="str">
        <f t="shared" si="12"/>
        <v>✓ OK</v>
      </c>
      <c r="AF139" s="33" t="s">
        <v>27</v>
      </c>
      <c r="AG139" s="33" t="s">
        <v>23</v>
      </c>
      <c r="AH139" s="33" t="s">
        <v>24</v>
      </c>
      <c r="AI139" s="33" t="s">
        <v>25</v>
      </c>
      <c r="AJ139" s="33" t="s">
        <v>26</v>
      </c>
      <c r="AK139" s="33" t="s">
        <v>24</v>
      </c>
      <c r="AL139" s="27" t="s">
        <v>822</v>
      </c>
      <c r="AM139" s="34" t="s">
        <v>25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8" customHeight="1" x14ac:dyDescent="0.3">
      <c r="A140" s="39">
        <v>144</v>
      </c>
      <c r="B140" s="40" t="s">
        <v>918</v>
      </c>
      <c r="C140" s="41" t="s">
        <v>919</v>
      </c>
      <c r="D140" s="39" t="s">
        <v>767</v>
      </c>
      <c r="E140" s="43">
        <v>46125</v>
      </c>
      <c r="F140" s="26" t="s">
        <v>23</v>
      </c>
      <c r="G140" s="26" t="s">
        <v>24</v>
      </c>
      <c r="H140" s="26" t="s">
        <v>25</v>
      </c>
      <c r="I140" s="26" t="s">
        <v>26</v>
      </c>
      <c r="J140" s="26" t="s">
        <v>24</v>
      </c>
      <c r="K140" s="27"/>
      <c r="L140" s="28" t="s">
        <v>25</v>
      </c>
      <c r="M140" s="29" t="str">
        <f t="shared" si="10"/>
        <v>✓ OK</v>
      </c>
      <c r="N140" s="43">
        <v>46193</v>
      </c>
      <c r="O140" s="26" t="s">
        <v>23</v>
      </c>
      <c r="P140" s="26" t="s">
        <v>25</v>
      </c>
      <c r="Q140" s="26" t="s">
        <v>24</v>
      </c>
      <c r="R140" s="26" t="s">
        <v>135</v>
      </c>
      <c r="S140" s="26" t="s">
        <v>25</v>
      </c>
      <c r="T140" s="27"/>
      <c r="U140" s="28" t="s">
        <v>25</v>
      </c>
      <c r="V140" s="29" t="str">
        <f t="shared" si="11"/>
        <v>❌ Disc</v>
      </c>
      <c r="W140" s="45">
        <v>46248</v>
      </c>
      <c r="X140" s="30" t="s">
        <v>23</v>
      </c>
      <c r="Y140" s="30" t="s">
        <v>25</v>
      </c>
      <c r="Z140" s="30" t="s">
        <v>24</v>
      </c>
      <c r="AA140" s="30" t="s">
        <v>135</v>
      </c>
      <c r="AB140" s="30" t="s">
        <v>25</v>
      </c>
      <c r="AC140" s="27"/>
      <c r="AD140" s="31" t="s">
        <v>25</v>
      </c>
      <c r="AE140" s="32" t="str">
        <f t="shared" si="12"/>
        <v>❌ Disc</v>
      </c>
      <c r="AF140" s="33" t="s">
        <v>27</v>
      </c>
      <c r="AG140" s="33" t="s">
        <v>23</v>
      </c>
      <c r="AH140" s="33" t="s">
        <v>25</v>
      </c>
      <c r="AI140" s="33" t="s">
        <v>24</v>
      </c>
      <c r="AJ140" s="33" t="s">
        <v>135</v>
      </c>
      <c r="AK140" s="33" t="s">
        <v>25</v>
      </c>
      <c r="AL140" s="27"/>
      <c r="AM140" s="34" t="s">
        <v>25</v>
      </c>
      <c r="AN140" s="35" t="str">
        <f t="shared" si="13"/>
        <v>❌ Disc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8" customHeight="1" x14ac:dyDescent="0.3">
      <c r="A141" s="23">
        <v>145</v>
      </c>
      <c r="B141" s="24" t="s">
        <v>920</v>
      </c>
      <c r="C141" s="25" t="s">
        <v>921</v>
      </c>
      <c r="D141" s="23" t="s">
        <v>767</v>
      </c>
      <c r="E141" s="43">
        <v>46125</v>
      </c>
      <c r="F141" s="26" t="s">
        <v>23</v>
      </c>
      <c r="G141" s="26" t="s">
        <v>24</v>
      </c>
      <c r="H141" s="26" t="s">
        <v>25</v>
      </c>
      <c r="I141" s="26" t="s">
        <v>26</v>
      </c>
      <c r="J141" s="26" t="s">
        <v>24</v>
      </c>
      <c r="K141" s="27" t="s">
        <v>822</v>
      </c>
      <c r="L141" s="28" t="s">
        <v>25</v>
      </c>
      <c r="M141" s="29" t="str">
        <f t="shared" si="10"/>
        <v>✓ OK</v>
      </c>
      <c r="N141" s="43">
        <v>46193</v>
      </c>
      <c r="O141" s="26" t="s">
        <v>23</v>
      </c>
      <c r="P141" s="26" t="s">
        <v>24</v>
      </c>
      <c r="Q141" s="26" t="s">
        <v>25</v>
      </c>
      <c r="R141" s="26" t="s">
        <v>26</v>
      </c>
      <c r="S141" s="26" t="s">
        <v>24</v>
      </c>
      <c r="T141" s="27" t="s">
        <v>822</v>
      </c>
      <c r="U141" s="28" t="s">
        <v>25</v>
      </c>
      <c r="V141" s="29" t="str">
        <f t="shared" si="11"/>
        <v>✓ OK</v>
      </c>
      <c r="W141" s="45">
        <v>46248</v>
      </c>
      <c r="X141" s="30" t="s">
        <v>23</v>
      </c>
      <c r="Y141" s="30" t="s">
        <v>24</v>
      </c>
      <c r="Z141" s="30" t="s">
        <v>25</v>
      </c>
      <c r="AA141" s="30" t="s">
        <v>26</v>
      </c>
      <c r="AB141" s="30" t="s">
        <v>24</v>
      </c>
      <c r="AC141" s="27" t="s">
        <v>822</v>
      </c>
      <c r="AD141" s="31" t="s">
        <v>25</v>
      </c>
      <c r="AE141" s="32" t="str">
        <f t="shared" si="12"/>
        <v>✓ OK</v>
      </c>
      <c r="AF141" s="33" t="s">
        <v>27</v>
      </c>
      <c r="AG141" s="33" t="s">
        <v>23</v>
      </c>
      <c r="AH141" s="33" t="s">
        <v>24</v>
      </c>
      <c r="AI141" s="33" t="s">
        <v>25</v>
      </c>
      <c r="AJ141" s="33" t="s">
        <v>26</v>
      </c>
      <c r="AK141" s="33" t="s">
        <v>24</v>
      </c>
      <c r="AL141" s="27" t="s">
        <v>822</v>
      </c>
      <c r="AM141" s="34" t="s">
        <v>25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8" customHeight="1" x14ac:dyDescent="0.3">
      <c r="A142" s="39">
        <v>146</v>
      </c>
      <c r="B142" s="40" t="s">
        <v>922</v>
      </c>
      <c r="C142" s="41" t="s">
        <v>923</v>
      </c>
      <c r="D142" s="39" t="s">
        <v>767</v>
      </c>
      <c r="E142" s="43">
        <v>46125</v>
      </c>
      <c r="F142" s="26" t="s">
        <v>23</v>
      </c>
      <c r="G142" s="26" t="s">
        <v>24</v>
      </c>
      <c r="H142" s="26" t="s">
        <v>25</v>
      </c>
      <c r="I142" s="26" t="s">
        <v>26</v>
      </c>
      <c r="J142" s="26" t="s">
        <v>24</v>
      </c>
      <c r="K142" s="27" t="s">
        <v>822</v>
      </c>
      <c r="L142" s="28" t="s">
        <v>25</v>
      </c>
      <c r="M142" s="29" t="str">
        <f t="shared" si="10"/>
        <v>✓ OK</v>
      </c>
      <c r="N142" s="43">
        <v>46193</v>
      </c>
      <c r="O142" s="26" t="s">
        <v>23</v>
      </c>
      <c r="P142" s="26" t="s">
        <v>24</v>
      </c>
      <c r="Q142" s="26" t="s">
        <v>25</v>
      </c>
      <c r="R142" s="26" t="s">
        <v>26</v>
      </c>
      <c r="S142" s="26" t="s">
        <v>24</v>
      </c>
      <c r="T142" s="27" t="s">
        <v>822</v>
      </c>
      <c r="U142" s="28" t="s">
        <v>25</v>
      </c>
      <c r="V142" s="29" t="str">
        <f t="shared" si="11"/>
        <v>✓ OK</v>
      </c>
      <c r="W142" s="45">
        <v>46248</v>
      </c>
      <c r="X142" s="30" t="s">
        <v>23</v>
      </c>
      <c r="Y142" s="30" t="s">
        <v>24</v>
      </c>
      <c r="Z142" s="30" t="s">
        <v>25</v>
      </c>
      <c r="AA142" s="30" t="s">
        <v>26</v>
      </c>
      <c r="AB142" s="30" t="s">
        <v>24</v>
      </c>
      <c r="AC142" s="27" t="s">
        <v>822</v>
      </c>
      <c r="AD142" s="31" t="s">
        <v>25</v>
      </c>
      <c r="AE142" s="32" t="str">
        <f t="shared" si="12"/>
        <v>✓ OK</v>
      </c>
      <c r="AF142" s="33" t="s">
        <v>27</v>
      </c>
      <c r="AG142" s="33" t="s">
        <v>23</v>
      </c>
      <c r="AH142" s="33" t="s">
        <v>24</v>
      </c>
      <c r="AI142" s="33" t="s">
        <v>25</v>
      </c>
      <c r="AJ142" s="33" t="s">
        <v>26</v>
      </c>
      <c r="AK142" s="33" t="s">
        <v>24</v>
      </c>
      <c r="AL142" s="27" t="s">
        <v>822</v>
      </c>
      <c r="AM142" s="34" t="s">
        <v>25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8" customHeight="1" x14ac:dyDescent="0.3">
      <c r="A143" s="23">
        <v>147</v>
      </c>
      <c r="B143" s="24" t="s">
        <v>924</v>
      </c>
      <c r="C143" s="25" t="s">
        <v>925</v>
      </c>
      <c r="D143" s="23" t="s">
        <v>767</v>
      </c>
      <c r="E143" s="43">
        <v>46125</v>
      </c>
      <c r="F143" s="26" t="s">
        <v>23</v>
      </c>
      <c r="G143" s="26" t="s">
        <v>24</v>
      </c>
      <c r="H143" s="26" t="s">
        <v>25</v>
      </c>
      <c r="I143" s="26" t="s">
        <v>26</v>
      </c>
      <c r="J143" s="26" t="s">
        <v>24</v>
      </c>
      <c r="K143" s="27" t="s">
        <v>822</v>
      </c>
      <c r="L143" s="28" t="s">
        <v>25</v>
      </c>
      <c r="M143" s="29" t="str">
        <f t="shared" si="10"/>
        <v>✓ OK</v>
      </c>
      <c r="N143" s="43">
        <v>46193</v>
      </c>
      <c r="O143" s="26" t="s">
        <v>23</v>
      </c>
      <c r="P143" s="26" t="s">
        <v>24</v>
      </c>
      <c r="Q143" s="26" t="s">
        <v>25</v>
      </c>
      <c r="R143" s="26" t="s">
        <v>26</v>
      </c>
      <c r="S143" s="26" t="s">
        <v>24</v>
      </c>
      <c r="T143" s="27" t="s">
        <v>822</v>
      </c>
      <c r="U143" s="28" t="s">
        <v>25</v>
      </c>
      <c r="V143" s="29" t="str">
        <f t="shared" si="11"/>
        <v>✓ OK</v>
      </c>
      <c r="W143" s="45">
        <v>46248</v>
      </c>
      <c r="X143" s="30" t="s">
        <v>23</v>
      </c>
      <c r="Y143" s="30" t="s">
        <v>24</v>
      </c>
      <c r="Z143" s="30" t="s">
        <v>25</v>
      </c>
      <c r="AA143" s="30" t="s">
        <v>26</v>
      </c>
      <c r="AB143" s="30" t="s">
        <v>24</v>
      </c>
      <c r="AC143" s="27" t="s">
        <v>822</v>
      </c>
      <c r="AD143" s="31" t="s">
        <v>25</v>
      </c>
      <c r="AE143" s="32" t="str">
        <f t="shared" si="12"/>
        <v>✓ OK</v>
      </c>
      <c r="AF143" s="33" t="s">
        <v>27</v>
      </c>
      <c r="AG143" s="33" t="s">
        <v>23</v>
      </c>
      <c r="AH143" s="33" t="s">
        <v>24</v>
      </c>
      <c r="AI143" s="33" t="s">
        <v>25</v>
      </c>
      <c r="AJ143" s="33" t="s">
        <v>26</v>
      </c>
      <c r="AK143" s="33" t="s">
        <v>24</v>
      </c>
      <c r="AL143" s="27" t="s">
        <v>822</v>
      </c>
      <c r="AM143" s="34" t="s">
        <v>25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8" customHeight="1" x14ac:dyDescent="0.3">
      <c r="A144" s="39">
        <v>148</v>
      </c>
      <c r="B144" s="40" t="s">
        <v>926</v>
      </c>
      <c r="C144" s="41" t="s">
        <v>927</v>
      </c>
      <c r="D144" s="39" t="s">
        <v>767</v>
      </c>
      <c r="E144" s="43">
        <v>46125</v>
      </c>
      <c r="F144" s="26" t="s">
        <v>23</v>
      </c>
      <c r="G144" s="26" t="s">
        <v>24</v>
      </c>
      <c r="H144" s="26" t="s">
        <v>25</v>
      </c>
      <c r="I144" s="26" t="s">
        <v>26</v>
      </c>
      <c r="J144" s="26" t="s">
        <v>24</v>
      </c>
      <c r="K144" s="27" t="s">
        <v>822</v>
      </c>
      <c r="L144" s="28" t="s">
        <v>25</v>
      </c>
      <c r="M144" s="29" t="str">
        <f t="shared" si="10"/>
        <v>✓ OK</v>
      </c>
      <c r="N144" s="43">
        <v>46193</v>
      </c>
      <c r="O144" s="26" t="s">
        <v>23</v>
      </c>
      <c r="P144" s="26" t="s">
        <v>24</v>
      </c>
      <c r="Q144" s="26" t="s">
        <v>25</v>
      </c>
      <c r="R144" s="26" t="s">
        <v>26</v>
      </c>
      <c r="S144" s="26" t="s">
        <v>24</v>
      </c>
      <c r="T144" s="27" t="s">
        <v>822</v>
      </c>
      <c r="U144" s="28" t="s">
        <v>25</v>
      </c>
      <c r="V144" s="29" t="str">
        <f t="shared" si="11"/>
        <v>✓ OK</v>
      </c>
      <c r="W144" s="45">
        <v>46248</v>
      </c>
      <c r="X144" s="30" t="s">
        <v>23</v>
      </c>
      <c r="Y144" s="30" t="s">
        <v>24</v>
      </c>
      <c r="Z144" s="30" t="s">
        <v>25</v>
      </c>
      <c r="AA144" s="30" t="s">
        <v>26</v>
      </c>
      <c r="AB144" s="30" t="s">
        <v>24</v>
      </c>
      <c r="AC144" s="27" t="s">
        <v>822</v>
      </c>
      <c r="AD144" s="31" t="s">
        <v>25</v>
      </c>
      <c r="AE144" s="32" t="str">
        <f t="shared" si="12"/>
        <v>✓ OK</v>
      </c>
      <c r="AF144" s="33" t="s">
        <v>27</v>
      </c>
      <c r="AG144" s="33" t="s">
        <v>23</v>
      </c>
      <c r="AH144" s="33" t="s">
        <v>24</v>
      </c>
      <c r="AI144" s="33" t="s">
        <v>25</v>
      </c>
      <c r="AJ144" s="33" t="s">
        <v>26</v>
      </c>
      <c r="AK144" s="33" t="s">
        <v>24</v>
      </c>
      <c r="AL144" s="27" t="s">
        <v>822</v>
      </c>
      <c r="AM144" s="34" t="s">
        <v>25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8" customHeight="1" x14ac:dyDescent="0.3">
      <c r="A145" s="23">
        <v>149</v>
      </c>
      <c r="B145" s="24" t="s">
        <v>928</v>
      </c>
      <c r="C145" s="25" t="s">
        <v>929</v>
      </c>
      <c r="D145" s="23" t="s">
        <v>767</v>
      </c>
      <c r="E145" s="43">
        <v>46125</v>
      </c>
      <c r="F145" s="26" t="s">
        <v>23</v>
      </c>
      <c r="G145" s="26" t="s">
        <v>24</v>
      </c>
      <c r="H145" s="26" t="s">
        <v>25</v>
      </c>
      <c r="I145" s="26" t="s">
        <v>26</v>
      </c>
      <c r="J145" s="26" t="s">
        <v>24</v>
      </c>
      <c r="K145" s="27"/>
      <c r="L145" s="28" t="s">
        <v>25</v>
      </c>
      <c r="M145" s="29" t="str">
        <f t="shared" si="10"/>
        <v>✓ OK</v>
      </c>
      <c r="N145" s="43">
        <v>46193</v>
      </c>
      <c r="O145" s="26" t="s">
        <v>23</v>
      </c>
      <c r="P145" s="26" t="s">
        <v>24</v>
      </c>
      <c r="Q145" s="26" t="s">
        <v>25</v>
      </c>
      <c r="R145" s="26" t="s">
        <v>26</v>
      </c>
      <c r="S145" s="26" t="s">
        <v>24</v>
      </c>
      <c r="T145" s="27"/>
      <c r="U145" s="28" t="s">
        <v>25</v>
      </c>
      <c r="V145" s="29" t="str">
        <f t="shared" si="11"/>
        <v>✓ OK</v>
      </c>
      <c r="W145" s="45">
        <v>46248</v>
      </c>
      <c r="X145" s="30" t="s">
        <v>23</v>
      </c>
      <c r="Y145" s="30" t="s">
        <v>24</v>
      </c>
      <c r="Z145" s="30" t="s">
        <v>25</v>
      </c>
      <c r="AA145" s="30" t="s">
        <v>26</v>
      </c>
      <c r="AB145" s="30" t="s">
        <v>24</v>
      </c>
      <c r="AC145" s="27"/>
      <c r="AD145" s="31" t="s">
        <v>25</v>
      </c>
      <c r="AE145" s="32" t="str">
        <f t="shared" si="12"/>
        <v>✓ OK</v>
      </c>
      <c r="AF145" s="33" t="s">
        <v>27</v>
      </c>
      <c r="AG145" s="33" t="s">
        <v>23</v>
      </c>
      <c r="AH145" s="33" t="s">
        <v>24</v>
      </c>
      <c r="AI145" s="33" t="s">
        <v>25</v>
      </c>
      <c r="AJ145" s="33" t="s">
        <v>26</v>
      </c>
      <c r="AK145" s="33" t="s">
        <v>24</v>
      </c>
      <c r="AL145" s="27"/>
      <c r="AM145" s="34" t="s">
        <v>25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8" customHeight="1" x14ac:dyDescent="0.3">
      <c r="A146" s="39">
        <v>150</v>
      </c>
      <c r="B146" s="40" t="s">
        <v>930</v>
      </c>
      <c r="C146" s="41" t="s">
        <v>931</v>
      </c>
      <c r="D146" s="39" t="s">
        <v>767</v>
      </c>
      <c r="E146" s="43">
        <v>46125</v>
      </c>
      <c r="F146" s="26" t="s">
        <v>23</v>
      </c>
      <c r="G146" s="26" t="s">
        <v>24</v>
      </c>
      <c r="H146" s="26" t="s">
        <v>25</v>
      </c>
      <c r="I146" s="26" t="s">
        <v>26</v>
      </c>
      <c r="J146" s="26" t="s">
        <v>24</v>
      </c>
      <c r="K146" s="27"/>
      <c r="L146" s="28" t="s">
        <v>25</v>
      </c>
      <c r="M146" s="29" t="str">
        <f t="shared" si="10"/>
        <v>✓ OK</v>
      </c>
      <c r="N146" s="43">
        <v>46193</v>
      </c>
      <c r="O146" s="26" t="s">
        <v>23</v>
      </c>
      <c r="P146" s="26" t="s">
        <v>24</v>
      </c>
      <c r="Q146" s="26" t="s">
        <v>25</v>
      </c>
      <c r="R146" s="26" t="s">
        <v>26</v>
      </c>
      <c r="S146" s="26" t="s">
        <v>24</v>
      </c>
      <c r="T146" s="27"/>
      <c r="U146" s="28" t="s">
        <v>25</v>
      </c>
      <c r="V146" s="29" t="str">
        <f t="shared" si="11"/>
        <v>✓ OK</v>
      </c>
      <c r="W146" s="45">
        <v>46248</v>
      </c>
      <c r="X146" s="30" t="s">
        <v>23</v>
      </c>
      <c r="Y146" s="30" t="s">
        <v>24</v>
      </c>
      <c r="Z146" s="30" t="s">
        <v>25</v>
      </c>
      <c r="AA146" s="30" t="s">
        <v>26</v>
      </c>
      <c r="AB146" s="30" t="s">
        <v>24</v>
      </c>
      <c r="AC146" s="27"/>
      <c r="AD146" s="31" t="s">
        <v>25</v>
      </c>
      <c r="AE146" s="32" t="str">
        <f t="shared" si="12"/>
        <v>✓ OK</v>
      </c>
      <c r="AF146" s="33" t="s">
        <v>27</v>
      </c>
      <c r="AG146" s="33" t="s">
        <v>23</v>
      </c>
      <c r="AH146" s="33" t="s">
        <v>24</v>
      </c>
      <c r="AI146" s="33" t="s">
        <v>25</v>
      </c>
      <c r="AJ146" s="33" t="s">
        <v>26</v>
      </c>
      <c r="AK146" s="33" t="s">
        <v>24</v>
      </c>
      <c r="AL146" s="27"/>
      <c r="AM146" s="34" t="s">
        <v>25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8" customHeight="1" x14ac:dyDescent="0.3">
      <c r="A147" s="23">
        <v>151</v>
      </c>
      <c r="B147" s="24" t="s">
        <v>932</v>
      </c>
      <c r="C147" s="25" t="s">
        <v>933</v>
      </c>
      <c r="D147" s="23" t="s">
        <v>767</v>
      </c>
      <c r="E147" s="43">
        <v>46125</v>
      </c>
      <c r="F147" s="26" t="s">
        <v>23</v>
      </c>
      <c r="G147" s="26" t="s">
        <v>24</v>
      </c>
      <c r="H147" s="26" t="s">
        <v>25</v>
      </c>
      <c r="I147" s="26" t="s">
        <v>26</v>
      </c>
      <c r="J147" s="26" t="s">
        <v>24</v>
      </c>
      <c r="K147" s="27"/>
      <c r="L147" s="28" t="s">
        <v>25</v>
      </c>
      <c r="M147" s="29" t="str">
        <f t="shared" si="10"/>
        <v>✓ OK</v>
      </c>
      <c r="N147" s="43">
        <v>46193</v>
      </c>
      <c r="O147" s="26" t="s">
        <v>23</v>
      </c>
      <c r="P147" s="26" t="s">
        <v>24</v>
      </c>
      <c r="Q147" s="26" t="s">
        <v>25</v>
      </c>
      <c r="R147" s="26" t="s">
        <v>26</v>
      </c>
      <c r="S147" s="26" t="s">
        <v>24</v>
      </c>
      <c r="T147" s="27"/>
      <c r="U147" s="28" t="s">
        <v>25</v>
      </c>
      <c r="V147" s="29" t="str">
        <f t="shared" si="11"/>
        <v>✓ OK</v>
      </c>
      <c r="W147" s="45">
        <v>46248</v>
      </c>
      <c r="X147" s="30" t="s">
        <v>23</v>
      </c>
      <c r="Y147" s="30" t="s">
        <v>24</v>
      </c>
      <c r="Z147" s="30" t="s">
        <v>25</v>
      </c>
      <c r="AA147" s="30" t="s">
        <v>26</v>
      </c>
      <c r="AB147" s="30" t="s">
        <v>24</v>
      </c>
      <c r="AC147" s="27"/>
      <c r="AD147" s="31" t="s">
        <v>25</v>
      </c>
      <c r="AE147" s="32" t="str">
        <f t="shared" si="12"/>
        <v>✓ OK</v>
      </c>
      <c r="AF147" s="33" t="s">
        <v>27</v>
      </c>
      <c r="AG147" s="33" t="s">
        <v>23</v>
      </c>
      <c r="AH147" s="33" t="s">
        <v>24</v>
      </c>
      <c r="AI147" s="33" t="s">
        <v>25</v>
      </c>
      <c r="AJ147" s="33" t="s">
        <v>26</v>
      </c>
      <c r="AK147" s="33" t="s">
        <v>24</v>
      </c>
      <c r="AL147" s="27"/>
      <c r="AM147" s="34" t="s">
        <v>25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8" customHeight="1" x14ac:dyDescent="0.3">
      <c r="A148" s="39">
        <v>152</v>
      </c>
      <c r="B148" s="40" t="s">
        <v>934</v>
      </c>
      <c r="C148" s="41" t="s">
        <v>935</v>
      </c>
      <c r="D148" s="39" t="s">
        <v>767</v>
      </c>
      <c r="E148" s="43">
        <v>46125</v>
      </c>
      <c r="F148" s="26" t="s">
        <v>23</v>
      </c>
      <c r="G148" s="26" t="s">
        <v>24</v>
      </c>
      <c r="H148" s="26" t="s">
        <v>25</v>
      </c>
      <c r="I148" s="26" t="s">
        <v>26</v>
      </c>
      <c r="J148" s="26" t="s">
        <v>24</v>
      </c>
      <c r="K148" s="27"/>
      <c r="L148" s="28" t="s">
        <v>25</v>
      </c>
      <c r="M148" s="29" t="str">
        <f t="shared" si="10"/>
        <v>✓ OK</v>
      </c>
      <c r="N148" s="43">
        <v>46193</v>
      </c>
      <c r="O148" s="26" t="s">
        <v>23</v>
      </c>
      <c r="P148" s="26" t="s">
        <v>24</v>
      </c>
      <c r="Q148" s="26" t="s">
        <v>25</v>
      </c>
      <c r="R148" s="26" t="s">
        <v>26</v>
      </c>
      <c r="S148" s="26" t="s">
        <v>24</v>
      </c>
      <c r="T148" s="27"/>
      <c r="U148" s="28" t="s">
        <v>25</v>
      </c>
      <c r="V148" s="29" t="str">
        <f t="shared" si="11"/>
        <v>✓ OK</v>
      </c>
      <c r="W148" s="45">
        <v>46248</v>
      </c>
      <c r="X148" s="30" t="s">
        <v>23</v>
      </c>
      <c r="Y148" s="30" t="s">
        <v>24</v>
      </c>
      <c r="Z148" s="30" t="s">
        <v>25</v>
      </c>
      <c r="AA148" s="30" t="s">
        <v>26</v>
      </c>
      <c r="AB148" s="30" t="s">
        <v>24</v>
      </c>
      <c r="AC148" s="27"/>
      <c r="AD148" s="31" t="s">
        <v>25</v>
      </c>
      <c r="AE148" s="32" t="str">
        <f t="shared" si="12"/>
        <v>✓ OK</v>
      </c>
      <c r="AF148" s="33" t="s">
        <v>27</v>
      </c>
      <c r="AG148" s="33" t="s">
        <v>23</v>
      </c>
      <c r="AH148" s="33" t="s">
        <v>24</v>
      </c>
      <c r="AI148" s="33" t="s">
        <v>25</v>
      </c>
      <c r="AJ148" s="33" t="s">
        <v>26</v>
      </c>
      <c r="AK148" s="33" t="s">
        <v>24</v>
      </c>
      <c r="AL148" s="27"/>
      <c r="AM148" s="34" t="s">
        <v>25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8" customHeight="1" x14ac:dyDescent="0.3">
      <c r="A149" s="23">
        <v>153</v>
      </c>
      <c r="B149" s="24" t="s">
        <v>936</v>
      </c>
      <c r="C149" s="25" t="s">
        <v>937</v>
      </c>
      <c r="D149" s="23" t="s">
        <v>767</v>
      </c>
      <c r="E149" s="43">
        <v>46125</v>
      </c>
      <c r="F149" s="26" t="s">
        <v>23</v>
      </c>
      <c r="G149" s="26" t="s">
        <v>24</v>
      </c>
      <c r="H149" s="26" t="s">
        <v>25</v>
      </c>
      <c r="I149" s="26" t="s">
        <v>26</v>
      </c>
      <c r="J149" s="26" t="s">
        <v>24</v>
      </c>
      <c r="K149" s="27"/>
      <c r="L149" s="28" t="s">
        <v>25</v>
      </c>
      <c r="M149" s="29" t="str">
        <f t="shared" si="10"/>
        <v>✓ OK</v>
      </c>
      <c r="N149" s="43">
        <v>46193</v>
      </c>
      <c r="O149" s="26" t="s">
        <v>23</v>
      </c>
      <c r="P149" s="26" t="s">
        <v>24</v>
      </c>
      <c r="Q149" s="26" t="s">
        <v>25</v>
      </c>
      <c r="R149" s="26" t="s">
        <v>26</v>
      </c>
      <c r="S149" s="26" t="s">
        <v>24</v>
      </c>
      <c r="T149" s="27"/>
      <c r="U149" s="28" t="s">
        <v>25</v>
      </c>
      <c r="V149" s="29" t="str">
        <f t="shared" si="11"/>
        <v>✓ OK</v>
      </c>
      <c r="W149" s="45">
        <v>46248</v>
      </c>
      <c r="X149" s="30" t="s">
        <v>23</v>
      </c>
      <c r="Y149" s="30" t="s">
        <v>24</v>
      </c>
      <c r="Z149" s="30" t="s">
        <v>25</v>
      </c>
      <c r="AA149" s="30" t="s">
        <v>26</v>
      </c>
      <c r="AB149" s="30" t="s">
        <v>24</v>
      </c>
      <c r="AC149" s="27"/>
      <c r="AD149" s="31" t="s">
        <v>25</v>
      </c>
      <c r="AE149" s="32" t="str">
        <f t="shared" si="12"/>
        <v>✓ OK</v>
      </c>
      <c r="AF149" s="33" t="s">
        <v>27</v>
      </c>
      <c r="AG149" s="33" t="s">
        <v>23</v>
      </c>
      <c r="AH149" s="33" t="s">
        <v>24</v>
      </c>
      <c r="AI149" s="33" t="s">
        <v>25</v>
      </c>
      <c r="AJ149" s="33" t="s">
        <v>26</v>
      </c>
      <c r="AK149" s="33" t="s">
        <v>24</v>
      </c>
      <c r="AL149" s="27"/>
      <c r="AM149" s="34" t="s">
        <v>25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8" customHeight="1" x14ac:dyDescent="0.3">
      <c r="A150" s="39">
        <v>154</v>
      </c>
      <c r="B150" s="40" t="s">
        <v>938</v>
      </c>
      <c r="C150" s="41" t="s">
        <v>939</v>
      </c>
      <c r="D150" s="39" t="s">
        <v>767</v>
      </c>
      <c r="E150" s="43">
        <v>46125</v>
      </c>
      <c r="F150" s="26" t="s">
        <v>23</v>
      </c>
      <c r="G150" s="26" t="s">
        <v>24</v>
      </c>
      <c r="H150" s="26" t="s">
        <v>25</v>
      </c>
      <c r="I150" s="26" t="s">
        <v>26</v>
      </c>
      <c r="J150" s="26" t="s">
        <v>24</v>
      </c>
      <c r="K150" s="27"/>
      <c r="L150" s="28" t="s">
        <v>25</v>
      </c>
      <c r="M150" s="29" t="str">
        <f t="shared" si="10"/>
        <v>✓ OK</v>
      </c>
      <c r="N150" s="43">
        <v>46193</v>
      </c>
      <c r="O150" s="26" t="s">
        <v>23</v>
      </c>
      <c r="P150" s="26" t="s">
        <v>24</v>
      </c>
      <c r="Q150" s="26" t="s">
        <v>25</v>
      </c>
      <c r="R150" s="26" t="s">
        <v>26</v>
      </c>
      <c r="S150" s="26" t="s">
        <v>24</v>
      </c>
      <c r="T150" s="27"/>
      <c r="U150" s="28" t="s">
        <v>25</v>
      </c>
      <c r="V150" s="29" t="str">
        <f t="shared" si="11"/>
        <v>✓ OK</v>
      </c>
      <c r="W150" s="45">
        <v>46248</v>
      </c>
      <c r="X150" s="30" t="s">
        <v>23</v>
      </c>
      <c r="Y150" s="30" t="s">
        <v>24</v>
      </c>
      <c r="Z150" s="30" t="s">
        <v>25</v>
      </c>
      <c r="AA150" s="30" t="s">
        <v>26</v>
      </c>
      <c r="AB150" s="30" t="s">
        <v>24</v>
      </c>
      <c r="AC150" s="27"/>
      <c r="AD150" s="31" t="s">
        <v>25</v>
      </c>
      <c r="AE150" s="32" t="str">
        <f t="shared" si="12"/>
        <v>✓ OK</v>
      </c>
      <c r="AF150" s="33" t="s">
        <v>27</v>
      </c>
      <c r="AG150" s="33" t="s">
        <v>23</v>
      </c>
      <c r="AH150" s="33" t="s">
        <v>24</v>
      </c>
      <c r="AI150" s="33" t="s">
        <v>25</v>
      </c>
      <c r="AJ150" s="33" t="s">
        <v>26</v>
      </c>
      <c r="AK150" s="33" t="s">
        <v>24</v>
      </c>
      <c r="AL150" s="27"/>
      <c r="AM150" s="34" t="s">
        <v>25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8" customHeight="1" x14ac:dyDescent="0.3">
      <c r="A151" s="23">
        <v>155</v>
      </c>
      <c r="B151" s="24" t="s">
        <v>940</v>
      </c>
      <c r="C151" s="25" t="s">
        <v>941</v>
      </c>
      <c r="D151" s="23" t="s">
        <v>767</v>
      </c>
      <c r="E151" s="43">
        <v>46125</v>
      </c>
      <c r="F151" s="26" t="s">
        <v>23</v>
      </c>
      <c r="G151" s="26" t="s">
        <v>24</v>
      </c>
      <c r="H151" s="26" t="s">
        <v>25</v>
      </c>
      <c r="I151" s="26" t="s">
        <v>26</v>
      </c>
      <c r="J151" s="26" t="s">
        <v>24</v>
      </c>
      <c r="K151" s="27"/>
      <c r="L151" s="28" t="s">
        <v>25</v>
      </c>
      <c r="M151" s="29" t="str">
        <f t="shared" si="10"/>
        <v>✓ OK</v>
      </c>
      <c r="N151" s="43">
        <v>46193</v>
      </c>
      <c r="O151" s="26" t="s">
        <v>23</v>
      </c>
      <c r="P151" s="26" t="s">
        <v>24</v>
      </c>
      <c r="Q151" s="26" t="s">
        <v>25</v>
      </c>
      <c r="R151" s="26" t="s">
        <v>26</v>
      </c>
      <c r="S151" s="26" t="s">
        <v>24</v>
      </c>
      <c r="T151" s="27"/>
      <c r="U151" s="28" t="s">
        <v>25</v>
      </c>
      <c r="V151" s="29" t="str">
        <f t="shared" si="11"/>
        <v>✓ OK</v>
      </c>
      <c r="W151" s="45">
        <v>46248</v>
      </c>
      <c r="X151" s="30" t="s">
        <v>23</v>
      </c>
      <c r="Y151" s="30" t="s">
        <v>24</v>
      </c>
      <c r="Z151" s="30" t="s">
        <v>25</v>
      </c>
      <c r="AA151" s="30" t="s">
        <v>26</v>
      </c>
      <c r="AB151" s="30" t="s">
        <v>24</v>
      </c>
      <c r="AC151" s="27"/>
      <c r="AD151" s="31" t="s">
        <v>25</v>
      </c>
      <c r="AE151" s="32" t="str">
        <f t="shared" si="12"/>
        <v>✓ OK</v>
      </c>
      <c r="AF151" s="33" t="s">
        <v>27</v>
      </c>
      <c r="AG151" s="33" t="s">
        <v>23</v>
      </c>
      <c r="AH151" s="33" t="s">
        <v>24</v>
      </c>
      <c r="AI151" s="33" t="s">
        <v>25</v>
      </c>
      <c r="AJ151" s="33" t="s">
        <v>26</v>
      </c>
      <c r="AK151" s="33" t="s">
        <v>24</v>
      </c>
      <c r="AL151" s="27"/>
      <c r="AM151" s="34" t="s">
        <v>25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8" customHeight="1" x14ac:dyDescent="0.3">
      <c r="A152" s="39">
        <v>156</v>
      </c>
      <c r="B152" s="40" t="s">
        <v>942</v>
      </c>
      <c r="C152" s="41" t="s">
        <v>943</v>
      </c>
      <c r="D152" s="39" t="s">
        <v>767</v>
      </c>
      <c r="E152" s="43">
        <v>46125</v>
      </c>
      <c r="F152" s="26" t="s">
        <v>23</v>
      </c>
      <c r="G152" s="26" t="s">
        <v>24</v>
      </c>
      <c r="H152" s="26" t="s">
        <v>25</v>
      </c>
      <c r="I152" s="26" t="s">
        <v>26</v>
      </c>
      <c r="J152" s="26" t="s">
        <v>24</v>
      </c>
      <c r="K152" s="27"/>
      <c r="L152" s="28" t="s">
        <v>25</v>
      </c>
      <c r="M152" s="29" t="str">
        <f t="shared" si="10"/>
        <v>✓ OK</v>
      </c>
      <c r="N152" s="43">
        <v>46193</v>
      </c>
      <c r="O152" s="26" t="s">
        <v>23</v>
      </c>
      <c r="P152" s="26" t="s">
        <v>24</v>
      </c>
      <c r="Q152" s="26" t="s">
        <v>25</v>
      </c>
      <c r="R152" s="26" t="s">
        <v>26</v>
      </c>
      <c r="S152" s="26" t="s">
        <v>24</v>
      </c>
      <c r="T152" s="27"/>
      <c r="U152" s="28" t="s">
        <v>25</v>
      </c>
      <c r="V152" s="29" t="str">
        <f t="shared" si="11"/>
        <v>✓ OK</v>
      </c>
      <c r="W152" s="45">
        <v>46248</v>
      </c>
      <c r="X152" s="30" t="s">
        <v>23</v>
      </c>
      <c r="Y152" s="30" t="s">
        <v>24</v>
      </c>
      <c r="Z152" s="30" t="s">
        <v>25</v>
      </c>
      <c r="AA152" s="30" t="s">
        <v>26</v>
      </c>
      <c r="AB152" s="30" t="s">
        <v>24</v>
      </c>
      <c r="AC152" s="27"/>
      <c r="AD152" s="31" t="s">
        <v>25</v>
      </c>
      <c r="AE152" s="32" t="str">
        <f t="shared" si="12"/>
        <v>✓ OK</v>
      </c>
      <c r="AF152" s="33" t="s">
        <v>27</v>
      </c>
      <c r="AG152" s="33" t="s">
        <v>23</v>
      </c>
      <c r="AH152" s="33" t="s">
        <v>24</v>
      </c>
      <c r="AI152" s="33" t="s">
        <v>25</v>
      </c>
      <c r="AJ152" s="33" t="s">
        <v>26</v>
      </c>
      <c r="AK152" s="33" t="s">
        <v>24</v>
      </c>
      <c r="AL152" s="27"/>
      <c r="AM152" s="34" t="s">
        <v>25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8" customHeight="1" x14ac:dyDescent="0.3">
      <c r="A153" s="23">
        <v>157</v>
      </c>
      <c r="B153" s="24" t="s">
        <v>944</v>
      </c>
      <c r="C153" s="25" t="s">
        <v>945</v>
      </c>
      <c r="D153" s="23" t="s">
        <v>767</v>
      </c>
      <c r="E153" s="43">
        <v>46125</v>
      </c>
      <c r="F153" s="26" t="s">
        <v>23</v>
      </c>
      <c r="G153" s="26" t="s">
        <v>24</v>
      </c>
      <c r="H153" s="26" t="s">
        <v>25</v>
      </c>
      <c r="I153" s="26" t="s">
        <v>26</v>
      </c>
      <c r="J153" s="26" t="s">
        <v>24</v>
      </c>
      <c r="K153" s="27"/>
      <c r="L153" s="28" t="s">
        <v>25</v>
      </c>
      <c r="M153" s="29" t="str">
        <f t="shared" si="10"/>
        <v>✓ OK</v>
      </c>
      <c r="N153" s="43">
        <v>46193</v>
      </c>
      <c r="O153" s="26" t="s">
        <v>23</v>
      </c>
      <c r="P153" s="26" t="s">
        <v>24</v>
      </c>
      <c r="Q153" s="26" t="s">
        <v>25</v>
      </c>
      <c r="R153" s="26" t="s">
        <v>26</v>
      </c>
      <c r="S153" s="26" t="s">
        <v>24</v>
      </c>
      <c r="T153" s="27"/>
      <c r="U153" s="28" t="s">
        <v>25</v>
      </c>
      <c r="V153" s="29" t="str">
        <f t="shared" si="11"/>
        <v>✓ OK</v>
      </c>
      <c r="W153" s="45">
        <v>46248</v>
      </c>
      <c r="X153" s="30" t="s">
        <v>23</v>
      </c>
      <c r="Y153" s="30" t="s">
        <v>24</v>
      </c>
      <c r="Z153" s="30" t="s">
        <v>25</v>
      </c>
      <c r="AA153" s="30" t="s">
        <v>26</v>
      </c>
      <c r="AB153" s="30" t="s">
        <v>24</v>
      </c>
      <c r="AC153" s="27"/>
      <c r="AD153" s="31" t="s">
        <v>25</v>
      </c>
      <c r="AE153" s="32" t="str">
        <f t="shared" si="12"/>
        <v>✓ OK</v>
      </c>
      <c r="AF153" s="33" t="s">
        <v>27</v>
      </c>
      <c r="AG153" s="33" t="s">
        <v>23</v>
      </c>
      <c r="AH153" s="33" t="s">
        <v>24</v>
      </c>
      <c r="AI153" s="33" t="s">
        <v>25</v>
      </c>
      <c r="AJ153" s="33" t="s">
        <v>26</v>
      </c>
      <c r="AK153" s="33" t="s">
        <v>24</v>
      </c>
      <c r="AL153" s="27"/>
      <c r="AM153" s="34" t="s">
        <v>25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8" customHeight="1" x14ac:dyDescent="0.3">
      <c r="A154" s="39">
        <v>158</v>
      </c>
      <c r="B154" s="40" t="s">
        <v>946</v>
      </c>
      <c r="C154" s="41" t="s">
        <v>947</v>
      </c>
      <c r="D154" s="39" t="s">
        <v>767</v>
      </c>
      <c r="E154" s="43">
        <v>46125</v>
      </c>
      <c r="F154" s="26" t="s">
        <v>23</v>
      </c>
      <c r="G154" s="26" t="s">
        <v>24</v>
      </c>
      <c r="H154" s="26" t="s">
        <v>25</v>
      </c>
      <c r="I154" s="26" t="s">
        <v>26</v>
      </c>
      <c r="J154" s="26" t="s">
        <v>24</v>
      </c>
      <c r="K154" s="27"/>
      <c r="L154" s="28" t="s">
        <v>25</v>
      </c>
      <c r="M154" s="29" t="str">
        <f t="shared" si="10"/>
        <v>✓ OK</v>
      </c>
      <c r="N154" s="43">
        <v>46193</v>
      </c>
      <c r="O154" s="26" t="s">
        <v>23</v>
      </c>
      <c r="P154" s="26" t="s">
        <v>24</v>
      </c>
      <c r="Q154" s="26" t="s">
        <v>25</v>
      </c>
      <c r="R154" s="26" t="s">
        <v>26</v>
      </c>
      <c r="S154" s="26" t="s">
        <v>24</v>
      </c>
      <c r="T154" s="27"/>
      <c r="U154" s="28" t="s">
        <v>25</v>
      </c>
      <c r="V154" s="29" t="str">
        <f t="shared" si="11"/>
        <v>✓ OK</v>
      </c>
      <c r="W154" s="45">
        <v>46248</v>
      </c>
      <c r="X154" s="30" t="s">
        <v>23</v>
      </c>
      <c r="Y154" s="30" t="s">
        <v>24</v>
      </c>
      <c r="Z154" s="30" t="s">
        <v>25</v>
      </c>
      <c r="AA154" s="30" t="s">
        <v>26</v>
      </c>
      <c r="AB154" s="30" t="s">
        <v>24</v>
      </c>
      <c r="AC154" s="27"/>
      <c r="AD154" s="31" t="s">
        <v>25</v>
      </c>
      <c r="AE154" s="32" t="str">
        <f t="shared" si="12"/>
        <v>✓ OK</v>
      </c>
      <c r="AF154" s="33" t="s">
        <v>27</v>
      </c>
      <c r="AG154" s="33" t="s">
        <v>23</v>
      </c>
      <c r="AH154" s="33" t="s">
        <v>24</v>
      </c>
      <c r="AI154" s="33" t="s">
        <v>25</v>
      </c>
      <c r="AJ154" s="33" t="s">
        <v>26</v>
      </c>
      <c r="AK154" s="33" t="s">
        <v>24</v>
      </c>
      <c r="AL154" s="27"/>
      <c r="AM154" s="34" t="s">
        <v>25</v>
      </c>
      <c r="AN154" s="35" t="str">
        <f t="shared" si="13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8" customHeight="1" x14ac:dyDescent="0.3">
      <c r="A155" s="23">
        <v>159</v>
      </c>
      <c r="B155" s="24" t="s">
        <v>948</v>
      </c>
      <c r="C155" s="25" t="s">
        <v>949</v>
      </c>
      <c r="D155" s="23" t="s">
        <v>767</v>
      </c>
      <c r="E155" s="43">
        <v>46125</v>
      </c>
      <c r="F155" s="26" t="s">
        <v>23</v>
      </c>
      <c r="G155" s="26" t="s">
        <v>24</v>
      </c>
      <c r="H155" s="26" t="s">
        <v>25</v>
      </c>
      <c r="I155" s="26" t="s">
        <v>26</v>
      </c>
      <c r="J155" s="26" t="s">
        <v>24</v>
      </c>
      <c r="K155" s="27"/>
      <c r="L155" s="28" t="s">
        <v>25</v>
      </c>
      <c r="M155" s="29" t="str">
        <f t="shared" si="10"/>
        <v>✓ OK</v>
      </c>
      <c r="N155" s="43">
        <v>46193</v>
      </c>
      <c r="O155" s="26" t="s">
        <v>23</v>
      </c>
      <c r="P155" s="26" t="s">
        <v>24</v>
      </c>
      <c r="Q155" s="26" t="s">
        <v>25</v>
      </c>
      <c r="R155" s="26" t="s">
        <v>26</v>
      </c>
      <c r="S155" s="26" t="s">
        <v>24</v>
      </c>
      <c r="T155" s="27"/>
      <c r="U155" s="28" t="s">
        <v>25</v>
      </c>
      <c r="V155" s="29" t="str">
        <f t="shared" si="11"/>
        <v>✓ OK</v>
      </c>
      <c r="W155" s="45">
        <v>46248</v>
      </c>
      <c r="X155" s="30" t="s">
        <v>23</v>
      </c>
      <c r="Y155" s="30" t="s">
        <v>24</v>
      </c>
      <c r="Z155" s="30" t="s">
        <v>25</v>
      </c>
      <c r="AA155" s="30" t="s">
        <v>26</v>
      </c>
      <c r="AB155" s="30" t="s">
        <v>24</v>
      </c>
      <c r="AC155" s="27"/>
      <c r="AD155" s="31" t="s">
        <v>25</v>
      </c>
      <c r="AE155" s="32" t="str">
        <f t="shared" si="12"/>
        <v>✓ OK</v>
      </c>
      <c r="AF155" s="33" t="s">
        <v>27</v>
      </c>
      <c r="AG155" s="33" t="s">
        <v>23</v>
      </c>
      <c r="AH155" s="33" t="s">
        <v>25</v>
      </c>
      <c r="AI155" s="33" t="s">
        <v>24</v>
      </c>
      <c r="AJ155" s="33" t="s">
        <v>135</v>
      </c>
      <c r="AK155" s="33" t="s">
        <v>25</v>
      </c>
      <c r="AL155" s="27"/>
      <c r="AM155" s="34" t="s">
        <v>25</v>
      </c>
      <c r="AN155" s="35" t="str">
        <f t="shared" si="13"/>
        <v>❌ Disc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8" customHeight="1" x14ac:dyDescent="0.3">
      <c r="A156" s="39">
        <v>160</v>
      </c>
      <c r="B156" s="40" t="s">
        <v>950</v>
      </c>
      <c r="C156" s="41" t="s">
        <v>951</v>
      </c>
      <c r="D156" s="39" t="s">
        <v>767</v>
      </c>
      <c r="E156" s="43">
        <v>46125</v>
      </c>
      <c r="F156" s="26" t="s">
        <v>23</v>
      </c>
      <c r="G156" s="26" t="s">
        <v>24</v>
      </c>
      <c r="H156" s="26" t="s">
        <v>25</v>
      </c>
      <c r="I156" s="26" t="s">
        <v>26</v>
      </c>
      <c r="J156" s="26" t="s">
        <v>24</v>
      </c>
      <c r="K156" s="27"/>
      <c r="L156" s="28" t="s">
        <v>25</v>
      </c>
      <c r="M156" s="29" t="str">
        <f t="shared" si="10"/>
        <v>✓ OK</v>
      </c>
      <c r="N156" s="43">
        <v>46193</v>
      </c>
      <c r="O156" s="26" t="s">
        <v>23</v>
      </c>
      <c r="P156" s="26" t="s">
        <v>24</v>
      </c>
      <c r="Q156" s="26" t="s">
        <v>25</v>
      </c>
      <c r="R156" s="26" t="s">
        <v>26</v>
      </c>
      <c r="S156" s="26" t="s">
        <v>24</v>
      </c>
      <c r="T156" s="27"/>
      <c r="U156" s="28" t="s">
        <v>25</v>
      </c>
      <c r="V156" s="29" t="str">
        <f t="shared" si="11"/>
        <v>✓ OK</v>
      </c>
      <c r="W156" s="45">
        <v>46248</v>
      </c>
      <c r="X156" s="30" t="s">
        <v>23</v>
      </c>
      <c r="Y156" s="30" t="s">
        <v>24</v>
      </c>
      <c r="Z156" s="30" t="s">
        <v>25</v>
      </c>
      <c r="AA156" s="30" t="s">
        <v>26</v>
      </c>
      <c r="AB156" s="30" t="s">
        <v>24</v>
      </c>
      <c r="AC156" s="27"/>
      <c r="AD156" s="31" t="s">
        <v>25</v>
      </c>
      <c r="AE156" s="32" t="str">
        <f t="shared" si="12"/>
        <v>✓ OK</v>
      </c>
      <c r="AF156" s="33" t="s">
        <v>27</v>
      </c>
      <c r="AG156" s="33" t="s">
        <v>23</v>
      </c>
      <c r="AH156" s="33" t="s">
        <v>24</v>
      </c>
      <c r="AI156" s="33" t="s">
        <v>25</v>
      </c>
      <c r="AJ156" s="33" t="s">
        <v>26</v>
      </c>
      <c r="AK156" s="33" t="s">
        <v>24</v>
      </c>
      <c r="AL156" s="27"/>
      <c r="AM156" s="34" t="s">
        <v>25</v>
      </c>
      <c r="AN156" s="35" t="str">
        <f t="shared" si="13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8" customHeight="1" x14ac:dyDescent="0.3">
      <c r="A157" s="23">
        <v>161</v>
      </c>
      <c r="B157" s="24" t="s">
        <v>952</v>
      </c>
      <c r="C157" s="25" t="s">
        <v>953</v>
      </c>
      <c r="D157" s="23" t="s">
        <v>767</v>
      </c>
      <c r="E157" s="43">
        <v>46125</v>
      </c>
      <c r="F157" s="26" t="s">
        <v>23</v>
      </c>
      <c r="G157" s="26" t="s">
        <v>24</v>
      </c>
      <c r="H157" s="26" t="s">
        <v>25</v>
      </c>
      <c r="I157" s="26" t="s">
        <v>26</v>
      </c>
      <c r="J157" s="26" t="s">
        <v>24</v>
      </c>
      <c r="K157" s="27"/>
      <c r="L157" s="28" t="s">
        <v>25</v>
      </c>
      <c r="M157" s="29" t="str">
        <f t="shared" si="10"/>
        <v>✓ OK</v>
      </c>
      <c r="N157" s="43">
        <v>46193</v>
      </c>
      <c r="O157" s="26" t="s">
        <v>23</v>
      </c>
      <c r="P157" s="26" t="s">
        <v>24</v>
      </c>
      <c r="Q157" s="26" t="s">
        <v>25</v>
      </c>
      <c r="R157" s="26" t="s">
        <v>26</v>
      </c>
      <c r="S157" s="26" t="s">
        <v>24</v>
      </c>
      <c r="T157" s="27"/>
      <c r="U157" s="28" t="s">
        <v>25</v>
      </c>
      <c r="V157" s="29" t="str">
        <f t="shared" si="11"/>
        <v>✓ OK</v>
      </c>
      <c r="W157" s="45">
        <v>46248</v>
      </c>
      <c r="X157" s="30" t="s">
        <v>23</v>
      </c>
      <c r="Y157" s="30" t="s">
        <v>24</v>
      </c>
      <c r="Z157" s="30" t="s">
        <v>25</v>
      </c>
      <c r="AA157" s="30" t="s">
        <v>26</v>
      </c>
      <c r="AB157" s="30" t="s">
        <v>24</v>
      </c>
      <c r="AC157" s="27"/>
      <c r="AD157" s="31" t="s">
        <v>25</v>
      </c>
      <c r="AE157" s="32" t="str">
        <f t="shared" si="12"/>
        <v>✓ OK</v>
      </c>
      <c r="AF157" s="33" t="s">
        <v>27</v>
      </c>
      <c r="AG157" s="33" t="s">
        <v>23</v>
      </c>
      <c r="AH157" s="33" t="s">
        <v>24</v>
      </c>
      <c r="AI157" s="33" t="s">
        <v>25</v>
      </c>
      <c r="AJ157" s="33" t="s">
        <v>26</v>
      </c>
      <c r="AK157" s="33" t="s">
        <v>24</v>
      </c>
      <c r="AL157" s="27"/>
      <c r="AM157" s="34" t="s">
        <v>25</v>
      </c>
      <c r="AN157" s="35" t="str">
        <f t="shared" si="13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8" customHeight="1" x14ac:dyDescent="0.3">
      <c r="A158" s="39">
        <v>162</v>
      </c>
      <c r="B158" s="40" t="s">
        <v>954</v>
      </c>
      <c r="C158" s="41" t="s">
        <v>955</v>
      </c>
      <c r="D158" s="39" t="s">
        <v>767</v>
      </c>
      <c r="E158" s="43">
        <v>46125</v>
      </c>
      <c r="F158" s="26" t="s">
        <v>23</v>
      </c>
      <c r="G158" s="26" t="s">
        <v>24</v>
      </c>
      <c r="H158" s="26" t="s">
        <v>25</v>
      </c>
      <c r="I158" s="26" t="s">
        <v>26</v>
      </c>
      <c r="J158" s="26" t="s">
        <v>24</v>
      </c>
      <c r="K158" s="27"/>
      <c r="L158" s="28" t="s">
        <v>25</v>
      </c>
      <c r="M158" s="29" t="str">
        <f t="shared" si="10"/>
        <v>✓ OK</v>
      </c>
      <c r="N158" s="43">
        <v>46193</v>
      </c>
      <c r="O158" s="26" t="s">
        <v>23</v>
      </c>
      <c r="P158" s="26" t="s">
        <v>24</v>
      </c>
      <c r="Q158" s="26" t="s">
        <v>25</v>
      </c>
      <c r="R158" s="26" t="s">
        <v>26</v>
      </c>
      <c r="S158" s="26" t="s">
        <v>24</v>
      </c>
      <c r="T158" s="27"/>
      <c r="U158" s="28" t="s">
        <v>25</v>
      </c>
      <c r="V158" s="29" t="str">
        <f t="shared" si="11"/>
        <v>✓ OK</v>
      </c>
      <c r="W158" s="45">
        <v>46248</v>
      </c>
      <c r="X158" s="30" t="s">
        <v>23</v>
      </c>
      <c r="Y158" s="30" t="s">
        <v>24</v>
      </c>
      <c r="Z158" s="30" t="s">
        <v>25</v>
      </c>
      <c r="AA158" s="30" t="s">
        <v>26</v>
      </c>
      <c r="AB158" s="30" t="s">
        <v>24</v>
      </c>
      <c r="AC158" s="27"/>
      <c r="AD158" s="31" t="s">
        <v>25</v>
      </c>
      <c r="AE158" s="32" t="str">
        <f t="shared" si="12"/>
        <v>✓ OK</v>
      </c>
      <c r="AF158" s="33" t="s">
        <v>27</v>
      </c>
      <c r="AG158" s="33" t="s">
        <v>23</v>
      </c>
      <c r="AH158" s="33" t="s">
        <v>24</v>
      </c>
      <c r="AI158" s="33" t="s">
        <v>25</v>
      </c>
      <c r="AJ158" s="33" t="s">
        <v>26</v>
      </c>
      <c r="AK158" s="33" t="s">
        <v>24</v>
      </c>
      <c r="AL158" s="27"/>
      <c r="AM158" s="34" t="s">
        <v>25</v>
      </c>
      <c r="AN158" s="35" t="str">
        <f t="shared" si="13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8" customHeight="1" x14ac:dyDescent="0.3">
      <c r="A159" s="23">
        <v>163</v>
      </c>
      <c r="B159" s="24" t="s">
        <v>956</v>
      </c>
      <c r="C159" s="25" t="s">
        <v>957</v>
      </c>
      <c r="D159" s="23" t="s">
        <v>767</v>
      </c>
      <c r="E159" s="43">
        <v>46125</v>
      </c>
      <c r="F159" s="26" t="s">
        <v>23</v>
      </c>
      <c r="G159" s="26" t="s">
        <v>24</v>
      </c>
      <c r="H159" s="26" t="s">
        <v>25</v>
      </c>
      <c r="I159" s="26" t="s">
        <v>26</v>
      </c>
      <c r="J159" s="26" t="s">
        <v>24</v>
      </c>
      <c r="K159" s="27"/>
      <c r="L159" s="28" t="s">
        <v>25</v>
      </c>
      <c r="M159" s="29" t="str">
        <f t="shared" si="10"/>
        <v>✓ OK</v>
      </c>
      <c r="N159" s="43">
        <v>46193</v>
      </c>
      <c r="O159" s="26" t="s">
        <v>23</v>
      </c>
      <c r="P159" s="26" t="s">
        <v>24</v>
      </c>
      <c r="Q159" s="26" t="s">
        <v>25</v>
      </c>
      <c r="R159" s="26" t="s">
        <v>26</v>
      </c>
      <c r="S159" s="26" t="s">
        <v>24</v>
      </c>
      <c r="T159" s="27"/>
      <c r="U159" s="28" t="s">
        <v>25</v>
      </c>
      <c r="V159" s="29" t="str">
        <f t="shared" si="11"/>
        <v>✓ OK</v>
      </c>
      <c r="W159" s="45">
        <v>46248</v>
      </c>
      <c r="X159" s="30" t="s">
        <v>23</v>
      </c>
      <c r="Y159" s="30" t="s">
        <v>24</v>
      </c>
      <c r="Z159" s="30" t="s">
        <v>25</v>
      </c>
      <c r="AA159" s="30" t="s">
        <v>26</v>
      </c>
      <c r="AB159" s="30" t="s">
        <v>24</v>
      </c>
      <c r="AC159" s="27"/>
      <c r="AD159" s="31" t="s">
        <v>25</v>
      </c>
      <c r="AE159" s="32" t="str">
        <f t="shared" si="12"/>
        <v>✓ OK</v>
      </c>
      <c r="AF159" s="33" t="s">
        <v>27</v>
      </c>
      <c r="AG159" s="33" t="s">
        <v>23</v>
      </c>
      <c r="AH159" s="33" t="s">
        <v>24</v>
      </c>
      <c r="AI159" s="33" t="s">
        <v>25</v>
      </c>
      <c r="AJ159" s="33" t="s">
        <v>26</v>
      </c>
      <c r="AK159" s="33" t="s">
        <v>24</v>
      </c>
      <c r="AL159" s="27"/>
      <c r="AM159" s="34" t="s">
        <v>25</v>
      </c>
      <c r="AN159" s="35" t="str">
        <f t="shared" si="13"/>
        <v>✓ OK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8" customHeight="1" x14ac:dyDescent="0.3">
      <c r="A160" s="39">
        <v>164</v>
      </c>
      <c r="B160" s="40" t="s">
        <v>958</v>
      </c>
      <c r="C160" s="41" t="s">
        <v>959</v>
      </c>
      <c r="D160" s="39" t="s">
        <v>767</v>
      </c>
      <c r="E160" s="43">
        <v>46125</v>
      </c>
      <c r="F160" s="26" t="s">
        <v>23</v>
      </c>
      <c r="G160" s="26" t="s">
        <v>24</v>
      </c>
      <c r="H160" s="26" t="s">
        <v>25</v>
      </c>
      <c r="I160" s="26" t="s">
        <v>731</v>
      </c>
      <c r="J160" s="26" t="s">
        <v>25</v>
      </c>
      <c r="K160" s="27" t="s">
        <v>740</v>
      </c>
      <c r="L160" s="28" t="s">
        <v>24</v>
      </c>
      <c r="M160" s="29" t="str">
        <f t="shared" si="10"/>
        <v>⚠ Check</v>
      </c>
      <c r="N160" s="43">
        <v>46193</v>
      </c>
      <c r="O160" s="26" t="s">
        <v>23</v>
      </c>
      <c r="P160" s="26" t="s">
        <v>24</v>
      </c>
      <c r="Q160" s="26" t="s">
        <v>25</v>
      </c>
      <c r="R160" s="26" t="s">
        <v>731</v>
      </c>
      <c r="S160" s="26" t="s">
        <v>25</v>
      </c>
      <c r="T160" s="27" t="s">
        <v>740</v>
      </c>
      <c r="U160" s="28" t="s">
        <v>24</v>
      </c>
      <c r="V160" s="29" t="str">
        <f t="shared" si="11"/>
        <v>⚠ Check</v>
      </c>
      <c r="W160" s="45">
        <v>46248</v>
      </c>
      <c r="X160" s="30" t="s">
        <v>23</v>
      </c>
      <c r="Y160" s="30" t="s">
        <v>24</v>
      </c>
      <c r="Z160" s="30" t="s">
        <v>25</v>
      </c>
      <c r="AA160" s="30" t="s">
        <v>26</v>
      </c>
      <c r="AB160" s="30" t="s">
        <v>24</v>
      </c>
      <c r="AC160" s="27"/>
      <c r="AD160" s="31" t="s">
        <v>24</v>
      </c>
      <c r="AE160" s="32" t="str">
        <f t="shared" si="12"/>
        <v>✓ OK</v>
      </c>
      <c r="AF160" s="33" t="s">
        <v>27</v>
      </c>
      <c r="AG160" s="33" t="s">
        <v>23</v>
      </c>
      <c r="AH160" s="33" t="s">
        <v>24</v>
      </c>
      <c r="AI160" s="33" t="s">
        <v>25</v>
      </c>
      <c r="AJ160" s="33" t="s">
        <v>26</v>
      </c>
      <c r="AK160" s="33" t="s">
        <v>24</v>
      </c>
      <c r="AL160" s="27"/>
      <c r="AM160" s="34" t="s">
        <v>25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8" customHeight="1" x14ac:dyDescent="0.3">
      <c r="A161" s="23">
        <v>165</v>
      </c>
      <c r="B161" s="24" t="s">
        <v>960</v>
      </c>
      <c r="C161" s="25" t="s">
        <v>961</v>
      </c>
      <c r="D161" s="23" t="s">
        <v>767</v>
      </c>
      <c r="E161" s="43">
        <v>46125</v>
      </c>
      <c r="F161" s="26" t="s">
        <v>23</v>
      </c>
      <c r="G161" s="26" t="s">
        <v>24</v>
      </c>
      <c r="H161" s="26" t="s">
        <v>25</v>
      </c>
      <c r="I161" s="26" t="s">
        <v>26</v>
      </c>
      <c r="J161" s="26" t="s">
        <v>24</v>
      </c>
      <c r="K161" s="27"/>
      <c r="L161" s="28" t="s">
        <v>25</v>
      </c>
      <c r="M161" s="29" t="str">
        <f t="shared" si="10"/>
        <v>✓ OK</v>
      </c>
      <c r="N161" s="43">
        <v>46193</v>
      </c>
      <c r="O161" s="26" t="s">
        <v>23</v>
      </c>
      <c r="P161" s="26" t="s">
        <v>24</v>
      </c>
      <c r="Q161" s="26" t="s">
        <v>25</v>
      </c>
      <c r="R161" s="26" t="s">
        <v>26</v>
      </c>
      <c r="S161" s="26" t="s">
        <v>24</v>
      </c>
      <c r="T161" s="27"/>
      <c r="U161" s="28" t="s">
        <v>25</v>
      </c>
      <c r="V161" s="29" t="str">
        <f t="shared" si="11"/>
        <v>✓ OK</v>
      </c>
      <c r="W161" s="45">
        <v>46248</v>
      </c>
      <c r="X161" s="30" t="s">
        <v>23</v>
      </c>
      <c r="Y161" s="30" t="s">
        <v>24</v>
      </c>
      <c r="Z161" s="30" t="s">
        <v>25</v>
      </c>
      <c r="AA161" s="30" t="s">
        <v>26</v>
      </c>
      <c r="AB161" s="30" t="s">
        <v>24</v>
      </c>
      <c r="AC161" s="27"/>
      <c r="AD161" s="31" t="s">
        <v>25</v>
      </c>
      <c r="AE161" s="32" t="str">
        <f t="shared" si="12"/>
        <v>✓ OK</v>
      </c>
      <c r="AF161" s="33" t="s">
        <v>27</v>
      </c>
      <c r="AG161" s="33" t="s">
        <v>23</v>
      </c>
      <c r="AH161" s="33" t="s">
        <v>24</v>
      </c>
      <c r="AI161" s="33" t="s">
        <v>25</v>
      </c>
      <c r="AJ161" s="33" t="s">
        <v>26</v>
      </c>
      <c r="AK161" s="33" t="s">
        <v>24</v>
      </c>
      <c r="AL161" s="27"/>
      <c r="AM161" s="34" t="s">
        <v>25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8" customHeight="1" x14ac:dyDescent="0.3">
      <c r="A162" s="39">
        <v>166</v>
      </c>
      <c r="B162" s="40" t="s">
        <v>962</v>
      </c>
      <c r="C162" s="41" t="s">
        <v>963</v>
      </c>
      <c r="D162" s="39" t="s">
        <v>767</v>
      </c>
      <c r="E162" s="43">
        <v>46125</v>
      </c>
      <c r="F162" s="26" t="s">
        <v>23</v>
      </c>
      <c r="G162" s="26" t="s">
        <v>24</v>
      </c>
      <c r="H162" s="26" t="s">
        <v>25</v>
      </c>
      <c r="I162" s="26" t="s">
        <v>26</v>
      </c>
      <c r="J162" s="26" t="s">
        <v>24</v>
      </c>
      <c r="K162" s="27"/>
      <c r="L162" s="28" t="s">
        <v>25</v>
      </c>
      <c r="M162" s="29" t="str">
        <f t="shared" si="10"/>
        <v>✓ OK</v>
      </c>
      <c r="N162" s="43">
        <v>46193</v>
      </c>
      <c r="O162" s="26" t="s">
        <v>23</v>
      </c>
      <c r="P162" s="26" t="s">
        <v>24</v>
      </c>
      <c r="Q162" s="26" t="s">
        <v>25</v>
      </c>
      <c r="R162" s="26" t="s">
        <v>26</v>
      </c>
      <c r="S162" s="26" t="s">
        <v>24</v>
      </c>
      <c r="T162" s="27"/>
      <c r="U162" s="28" t="s">
        <v>25</v>
      </c>
      <c r="V162" s="29" t="str">
        <f t="shared" si="11"/>
        <v>✓ OK</v>
      </c>
      <c r="W162" s="45">
        <v>46248</v>
      </c>
      <c r="X162" s="30" t="s">
        <v>23</v>
      </c>
      <c r="Y162" s="30" t="s">
        <v>24</v>
      </c>
      <c r="Z162" s="30" t="s">
        <v>25</v>
      </c>
      <c r="AA162" s="30" t="s">
        <v>26</v>
      </c>
      <c r="AB162" s="30" t="s">
        <v>24</v>
      </c>
      <c r="AC162" s="27"/>
      <c r="AD162" s="31" t="s">
        <v>25</v>
      </c>
      <c r="AE162" s="32" t="str">
        <f t="shared" si="12"/>
        <v>✓ OK</v>
      </c>
      <c r="AF162" s="33" t="s">
        <v>27</v>
      </c>
      <c r="AG162" s="33" t="s">
        <v>23</v>
      </c>
      <c r="AH162" s="33" t="s">
        <v>24</v>
      </c>
      <c r="AI162" s="33" t="s">
        <v>25</v>
      </c>
      <c r="AJ162" s="33" t="s">
        <v>26</v>
      </c>
      <c r="AK162" s="33" t="s">
        <v>24</v>
      </c>
      <c r="AL162" s="27"/>
      <c r="AM162" s="34" t="s">
        <v>25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8" customHeight="1" x14ac:dyDescent="0.3">
      <c r="A163" s="23">
        <v>167</v>
      </c>
      <c r="B163" s="24" t="s">
        <v>964</v>
      </c>
      <c r="C163" s="25" t="s">
        <v>965</v>
      </c>
      <c r="D163" s="23" t="s">
        <v>767</v>
      </c>
      <c r="E163" s="43">
        <v>46125</v>
      </c>
      <c r="F163" s="26" t="s">
        <v>23</v>
      </c>
      <c r="G163" s="26" t="s">
        <v>24</v>
      </c>
      <c r="H163" s="26" t="s">
        <v>25</v>
      </c>
      <c r="I163" s="26" t="s">
        <v>26</v>
      </c>
      <c r="J163" s="26" t="s">
        <v>24</v>
      </c>
      <c r="K163" s="27"/>
      <c r="L163" s="28" t="s">
        <v>25</v>
      </c>
      <c r="M163" s="29" t="str">
        <f t="shared" si="10"/>
        <v>✓ OK</v>
      </c>
      <c r="N163" s="43">
        <v>46193</v>
      </c>
      <c r="O163" s="26" t="s">
        <v>23</v>
      </c>
      <c r="P163" s="26" t="s">
        <v>24</v>
      </c>
      <c r="Q163" s="26" t="s">
        <v>25</v>
      </c>
      <c r="R163" s="26" t="s">
        <v>26</v>
      </c>
      <c r="S163" s="26" t="s">
        <v>24</v>
      </c>
      <c r="T163" s="27"/>
      <c r="U163" s="28" t="s">
        <v>25</v>
      </c>
      <c r="V163" s="29" t="str">
        <f t="shared" si="11"/>
        <v>✓ OK</v>
      </c>
      <c r="W163" s="45">
        <v>46248</v>
      </c>
      <c r="X163" s="30" t="s">
        <v>23</v>
      </c>
      <c r="Y163" s="30" t="s">
        <v>24</v>
      </c>
      <c r="Z163" s="30" t="s">
        <v>25</v>
      </c>
      <c r="AA163" s="30" t="s">
        <v>26</v>
      </c>
      <c r="AB163" s="30" t="s">
        <v>24</v>
      </c>
      <c r="AC163" s="27"/>
      <c r="AD163" s="31" t="s">
        <v>25</v>
      </c>
      <c r="AE163" s="32" t="str">
        <f t="shared" si="12"/>
        <v>✓ OK</v>
      </c>
      <c r="AF163" s="33" t="s">
        <v>27</v>
      </c>
      <c r="AG163" s="33" t="s">
        <v>23</v>
      </c>
      <c r="AH163" s="33" t="s">
        <v>24</v>
      </c>
      <c r="AI163" s="33" t="s">
        <v>25</v>
      </c>
      <c r="AJ163" s="33" t="s">
        <v>26</v>
      </c>
      <c r="AK163" s="33" t="s">
        <v>24</v>
      </c>
      <c r="AL163" s="27"/>
      <c r="AM163" s="34" t="s">
        <v>25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8" customHeight="1" x14ac:dyDescent="0.3">
      <c r="A164" s="39">
        <v>168</v>
      </c>
      <c r="B164" s="40" t="s">
        <v>966</v>
      </c>
      <c r="C164" s="41" t="s">
        <v>967</v>
      </c>
      <c r="D164" s="39" t="s">
        <v>767</v>
      </c>
      <c r="E164" s="43">
        <v>46125</v>
      </c>
      <c r="F164" s="26" t="s">
        <v>23</v>
      </c>
      <c r="G164" s="26" t="s">
        <v>24</v>
      </c>
      <c r="H164" s="26" t="s">
        <v>25</v>
      </c>
      <c r="I164" s="26" t="s">
        <v>731</v>
      </c>
      <c r="J164" s="26" t="s">
        <v>25</v>
      </c>
      <c r="K164" s="27" t="s">
        <v>740</v>
      </c>
      <c r="L164" s="28" t="s">
        <v>24</v>
      </c>
      <c r="M164" s="29" t="str">
        <f t="shared" si="10"/>
        <v>⚠ Check</v>
      </c>
      <c r="N164" s="43">
        <v>46193</v>
      </c>
      <c r="O164" s="26" t="s">
        <v>23</v>
      </c>
      <c r="P164" s="26" t="s">
        <v>24</v>
      </c>
      <c r="Q164" s="26" t="s">
        <v>25</v>
      </c>
      <c r="R164" s="26" t="s">
        <v>731</v>
      </c>
      <c r="S164" s="26" t="s">
        <v>25</v>
      </c>
      <c r="T164" s="27" t="s">
        <v>740</v>
      </c>
      <c r="U164" s="28" t="s">
        <v>24</v>
      </c>
      <c r="V164" s="29" t="str">
        <f t="shared" si="11"/>
        <v>⚠ Check</v>
      </c>
      <c r="W164" s="45">
        <v>46248</v>
      </c>
      <c r="X164" s="30" t="s">
        <v>23</v>
      </c>
      <c r="Y164" s="30" t="s">
        <v>24</v>
      </c>
      <c r="Z164" s="30" t="s">
        <v>25</v>
      </c>
      <c r="AA164" s="30" t="s">
        <v>26</v>
      </c>
      <c r="AB164" s="30" t="s">
        <v>24</v>
      </c>
      <c r="AC164" s="27"/>
      <c r="AD164" s="31" t="s">
        <v>24</v>
      </c>
      <c r="AE164" s="32" t="str">
        <f t="shared" si="12"/>
        <v>✓ OK</v>
      </c>
      <c r="AF164" s="33" t="s">
        <v>27</v>
      </c>
      <c r="AG164" s="33" t="s">
        <v>23</v>
      </c>
      <c r="AH164" s="33" t="s">
        <v>24</v>
      </c>
      <c r="AI164" s="33" t="s">
        <v>25</v>
      </c>
      <c r="AJ164" s="33" t="s">
        <v>26</v>
      </c>
      <c r="AK164" s="33" t="s">
        <v>24</v>
      </c>
      <c r="AL164" s="27"/>
      <c r="AM164" s="34" t="s">
        <v>25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8" customHeight="1" x14ac:dyDescent="0.3">
      <c r="A165" s="23">
        <v>169</v>
      </c>
      <c r="B165" s="24" t="s">
        <v>968</v>
      </c>
      <c r="C165" s="25" t="s">
        <v>969</v>
      </c>
      <c r="D165" s="23" t="s">
        <v>767</v>
      </c>
      <c r="E165" s="43">
        <v>46125</v>
      </c>
      <c r="F165" s="26" t="s">
        <v>23</v>
      </c>
      <c r="G165" s="26" t="s">
        <v>24</v>
      </c>
      <c r="H165" s="26" t="s">
        <v>25</v>
      </c>
      <c r="I165" s="26" t="s">
        <v>731</v>
      </c>
      <c r="J165" s="26" t="s">
        <v>25</v>
      </c>
      <c r="K165" s="27" t="s">
        <v>740</v>
      </c>
      <c r="L165" s="28" t="s">
        <v>24</v>
      </c>
      <c r="M165" s="29" t="str">
        <f t="shared" si="10"/>
        <v>⚠ Check</v>
      </c>
      <c r="N165" s="43">
        <v>46193</v>
      </c>
      <c r="O165" s="26" t="s">
        <v>23</v>
      </c>
      <c r="P165" s="26" t="s">
        <v>24</v>
      </c>
      <c r="Q165" s="26" t="s">
        <v>25</v>
      </c>
      <c r="R165" s="26" t="s">
        <v>731</v>
      </c>
      <c r="S165" s="26" t="s">
        <v>25</v>
      </c>
      <c r="T165" s="27" t="s">
        <v>740</v>
      </c>
      <c r="U165" s="28" t="s">
        <v>24</v>
      </c>
      <c r="V165" s="29" t="str">
        <f t="shared" si="11"/>
        <v>⚠ Check</v>
      </c>
      <c r="W165" s="45">
        <v>46248</v>
      </c>
      <c r="X165" s="30" t="s">
        <v>23</v>
      </c>
      <c r="Y165" s="30" t="s">
        <v>24</v>
      </c>
      <c r="Z165" s="30" t="s">
        <v>25</v>
      </c>
      <c r="AA165" s="30" t="s">
        <v>26</v>
      </c>
      <c r="AB165" s="30" t="s">
        <v>24</v>
      </c>
      <c r="AC165" s="27"/>
      <c r="AD165" s="31" t="s">
        <v>24</v>
      </c>
      <c r="AE165" s="32" t="str">
        <f t="shared" si="12"/>
        <v>✓ OK</v>
      </c>
      <c r="AF165" s="33" t="s">
        <v>27</v>
      </c>
      <c r="AG165" s="33" t="s">
        <v>23</v>
      </c>
      <c r="AH165" s="33" t="s">
        <v>24</v>
      </c>
      <c r="AI165" s="33" t="s">
        <v>25</v>
      </c>
      <c r="AJ165" s="33" t="s">
        <v>26</v>
      </c>
      <c r="AK165" s="33" t="s">
        <v>24</v>
      </c>
      <c r="AL165" s="27"/>
      <c r="AM165" s="34" t="s">
        <v>25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8" customHeight="1" x14ac:dyDescent="0.3">
      <c r="A166" s="39">
        <v>170</v>
      </c>
      <c r="B166" s="40" t="s">
        <v>970</v>
      </c>
      <c r="C166" s="41" t="s">
        <v>971</v>
      </c>
      <c r="D166" s="39" t="s">
        <v>767</v>
      </c>
      <c r="E166" s="43">
        <v>46125</v>
      </c>
      <c r="F166" s="26" t="s">
        <v>23</v>
      </c>
      <c r="G166" s="26" t="s">
        <v>24</v>
      </c>
      <c r="H166" s="26" t="s">
        <v>25</v>
      </c>
      <c r="I166" s="26" t="s">
        <v>26</v>
      </c>
      <c r="J166" s="26" t="s">
        <v>24</v>
      </c>
      <c r="K166" s="27"/>
      <c r="L166" s="28" t="s">
        <v>25</v>
      </c>
      <c r="M166" s="29" t="str">
        <f t="shared" si="10"/>
        <v>✓ OK</v>
      </c>
      <c r="N166" s="43">
        <v>46193</v>
      </c>
      <c r="O166" s="26" t="s">
        <v>23</v>
      </c>
      <c r="P166" s="26" t="s">
        <v>24</v>
      </c>
      <c r="Q166" s="26" t="s">
        <v>25</v>
      </c>
      <c r="R166" s="26" t="s">
        <v>26</v>
      </c>
      <c r="S166" s="26" t="s">
        <v>24</v>
      </c>
      <c r="T166" s="27"/>
      <c r="U166" s="28" t="s">
        <v>25</v>
      </c>
      <c r="V166" s="29" t="str">
        <f t="shared" si="11"/>
        <v>✓ OK</v>
      </c>
      <c r="W166" s="45">
        <v>46248</v>
      </c>
      <c r="X166" s="30" t="s">
        <v>23</v>
      </c>
      <c r="Y166" s="30" t="s">
        <v>24</v>
      </c>
      <c r="Z166" s="30" t="s">
        <v>25</v>
      </c>
      <c r="AA166" s="30" t="s">
        <v>26</v>
      </c>
      <c r="AB166" s="30" t="s">
        <v>24</v>
      </c>
      <c r="AC166" s="27"/>
      <c r="AD166" s="31" t="s">
        <v>25</v>
      </c>
      <c r="AE166" s="32" t="str">
        <f t="shared" si="12"/>
        <v>✓ OK</v>
      </c>
      <c r="AF166" s="33" t="s">
        <v>27</v>
      </c>
      <c r="AG166" s="33" t="s">
        <v>23</v>
      </c>
      <c r="AH166" s="33" t="s">
        <v>24</v>
      </c>
      <c r="AI166" s="33" t="s">
        <v>25</v>
      </c>
      <c r="AJ166" s="33" t="s">
        <v>26</v>
      </c>
      <c r="AK166" s="33" t="s">
        <v>24</v>
      </c>
      <c r="AL166" s="27"/>
      <c r="AM166" s="34" t="s">
        <v>25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8" customHeight="1" x14ac:dyDescent="0.3">
      <c r="A167" s="23">
        <v>171</v>
      </c>
      <c r="B167" s="24" t="s">
        <v>972</v>
      </c>
      <c r="C167" s="25" t="s">
        <v>973</v>
      </c>
      <c r="D167" s="23" t="s">
        <v>767</v>
      </c>
      <c r="E167" s="43">
        <v>46125</v>
      </c>
      <c r="F167" s="26" t="s">
        <v>23</v>
      </c>
      <c r="G167" s="26" t="s">
        <v>24</v>
      </c>
      <c r="H167" s="26" t="s">
        <v>25</v>
      </c>
      <c r="I167" s="26" t="s">
        <v>26</v>
      </c>
      <c r="J167" s="26" t="s">
        <v>24</v>
      </c>
      <c r="K167" s="27"/>
      <c r="L167" s="28" t="s">
        <v>25</v>
      </c>
      <c r="M167" s="29" t="str">
        <f t="shared" si="10"/>
        <v>✓ OK</v>
      </c>
      <c r="N167" s="43">
        <v>46193</v>
      </c>
      <c r="O167" s="26" t="s">
        <v>23</v>
      </c>
      <c r="P167" s="26" t="s">
        <v>24</v>
      </c>
      <c r="Q167" s="26" t="s">
        <v>25</v>
      </c>
      <c r="R167" s="26" t="s">
        <v>26</v>
      </c>
      <c r="S167" s="26" t="s">
        <v>24</v>
      </c>
      <c r="T167" s="27"/>
      <c r="U167" s="28" t="s">
        <v>25</v>
      </c>
      <c r="V167" s="29" t="str">
        <f t="shared" si="11"/>
        <v>✓ OK</v>
      </c>
      <c r="W167" s="45">
        <v>46248</v>
      </c>
      <c r="X167" s="30" t="s">
        <v>23</v>
      </c>
      <c r="Y167" s="30" t="s">
        <v>24</v>
      </c>
      <c r="Z167" s="30" t="s">
        <v>25</v>
      </c>
      <c r="AA167" s="30" t="s">
        <v>26</v>
      </c>
      <c r="AB167" s="30" t="s">
        <v>24</v>
      </c>
      <c r="AC167" s="27"/>
      <c r="AD167" s="31" t="s">
        <v>25</v>
      </c>
      <c r="AE167" s="32" t="str">
        <f t="shared" si="12"/>
        <v>✓ OK</v>
      </c>
      <c r="AF167" s="33" t="s">
        <v>27</v>
      </c>
      <c r="AG167" s="33" t="s">
        <v>23</v>
      </c>
      <c r="AH167" s="33" t="s">
        <v>24</v>
      </c>
      <c r="AI167" s="33" t="s">
        <v>25</v>
      </c>
      <c r="AJ167" s="33" t="s">
        <v>26</v>
      </c>
      <c r="AK167" s="33" t="s">
        <v>24</v>
      </c>
      <c r="AL167" s="27"/>
      <c r="AM167" s="34" t="s">
        <v>25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8" customHeight="1" x14ac:dyDescent="0.3">
      <c r="A168" s="39">
        <v>172</v>
      </c>
      <c r="B168" s="40" t="s">
        <v>974</v>
      </c>
      <c r="C168" s="41" t="s">
        <v>975</v>
      </c>
      <c r="D168" s="39" t="s">
        <v>767</v>
      </c>
      <c r="E168" s="43">
        <v>46125</v>
      </c>
      <c r="F168" s="26" t="s">
        <v>23</v>
      </c>
      <c r="G168" s="26" t="s">
        <v>24</v>
      </c>
      <c r="H168" s="26" t="s">
        <v>25</v>
      </c>
      <c r="I168" s="26" t="s">
        <v>26</v>
      </c>
      <c r="J168" s="26" t="s">
        <v>24</v>
      </c>
      <c r="K168" s="27"/>
      <c r="L168" s="28" t="s">
        <v>25</v>
      </c>
      <c r="M168" s="29" t="str">
        <f t="shared" si="10"/>
        <v>✓ OK</v>
      </c>
      <c r="N168" s="43">
        <v>46193</v>
      </c>
      <c r="O168" s="26" t="s">
        <v>23</v>
      </c>
      <c r="P168" s="26" t="s">
        <v>24</v>
      </c>
      <c r="Q168" s="26" t="s">
        <v>25</v>
      </c>
      <c r="R168" s="26" t="s">
        <v>26</v>
      </c>
      <c r="S168" s="26" t="s">
        <v>24</v>
      </c>
      <c r="T168" s="27"/>
      <c r="U168" s="28" t="s">
        <v>25</v>
      </c>
      <c r="V168" s="29" t="str">
        <f t="shared" si="11"/>
        <v>✓ OK</v>
      </c>
      <c r="W168" s="45">
        <v>46248</v>
      </c>
      <c r="X168" s="30" t="s">
        <v>23</v>
      </c>
      <c r="Y168" s="30" t="s">
        <v>24</v>
      </c>
      <c r="Z168" s="30" t="s">
        <v>25</v>
      </c>
      <c r="AA168" s="30" t="s">
        <v>26</v>
      </c>
      <c r="AB168" s="30" t="s">
        <v>24</v>
      </c>
      <c r="AC168" s="27"/>
      <c r="AD168" s="31" t="s">
        <v>25</v>
      </c>
      <c r="AE168" s="32" t="str">
        <f t="shared" si="12"/>
        <v>✓ OK</v>
      </c>
      <c r="AF168" s="33" t="s">
        <v>27</v>
      </c>
      <c r="AG168" s="33" t="s">
        <v>23</v>
      </c>
      <c r="AH168" s="33" t="s">
        <v>24</v>
      </c>
      <c r="AI168" s="33" t="s">
        <v>25</v>
      </c>
      <c r="AJ168" s="33" t="s">
        <v>26</v>
      </c>
      <c r="AK168" s="33" t="s">
        <v>24</v>
      </c>
      <c r="AL168" s="27"/>
      <c r="AM168" s="34" t="s">
        <v>25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8" customHeight="1" x14ac:dyDescent="0.3">
      <c r="A169" s="23">
        <v>173</v>
      </c>
      <c r="B169" s="24" t="s">
        <v>976</v>
      </c>
      <c r="C169" s="25" t="s">
        <v>977</v>
      </c>
      <c r="D169" s="23" t="s">
        <v>767</v>
      </c>
      <c r="E169" s="43">
        <v>46125</v>
      </c>
      <c r="F169" s="26" t="s">
        <v>23</v>
      </c>
      <c r="G169" s="26" t="s">
        <v>24</v>
      </c>
      <c r="H169" s="26" t="s">
        <v>25</v>
      </c>
      <c r="I169" s="26" t="s">
        <v>26</v>
      </c>
      <c r="J169" s="26" t="s">
        <v>24</v>
      </c>
      <c r="K169" s="27"/>
      <c r="L169" s="28" t="s">
        <v>25</v>
      </c>
      <c r="M169" s="29" t="str">
        <f t="shared" si="10"/>
        <v>✓ OK</v>
      </c>
      <c r="N169" s="43">
        <v>46193</v>
      </c>
      <c r="O169" s="26" t="s">
        <v>23</v>
      </c>
      <c r="P169" s="26" t="s">
        <v>24</v>
      </c>
      <c r="Q169" s="26" t="s">
        <v>25</v>
      </c>
      <c r="R169" s="26" t="s">
        <v>26</v>
      </c>
      <c r="S169" s="26" t="s">
        <v>24</v>
      </c>
      <c r="T169" s="27"/>
      <c r="U169" s="28" t="s">
        <v>25</v>
      </c>
      <c r="V169" s="29" t="str">
        <f t="shared" si="11"/>
        <v>✓ OK</v>
      </c>
      <c r="W169" s="45">
        <v>46248</v>
      </c>
      <c r="X169" s="30" t="s">
        <v>23</v>
      </c>
      <c r="Y169" s="30" t="s">
        <v>24</v>
      </c>
      <c r="Z169" s="30" t="s">
        <v>25</v>
      </c>
      <c r="AA169" s="30" t="s">
        <v>26</v>
      </c>
      <c r="AB169" s="30" t="s">
        <v>24</v>
      </c>
      <c r="AC169" s="27"/>
      <c r="AD169" s="31" t="s">
        <v>25</v>
      </c>
      <c r="AE169" s="32" t="str">
        <f t="shared" si="12"/>
        <v>✓ OK</v>
      </c>
      <c r="AF169" s="33" t="s">
        <v>27</v>
      </c>
      <c r="AG169" s="33" t="s">
        <v>23</v>
      </c>
      <c r="AH169" s="33" t="s">
        <v>24</v>
      </c>
      <c r="AI169" s="33" t="s">
        <v>25</v>
      </c>
      <c r="AJ169" s="33" t="s">
        <v>26</v>
      </c>
      <c r="AK169" s="33" t="s">
        <v>24</v>
      </c>
      <c r="AL169" s="27"/>
      <c r="AM169" s="34" t="s">
        <v>25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8" customHeight="1" x14ac:dyDescent="0.3">
      <c r="A170" s="39">
        <v>174</v>
      </c>
      <c r="B170" s="40" t="s">
        <v>978</v>
      </c>
      <c r="C170" s="41" t="s">
        <v>979</v>
      </c>
      <c r="D170" s="39" t="s">
        <v>767</v>
      </c>
      <c r="E170" s="43">
        <v>46125</v>
      </c>
      <c r="F170" s="26" t="s">
        <v>23</v>
      </c>
      <c r="G170" s="26" t="s">
        <v>24</v>
      </c>
      <c r="H170" s="26" t="s">
        <v>25</v>
      </c>
      <c r="I170" s="26" t="s">
        <v>26</v>
      </c>
      <c r="J170" s="26" t="s">
        <v>24</v>
      </c>
      <c r="K170" s="27"/>
      <c r="L170" s="28" t="s">
        <v>25</v>
      </c>
      <c r="M170" s="29" t="str">
        <f t="shared" si="10"/>
        <v>✓ OK</v>
      </c>
      <c r="N170" s="43">
        <v>46193</v>
      </c>
      <c r="O170" s="26" t="s">
        <v>23</v>
      </c>
      <c r="P170" s="26" t="s">
        <v>25</v>
      </c>
      <c r="Q170" s="26" t="s">
        <v>24</v>
      </c>
      <c r="R170" s="26" t="s">
        <v>135</v>
      </c>
      <c r="S170" s="26" t="s">
        <v>25</v>
      </c>
      <c r="T170" s="27"/>
      <c r="U170" s="28" t="s">
        <v>25</v>
      </c>
      <c r="V170" s="29" t="str">
        <f t="shared" si="11"/>
        <v>❌ Disc</v>
      </c>
      <c r="W170" s="45">
        <v>46248</v>
      </c>
      <c r="X170" s="30" t="s">
        <v>23</v>
      </c>
      <c r="Y170" s="30" t="s">
        <v>25</v>
      </c>
      <c r="Z170" s="30" t="s">
        <v>24</v>
      </c>
      <c r="AA170" s="30" t="s">
        <v>135</v>
      </c>
      <c r="AB170" s="30" t="s">
        <v>25</v>
      </c>
      <c r="AC170" s="27"/>
      <c r="AD170" s="31" t="s">
        <v>25</v>
      </c>
      <c r="AE170" s="32" t="str">
        <f t="shared" si="12"/>
        <v>❌ Disc</v>
      </c>
      <c r="AF170" s="33" t="s">
        <v>27</v>
      </c>
      <c r="AG170" s="33" t="s">
        <v>23</v>
      </c>
      <c r="AH170" s="33" t="s">
        <v>25</v>
      </c>
      <c r="AI170" s="33" t="s">
        <v>24</v>
      </c>
      <c r="AJ170" s="33" t="s">
        <v>135</v>
      </c>
      <c r="AK170" s="33" t="s">
        <v>25</v>
      </c>
      <c r="AL170" s="27"/>
      <c r="AM170" s="34" t="s">
        <v>25</v>
      </c>
      <c r="AN170" s="35" t="str">
        <f t="shared" si="13"/>
        <v>❌ Disc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8" customHeight="1" x14ac:dyDescent="0.3">
      <c r="A171" s="23">
        <v>175</v>
      </c>
      <c r="B171" s="24" t="s">
        <v>980</v>
      </c>
      <c r="C171" s="25" t="s">
        <v>981</v>
      </c>
      <c r="D171" s="23" t="s">
        <v>767</v>
      </c>
      <c r="E171" s="43">
        <v>46125</v>
      </c>
      <c r="F171" s="26" t="s">
        <v>23</v>
      </c>
      <c r="G171" s="26" t="s">
        <v>24</v>
      </c>
      <c r="H171" s="26" t="s">
        <v>25</v>
      </c>
      <c r="I171" s="26" t="s">
        <v>26</v>
      </c>
      <c r="J171" s="26" t="s">
        <v>24</v>
      </c>
      <c r="K171" s="27" t="s">
        <v>822</v>
      </c>
      <c r="L171" s="28" t="s">
        <v>25</v>
      </c>
      <c r="M171" s="29" t="str">
        <f t="shared" si="10"/>
        <v>✓ OK</v>
      </c>
      <c r="N171" s="43">
        <v>46193</v>
      </c>
      <c r="O171" s="26" t="s">
        <v>23</v>
      </c>
      <c r="P171" s="26" t="s">
        <v>25</v>
      </c>
      <c r="Q171" s="26" t="s">
        <v>24</v>
      </c>
      <c r="R171" s="26" t="s">
        <v>135</v>
      </c>
      <c r="S171" s="26" t="s">
        <v>25</v>
      </c>
      <c r="T171" s="27"/>
      <c r="U171" s="28" t="s">
        <v>25</v>
      </c>
      <c r="V171" s="29" t="str">
        <f t="shared" si="11"/>
        <v>❌ Disc</v>
      </c>
      <c r="W171" s="45">
        <v>46248</v>
      </c>
      <c r="X171" s="30" t="s">
        <v>23</v>
      </c>
      <c r="Y171" s="30" t="s">
        <v>25</v>
      </c>
      <c r="Z171" s="30" t="s">
        <v>24</v>
      </c>
      <c r="AA171" s="30" t="s">
        <v>135</v>
      </c>
      <c r="AB171" s="30" t="s">
        <v>25</v>
      </c>
      <c r="AC171" s="27"/>
      <c r="AD171" s="31" t="s">
        <v>25</v>
      </c>
      <c r="AE171" s="32" t="str">
        <f t="shared" si="12"/>
        <v>❌ Disc</v>
      </c>
      <c r="AF171" s="33" t="s">
        <v>27</v>
      </c>
      <c r="AG171" s="33" t="s">
        <v>23</v>
      </c>
      <c r="AH171" s="33" t="s">
        <v>25</v>
      </c>
      <c r="AI171" s="33" t="s">
        <v>24</v>
      </c>
      <c r="AJ171" s="33" t="s">
        <v>135</v>
      </c>
      <c r="AK171" s="33" t="s">
        <v>25</v>
      </c>
      <c r="AL171" s="27"/>
      <c r="AM171" s="34" t="s">
        <v>25</v>
      </c>
      <c r="AN171" s="35" t="str">
        <f t="shared" si="13"/>
        <v>❌ Disc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8" customHeight="1" x14ac:dyDescent="0.3">
      <c r="A172" s="39">
        <v>176</v>
      </c>
      <c r="B172" s="40" t="s">
        <v>982</v>
      </c>
      <c r="C172" s="41" t="s">
        <v>983</v>
      </c>
      <c r="D172" s="39" t="s">
        <v>767</v>
      </c>
      <c r="E172" s="43">
        <v>46125</v>
      </c>
      <c r="F172" s="26" t="s">
        <v>23</v>
      </c>
      <c r="G172" s="26" t="s">
        <v>24</v>
      </c>
      <c r="H172" s="26" t="s">
        <v>25</v>
      </c>
      <c r="I172" s="26" t="s">
        <v>26</v>
      </c>
      <c r="J172" s="26" t="s">
        <v>24</v>
      </c>
      <c r="K172" s="27" t="s">
        <v>822</v>
      </c>
      <c r="L172" s="28" t="s">
        <v>25</v>
      </c>
      <c r="M172" s="29" t="str">
        <f t="shared" si="10"/>
        <v>✓ OK</v>
      </c>
      <c r="N172" s="43">
        <v>46193</v>
      </c>
      <c r="O172" s="26" t="s">
        <v>23</v>
      </c>
      <c r="P172" s="26" t="s">
        <v>24</v>
      </c>
      <c r="Q172" s="26" t="s">
        <v>25</v>
      </c>
      <c r="R172" s="26" t="s">
        <v>26</v>
      </c>
      <c r="S172" s="26" t="s">
        <v>24</v>
      </c>
      <c r="T172" s="27" t="s">
        <v>822</v>
      </c>
      <c r="U172" s="28" t="s">
        <v>25</v>
      </c>
      <c r="V172" s="29" t="str">
        <f t="shared" si="11"/>
        <v>✓ OK</v>
      </c>
      <c r="W172" s="45">
        <v>46248</v>
      </c>
      <c r="X172" s="30" t="s">
        <v>23</v>
      </c>
      <c r="Y172" s="30" t="s">
        <v>24</v>
      </c>
      <c r="Z172" s="30" t="s">
        <v>25</v>
      </c>
      <c r="AA172" s="30" t="s">
        <v>26</v>
      </c>
      <c r="AB172" s="30" t="s">
        <v>24</v>
      </c>
      <c r="AC172" s="27" t="s">
        <v>822</v>
      </c>
      <c r="AD172" s="31" t="s">
        <v>25</v>
      </c>
      <c r="AE172" s="32" t="str">
        <f t="shared" si="12"/>
        <v>✓ OK</v>
      </c>
      <c r="AF172" s="33" t="s">
        <v>27</v>
      </c>
      <c r="AG172" s="33" t="s">
        <v>23</v>
      </c>
      <c r="AH172" s="33" t="s">
        <v>24</v>
      </c>
      <c r="AI172" s="33" t="s">
        <v>25</v>
      </c>
      <c r="AJ172" s="33" t="s">
        <v>26</v>
      </c>
      <c r="AK172" s="33" t="s">
        <v>24</v>
      </c>
      <c r="AL172" s="27" t="s">
        <v>822</v>
      </c>
      <c r="AM172" s="34" t="s">
        <v>25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8" customHeight="1" x14ac:dyDescent="0.3">
      <c r="A173" s="23">
        <v>177</v>
      </c>
      <c r="B173" s="24" t="s">
        <v>984</v>
      </c>
      <c r="C173" s="25" t="s">
        <v>985</v>
      </c>
      <c r="D173" s="23" t="s">
        <v>767</v>
      </c>
      <c r="E173" s="43">
        <v>46125</v>
      </c>
      <c r="F173" s="26" t="s">
        <v>23</v>
      </c>
      <c r="G173" s="26" t="s">
        <v>24</v>
      </c>
      <c r="H173" s="26" t="s">
        <v>25</v>
      </c>
      <c r="I173" s="26" t="s">
        <v>26</v>
      </c>
      <c r="J173" s="26" t="s">
        <v>24</v>
      </c>
      <c r="K173" s="27"/>
      <c r="L173" s="28" t="s">
        <v>25</v>
      </c>
      <c r="M173" s="29" t="str">
        <f t="shared" si="10"/>
        <v>✓ OK</v>
      </c>
      <c r="N173" s="43">
        <v>46193</v>
      </c>
      <c r="O173" s="26" t="s">
        <v>23</v>
      </c>
      <c r="P173" s="26" t="s">
        <v>24</v>
      </c>
      <c r="Q173" s="26" t="s">
        <v>25</v>
      </c>
      <c r="R173" s="26" t="s">
        <v>26</v>
      </c>
      <c r="S173" s="26" t="s">
        <v>24</v>
      </c>
      <c r="T173" s="27"/>
      <c r="U173" s="28" t="s">
        <v>25</v>
      </c>
      <c r="V173" s="29" t="str">
        <f t="shared" si="11"/>
        <v>✓ OK</v>
      </c>
      <c r="W173" s="45">
        <v>46248</v>
      </c>
      <c r="X173" s="30" t="s">
        <v>23</v>
      </c>
      <c r="Y173" s="30" t="s">
        <v>25</v>
      </c>
      <c r="Z173" s="30" t="s">
        <v>24</v>
      </c>
      <c r="AA173" s="30" t="s">
        <v>135</v>
      </c>
      <c r="AB173" s="30" t="s">
        <v>25</v>
      </c>
      <c r="AC173" s="27"/>
      <c r="AD173" s="31" t="s">
        <v>25</v>
      </c>
      <c r="AE173" s="32" t="str">
        <f t="shared" si="12"/>
        <v>❌ Disc</v>
      </c>
      <c r="AF173" s="33" t="s">
        <v>27</v>
      </c>
      <c r="AG173" s="33" t="s">
        <v>23</v>
      </c>
      <c r="AH173" s="33" t="s">
        <v>25</v>
      </c>
      <c r="AI173" s="33" t="s">
        <v>24</v>
      </c>
      <c r="AJ173" s="33" t="s">
        <v>135</v>
      </c>
      <c r="AK173" s="33" t="s">
        <v>25</v>
      </c>
      <c r="AL173" s="27"/>
      <c r="AM173" s="34" t="s">
        <v>25</v>
      </c>
      <c r="AN173" s="35" t="str">
        <f t="shared" si="13"/>
        <v>❌ Disc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8" customHeight="1" x14ac:dyDescent="0.3">
      <c r="A174" s="39">
        <v>178</v>
      </c>
      <c r="B174" s="40" t="s">
        <v>986</v>
      </c>
      <c r="C174" s="41" t="s">
        <v>987</v>
      </c>
      <c r="D174" s="39" t="s">
        <v>767</v>
      </c>
      <c r="E174" s="43">
        <v>46125</v>
      </c>
      <c r="F174" s="26" t="s">
        <v>23</v>
      </c>
      <c r="G174" s="26" t="s">
        <v>24</v>
      </c>
      <c r="H174" s="26" t="s">
        <v>25</v>
      </c>
      <c r="I174" s="26" t="s">
        <v>26</v>
      </c>
      <c r="J174" s="26" t="s">
        <v>24</v>
      </c>
      <c r="K174" s="27" t="s">
        <v>822</v>
      </c>
      <c r="L174" s="28" t="s">
        <v>25</v>
      </c>
      <c r="M174" s="29" t="str">
        <f t="shared" si="10"/>
        <v>✓ OK</v>
      </c>
      <c r="N174" s="43">
        <v>46193</v>
      </c>
      <c r="O174" s="26" t="s">
        <v>23</v>
      </c>
      <c r="P174" s="26" t="s">
        <v>24</v>
      </c>
      <c r="Q174" s="26" t="s">
        <v>25</v>
      </c>
      <c r="R174" s="26" t="s">
        <v>26</v>
      </c>
      <c r="S174" s="26" t="s">
        <v>24</v>
      </c>
      <c r="T174" s="27" t="s">
        <v>822</v>
      </c>
      <c r="U174" s="28" t="s">
        <v>25</v>
      </c>
      <c r="V174" s="29" t="str">
        <f t="shared" si="11"/>
        <v>✓ OK</v>
      </c>
      <c r="W174" s="45">
        <v>46248</v>
      </c>
      <c r="X174" s="30" t="s">
        <v>23</v>
      </c>
      <c r="Y174" s="30" t="s">
        <v>24</v>
      </c>
      <c r="Z174" s="30" t="s">
        <v>25</v>
      </c>
      <c r="AA174" s="30" t="s">
        <v>26</v>
      </c>
      <c r="AB174" s="30" t="s">
        <v>24</v>
      </c>
      <c r="AC174" s="27" t="s">
        <v>822</v>
      </c>
      <c r="AD174" s="31" t="s">
        <v>25</v>
      </c>
      <c r="AE174" s="32" t="str">
        <f t="shared" si="12"/>
        <v>✓ OK</v>
      </c>
      <c r="AF174" s="33" t="s">
        <v>27</v>
      </c>
      <c r="AG174" s="33" t="s">
        <v>23</v>
      </c>
      <c r="AH174" s="33" t="s">
        <v>24</v>
      </c>
      <c r="AI174" s="33" t="s">
        <v>25</v>
      </c>
      <c r="AJ174" s="33" t="s">
        <v>26</v>
      </c>
      <c r="AK174" s="33" t="s">
        <v>24</v>
      </c>
      <c r="AL174" s="27" t="s">
        <v>822</v>
      </c>
      <c r="AM174" s="34" t="s">
        <v>25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8" customHeight="1" x14ac:dyDescent="0.3">
      <c r="A175" s="23">
        <v>179</v>
      </c>
      <c r="B175" s="24" t="s">
        <v>988</v>
      </c>
      <c r="C175" s="25" t="s">
        <v>989</v>
      </c>
      <c r="D175" s="23" t="s">
        <v>767</v>
      </c>
      <c r="E175" s="43">
        <v>46125</v>
      </c>
      <c r="F175" s="26" t="s">
        <v>23</v>
      </c>
      <c r="G175" s="26" t="s">
        <v>24</v>
      </c>
      <c r="H175" s="26" t="s">
        <v>25</v>
      </c>
      <c r="I175" s="26" t="s">
        <v>26</v>
      </c>
      <c r="J175" s="26" t="s">
        <v>24</v>
      </c>
      <c r="K175" s="27"/>
      <c r="L175" s="28" t="s">
        <v>25</v>
      </c>
      <c r="M175" s="29" t="str">
        <f t="shared" si="10"/>
        <v>✓ OK</v>
      </c>
      <c r="N175" s="43">
        <v>46193</v>
      </c>
      <c r="O175" s="26" t="s">
        <v>23</v>
      </c>
      <c r="P175" s="26" t="s">
        <v>24</v>
      </c>
      <c r="Q175" s="26" t="s">
        <v>25</v>
      </c>
      <c r="R175" s="26" t="s">
        <v>26</v>
      </c>
      <c r="S175" s="26" t="s">
        <v>24</v>
      </c>
      <c r="T175" s="27"/>
      <c r="U175" s="28" t="s">
        <v>25</v>
      </c>
      <c r="V175" s="29" t="str">
        <f t="shared" si="11"/>
        <v>✓ OK</v>
      </c>
      <c r="W175" s="45">
        <v>46248</v>
      </c>
      <c r="X175" s="30" t="s">
        <v>23</v>
      </c>
      <c r="Y175" s="30" t="s">
        <v>25</v>
      </c>
      <c r="Z175" s="30" t="s">
        <v>24</v>
      </c>
      <c r="AA175" s="30" t="s">
        <v>135</v>
      </c>
      <c r="AB175" s="30" t="s">
        <v>25</v>
      </c>
      <c r="AC175" s="27"/>
      <c r="AD175" s="31" t="s">
        <v>25</v>
      </c>
      <c r="AE175" s="32" t="str">
        <f t="shared" si="12"/>
        <v>❌ Disc</v>
      </c>
      <c r="AF175" s="33" t="s">
        <v>27</v>
      </c>
      <c r="AG175" s="33" t="s">
        <v>23</v>
      </c>
      <c r="AH175" s="33" t="s">
        <v>25</v>
      </c>
      <c r="AI175" s="33" t="s">
        <v>24</v>
      </c>
      <c r="AJ175" s="33" t="s">
        <v>135</v>
      </c>
      <c r="AK175" s="33" t="s">
        <v>25</v>
      </c>
      <c r="AL175" s="27"/>
      <c r="AM175" s="34" t="s">
        <v>25</v>
      </c>
      <c r="AN175" s="35" t="str">
        <f t="shared" si="13"/>
        <v>❌ Disc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8" customHeight="1" x14ac:dyDescent="0.3">
      <c r="A176" s="39">
        <v>180</v>
      </c>
      <c r="B176" s="40" t="s">
        <v>990</v>
      </c>
      <c r="C176" s="41" t="s">
        <v>991</v>
      </c>
      <c r="D176" s="39" t="s">
        <v>767</v>
      </c>
      <c r="E176" s="43">
        <v>46125</v>
      </c>
      <c r="F176" s="26" t="s">
        <v>23</v>
      </c>
      <c r="G176" s="26" t="s">
        <v>24</v>
      </c>
      <c r="H176" s="26" t="s">
        <v>25</v>
      </c>
      <c r="I176" s="26" t="s">
        <v>26</v>
      </c>
      <c r="J176" s="26" t="s">
        <v>24</v>
      </c>
      <c r="K176" s="27" t="s">
        <v>822</v>
      </c>
      <c r="L176" s="28" t="s">
        <v>25</v>
      </c>
      <c r="M176" s="29" t="str">
        <f t="shared" si="10"/>
        <v>✓ OK</v>
      </c>
      <c r="N176" s="43">
        <v>46193</v>
      </c>
      <c r="O176" s="26" t="s">
        <v>23</v>
      </c>
      <c r="P176" s="26" t="s">
        <v>25</v>
      </c>
      <c r="Q176" s="26" t="s">
        <v>24</v>
      </c>
      <c r="R176" s="26" t="s">
        <v>135</v>
      </c>
      <c r="S176" s="26" t="s">
        <v>25</v>
      </c>
      <c r="T176" s="27"/>
      <c r="U176" s="28" t="s">
        <v>25</v>
      </c>
      <c r="V176" s="29" t="str">
        <f t="shared" si="11"/>
        <v>❌ Disc</v>
      </c>
      <c r="W176" s="45">
        <v>46248</v>
      </c>
      <c r="X176" s="30" t="s">
        <v>23</v>
      </c>
      <c r="Y176" s="30" t="s">
        <v>25</v>
      </c>
      <c r="Z176" s="30" t="s">
        <v>24</v>
      </c>
      <c r="AA176" s="30" t="s">
        <v>135</v>
      </c>
      <c r="AB176" s="30" t="s">
        <v>25</v>
      </c>
      <c r="AC176" s="27"/>
      <c r="AD176" s="31" t="s">
        <v>25</v>
      </c>
      <c r="AE176" s="32" t="str">
        <f t="shared" si="12"/>
        <v>❌ Disc</v>
      </c>
      <c r="AF176" s="33" t="s">
        <v>27</v>
      </c>
      <c r="AG176" s="33" t="s">
        <v>23</v>
      </c>
      <c r="AH176" s="33" t="s">
        <v>25</v>
      </c>
      <c r="AI176" s="33" t="s">
        <v>24</v>
      </c>
      <c r="AJ176" s="33" t="s">
        <v>135</v>
      </c>
      <c r="AK176" s="33" t="s">
        <v>25</v>
      </c>
      <c r="AL176" s="27"/>
      <c r="AM176" s="34" t="s">
        <v>25</v>
      </c>
      <c r="AN176" s="35" t="str">
        <f t="shared" si="13"/>
        <v>❌ Disc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8" customHeight="1" x14ac:dyDescent="0.3">
      <c r="A177" s="23">
        <v>181</v>
      </c>
      <c r="B177" s="24" t="s">
        <v>992</v>
      </c>
      <c r="C177" s="25" t="s">
        <v>993</v>
      </c>
      <c r="D177" s="23" t="s">
        <v>767</v>
      </c>
      <c r="E177" s="43">
        <v>46125</v>
      </c>
      <c r="F177" s="26" t="s">
        <v>23</v>
      </c>
      <c r="G177" s="26" t="s">
        <v>24</v>
      </c>
      <c r="H177" s="26" t="s">
        <v>25</v>
      </c>
      <c r="I177" s="26" t="s">
        <v>26</v>
      </c>
      <c r="J177" s="26" t="s">
        <v>24</v>
      </c>
      <c r="K177" s="27"/>
      <c r="L177" s="28" t="s">
        <v>25</v>
      </c>
      <c r="M177" s="29" t="str">
        <f t="shared" si="10"/>
        <v>✓ OK</v>
      </c>
      <c r="N177" s="43">
        <v>46193</v>
      </c>
      <c r="O177" s="26" t="s">
        <v>23</v>
      </c>
      <c r="P177" s="26" t="s">
        <v>25</v>
      </c>
      <c r="Q177" s="26" t="s">
        <v>24</v>
      </c>
      <c r="R177" s="26" t="s">
        <v>135</v>
      </c>
      <c r="S177" s="26" t="s">
        <v>25</v>
      </c>
      <c r="T177" s="27"/>
      <c r="U177" s="28" t="s">
        <v>25</v>
      </c>
      <c r="V177" s="29" t="str">
        <f t="shared" si="11"/>
        <v>❌ Disc</v>
      </c>
      <c r="W177" s="45">
        <v>46248</v>
      </c>
      <c r="X177" s="30" t="s">
        <v>23</v>
      </c>
      <c r="Y177" s="30" t="s">
        <v>25</v>
      </c>
      <c r="Z177" s="30" t="s">
        <v>24</v>
      </c>
      <c r="AA177" s="30" t="s">
        <v>135</v>
      </c>
      <c r="AB177" s="30" t="s">
        <v>25</v>
      </c>
      <c r="AC177" s="27"/>
      <c r="AD177" s="31" t="s">
        <v>25</v>
      </c>
      <c r="AE177" s="32" t="str">
        <f t="shared" si="12"/>
        <v>❌ Disc</v>
      </c>
      <c r="AF177" s="33" t="s">
        <v>27</v>
      </c>
      <c r="AG177" s="33" t="s">
        <v>23</v>
      </c>
      <c r="AH177" s="33" t="s">
        <v>25</v>
      </c>
      <c r="AI177" s="33" t="s">
        <v>24</v>
      </c>
      <c r="AJ177" s="33" t="s">
        <v>135</v>
      </c>
      <c r="AK177" s="33" t="s">
        <v>25</v>
      </c>
      <c r="AL177" s="27"/>
      <c r="AM177" s="34" t="s">
        <v>25</v>
      </c>
      <c r="AN177" s="35" t="str">
        <f t="shared" si="13"/>
        <v>❌ Disc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8" customHeight="1" x14ac:dyDescent="0.3">
      <c r="A178" s="39">
        <v>182</v>
      </c>
      <c r="B178" s="40" t="s">
        <v>994</v>
      </c>
      <c r="C178" s="41" t="s">
        <v>995</v>
      </c>
      <c r="D178" s="39" t="s">
        <v>767</v>
      </c>
      <c r="E178" s="43">
        <v>46125</v>
      </c>
      <c r="F178" s="26" t="s">
        <v>23</v>
      </c>
      <c r="G178" s="26" t="s">
        <v>24</v>
      </c>
      <c r="H178" s="26" t="s">
        <v>25</v>
      </c>
      <c r="I178" s="26" t="s">
        <v>26</v>
      </c>
      <c r="J178" s="26" t="s">
        <v>24</v>
      </c>
      <c r="K178" s="27"/>
      <c r="L178" s="28" t="s">
        <v>25</v>
      </c>
      <c r="M178" s="29" t="str">
        <f t="shared" si="10"/>
        <v>✓ OK</v>
      </c>
      <c r="N178" s="43">
        <v>46193</v>
      </c>
      <c r="O178" s="26" t="s">
        <v>23</v>
      </c>
      <c r="P178" s="26" t="s">
        <v>24</v>
      </c>
      <c r="Q178" s="26" t="s">
        <v>25</v>
      </c>
      <c r="R178" s="26" t="s">
        <v>26</v>
      </c>
      <c r="S178" s="26" t="s">
        <v>24</v>
      </c>
      <c r="T178" s="27"/>
      <c r="U178" s="28" t="s">
        <v>25</v>
      </c>
      <c r="V178" s="29" t="str">
        <f t="shared" si="11"/>
        <v>✓ OK</v>
      </c>
      <c r="W178" s="45">
        <v>46248</v>
      </c>
      <c r="X178" s="30" t="s">
        <v>23</v>
      </c>
      <c r="Y178" s="30" t="s">
        <v>24</v>
      </c>
      <c r="Z178" s="30" t="s">
        <v>25</v>
      </c>
      <c r="AA178" s="30" t="s">
        <v>26</v>
      </c>
      <c r="AB178" s="30" t="s">
        <v>24</v>
      </c>
      <c r="AC178" s="27"/>
      <c r="AD178" s="31" t="s">
        <v>25</v>
      </c>
      <c r="AE178" s="32" t="str">
        <f t="shared" si="12"/>
        <v>✓ OK</v>
      </c>
      <c r="AF178" s="33" t="s">
        <v>27</v>
      </c>
      <c r="AG178" s="33" t="s">
        <v>23</v>
      </c>
      <c r="AH178" s="33" t="s">
        <v>24</v>
      </c>
      <c r="AI178" s="33" t="s">
        <v>25</v>
      </c>
      <c r="AJ178" s="33" t="s">
        <v>26</v>
      </c>
      <c r="AK178" s="33" t="s">
        <v>24</v>
      </c>
      <c r="AL178" s="27"/>
      <c r="AM178" s="34" t="s">
        <v>25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8" customHeight="1" x14ac:dyDescent="0.3">
      <c r="A179" s="23">
        <v>183</v>
      </c>
      <c r="B179" s="24" t="s">
        <v>996</v>
      </c>
      <c r="C179" s="25" t="s">
        <v>997</v>
      </c>
      <c r="D179" s="23" t="s">
        <v>767</v>
      </c>
      <c r="E179" s="43">
        <v>46125</v>
      </c>
      <c r="F179" s="26" t="s">
        <v>23</v>
      </c>
      <c r="G179" s="26" t="s">
        <v>24</v>
      </c>
      <c r="H179" s="26" t="s">
        <v>25</v>
      </c>
      <c r="I179" s="26" t="s">
        <v>731</v>
      </c>
      <c r="J179" s="26" t="s">
        <v>25</v>
      </c>
      <c r="K179" s="27" t="s">
        <v>740</v>
      </c>
      <c r="L179" s="28" t="s">
        <v>24</v>
      </c>
      <c r="M179" s="29" t="str">
        <f t="shared" si="10"/>
        <v>⚠ Check</v>
      </c>
      <c r="N179" s="43">
        <v>46193</v>
      </c>
      <c r="O179" s="26" t="s">
        <v>23</v>
      </c>
      <c r="P179" s="26" t="s">
        <v>24</v>
      </c>
      <c r="Q179" s="26" t="s">
        <v>25</v>
      </c>
      <c r="R179" s="26" t="s">
        <v>731</v>
      </c>
      <c r="S179" s="26" t="s">
        <v>25</v>
      </c>
      <c r="T179" s="27" t="s">
        <v>740</v>
      </c>
      <c r="U179" s="28" t="s">
        <v>24</v>
      </c>
      <c r="V179" s="29" t="str">
        <f t="shared" si="11"/>
        <v>⚠ Check</v>
      </c>
      <c r="W179" s="45">
        <v>46248</v>
      </c>
      <c r="X179" s="30" t="s">
        <v>23</v>
      </c>
      <c r="Y179" s="30" t="s">
        <v>24</v>
      </c>
      <c r="Z179" s="30" t="s">
        <v>25</v>
      </c>
      <c r="AA179" s="30" t="s">
        <v>26</v>
      </c>
      <c r="AB179" s="30" t="s">
        <v>24</v>
      </c>
      <c r="AC179" s="27"/>
      <c r="AD179" s="31" t="s">
        <v>24</v>
      </c>
      <c r="AE179" s="32" t="str">
        <f t="shared" si="12"/>
        <v>✓ OK</v>
      </c>
      <c r="AF179" s="33" t="s">
        <v>27</v>
      </c>
      <c r="AG179" s="33" t="s">
        <v>23</v>
      </c>
      <c r="AH179" s="33" t="s">
        <v>24</v>
      </c>
      <c r="AI179" s="33" t="s">
        <v>25</v>
      </c>
      <c r="AJ179" s="33" t="s">
        <v>26</v>
      </c>
      <c r="AK179" s="33" t="s">
        <v>24</v>
      </c>
      <c r="AL179" s="27"/>
      <c r="AM179" s="34" t="s">
        <v>25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8" customHeight="1" x14ac:dyDescent="0.3">
      <c r="A180" s="39">
        <v>184</v>
      </c>
      <c r="B180" s="40" t="s">
        <v>998</v>
      </c>
      <c r="C180" s="41" t="s">
        <v>999</v>
      </c>
      <c r="D180" s="39" t="s">
        <v>767</v>
      </c>
      <c r="E180" s="43">
        <v>46125</v>
      </c>
      <c r="F180" s="26" t="s">
        <v>23</v>
      </c>
      <c r="G180" s="26" t="s">
        <v>24</v>
      </c>
      <c r="H180" s="26" t="s">
        <v>25</v>
      </c>
      <c r="I180" s="26" t="s">
        <v>26</v>
      </c>
      <c r="J180" s="26" t="s">
        <v>24</v>
      </c>
      <c r="K180" s="27"/>
      <c r="L180" s="28" t="s">
        <v>25</v>
      </c>
      <c r="M180" s="29" t="str">
        <f t="shared" si="10"/>
        <v>✓ OK</v>
      </c>
      <c r="N180" s="43">
        <v>46193</v>
      </c>
      <c r="O180" s="26" t="s">
        <v>23</v>
      </c>
      <c r="P180" s="26" t="s">
        <v>24</v>
      </c>
      <c r="Q180" s="26" t="s">
        <v>25</v>
      </c>
      <c r="R180" s="26" t="s">
        <v>26</v>
      </c>
      <c r="S180" s="26" t="s">
        <v>24</v>
      </c>
      <c r="T180" s="27"/>
      <c r="U180" s="28" t="s">
        <v>25</v>
      </c>
      <c r="V180" s="29" t="str">
        <f t="shared" si="11"/>
        <v>✓ OK</v>
      </c>
      <c r="W180" s="45">
        <v>46248</v>
      </c>
      <c r="X180" s="30" t="s">
        <v>23</v>
      </c>
      <c r="Y180" s="30" t="s">
        <v>24</v>
      </c>
      <c r="Z180" s="30" t="s">
        <v>25</v>
      </c>
      <c r="AA180" s="30" t="s">
        <v>26</v>
      </c>
      <c r="AB180" s="30" t="s">
        <v>24</v>
      </c>
      <c r="AC180" s="27"/>
      <c r="AD180" s="31" t="s">
        <v>25</v>
      </c>
      <c r="AE180" s="32" t="str">
        <f t="shared" si="12"/>
        <v>✓ OK</v>
      </c>
      <c r="AF180" s="33" t="s">
        <v>27</v>
      </c>
      <c r="AG180" s="33" t="s">
        <v>23</v>
      </c>
      <c r="AH180" s="33" t="s">
        <v>24</v>
      </c>
      <c r="AI180" s="33" t="s">
        <v>25</v>
      </c>
      <c r="AJ180" s="33" t="s">
        <v>26</v>
      </c>
      <c r="AK180" s="33" t="s">
        <v>24</v>
      </c>
      <c r="AL180" s="27"/>
      <c r="AM180" s="34" t="s">
        <v>25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8" customHeight="1" x14ac:dyDescent="0.3">
      <c r="A181" s="23">
        <v>185</v>
      </c>
      <c r="B181" s="24" t="s">
        <v>1000</v>
      </c>
      <c r="C181" s="25" t="s">
        <v>1001</v>
      </c>
      <c r="D181" s="23" t="s">
        <v>767</v>
      </c>
      <c r="E181" s="43">
        <v>46125</v>
      </c>
      <c r="F181" s="26" t="s">
        <v>23</v>
      </c>
      <c r="G181" s="26" t="s">
        <v>24</v>
      </c>
      <c r="H181" s="26" t="s">
        <v>25</v>
      </c>
      <c r="I181" s="26" t="s">
        <v>26</v>
      </c>
      <c r="J181" s="26" t="s">
        <v>24</v>
      </c>
      <c r="K181" s="27"/>
      <c r="L181" s="28" t="s">
        <v>25</v>
      </c>
      <c r="M181" s="29" t="str">
        <f t="shared" si="10"/>
        <v>✓ OK</v>
      </c>
      <c r="N181" s="43">
        <v>46193</v>
      </c>
      <c r="O181" s="26" t="s">
        <v>23</v>
      </c>
      <c r="P181" s="26" t="s">
        <v>24</v>
      </c>
      <c r="Q181" s="26" t="s">
        <v>25</v>
      </c>
      <c r="R181" s="26" t="s">
        <v>26</v>
      </c>
      <c r="S181" s="26" t="s">
        <v>24</v>
      </c>
      <c r="T181" s="27"/>
      <c r="U181" s="28" t="s">
        <v>25</v>
      </c>
      <c r="V181" s="29" t="str">
        <f t="shared" si="11"/>
        <v>✓ OK</v>
      </c>
      <c r="W181" s="45">
        <v>46248</v>
      </c>
      <c r="X181" s="30" t="s">
        <v>23</v>
      </c>
      <c r="Y181" s="30" t="s">
        <v>24</v>
      </c>
      <c r="Z181" s="30" t="s">
        <v>25</v>
      </c>
      <c r="AA181" s="30" t="s">
        <v>26</v>
      </c>
      <c r="AB181" s="30" t="s">
        <v>24</v>
      </c>
      <c r="AC181" s="27"/>
      <c r="AD181" s="31" t="s">
        <v>25</v>
      </c>
      <c r="AE181" s="32" t="str">
        <f t="shared" si="12"/>
        <v>✓ OK</v>
      </c>
      <c r="AF181" s="33" t="s">
        <v>27</v>
      </c>
      <c r="AG181" s="33" t="s">
        <v>23</v>
      </c>
      <c r="AH181" s="33" t="s">
        <v>24</v>
      </c>
      <c r="AI181" s="33" t="s">
        <v>25</v>
      </c>
      <c r="AJ181" s="33" t="s">
        <v>26</v>
      </c>
      <c r="AK181" s="33" t="s">
        <v>24</v>
      </c>
      <c r="AL181" s="27"/>
      <c r="AM181" s="34" t="s">
        <v>25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8" customHeight="1" x14ac:dyDescent="0.3">
      <c r="A182" s="39">
        <v>186</v>
      </c>
      <c r="B182" s="40" t="s">
        <v>1002</v>
      </c>
      <c r="C182" s="41" t="s">
        <v>1003</v>
      </c>
      <c r="D182" s="39" t="s">
        <v>767</v>
      </c>
      <c r="E182" s="43">
        <v>46125</v>
      </c>
      <c r="F182" s="26" t="s">
        <v>23</v>
      </c>
      <c r="G182" s="26" t="s">
        <v>24</v>
      </c>
      <c r="H182" s="26" t="s">
        <v>25</v>
      </c>
      <c r="I182" s="26" t="s">
        <v>26</v>
      </c>
      <c r="J182" s="26" t="s">
        <v>24</v>
      </c>
      <c r="K182" s="27"/>
      <c r="L182" s="28" t="s">
        <v>25</v>
      </c>
      <c r="M182" s="29" t="str">
        <f t="shared" si="10"/>
        <v>✓ OK</v>
      </c>
      <c r="N182" s="43">
        <v>46193</v>
      </c>
      <c r="O182" s="26" t="s">
        <v>23</v>
      </c>
      <c r="P182" s="26" t="s">
        <v>24</v>
      </c>
      <c r="Q182" s="26" t="s">
        <v>25</v>
      </c>
      <c r="R182" s="26" t="s">
        <v>26</v>
      </c>
      <c r="S182" s="26" t="s">
        <v>24</v>
      </c>
      <c r="T182" s="27"/>
      <c r="U182" s="28" t="s">
        <v>25</v>
      </c>
      <c r="V182" s="29" t="str">
        <f t="shared" si="11"/>
        <v>✓ OK</v>
      </c>
      <c r="W182" s="45">
        <v>46248</v>
      </c>
      <c r="X182" s="30" t="s">
        <v>23</v>
      </c>
      <c r="Y182" s="30" t="s">
        <v>24</v>
      </c>
      <c r="Z182" s="30" t="s">
        <v>25</v>
      </c>
      <c r="AA182" s="30" t="s">
        <v>26</v>
      </c>
      <c r="AB182" s="30" t="s">
        <v>24</v>
      </c>
      <c r="AC182" s="27"/>
      <c r="AD182" s="31" t="s">
        <v>25</v>
      </c>
      <c r="AE182" s="32" t="str">
        <f t="shared" si="12"/>
        <v>✓ OK</v>
      </c>
      <c r="AF182" s="33" t="s">
        <v>27</v>
      </c>
      <c r="AG182" s="33" t="s">
        <v>23</v>
      </c>
      <c r="AH182" s="33" t="s">
        <v>24</v>
      </c>
      <c r="AI182" s="33" t="s">
        <v>25</v>
      </c>
      <c r="AJ182" s="33" t="s">
        <v>26</v>
      </c>
      <c r="AK182" s="33" t="s">
        <v>24</v>
      </c>
      <c r="AL182" s="27"/>
      <c r="AM182" s="34" t="s">
        <v>25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8" customHeight="1" x14ac:dyDescent="0.3">
      <c r="A183" s="23">
        <v>187</v>
      </c>
      <c r="B183" s="24" t="s">
        <v>1004</v>
      </c>
      <c r="C183" s="25" t="s">
        <v>1005</v>
      </c>
      <c r="D183" s="23" t="s">
        <v>767</v>
      </c>
      <c r="E183" s="43">
        <v>46125</v>
      </c>
      <c r="F183" s="26" t="s">
        <v>23</v>
      </c>
      <c r="G183" s="26" t="s">
        <v>24</v>
      </c>
      <c r="H183" s="26" t="s">
        <v>25</v>
      </c>
      <c r="I183" s="26" t="s">
        <v>26</v>
      </c>
      <c r="J183" s="26" t="s">
        <v>24</v>
      </c>
      <c r="K183" s="27" t="s">
        <v>822</v>
      </c>
      <c r="L183" s="28" t="s">
        <v>25</v>
      </c>
      <c r="M183" s="29" t="str">
        <f t="shared" si="10"/>
        <v>✓ OK</v>
      </c>
      <c r="N183" s="43">
        <v>46193</v>
      </c>
      <c r="O183" s="26" t="s">
        <v>23</v>
      </c>
      <c r="P183" s="26" t="s">
        <v>24</v>
      </c>
      <c r="Q183" s="26" t="s">
        <v>25</v>
      </c>
      <c r="R183" s="26" t="s">
        <v>26</v>
      </c>
      <c r="S183" s="26" t="s">
        <v>24</v>
      </c>
      <c r="T183" s="27" t="s">
        <v>822</v>
      </c>
      <c r="U183" s="28" t="s">
        <v>25</v>
      </c>
      <c r="V183" s="29" t="str">
        <f t="shared" si="11"/>
        <v>✓ OK</v>
      </c>
      <c r="W183" s="45">
        <v>46248</v>
      </c>
      <c r="X183" s="30" t="s">
        <v>23</v>
      </c>
      <c r="Y183" s="30" t="s">
        <v>24</v>
      </c>
      <c r="Z183" s="30" t="s">
        <v>25</v>
      </c>
      <c r="AA183" s="30" t="s">
        <v>26</v>
      </c>
      <c r="AB183" s="30" t="s">
        <v>24</v>
      </c>
      <c r="AC183" s="27" t="s">
        <v>822</v>
      </c>
      <c r="AD183" s="31" t="s">
        <v>25</v>
      </c>
      <c r="AE183" s="32" t="str">
        <f t="shared" si="12"/>
        <v>✓ OK</v>
      </c>
      <c r="AF183" s="33" t="s">
        <v>27</v>
      </c>
      <c r="AG183" s="33" t="s">
        <v>23</v>
      </c>
      <c r="AH183" s="33" t="s">
        <v>24</v>
      </c>
      <c r="AI183" s="33" t="s">
        <v>25</v>
      </c>
      <c r="AJ183" s="33" t="s">
        <v>26</v>
      </c>
      <c r="AK183" s="33" t="s">
        <v>24</v>
      </c>
      <c r="AL183" s="27" t="s">
        <v>822</v>
      </c>
      <c r="AM183" s="34" t="s">
        <v>25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8" customHeight="1" x14ac:dyDescent="0.3">
      <c r="A184" s="39">
        <v>188</v>
      </c>
      <c r="B184" s="40" t="s">
        <v>1006</v>
      </c>
      <c r="C184" s="41" t="s">
        <v>1007</v>
      </c>
      <c r="D184" s="39" t="s">
        <v>767</v>
      </c>
      <c r="E184" s="43">
        <v>46125</v>
      </c>
      <c r="F184" s="26" t="s">
        <v>23</v>
      </c>
      <c r="G184" s="26" t="s">
        <v>24</v>
      </c>
      <c r="H184" s="26" t="s">
        <v>25</v>
      </c>
      <c r="I184" s="26" t="s">
        <v>731</v>
      </c>
      <c r="J184" s="26" t="s">
        <v>25</v>
      </c>
      <c r="K184" s="27" t="s">
        <v>732</v>
      </c>
      <c r="L184" s="28" t="s">
        <v>24</v>
      </c>
      <c r="M184" s="29" t="str">
        <f t="shared" si="10"/>
        <v>⚠ Check</v>
      </c>
      <c r="N184" s="43">
        <v>46193</v>
      </c>
      <c r="O184" s="26" t="s">
        <v>23</v>
      </c>
      <c r="P184" s="26" t="s">
        <v>24</v>
      </c>
      <c r="Q184" s="26" t="s">
        <v>25</v>
      </c>
      <c r="R184" s="26" t="s">
        <v>731</v>
      </c>
      <c r="S184" s="26" t="s">
        <v>25</v>
      </c>
      <c r="T184" s="27" t="s">
        <v>732</v>
      </c>
      <c r="U184" s="28" t="s">
        <v>24</v>
      </c>
      <c r="V184" s="29" t="str">
        <f t="shared" si="11"/>
        <v>⚠ Check</v>
      </c>
      <c r="W184" s="45">
        <v>46248</v>
      </c>
      <c r="X184" s="30" t="s">
        <v>23</v>
      </c>
      <c r="Y184" s="30" t="s">
        <v>24</v>
      </c>
      <c r="Z184" s="30" t="s">
        <v>25</v>
      </c>
      <c r="AA184" s="30" t="s">
        <v>731</v>
      </c>
      <c r="AB184" s="30" t="s">
        <v>25</v>
      </c>
      <c r="AC184" s="27" t="s">
        <v>732</v>
      </c>
      <c r="AD184" s="31" t="s">
        <v>24</v>
      </c>
      <c r="AE184" s="32" t="str">
        <f t="shared" si="12"/>
        <v>⚠ Check</v>
      </c>
      <c r="AF184" s="33" t="s">
        <v>27</v>
      </c>
      <c r="AG184" s="33" t="s">
        <v>23</v>
      </c>
      <c r="AH184" s="33" t="s">
        <v>24</v>
      </c>
      <c r="AI184" s="33" t="s">
        <v>25</v>
      </c>
      <c r="AJ184" s="33" t="s">
        <v>26</v>
      </c>
      <c r="AK184" s="33" t="s">
        <v>24</v>
      </c>
      <c r="AL184" s="27"/>
      <c r="AM184" s="34" t="s">
        <v>25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8" customHeight="1" x14ac:dyDescent="0.3">
      <c r="A185" s="23">
        <v>189</v>
      </c>
      <c r="B185" s="24" t="s">
        <v>1008</v>
      </c>
      <c r="C185" s="25" t="s">
        <v>1009</v>
      </c>
      <c r="D185" s="23" t="s">
        <v>767</v>
      </c>
      <c r="E185" s="43">
        <v>46125</v>
      </c>
      <c r="F185" s="26" t="s">
        <v>23</v>
      </c>
      <c r="G185" s="26" t="s">
        <v>24</v>
      </c>
      <c r="H185" s="26" t="s">
        <v>25</v>
      </c>
      <c r="I185" s="26" t="s">
        <v>26</v>
      </c>
      <c r="J185" s="26" t="s">
        <v>24</v>
      </c>
      <c r="K185" s="27" t="s">
        <v>822</v>
      </c>
      <c r="L185" s="28" t="s">
        <v>25</v>
      </c>
      <c r="M185" s="29" t="str">
        <f t="shared" si="10"/>
        <v>✓ OK</v>
      </c>
      <c r="N185" s="43">
        <v>46193</v>
      </c>
      <c r="O185" s="26" t="s">
        <v>23</v>
      </c>
      <c r="P185" s="26" t="s">
        <v>24</v>
      </c>
      <c r="Q185" s="26" t="s">
        <v>25</v>
      </c>
      <c r="R185" s="26" t="s">
        <v>26</v>
      </c>
      <c r="S185" s="26" t="s">
        <v>24</v>
      </c>
      <c r="T185" s="27" t="s">
        <v>822</v>
      </c>
      <c r="U185" s="28" t="s">
        <v>25</v>
      </c>
      <c r="V185" s="29" t="str">
        <f t="shared" si="11"/>
        <v>✓ OK</v>
      </c>
      <c r="W185" s="45">
        <v>46248</v>
      </c>
      <c r="X185" s="30" t="s">
        <v>23</v>
      </c>
      <c r="Y185" s="30" t="s">
        <v>24</v>
      </c>
      <c r="Z185" s="30" t="s">
        <v>25</v>
      </c>
      <c r="AA185" s="30" t="s">
        <v>26</v>
      </c>
      <c r="AB185" s="30" t="s">
        <v>24</v>
      </c>
      <c r="AC185" s="27" t="s">
        <v>822</v>
      </c>
      <c r="AD185" s="31" t="s">
        <v>25</v>
      </c>
      <c r="AE185" s="32" t="str">
        <f t="shared" si="12"/>
        <v>✓ OK</v>
      </c>
      <c r="AF185" s="33" t="s">
        <v>27</v>
      </c>
      <c r="AG185" s="33" t="s">
        <v>23</v>
      </c>
      <c r="AH185" s="33" t="s">
        <v>25</v>
      </c>
      <c r="AI185" s="33" t="s">
        <v>24</v>
      </c>
      <c r="AJ185" s="33" t="s">
        <v>135</v>
      </c>
      <c r="AK185" s="33" t="s">
        <v>25</v>
      </c>
      <c r="AL185" s="27"/>
      <c r="AM185" s="34" t="s">
        <v>25</v>
      </c>
      <c r="AN185" s="35" t="str">
        <f t="shared" si="13"/>
        <v>❌ Disc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8" customHeight="1" x14ac:dyDescent="0.3">
      <c r="A186" s="39">
        <v>190</v>
      </c>
      <c r="B186" s="40" t="s">
        <v>1010</v>
      </c>
      <c r="C186" s="41" t="s">
        <v>1011</v>
      </c>
      <c r="D186" s="39" t="s">
        <v>767</v>
      </c>
      <c r="E186" s="43">
        <v>46125</v>
      </c>
      <c r="F186" s="26" t="s">
        <v>23</v>
      </c>
      <c r="G186" s="26" t="s">
        <v>24</v>
      </c>
      <c r="H186" s="26" t="s">
        <v>25</v>
      </c>
      <c r="I186" s="26" t="s">
        <v>26</v>
      </c>
      <c r="J186" s="26" t="s">
        <v>24</v>
      </c>
      <c r="K186" s="27"/>
      <c r="L186" s="28" t="s">
        <v>25</v>
      </c>
      <c r="M186" s="29" t="str">
        <f t="shared" si="10"/>
        <v>✓ OK</v>
      </c>
      <c r="N186" s="43">
        <v>46193</v>
      </c>
      <c r="O186" s="26" t="s">
        <v>23</v>
      </c>
      <c r="P186" s="26" t="s">
        <v>25</v>
      </c>
      <c r="Q186" s="26" t="s">
        <v>24</v>
      </c>
      <c r="R186" s="26" t="s">
        <v>135</v>
      </c>
      <c r="S186" s="26" t="s">
        <v>25</v>
      </c>
      <c r="T186" s="27"/>
      <c r="U186" s="28" t="s">
        <v>25</v>
      </c>
      <c r="V186" s="29" t="str">
        <f t="shared" si="11"/>
        <v>❌ Disc</v>
      </c>
      <c r="W186" s="45">
        <v>46248</v>
      </c>
      <c r="X186" s="30" t="s">
        <v>23</v>
      </c>
      <c r="Y186" s="30" t="s">
        <v>25</v>
      </c>
      <c r="Z186" s="30" t="s">
        <v>24</v>
      </c>
      <c r="AA186" s="30" t="s">
        <v>135</v>
      </c>
      <c r="AB186" s="30" t="s">
        <v>25</v>
      </c>
      <c r="AC186" s="27"/>
      <c r="AD186" s="31" t="s">
        <v>25</v>
      </c>
      <c r="AE186" s="32" t="str">
        <f t="shared" si="12"/>
        <v>❌ Disc</v>
      </c>
      <c r="AF186" s="33" t="s">
        <v>27</v>
      </c>
      <c r="AG186" s="33" t="s">
        <v>23</v>
      </c>
      <c r="AH186" s="33" t="s">
        <v>25</v>
      </c>
      <c r="AI186" s="33" t="s">
        <v>24</v>
      </c>
      <c r="AJ186" s="33" t="s">
        <v>135</v>
      </c>
      <c r="AK186" s="33" t="s">
        <v>25</v>
      </c>
      <c r="AL186" s="27"/>
      <c r="AM186" s="34" t="s">
        <v>25</v>
      </c>
      <c r="AN186" s="35" t="str">
        <f t="shared" si="13"/>
        <v>❌ Disc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8" customHeight="1" x14ac:dyDescent="0.3">
      <c r="A187" s="23">
        <v>191</v>
      </c>
      <c r="B187" s="24" t="s">
        <v>1012</v>
      </c>
      <c r="C187" s="25" t="s">
        <v>1013</v>
      </c>
      <c r="D187" s="23" t="s">
        <v>767</v>
      </c>
      <c r="E187" s="43">
        <v>46125</v>
      </c>
      <c r="F187" s="26" t="s">
        <v>23</v>
      </c>
      <c r="G187" s="26" t="s">
        <v>24</v>
      </c>
      <c r="H187" s="26" t="s">
        <v>25</v>
      </c>
      <c r="I187" s="26" t="s">
        <v>731</v>
      </c>
      <c r="J187" s="26" t="s">
        <v>25</v>
      </c>
      <c r="K187" s="27" t="s">
        <v>732</v>
      </c>
      <c r="L187" s="28" t="s">
        <v>24</v>
      </c>
      <c r="M187" s="29" t="str">
        <f t="shared" si="10"/>
        <v>⚠ Check</v>
      </c>
      <c r="N187" s="43">
        <v>46193</v>
      </c>
      <c r="O187" s="26" t="s">
        <v>23</v>
      </c>
      <c r="P187" s="26" t="s">
        <v>24</v>
      </c>
      <c r="Q187" s="26" t="s">
        <v>25</v>
      </c>
      <c r="R187" s="26" t="s">
        <v>731</v>
      </c>
      <c r="S187" s="26" t="s">
        <v>25</v>
      </c>
      <c r="T187" s="27" t="s">
        <v>732</v>
      </c>
      <c r="U187" s="28" t="s">
        <v>24</v>
      </c>
      <c r="V187" s="29" t="str">
        <f t="shared" si="11"/>
        <v>⚠ Check</v>
      </c>
      <c r="W187" s="45">
        <v>46248</v>
      </c>
      <c r="X187" s="30" t="s">
        <v>23</v>
      </c>
      <c r="Y187" s="30" t="s">
        <v>24</v>
      </c>
      <c r="Z187" s="30" t="s">
        <v>25</v>
      </c>
      <c r="AA187" s="30" t="s">
        <v>731</v>
      </c>
      <c r="AB187" s="30" t="s">
        <v>25</v>
      </c>
      <c r="AC187" s="27" t="s">
        <v>732</v>
      </c>
      <c r="AD187" s="31" t="s">
        <v>24</v>
      </c>
      <c r="AE187" s="32" t="str">
        <f t="shared" si="12"/>
        <v>⚠ Check</v>
      </c>
      <c r="AF187" s="33" t="s">
        <v>27</v>
      </c>
      <c r="AG187" s="33" t="s">
        <v>23</v>
      </c>
      <c r="AH187" s="33" t="s">
        <v>24</v>
      </c>
      <c r="AI187" s="33" t="s">
        <v>25</v>
      </c>
      <c r="AJ187" s="33" t="s">
        <v>26</v>
      </c>
      <c r="AK187" s="33" t="s">
        <v>24</v>
      </c>
      <c r="AL187" s="27"/>
      <c r="AM187" s="34" t="s">
        <v>25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8" customHeight="1" x14ac:dyDescent="0.3">
      <c r="A188" s="39">
        <v>192</v>
      </c>
      <c r="B188" s="40" t="s">
        <v>1014</v>
      </c>
      <c r="C188" s="41" t="s">
        <v>1015</v>
      </c>
      <c r="D188" s="39" t="s">
        <v>767</v>
      </c>
      <c r="E188" s="43">
        <v>46125</v>
      </c>
      <c r="F188" s="26" t="s">
        <v>23</v>
      </c>
      <c r="G188" s="26" t="s">
        <v>24</v>
      </c>
      <c r="H188" s="26" t="s">
        <v>25</v>
      </c>
      <c r="I188" s="26" t="s">
        <v>26</v>
      </c>
      <c r="J188" s="26" t="s">
        <v>24</v>
      </c>
      <c r="K188" s="27" t="s">
        <v>822</v>
      </c>
      <c r="L188" s="28" t="s">
        <v>25</v>
      </c>
      <c r="M188" s="29" t="str">
        <f t="shared" si="10"/>
        <v>✓ OK</v>
      </c>
      <c r="N188" s="43">
        <v>46193</v>
      </c>
      <c r="O188" s="26" t="s">
        <v>23</v>
      </c>
      <c r="P188" s="26" t="s">
        <v>24</v>
      </c>
      <c r="Q188" s="26" t="s">
        <v>25</v>
      </c>
      <c r="R188" s="26" t="s">
        <v>26</v>
      </c>
      <c r="S188" s="26" t="s">
        <v>24</v>
      </c>
      <c r="T188" s="27" t="s">
        <v>822</v>
      </c>
      <c r="U188" s="28" t="s">
        <v>25</v>
      </c>
      <c r="V188" s="29" t="str">
        <f t="shared" si="11"/>
        <v>✓ OK</v>
      </c>
      <c r="W188" s="45">
        <v>46248</v>
      </c>
      <c r="X188" s="30" t="s">
        <v>23</v>
      </c>
      <c r="Y188" s="30" t="s">
        <v>24</v>
      </c>
      <c r="Z188" s="30" t="s">
        <v>25</v>
      </c>
      <c r="AA188" s="30" t="s">
        <v>26</v>
      </c>
      <c r="AB188" s="30" t="s">
        <v>24</v>
      </c>
      <c r="AC188" s="27" t="s">
        <v>822</v>
      </c>
      <c r="AD188" s="31" t="s">
        <v>25</v>
      </c>
      <c r="AE188" s="32" t="str">
        <f t="shared" si="12"/>
        <v>✓ OK</v>
      </c>
      <c r="AF188" s="33" t="s">
        <v>27</v>
      </c>
      <c r="AG188" s="33" t="s">
        <v>23</v>
      </c>
      <c r="AH188" s="33" t="s">
        <v>24</v>
      </c>
      <c r="AI188" s="33" t="s">
        <v>25</v>
      </c>
      <c r="AJ188" s="33" t="s">
        <v>26</v>
      </c>
      <c r="AK188" s="33" t="s">
        <v>24</v>
      </c>
      <c r="AL188" s="27" t="s">
        <v>822</v>
      </c>
      <c r="AM188" s="34" t="s">
        <v>25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8" customHeight="1" x14ac:dyDescent="0.3">
      <c r="A189" s="23">
        <v>193</v>
      </c>
      <c r="B189" s="24" t="s">
        <v>1016</v>
      </c>
      <c r="C189" s="25" t="s">
        <v>1017</v>
      </c>
      <c r="D189" s="23" t="s">
        <v>767</v>
      </c>
      <c r="E189" s="43">
        <v>46125</v>
      </c>
      <c r="F189" s="26" t="s">
        <v>23</v>
      </c>
      <c r="G189" s="26" t="s">
        <v>24</v>
      </c>
      <c r="H189" s="26" t="s">
        <v>25</v>
      </c>
      <c r="I189" s="26" t="s">
        <v>26</v>
      </c>
      <c r="J189" s="26" t="s">
        <v>24</v>
      </c>
      <c r="K189" s="27" t="s">
        <v>822</v>
      </c>
      <c r="L189" s="28" t="s">
        <v>25</v>
      </c>
      <c r="M189" s="29" t="str">
        <f t="shared" si="10"/>
        <v>✓ OK</v>
      </c>
      <c r="N189" s="43">
        <v>46193</v>
      </c>
      <c r="O189" s="26" t="s">
        <v>23</v>
      </c>
      <c r="P189" s="26" t="s">
        <v>24</v>
      </c>
      <c r="Q189" s="26" t="s">
        <v>25</v>
      </c>
      <c r="R189" s="26" t="s">
        <v>26</v>
      </c>
      <c r="S189" s="26" t="s">
        <v>24</v>
      </c>
      <c r="T189" s="27" t="s">
        <v>822</v>
      </c>
      <c r="U189" s="28" t="s">
        <v>25</v>
      </c>
      <c r="V189" s="29" t="str">
        <f t="shared" si="11"/>
        <v>✓ OK</v>
      </c>
      <c r="W189" s="45">
        <v>46248</v>
      </c>
      <c r="X189" s="30" t="s">
        <v>23</v>
      </c>
      <c r="Y189" s="30" t="s">
        <v>24</v>
      </c>
      <c r="Z189" s="30" t="s">
        <v>25</v>
      </c>
      <c r="AA189" s="30" t="s">
        <v>26</v>
      </c>
      <c r="AB189" s="30" t="s">
        <v>24</v>
      </c>
      <c r="AC189" s="27" t="s">
        <v>822</v>
      </c>
      <c r="AD189" s="31" t="s">
        <v>25</v>
      </c>
      <c r="AE189" s="32" t="str">
        <f t="shared" si="12"/>
        <v>✓ OK</v>
      </c>
      <c r="AF189" s="33" t="s">
        <v>27</v>
      </c>
      <c r="AG189" s="33" t="s">
        <v>23</v>
      </c>
      <c r="AH189" s="33" t="s">
        <v>25</v>
      </c>
      <c r="AI189" s="33" t="s">
        <v>24</v>
      </c>
      <c r="AJ189" s="33" t="s">
        <v>135</v>
      </c>
      <c r="AK189" s="33" t="s">
        <v>25</v>
      </c>
      <c r="AL189" s="27"/>
      <c r="AM189" s="34" t="s">
        <v>25</v>
      </c>
      <c r="AN189" s="35" t="str">
        <f t="shared" si="13"/>
        <v>❌ Disc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8" customHeight="1" x14ac:dyDescent="0.3">
      <c r="A190" s="39">
        <v>194</v>
      </c>
      <c r="B190" s="40" t="s">
        <v>1018</v>
      </c>
      <c r="C190" s="41" t="s">
        <v>1019</v>
      </c>
      <c r="D190" s="39" t="s">
        <v>767</v>
      </c>
      <c r="E190" s="43">
        <v>46125</v>
      </c>
      <c r="F190" s="26" t="s">
        <v>23</v>
      </c>
      <c r="G190" s="26" t="s">
        <v>24</v>
      </c>
      <c r="H190" s="26" t="s">
        <v>25</v>
      </c>
      <c r="I190" s="26" t="s">
        <v>26</v>
      </c>
      <c r="J190" s="26" t="s">
        <v>24</v>
      </c>
      <c r="K190" s="27"/>
      <c r="L190" s="28" t="s">
        <v>25</v>
      </c>
      <c r="M190" s="29" t="str">
        <f t="shared" si="10"/>
        <v>✓ OK</v>
      </c>
      <c r="N190" s="43">
        <v>46193</v>
      </c>
      <c r="O190" s="26" t="s">
        <v>23</v>
      </c>
      <c r="P190" s="26" t="s">
        <v>24</v>
      </c>
      <c r="Q190" s="26" t="s">
        <v>25</v>
      </c>
      <c r="R190" s="26" t="s">
        <v>26</v>
      </c>
      <c r="S190" s="26" t="s">
        <v>24</v>
      </c>
      <c r="T190" s="27"/>
      <c r="U190" s="28" t="s">
        <v>25</v>
      </c>
      <c r="V190" s="29" t="str">
        <f t="shared" si="11"/>
        <v>✓ OK</v>
      </c>
      <c r="W190" s="45">
        <v>46248</v>
      </c>
      <c r="X190" s="30" t="s">
        <v>23</v>
      </c>
      <c r="Y190" s="30" t="s">
        <v>24</v>
      </c>
      <c r="Z190" s="30" t="s">
        <v>25</v>
      </c>
      <c r="AA190" s="30" t="s">
        <v>26</v>
      </c>
      <c r="AB190" s="30" t="s">
        <v>24</v>
      </c>
      <c r="AC190" s="27"/>
      <c r="AD190" s="31" t="s">
        <v>25</v>
      </c>
      <c r="AE190" s="32" t="str">
        <f t="shared" si="12"/>
        <v>✓ OK</v>
      </c>
      <c r="AF190" s="33" t="s">
        <v>27</v>
      </c>
      <c r="AG190" s="33" t="s">
        <v>23</v>
      </c>
      <c r="AH190" s="33" t="s">
        <v>24</v>
      </c>
      <c r="AI190" s="33" t="s">
        <v>25</v>
      </c>
      <c r="AJ190" s="33" t="s">
        <v>26</v>
      </c>
      <c r="AK190" s="33" t="s">
        <v>24</v>
      </c>
      <c r="AL190" s="27"/>
      <c r="AM190" s="34" t="s">
        <v>25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8" customHeight="1" x14ac:dyDescent="0.3">
      <c r="A191" s="23">
        <v>195</v>
      </c>
      <c r="B191" s="24" t="s">
        <v>1020</v>
      </c>
      <c r="C191" s="25" t="s">
        <v>1021</v>
      </c>
      <c r="D191" s="23" t="s">
        <v>767</v>
      </c>
      <c r="E191" s="43">
        <v>46125</v>
      </c>
      <c r="F191" s="26" t="s">
        <v>23</v>
      </c>
      <c r="G191" s="26" t="s">
        <v>24</v>
      </c>
      <c r="H191" s="26" t="s">
        <v>25</v>
      </c>
      <c r="I191" s="26" t="s">
        <v>731</v>
      </c>
      <c r="J191" s="26" t="s">
        <v>25</v>
      </c>
      <c r="K191" s="27" t="s">
        <v>740</v>
      </c>
      <c r="L191" s="28" t="s">
        <v>24</v>
      </c>
      <c r="M191" s="29" t="str">
        <f t="shared" si="10"/>
        <v>⚠ Check</v>
      </c>
      <c r="N191" s="43">
        <v>46193</v>
      </c>
      <c r="O191" s="26" t="s">
        <v>23</v>
      </c>
      <c r="P191" s="26" t="s">
        <v>24</v>
      </c>
      <c r="Q191" s="26" t="s">
        <v>25</v>
      </c>
      <c r="R191" s="26" t="s">
        <v>731</v>
      </c>
      <c r="S191" s="26" t="s">
        <v>25</v>
      </c>
      <c r="T191" s="27" t="s">
        <v>740</v>
      </c>
      <c r="U191" s="28" t="s">
        <v>24</v>
      </c>
      <c r="V191" s="29" t="str">
        <f t="shared" si="11"/>
        <v>⚠ Check</v>
      </c>
      <c r="W191" s="45">
        <v>46248</v>
      </c>
      <c r="X191" s="30" t="s">
        <v>23</v>
      </c>
      <c r="Y191" s="30" t="s">
        <v>24</v>
      </c>
      <c r="Z191" s="30" t="s">
        <v>25</v>
      </c>
      <c r="AA191" s="30" t="s">
        <v>26</v>
      </c>
      <c r="AB191" s="30" t="s">
        <v>24</v>
      </c>
      <c r="AC191" s="27"/>
      <c r="AD191" s="31" t="s">
        <v>24</v>
      </c>
      <c r="AE191" s="32" t="str">
        <f t="shared" si="12"/>
        <v>✓ OK</v>
      </c>
      <c r="AF191" s="33" t="s">
        <v>27</v>
      </c>
      <c r="AG191" s="33" t="s">
        <v>23</v>
      </c>
      <c r="AH191" s="33" t="s">
        <v>24</v>
      </c>
      <c r="AI191" s="33" t="s">
        <v>25</v>
      </c>
      <c r="AJ191" s="33" t="s">
        <v>26</v>
      </c>
      <c r="AK191" s="33" t="s">
        <v>24</v>
      </c>
      <c r="AL191" s="27"/>
      <c r="AM191" s="34" t="s">
        <v>25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8" customHeight="1" x14ac:dyDescent="0.3">
      <c r="A192" s="39">
        <v>196</v>
      </c>
      <c r="B192" s="40" t="s">
        <v>1022</v>
      </c>
      <c r="C192" s="41" t="s">
        <v>1023</v>
      </c>
      <c r="D192" s="39" t="s">
        <v>767</v>
      </c>
      <c r="E192" s="43">
        <v>46125</v>
      </c>
      <c r="F192" s="26" t="s">
        <v>23</v>
      </c>
      <c r="G192" s="26" t="s">
        <v>24</v>
      </c>
      <c r="H192" s="26" t="s">
        <v>25</v>
      </c>
      <c r="I192" s="26" t="s">
        <v>26</v>
      </c>
      <c r="J192" s="26" t="s">
        <v>24</v>
      </c>
      <c r="K192" s="27"/>
      <c r="L192" s="28" t="s">
        <v>25</v>
      </c>
      <c r="M192" s="29" t="str">
        <f t="shared" si="10"/>
        <v>✓ OK</v>
      </c>
      <c r="N192" s="43">
        <v>46193</v>
      </c>
      <c r="O192" s="26" t="s">
        <v>23</v>
      </c>
      <c r="P192" s="26" t="s">
        <v>24</v>
      </c>
      <c r="Q192" s="26" t="s">
        <v>25</v>
      </c>
      <c r="R192" s="26" t="s">
        <v>26</v>
      </c>
      <c r="S192" s="26" t="s">
        <v>24</v>
      </c>
      <c r="T192" s="27"/>
      <c r="U192" s="28" t="s">
        <v>25</v>
      </c>
      <c r="V192" s="29" t="str">
        <f t="shared" si="11"/>
        <v>✓ OK</v>
      </c>
      <c r="W192" s="45">
        <v>46248</v>
      </c>
      <c r="X192" s="30" t="s">
        <v>23</v>
      </c>
      <c r="Y192" s="30" t="s">
        <v>24</v>
      </c>
      <c r="Z192" s="30" t="s">
        <v>25</v>
      </c>
      <c r="AA192" s="30" t="s">
        <v>26</v>
      </c>
      <c r="AB192" s="30" t="s">
        <v>24</v>
      </c>
      <c r="AC192" s="27"/>
      <c r="AD192" s="31" t="s">
        <v>25</v>
      </c>
      <c r="AE192" s="32" t="str">
        <f t="shared" si="12"/>
        <v>✓ OK</v>
      </c>
      <c r="AF192" s="33" t="s">
        <v>27</v>
      </c>
      <c r="AG192" s="33" t="s">
        <v>23</v>
      </c>
      <c r="AH192" s="33" t="s">
        <v>24</v>
      </c>
      <c r="AI192" s="33" t="s">
        <v>25</v>
      </c>
      <c r="AJ192" s="33" t="s">
        <v>26</v>
      </c>
      <c r="AK192" s="33" t="s">
        <v>24</v>
      </c>
      <c r="AL192" s="27"/>
      <c r="AM192" s="34" t="s">
        <v>25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8" customHeight="1" x14ac:dyDescent="0.3">
      <c r="A193" s="23">
        <v>197</v>
      </c>
      <c r="B193" s="24" t="s">
        <v>1024</v>
      </c>
      <c r="C193" s="25" t="s">
        <v>1025</v>
      </c>
      <c r="D193" s="23" t="s">
        <v>767</v>
      </c>
      <c r="E193" s="43">
        <v>46125</v>
      </c>
      <c r="F193" s="26" t="s">
        <v>23</v>
      </c>
      <c r="G193" s="26" t="s">
        <v>24</v>
      </c>
      <c r="H193" s="26" t="s">
        <v>25</v>
      </c>
      <c r="I193" s="26" t="s">
        <v>26</v>
      </c>
      <c r="J193" s="26" t="s">
        <v>24</v>
      </c>
      <c r="K193" s="27"/>
      <c r="L193" s="28" t="s">
        <v>25</v>
      </c>
      <c r="M193" s="29" t="str">
        <f t="shared" si="10"/>
        <v>✓ OK</v>
      </c>
      <c r="N193" s="43">
        <v>46193</v>
      </c>
      <c r="O193" s="26" t="s">
        <v>23</v>
      </c>
      <c r="P193" s="26" t="s">
        <v>24</v>
      </c>
      <c r="Q193" s="26" t="s">
        <v>25</v>
      </c>
      <c r="R193" s="26" t="s">
        <v>26</v>
      </c>
      <c r="S193" s="26" t="s">
        <v>24</v>
      </c>
      <c r="T193" s="27"/>
      <c r="U193" s="28" t="s">
        <v>25</v>
      </c>
      <c r="V193" s="29" t="str">
        <f t="shared" si="11"/>
        <v>✓ OK</v>
      </c>
      <c r="W193" s="45">
        <v>46248</v>
      </c>
      <c r="X193" s="30" t="s">
        <v>23</v>
      </c>
      <c r="Y193" s="30" t="s">
        <v>24</v>
      </c>
      <c r="Z193" s="30" t="s">
        <v>25</v>
      </c>
      <c r="AA193" s="30" t="s">
        <v>26</v>
      </c>
      <c r="AB193" s="30" t="s">
        <v>24</v>
      </c>
      <c r="AC193" s="27"/>
      <c r="AD193" s="31" t="s">
        <v>25</v>
      </c>
      <c r="AE193" s="32" t="str">
        <f t="shared" si="12"/>
        <v>✓ OK</v>
      </c>
      <c r="AF193" s="33" t="s">
        <v>27</v>
      </c>
      <c r="AG193" s="33" t="s">
        <v>23</v>
      </c>
      <c r="AH193" s="33" t="s">
        <v>24</v>
      </c>
      <c r="AI193" s="33" t="s">
        <v>25</v>
      </c>
      <c r="AJ193" s="33" t="s">
        <v>26</v>
      </c>
      <c r="AK193" s="33" t="s">
        <v>24</v>
      </c>
      <c r="AL193" s="27"/>
      <c r="AM193" s="34" t="s">
        <v>25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8" customHeight="1" x14ac:dyDescent="0.3">
      <c r="A194" s="39">
        <v>198</v>
      </c>
      <c r="B194" s="40" t="s">
        <v>1026</v>
      </c>
      <c r="C194" s="41" t="s">
        <v>1027</v>
      </c>
      <c r="D194" s="39" t="s">
        <v>767</v>
      </c>
      <c r="E194" s="43">
        <v>46125</v>
      </c>
      <c r="F194" s="26" t="s">
        <v>23</v>
      </c>
      <c r="G194" s="26" t="s">
        <v>24</v>
      </c>
      <c r="H194" s="26" t="s">
        <v>25</v>
      </c>
      <c r="I194" s="26" t="s">
        <v>26</v>
      </c>
      <c r="J194" s="26" t="s">
        <v>24</v>
      </c>
      <c r="K194" s="27"/>
      <c r="L194" s="28" t="s">
        <v>25</v>
      </c>
      <c r="M194" s="29" t="str">
        <f t="shared" si="10"/>
        <v>✓ OK</v>
      </c>
      <c r="N194" s="43">
        <v>46193</v>
      </c>
      <c r="O194" s="26" t="s">
        <v>23</v>
      </c>
      <c r="P194" s="26" t="s">
        <v>24</v>
      </c>
      <c r="Q194" s="26" t="s">
        <v>25</v>
      </c>
      <c r="R194" s="26" t="s">
        <v>26</v>
      </c>
      <c r="S194" s="26" t="s">
        <v>24</v>
      </c>
      <c r="T194" s="27"/>
      <c r="U194" s="28" t="s">
        <v>25</v>
      </c>
      <c r="V194" s="29" t="str">
        <f t="shared" si="11"/>
        <v>✓ OK</v>
      </c>
      <c r="W194" s="45">
        <v>46248</v>
      </c>
      <c r="X194" s="30" t="s">
        <v>23</v>
      </c>
      <c r="Y194" s="30" t="s">
        <v>24</v>
      </c>
      <c r="Z194" s="30" t="s">
        <v>25</v>
      </c>
      <c r="AA194" s="30" t="s">
        <v>26</v>
      </c>
      <c r="AB194" s="30" t="s">
        <v>24</v>
      </c>
      <c r="AC194" s="27"/>
      <c r="AD194" s="31" t="s">
        <v>25</v>
      </c>
      <c r="AE194" s="32" t="str">
        <f t="shared" si="12"/>
        <v>✓ OK</v>
      </c>
      <c r="AF194" s="33" t="s">
        <v>27</v>
      </c>
      <c r="AG194" s="33" t="s">
        <v>23</v>
      </c>
      <c r="AH194" s="33" t="s">
        <v>24</v>
      </c>
      <c r="AI194" s="33" t="s">
        <v>25</v>
      </c>
      <c r="AJ194" s="33" t="s">
        <v>26</v>
      </c>
      <c r="AK194" s="33" t="s">
        <v>24</v>
      </c>
      <c r="AL194" s="27"/>
      <c r="AM194" s="34" t="s">
        <v>25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8" customHeight="1" x14ac:dyDescent="0.3">
      <c r="A195" s="23">
        <v>199</v>
      </c>
      <c r="B195" s="24" t="s">
        <v>1028</v>
      </c>
      <c r="C195" s="25" t="s">
        <v>1029</v>
      </c>
      <c r="D195" s="23" t="s">
        <v>767</v>
      </c>
      <c r="E195" s="43">
        <v>46125</v>
      </c>
      <c r="F195" s="26" t="s">
        <v>23</v>
      </c>
      <c r="G195" s="26" t="s">
        <v>24</v>
      </c>
      <c r="H195" s="26" t="s">
        <v>25</v>
      </c>
      <c r="I195" s="26" t="s">
        <v>731</v>
      </c>
      <c r="J195" s="26" t="s">
        <v>25</v>
      </c>
      <c r="K195" s="27" t="s">
        <v>740</v>
      </c>
      <c r="L195" s="28" t="s">
        <v>24</v>
      </c>
      <c r="M195" s="29" t="str">
        <f t="shared" si="10"/>
        <v>⚠ Check</v>
      </c>
      <c r="N195" s="43">
        <v>46193</v>
      </c>
      <c r="O195" s="26" t="s">
        <v>23</v>
      </c>
      <c r="P195" s="26" t="s">
        <v>24</v>
      </c>
      <c r="Q195" s="26" t="s">
        <v>25</v>
      </c>
      <c r="R195" s="26" t="s">
        <v>731</v>
      </c>
      <c r="S195" s="26" t="s">
        <v>25</v>
      </c>
      <c r="T195" s="27" t="s">
        <v>740</v>
      </c>
      <c r="U195" s="28" t="s">
        <v>24</v>
      </c>
      <c r="V195" s="29" t="str">
        <f t="shared" si="11"/>
        <v>⚠ Check</v>
      </c>
      <c r="W195" s="45">
        <v>46248</v>
      </c>
      <c r="X195" s="30" t="s">
        <v>23</v>
      </c>
      <c r="Y195" s="30" t="s">
        <v>24</v>
      </c>
      <c r="Z195" s="30" t="s">
        <v>25</v>
      </c>
      <c r="AA195" s="30" t="s">
        <v>26</v>
      </c>
      <c r="AB195" s="30" t="s">
        <v>24</v>
      </c>
      <c r="AC195" s="27"/>
      <c r="AD195" s="31" t="s">
        <v>24</v>
      </c>
      <c r="AE195" s="32" t="str">
        <f t="shared" si="12"/>
        <v>✓ OK</v>
      </c>
      <c r="AF195" s="33" t="s">
        <v>27</v>
      </c>
      <c r="AG195" s="33" t="s">
        <v>23</v>
      </c>
      <c r="AH195" s="33" t="s">
        <v>24</v>
      </c>
      <c r="AI195" s="33" t="s">
        <v>25</v>
      </c>
      <c r="AJ195" s="33" t="s">
        <v>26</v>
      </c>
      <c r="AK195" s="33" t="s">
        <v>24</v>
      </c>
      <c r="AL195" s="27"/>
      <c r="AM195" s="34" t="s">
        <v>25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8" customHeight="1" x14ac:dyDescent="0.3">
      <c r="A196" s="39">
        <v>200</v>
      </c>
      <c r="B196" s="40" t="s">
        <v>1030</v>
      </c>
      <c r="C196" s="41" t="s">
        <v>1031</v>
      </c>
      <c r="D196" s="39" t="s">
        <v>767</v>
      </c>
      <c r="E196" s="43">
        <v>46125</v>
      </c>
      <c r="F196" s="26" t="s">
        <v>23</v>
      </c>
      <c r="G196" s="26" t="s">
        <v>24</v>
      </c>
      <c r="H196" s="26" t="s">
        <v>25</v>
      </c>
      <c r="I196" s="26" t="s">
        <v>26</v>
      </c>
      <c r="J196" s="26" t="s">
        <v>24</v>
      </c>
      <c r="K196" s="27"/>
      <c r="L196" s="28" t="s">
        <v>25</v>
      </c>
      <c r="M196" s="29" t="str">
        <f t="shared" si="10"/>
        <v>✓ OK</v>
      </c>
      <c r="N196" s="43">
        <v>46193</v>
      </c>
      <c r="O196" s="26" t="s">
        <v>23</v>
      </c>
      <c r="P196" s="26" t="s">
        <v>24</v>
      </c>
      <c r="Q196" s="26" t="s">
        <v>25</v>
      </c>
      <c r="R196" s="26" t="s">
        <v>26</v>
      </c>
      <c r="S196" s="26" t="s">
        <v>24</v>
      </c>
      <c r="T196" s="27"/>
      <c r="U196" s="28" t="s">
        <v>25</v>
      </c>
      <c r="V196" s="29" t="str">
        <f t="shared" si="11"/>
        <v>✓ OK</v>
      </c>
      <c r="W196" s="45">
        <v>46248</v>
      </c>
      <c r="X196" s="30" t="s">
        <v>23</v>
      </c>
      <c r="Y196" s="30" t="s">
        <v>24</v>
      </c>
      <c r="Z196" s="30" t="s">
        <v>25</v>
      </c>
      <c r="AA196" s="30" t="s">
        <v>26</v>
      </c>
      <c r="AB196" s="30" t="s">
        <v>24</v>
      </c>
      <c r="AC196" s="27"/>
      <c r="AD196" s="31" t="s">
        <v>25</v>
      </c>
      <c r="AE196" s="32" t="str">
        <f t="shared" si="12"/>
        <v>✓ OK</v>
      </c>
      <c r="AF196" s="33" t="s">
        <v>27</v>
      </c>
      <c r="AG196" s="33" t="s">
        <v>23</v>
      </c>
      <c r="AH196" s="33" t="s">
        <v>24</v>
      </c>
      <c r="AI196" s="33" t="s">
        <v>25</v>
      </c>
      <c r="AJ196" s="33" t="s">
        <v>26</v>
      </c>
      <c r="AK196" s="33" t="s">
        <v>24</v>
      </c>
      <c r="AL196" s="27"/>
      <c r="AM196" s="34" t="s">
        <v>25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8" customHeight="1" x14ac:dyDescent="0.3">
      <c r="A197" s="23">
        <v>201</v>
      </c>
      <c r="B197" s="24" t="s">
        <v>1032</v>
      </c>
      <c r="C197" s="25" t="s">
        <v>1033</v>
      </c>
      <c r="D197" s="23" t="s">
        <v>767</v>
      </c>
      <c r="E197" s="43">
        <v>46125</v>
      </c>
      <c r="F197" s="26" t="s">
        <v>23</v>
      </c>
      <c r="G197" s="26" t="s">
        <v>24</v>
      </c>
      <c r="H197" s="26" t="s">
        <v>25</v>
      </c>
      <c r="I197" s="26" t="s">
        <v>26</v>
      </c>
      <c r="J197" s="26" t="s">
        <v>24</v>
      </c>
      <c r="K197" s="27"/>
      <c r="L197" s="28" t="s">
        <v>25</v>
      </c>
      <c r="M197" s="29" t="str">
        <f t="shared" ref="M197:M260" si="15">IF(E197="","",IF(H197="Yes","❌ Disc",IF(G197="No","⚠ Missing",IF(J197="Yes","✓ OK","⚠ Check"))))</f>
        <v>✓ OK</v>
      </c>
      <c r="N197" s="43">
        <v>46193</v>
      </c>
      <c r="O197" s="26" t="s">
        <v>23</v>
      </c>
      <c r="P197" s="26" t="s">
        <v>24</v>
      </c>
      <c r="Q197" s="26" t="s">
        <v>25</v>
      </c>
      <c r="R197" s="26" t="s">
        <v>26</v>
      </c>
      <c r="S197" s="26" t="s">
        <v>24</v>
      </c>
      <c r="T197" s="27"/>
      <c r="U197" s="28" t="s">
        <v>25</v>
      </c>
      <c r="V197" s="29" t="str">
        <f t="shared" ref="V197:V260" si="16">IF(N197="","",IF(Q197="Yes","❌ Disc",IF(P197="No","⚠ Missing",IF(S197="Yes","✓ OK","⚠ Check"))))</f>
        <v>✓ OK</v>
      </c>
      <c r="W197" s="45">
        <v>46248</v>
      </c>
      <c r="X197" s="30" t="s">
        <v>23</v>
      </c>
      <c r="Y197" s="30" t="s">
        <v>24</v>
      </c>
      <c r="Z197" s="30" t="s">
        <v>25</v>
      </c>
      <c r="AA197" s="30" t="s">
        <v>26</v>
      </c>
      <c r="AB197" s="30" t="s">
        <v>24</v>
      </c>
      <c r="AC197" s="27"/>
      <c r="AD197" s="31" t="s">
        <v>25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27</v>
      </c>
      <c r="AG197" s="33" t="s">
        <v>23</v>
      </c>
      <c r="AH197" s="33" t="s">
        <v>24</v>
      </c>
      <c r="AI197" s="33" t="s">
        <v>25</v>
      </c>
      <c r="AJ197" s="33" t="s">
        <v>26</v>
      </c>
      <c r="AK197" s="33" t="s">
        <v>24</v>
      </c>
      <c r="AL197" s="27"/>
      <c r="AM197" s="34" t="s">
        <v>25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9">
        <v>202</v>
      </c>
      <c r="B198" s="40" t="s">
        <v>1034</v>
      </c>
      <c r="C198" s="41" t="s">
        <v>1035</v>
      </c>
      <c r="D198" s="39" t="s">
        <v>767</v>
      </c>
      <c r="E198" s="43">
        <v>46125</v>
      </c>
      <c r="F198" s="26" t="s">
        <v>23</v>
      </c>
      <c r="G198" s="26" t="s">
        <v>24</v>
      </c>
      <c r="H198" s="26" t="s">
        <v>25</v>
      </c>
      <c r="I198" s="26" t="s">
        <v>26</v>
      </c>
      <c r="J198" s="26" t="s">
        <v>24</v>
      </c>
      <c r="K198" s="27"/>
      <c r="L198" s="28" t="s">
        <v>25</v>
      </c>
      <c r="M198" s="29" t="str">
        <f t="shared" si="15"/>
        <v>✓ OK</v>
      </c>
      <c r="N198" s="43">
        <v>46193</v>
      </c>
      <c r="O198" s="26" t="s">
        <v>23</v>
      </c>
      <c r="P198" s="26" t="s">
        <v>24</v>
      </c>
      <c r="Q198" s="26" t="s">
        <v>25</v>
      </c>
      <c r="R198" s="26" t="s">
        <v>26</v>
      </c>
      <c r="S198" s="26" t="s">
        <v>24</v>
      </c>
      <c r="T198" s="27"/>
      <c r="U198" s="28" t="s">
        <v>25</v>
      </c>
      <c r="V198" s="29" t="str">
        <f t="shared" si="16"/>
        <v>✓ OK</v>
      </c>
      <c r="W198" s="45">
        <v>46248</v>
      </c>
      <c r="X198" s="30" t="s">
        <v>23</v>
      </c>
      <c r="Y198" s="30" t="s">
        <v>24</v>
      </c>
      <c r="Z198" s="30" t="s">
        <v>25</v>
      </c>
      <c r="AA198" s="30" t="s">
        <v>26</v>
      </c>
      <c r="AB198" s="30" t="s">
        <v>24</v>
      </c>
      <c r="AC198" s="27"/>
      <c r="AD198" s="31" t="s">
        <v>25</v>
      </c>
      <c r="AE198" s="32" t="str">
        <f t="shared" si="17"/>
        <v>✓ OK</v>
      </c>
      <c r="AF198" s="33" t="s">
        <v>27</v>
      </c>
      <c r="AG198" s="33" t="s">
        <v>23</v>
      </c>
      <c r="AH198" s="33" t="s">
        <v>24</v>
      </c>
      <c r="AI198" s="33" t="s">
        <v>25</v>
      </c>
      <c r="AJ198" s="33" t="s">
        <v>26</v>
      </c>
      <c r="AK198" s="33" t="s">
        <v>24</v>
      </c>
      <c r="AL198" s="27"/>
      <c r="AM198" s="34" t="s">
        <v>25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8" customHeight="1" x14ac:dyDescent="0.3">
      <c r="A199" s="23">
        <v>203</v>
      </c>
      <c r="B199" s="24" t="s">
        <v>1036</v>
      </c>
      <c r="C199" s="25" t="s">
        <v>1037</v>
      </c>
      <c r="D199" s="23" t="s">
        <v>767</v>
      </c>
      <c r="E199" s="43">
        <v>46125</v>
      </c>
      <c r="F199" s="26" t="s">
        <v>23</v>
      </c>
      <c r="G199" s="26" t="s">
        <v>24</v>
      </c>
      <c r="H199" s="26" t="s">
        <v>25</v>
      </c>
      <c r="I199" s="26" t="s">
        <v>26</v>
      </c>
      <c r="J199" s="26" t="s">
        <v>24</v>
      </c>
      <c r="K199" s="27"/>
      <c r="L199" s="28" t="s">
        <v>25</v>
      </c>
      <c r="M199" s="29" t="str">
        <f t="shared" si="15"/>
        <v>✓ OK</v>
      </c>
      <c r="N199" s="43">
        <v>46193</v>
      </c>
      <c r="O199" s="26" t="s">
        <v>23</v>
      </c>
      <c r="P199" s="26" t="s">
        <v>24</v>
      </c>
      <c r="Q199" s="26" t="s">
        <v>25</v>
      </c>
      <c r="R199" s="26" t="s">
        <v>26</v>
      </c>
      <c r="S199" s="26" t="s">
        <v>24</v>
      </c>
      <c r="T199" s="27"/>
      <c r="U199" s="28" t="s">
        <v>25</v>
      </c>
      <c r="V199" s="29" t="str">
        <f t="shared" si="16"/>
        <v>✓ OK</v>
      </c>
      <c r="W199" s="45">
        <v>46248</v>
      </c>
      <c r="X199" s="30" t="s">
        <v>23</v>
      </c>
      <c r="Y199" s="30" t="s">
        <v>24</v>
      </c>
      <c r="Z199" s="30" t="s">
        <v>25</v>
      </c>
      <c r="AA199" s="30" t="s">
        <v>26</v>
      </c>
      <c r="AB199" s="30" t="s">
        <v>24</v>
      </c>
      <c r="AC199" s="27"/>
      <c r="AD199" s="31" t="s">
        <v>25</v>
      </c>
      <c r="AE199" s="32" t="str">
        <f t="shared" si="17"/>
        <v>✓ OK</v>
      </c>
      <c r="AF199" s="33" t="s">
        <v>27</v>
      </c>
      <c r="AG199" s="33" t="s">
        <v>23</v>
      </c>
      <c r="AH199" s="33" t="s">
        <v>24</v>
      </c>
      <c r="AI199" s="33" t="s">
        <v>25</v>
      </c>
      <c r="AJ199" s="33" t="s">
        <v>26</v>
      </c>
      <c r="AK199" s="33" t="s">
        <v>24</v>
      </c>
      <c r="AL199" s="27"/>
      <c r="AM199" s="34" t="s">
        <v>25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8" customHeight="1" x14ac:dyDescent="0.3">
      <c r="A200" s="39">
        <v>204</v>
      </c>
      <c r="B200" s="40" t="s">
        <v>1038</v>
      </c>
      <c r="C200" s="41" t="s">
        <v>1039</v>
      </c>
      <c r="D200" s="39" t="s">
        <v>767</v>
      </c>
      <c r="E200" s="43">
        <v>46125</v>
      </c>
      <c r="F200" s="26" t="s">
        <v>23</v>
      </c>
      <c r="G200" s="26" t="s">
        <v>24</v>
      </c>
      <c r="H200" s="26" t="s">
        <v>25</v>
      </c>
      <c r="I200" s="26" t="s">
        <v>26</v>
      </c>
      <c r="J200" s="26" t="s">
        <v>24</v>
      </c>
      <c r="K200" s="27"/>
      <c r="L200" s="28" t="s">
        <v>25</v>
      </c>
      <c r="M200" s="29" t="str">
        <f t="shared" si="15"/>
        <v>✓ OK</v>
      </c>
      <c r="N200" s="43">
        <v>46193</v>
      </c>
      <c r="O200" s="26" t="s">
        <v>23</v>
      </c>
      <c r="P200" s="26" t="s">
        <v>24</v>
      </c>
      <c r="Q200" s="26" t="s">
        <v>25</v>
      </c>
      <c r="R200" s="26" t="s">
        <v>26</v>
      </c>
      <c r="S200" s="26" t="s">
        <v>24</v>
      </c>
      <c r="T200" s="27"/>
      <c r="U200" s="28" t="s">
        <v>25</v>
      </c>
      <c r="V200" s="29" t="str">
        <f t="shared" si="16"/>
        <v>✓ OK</v>
      </c>
      <c r="W200" s="45">
        <v>46248</v>
      </c>
      <c r="X200" s="30" t="s">
        <v>23</v>
      </c>
      <c r="Y200" s="30" t="s">
        <v>24</v>
      </c>
      <c r="Z200" s="30" t="s">
        <v>25</v>
      </c>
      <c r="AA200" s="30" t="s">
        <v>26</v>
      </c>
      <c r="AB200" s="30" t="s">
        <v>24</v>
      </c>
      <c r="AC200" s="27"/>
      <c r="AD200" s="31" t="s">
        <v>25</v>
      </c>
      <c r="AE200" s="32" t="str">
        <f t="shared" si="17"/>
        <v>✓ OK</v>
      </c>
      <c r="AF200" s="33" t="s">
        <v>27</v>
      </c>
      <c r="AG200" s="33" t="s">
        <v>23</v>
      </c>
      <c r="AH200" s="33" t="s">
        <v>24</v>
      </c>
      <c r="AI200" s="33" t="s">
        <v>25</v>
      </c>
      <c r="AJ200" s="33" t="s">
        <v>26</v>
      </c>
      <c r="AK200" s="33" t="s">
        <v>24</v>
      </c>
      <c r="AL200" s="27"/>
      <c r="AM200" s="34" t="s">
        <v>25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8" customHeight="1" x14ac:dyDescent="0.3">
      <c r="A201" s="23">
        <v>205</v>
      </c>
      <c r="B201" s="24" t="s">
        <v>1040</v>
      </c>
      <c r="C201" s="25" t="s">
        <v>1041</v>
      </c>
      <c r="D201" s="23" t="s">
        <v>767</v>
      </c>
      <c r="E201" s="43">
        <v>46125</v>
      </c>
      <c r="F201" s="26" t="s">
        <v>23</v>
      </c>
      <c r="G201" s="26" t="s">
        <v>24</v>
      </c>
      <c r="H201" s="26" t="s">
        <v>25</v>
      </c>
      <c r="I201" s="26" t="s">
        <v>26</v>
      </c>
      <c r="J201" s="26" t="s">
        <v>24</v>
      </c>
      <c r="K201" s="27"/>
      <c r="L201" s="28" t="s">
        <v>25</v>
      </c>
      <c r="M201" s="29" t="str">
        <f t="shared" si="15"/>
        <v>✓ OK</v>
      </c>
      <c r="N201" s="43">
        <v>46193</v>
      </c>
      <c r="O201" s="26" t="s">
        <v>23</v>
      </c>
      <c r="P201" s="26" t="s">
        <v>25</v>
      </c>
      <c r="Q201" s="26" t="s">
        <v>24</v>
      </c>
      <c r="R201" s="26" t="s">
        <v>135</v>
      </c>
      <c r="S201" s="26" t="s">
        <v>25</v>
      </c>
      <c r="T201" s="27"/>
      <c r="U201" s="28" t="s">
        <v>25</v>
      </c>
      <c r="V201" s="29" t="str">
        <f t="shared" si="16"/>
        <v>❌ Disc</v>
      </c>
      <c r="W201" s="45">
        <v>46248</v>
      </c>
      <c r="X201" s="30" t="s">
        <v>23</v>
      </c>
      <c r="Y201" s="30" t="s">
        <v>25</v>
      </c>
      <c r="Z201" s="30" t="s">
        <v>24</v>
      </c>
      <c r="AA201" s="30" t="s">
        <v>135</v>
      </c>
      <c r="AB201" s="30" t="s">
        <v>25</v>
      </c>
      <c r="AC201" s="27"/>
      <c r="AD201" s="31" t="s">
        <v>25</v>
      </c>
      <c r="AE201" s="32" t="str">
        <f t="shared" si="17"/>
        <v>❌ Disc</v>
      </c>
      <c r="AF201" s="33" t="s">
        <v>27</v>
      </c>
      <c r="AG201" s="33" t="s">
        <v>23</v>
      </c>
      <c r="AH201" s="33" t="s">
        <v>25</v>
      </c>
      <c r="AI201" s="33" t="s">
        <v>24</v>
      </c>
      <c r="AJ201" s="33" t="s">
        <v>135</v>
      </c>
      <c r="AK201" s="33" t="s">
        <v>25</v>
      </c>
      <c r="AL201" s="27"/>
      <c r="AM201" s="34" t="s">
        <v>25</v>
      </c>
      <c r="AN201" s="35" t="str">
        <f t="shared" si="18"/>
        <v>❌ Disc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8" customHeight="1" x14ac:dyDescent="0.3">
      <c r="A202" s="39">
        <v>206</v>
      </c>
      <c r="B202" s="40" t="s">
        <v>1042</v>
      </c>
      <c r="C202" s="41" t="s">
        <v>1043</v>
      </c>
      <c r="D202" s="39" t="s">
        <v>767</v>
      </c>
      <c r="E202" s="43">
        <v>46125</v>
      </c>
      <c r="F202" s="26" t="s">
        <v>23</v>
      </c>
      <c r="G202" s="26" t="s">
        <v>24</v>
      </c>
      <c r="H202" s="26" t="s">
        <v>25</v>
      </c>
      <c r="I202" s="26" t="s">
        <v>26</v>
      </c>
      <c r="J202" s="26" t="s">
        <v>24</v>
      </c>
      <c r="K202" s="27"/>
      <c r="L202" s="28" t="s">
        <v>25</v>
      </c>
      <c r="M202" s="29" t="str">
        <f t="shared" si="15"/>
        <v>✓ OK</v>
      </c>
      <c r="N202" s="43">
        <v>46193</v>
      </c>
      <c r="O202" s="26" t="s">
        <v>23</v>
      </c>
      <c r="P202" s="26" t="s">
        <v>24</v>
      </c>
      <c r="Q202" s="26" t="s">
        <v>25</v>
      </c>
      <c r="R202" s="26" t="s">
        <v>26</v>
      </c>
      <c r="S202" s="26" t="s">
        <v>24</v>
      </c>
      <c r="T202" s="27"/>
      <c r="U202" s="28" t="s">
        <v>25</v>
      </c>
      <c r="V202" s="29" t="str">
        <f t="shared" si="16"/>
        <v>✓ OK</v>
      </c>
      <c r="W202" s="45">
        <v>46248</v>
      </c>
      <c r="X202" s="30" t="s">
        <v>23</v>
      </c>
      <c r="Y202" s="30" t="s">
        <v>24</v>
      </c>
      <c r="Z202" s="30" t="s">
        <v>25</v>
      </c>
      <c r="AA202" s="30" t="s">
        <v>26</v>
      </c>
      <c r="AB202" s="30" t="s">
        <v>24</v>
      </c>
      <c r="AC202" s="27"/>
      <c r="AD202" s="31" t="s">
        <v>25</v>
      </c>
      <c r="AE202" s="32" t="str">
        <f t="shared" si="17"/>
        <v>✓ OK</v>
      </c>
      <c r="AF202" s="33" t="s">
        <v>27</v>
      </c>
      <c r="AG202" s="33" t="s">
        <v>23</v>
      </c>
      <c r="AH202" s="33" t="s">
        <v>24</v>
      </c>
      <c r="AI202" s="33" t="s">
        <v>25</v>
      </c>
      <c r="AJ202" s="33" t="s">
        <v>26</v>
      </c>
      <c r="AK202" s="33" t="s">
        <v>24</v>
      </c>
      <c r="AL202" s="27"/>
      <c r="AM202" s="34" t="s">
        <v>25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8" customHeight="1" x14ac:dyDescent="0.3">
      <c r="A203" s="23">
        <v>207</v>
      </c>
      <c r="B203" s="24" t="s">
        <v>1044</v>
      </c>
      <c r="C203" s="25" t="s">
        <v>1045</v>
      </c>
      <c r="D203" s="23" t="s">
        <v>767</v>
      </c>
      <c r="E203" s="43">
        <v>46125</v>
      </c>
      <c r="F203" s="26" t="s">
        <v>23</v>
      </c>
      <c r="G203" s="26" t="s">
        <v>24</v>
      </c>
      <c r="H203" s="26" t="s">
        <v>25</v>
      </c>
      <c r="I203" s="26" t="s">
        <v>26</v>
      </c>
      <c r="J203" s="26" t="s">
        <v>24</v>
      </c>
      <c r="K203" s="27"/>
      <c r="L203" s="28" t="s">
        <v>25</v>
      </c>
      <c r="M203" s="29" t="str">
        <f t="shared" si="15"/>
        <v>✓ OK</v>
      </c>
      <c r="N203" s="43">
        <v>46193</v>
      </c>
      <c r="O203" s="26" t="s">
        <v>23</v>
      </c>
      <c r="P203" s="26" t="s">
        <v>24</v>
      </c>
      <c r="Q203" s="26" t="s">
        <v>25</v>
      </c>
      <c r="R203" s="26" t="s">
        <v>26</v>
      </c>
      <c r="S203" s="26" t="s">
        <v>24</v>
      </c>
      <c r="T203" s="27"/>
      <c r="U203" s="28" t="s">
        <v>25</v>
      </c>
      <c r="V203" s="29" t="str">
        <f t="shared" si="16"/>
        <v>✓ OK</v>
      </c>
      <c r="W203" s="45">
        <v>46248</v>
      </c>
      <c r="X203" s="30" t="s">
        <v>23</v>
      </c>
      <c r="Y203" s="30" t="s">
        <v>24</v>
      </c>
      <c r="Z203" s="30" t="s">
        <v>25</v>
      </c>
      <c r="AA203" s="30" t="s">
        <v>26</v>
      </c>
      <c r="AB203" s="30" t="s">
        <v>24</v>
      </c>
      <c r="AC203" s="27"/>
      <c r="AD203" s="31" t="s">
        <v>25</v>
      </c>
      <c r="AE203" s="32" t="str">
        <f t="shared" si="17"/>
        <v>✓ OK</v>
      </c>
      <c r="AF203" s="33" t="s">
        <v>27</v>
      </c>
      <c r="AG203" s="33" t="s">
        <v>23</v>
      </c>
      <c r="AH203" s="33" t="s">
        <v>24</v>
      </c>
      <c r="AI203" s="33" t="s">
        <v>25</v>
      </c>
      <c r="AJ203" s="33" t="s">
        <v>26</v>
      </c>
      <c r="AK203" s="33" t="s">
        <v>24</v>
      </c>
      <c r="AL203" s="27"/>
      <c r="AM203" s="34" t="s">
        <v>25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8" customHeight="1" x14ac:dyDescent="0.3">
      <c r="A204" s="39">
        <v>208</v>
      </c>
      <c r="B204" s="40" t="s">
        <v>1046</v>
      </c>
      <c r="C204" s="41" t="s">
        <v>1047</v>
      </c>
      <c r="D204" s="39" t="s">
        <v>767</v>
      </c>
      <c r="E204" s="43">
        <v>46125</v>
      </c>
      <c r="F204" s="26" t="s">
        <v>23</v>
      </c>
      <c r="G204" s="26" t="s">
        <v>24</v>
      </c>
      <c r="H204" s="26" t="s">
        <v>25</v>
      </c>
      <c r="I204" s="26" t="s">
        <v>26</v>
      </c>
      <c r="J204" s="26" t="s">
        <v>24</v>
      </c>
      <c r="K204" s="27"/>
      <c r="L204" s="28" t="s">
        <v>25</v>
      </c>
      <c r="M204" s="29" t="str">
        <f t="shared" si="15"/>
        <v>✓ OK</v>
      </c>
      <c r="N204" s="43">
        <v>46193</v>
      </c>
      <c r="O204" s="26" t="s">
        <v>23</v>
      </c>
      <c r="P204" s="26" t="s">
        <v>24</v>
      </c>
      <c r="Q204" s="26" t="s">
        <v>25</v>
      </c>
      <c r="R204" s="26" t="s">
        <v>26</v>
      </c>
      <c r="S204" s="26" t="s">
        <v>24</v>
      </c>
      <c r="T204" s="27"/>
      <c r="U204" s="28" t="s">
        <v>25</v>
      </c>
      <c r="V204" s="29" t="str">
        <f t="shared" si="16"/>
        <v>✓ OK</v>
      </c>
      <c r="W204" s="45">
        <v>46248</v>
      </c>
      <c r="X204" s="30" t="s">
        <v>23</v>
      </c>
      <c r="Y204" s="30" t="s">
        <v>24</v>
      </c>
      <c r="Z204" s="30" t="s">
        <v>25</v>
      </c>
      <c r="AA204" s="30" t="s">
        <v>26</v>
      </c>
      <c r="AB204" s="30" t="s">
        <v>24</v>
      </c>
      <c r="AC204" s="27"/>
      <c r="AD204" s="31" t="s">
        <v>25</v>
      </c>
      <c r="AE204" s="32" t="str">
        <f t="shared" si="17"/>
        <v>✓ OK</v>
      </c>
      <c r="AF204" s="33" t="s">
        <v>27</v>
      </c>
      <c r="AG204" s="33" t="s">
        <v>23</v>
      </c>
      <c r="AH204" s="33" t="s">
        <v>25</v>
      </c>
      <c r="AI204" s="33" t="s">
        <v>24</v>
      </c>
      <c r="AJ204" s="33" t="s">
        <v>135</v>
      </c>
      <c r="AK204" s="33" t="s">
        <v>25</v>
      </c>
      <c r="AL204" s="27"/>
      <c r="AM204" s="34" t="s">
        <v>25</v>
      </c>
      <c r="AN204" s="35" t="str">
        <f t="shared" si="18"/>
        <v>❌ Disc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8" customHeight="1" x14ac:dyDescent="0.3">
      <c r="A205" s="23">
        <v>209</v>
      </c>
      <c r="B205" s="24" t="s">
        <v>1048</v>
      </c>
      <c r="C205" s="25" t="s">
        <v>1049</v>
      </c>
      <c r="D205" s="23" t="s">
        <v>767</v>
      </c>
      <c r="E205" s="43">
        <v>46125</v>
      </c>
      <c r="F205" s="26" t="s">
        <v>23</v>
      </c>
      <c r="G205" s="26" t="s">
        <v>24</v>
      </c>
      <c r="H205" s="26" t="s">
        <v>25</v>
      </c>
      <c r="I205" s="26" t="s">
        <v>26</v>
      </c>
      <c r="J205" s="26" t="s">
        <v>24</v>
      </c>
      <c r="K205" s="27"/>
      <c r="L205" s="28" t="s">
        <v>25</v>
      </c>
      <c r="M205" s="29" t="str">
        <f t="shared" si="15"/>
        <v>✓ OK</v>
      </c>
      <c r="N205" s="43">
        <v>46193</v>
      </c>
      <c r="O205" s="26" t="s">
        <v>23</v>
      </c>
      <c r="P205" s="26" t="s">
        <v>24</v>
      </c>
      <c r="Q205" s="26" t="s">
        <v>25</v>
      </c>
      <c r="R205" s="26" t="s">
        <v>26</v>
      </c>
      <c r="S205" s="26" t="s">
        <v>24</v>
      </c>
      <c r="T205" s="27"/>
      <c r="U205" s="28" t="s">
        <v>25</v>
      </c>
      <c r="V205" s="29" t="str">
        <f t="shared" si="16"/>
        <v>✓ OK</v>
      </c>
      <c r="W205" s="45">
        <v>46248</v>
      </c>
      <c r="X205" s="30" t="s">
        <v>23</v>
      </c>
      <c r="Y205" s="30" t="s">
        <v>24</v>
      </c>
      <c r="Z205" s="30" t="s">
        <v>25</v>
      </c>
      <c r="AA205" s="30" t="s">
        <v>26</v>
      </c>
      <c r="AB205" s="30" t="s">
        <v>24</v>
      </c>
      <c r="AC205" s="27"/>
      <c r="AD205" s="31" t="s">
        <v>25</v>
      </c>
      <c r="AE205" s="32" t="str">
        <f t="shared" si="17"/>
        <v>✓ OK</v>
      </c>
      <c r="AF205" s="33" t="s">
        <v>27</v>
      </c>
      <c r="AG205" s="33" t="s">
        <v>23</v>
      </c>
      <c r="AH205" s="33" t="s">
        <v>24</v>
      </c>
      <c r="AI205" s="33" t="s">
        <v>25</v>
      </c>
      <c r="AJ205" s="33" t="s">
        <v>26</v>
      </c>
      <c r="AK205" s="33" t="s">
        <v>24</v>
      </c>
      <c r="AL205" s="27"/>
      <c r="AM205" s="34" t="s">
        <v>25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8" customHeight="1" x14ac:dyDescent="0.3">
      <c r="A206" s="39">
        <v>210</v>
      </c>
      <c r="B206" s="40" t="s">
        <v>1050</v>
      </c>
      <c r="C206" s="41" t="s">
        <v>1051</v>
      </c>
      <c r="D206" s="39" t="s">
        <v>767</v>
      </c>
      <c r="E206" s="43">
        <v>46125</v>
      </c>
      <c r="F206" s="26" t="s">
        <v>23</v>
      </c>
      <c r="G206" s="26" t="s">
        <v>24</v>
      </c>
      <c r="H206" s="26" t="s">
        <v>25</v>
      </c>
      <c r="I206" s="26" t="s">
        <v>26</v>
      </c>
      <c r="J206" s="26" t="s">
        <v>24</v>
      </c>
      <c r="K206" s="27"/>
      <c r="L206" s="28" t="s">
        <v>25</v>
      </c>
      <c r="M206" s="29" t="str">
        <f t="shared" si="15"/>
        <v>✓ OK</v>
      </c>
      <c r="N206" s="43">
        <v>46193</v>
      </c>
      <c r="O206" s="26" t="s">
        <v>23</v>
      </c>
      <c r="P206" s="26" t="s">
        <v>24</v>
      </c>
      <c r="Q206" s="26" t="s">
        <v>25</v>
      </c>
      <c r="R206" s="26" t="s">
        <v>26</v>
      </c>
      <c r="S206" s="26" t="s">
        <v>24</v>
      </c>
      <c r="T206" s="27"/>
      <c r="U206" s="28" t="s">
        <v>25</v>
      </c>
      <c r="V206" s="29" t="str">
        <f t="shared" si="16"/>
        <v>✓ OK</v>
      </c>
      <c r="W206" s="45">
        <v>46248</v>
      </c>
      <c r="X206" s="30" t="s">
        <v>23</v>
      </c>
      <c r="Y206" s="30" t="s">
        <v>24</v>
      </c>
      <c r="Z206" s="30" t="s">
        <v>25</v>
      </c>
      <c r="AA206" s="30" t="s">
        <v>26</v>
      </c>
      <c r="AB206" s="30" t="s">
        <v>24</v>
      </c>
      <c r="AC206" s="27"/>
      <c r="AD206" s="31" t="s">
        <v>25</v>
      </c>
      <c r="AE206" s="32" t="str">
        <f t="shared" si="17"/>
        <v>✓ OK</v>
      </c>
      <c r="AF206" s="33" t="s">
        <v>27</v>
      </c>
      <c r="AG206" s="33" t="s">
        <v>23</v>
      </c>
      <c r="AH206" s="33" t="s">
        <v>24</v>
      </c>
      <c r="AI206" s="33" t="s">
        <v>25</v>
      </c>
      <c r="AJ206" s="33" t="s">
        <v>26</v>
      </c>
      <c r="AK206" s="33" t="s">
        <v>24</v>
      </c>
      <c r="AL206" s="27"/>
      <c r="AM206" s="34" t="s">
        <v>25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8" customHeight="1" x14ac:dyDescent="0.3">
      <c r="A207" s="23">
        <v>211</v>
      </c>
      <c r="B207" s="24" t="s">
        <v>1052</v>
      </c>
      <c r="C207" s="25" t="s">
        <v>1053</v>
      </c>
      <c r="D207" s="23" t="s">
        <v>767</v>
      </c>
      <c r="E207" s="43">
        <v>46125</v>
      </c>
      <c r="F207" s="26" t="s">
        <v>23</v>
      </c>
      <c r="G207" s="26" t="s">
        <v>24</v>
      </c>
      <c r="H207" s="26" t="s">
        <v>25</v>
      </c>
      <c r="I207" s="26" t="s">
        <v>26</v>
      </c>
      <c r="J207" s="26" t="s">
        <v>24</v>
      </c>
      <c r="K207" s="27"/>
      <c r="L207" s="28" t="s">
        <v>25</v>
      </c>
      <c r="M207" s="29" t="str">
        <f t="shared" si="15"/>
        <v>✓ OK</v>
      </c>
      <c r="N207" s="43">
        <v>46193</v>
      </c>
      <c r="O207" s="26" t="s">
        <v>23</v>
      </c>
      <c r="P207" s="26" t="s">
        <v>25</v>
      </c>
      <c r="Q207" s="26" t="s">
        <v>24</v>
      </c>
      <c r="R207" s="26" t="s">
        <v>135</v>
      </c>
      <c r="S207" s="26" t="s">
        <v>25</v>
      </c>
      <c r="T207" s="27"/>
      <c r="U207" s="28" t="s">
        <v>25</v>
      </c>
      <c r="V207" s="29" t="str">
        <f t="shared" si="16"/>
        <v>❌ Disc</v>
      </c>
      <c r="W207" s="45">
        <v>46248</v>
      </c>
      <c r="X207" s="30" t="s">
        <v>23</v>
      </c>
      <c r="Y207" s="30" t="s">
        <v>25</v>
      </c>
      <c r="Z207" s="30" t="s">
        <v>24</v>
      </c>
      <c r="AA207" s="30" t="s">
        <v>135</v>
      </c>
      <c r="AB207" s="30" t="s">
        <v>25</v>
      </c>
      <c r="AC207" s="27"/>
      <c r="AD207" s="31" t="s">
        <v>25</v>
      </c>
      <c r="AE207" s="32" t="str">
        <f t="shared" si="17"/>
        <v>❌ Disc</v>
      </c>
      <c r="AF207" s="33" t="s">
        <v>27</v>
      </c>
      <c r="AG207" s="33" t="s">
        <v>23</v>
      </c>
      <c r="AH207" s="33" t="s">
        <v>25</v>
      </c>
      <c r="AI207" s="33" t="s">
        <v>24</v>
      </c>
      <c r="AJ207" s="33" t="s">
        <v>135</v>
      </c>
      <c r="AK207" s="33" t="s">
        <v>25</v>
      </c>
      <c r="AL207" s="27"/>
      <c r="AM207" s="34" t="s">
        <v>25</v>
      </c>
      <c r="AN207" s="35" t="str">
        <f t="shared" si="18"/>
        <v>❌ Disc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8" customHeight="1" x14ac:dyDescent="0.3">
      <c r="A208" s="39">
        <v>212</v>
      </c>
      <c r="B208" s="40" t="s">
        <v>1054</v>
      </c>
      <c r="C208" s="41" t="s">
        <v>1055</v>
      </c>
      <c r="D208" s="39" t="s">
        <v>767</v>
      </c>
      <c r="E208" s="43">
        <v>46125</v>
      </c>
      <c r="F208" s="26" t="s">
        <v>23</v>
      </c>
      <c r="G208" s="26" t="s">
        <v>24</v>
      </c>
      <c r="H208" s="26" t="s">
        <v>25</v>
      </c>
      <c r="I208" s="26" t="s">
        <v>26</v>
      </c>
      <c r="J208" s="26" t="s">
        <v>24</v>
      </c>
      <c r="K208" s="27" t="s">
        <v>822</v>
      </c>
      <c r="L208" s="28" t="s">
        <v>25</v>
      </c>
      <c r="M208" s="29" t="str">
        <f t="shared" si="15"/>
        <v>✓ OK</v>
      </c>
      <c r="N208" s="43">
        <v>46193</v>
      </c>
      <c r="O208" s="26" t="s">
        <v>23</v>
      </c>
      <c r="P208" s="26" t="s">
        <v>24</v>
      </c>
      <c r="Q208" s="26" t="s">
        <v>25</v>
      </c>
      <c r="R208" s="26" t="s">
        <v>26</v>
      </c>
      <c r="S208" s="26" t="s">
        <v>24</v>
      </c>
      <c r="T208" s="27" t="s">
        <v>822</v>
      </c>
      <c r="U208" s="28" t="s">
        <v>25</v>
      </c>
      <c r="V208" s="29" t="str">
        <f t="shared" si="16"/>
        <v>✓ OK</v>
      </c>
      <c r="W208" s="45">
        <v>46248</v>
      </c>
      <c r="X208" s="30" t="s">
        <v>23</v>
      </c>
      <c r="Y208" s="30" t="s">
        <v>24</v>
      </c>
      <c r="Z208" s="30" t="s">
        <v>25</v>
      </c>
      <c r="AA208" s="30" t="s">
        <v>26</v>
      </c>
      <c r="AB208" s="30" t="s">
        <v>24</v>
      </c>
      <c r="AC208" s="27" t="s">
        <v>822</v>
      </c>
      <c r="AD208" s="31" t="s">
        <v>25</v>
      </c>
      <c r="AE208" s="32" t="str">
        <f t="shared" si="17"/>
        <v>✓ OK</v>
      </c>
      <c r="AF208" s="33" t="s">
        <v>27</v>
      </c>
      <c r="AG208" s="33" t="s">
        <v>23</v>
      </c>
      <c r="AH208" s="33" t="s">
        <v>24</v>
      </c>
      <c r="AI208" s="33" t="s">
        <v>25</v>
      </c>
      <c r="AJ208" s="33" t="s">
        <v>26</v>
      </c>
      <c r="AK208" s="33" t="s">
        <v>24</v>
      </c>
      <c r="AL208" s="27" t="s">
        <v>822</v>
      </c>
      <c r="AM208" s="34" t="s">
        <v>25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8" customHeight="1" x14ac:dyDescent="0.3">
      <c r="A209" s="23">
        <v>213</v>
      </c>
      <c r="B209" s="24" t="s">
        <v>1056</v>
      </c>
      <c r="C209" s="25" t="s">
        <v>1057</v>
      </c>
      <c r="D209" s="23" t="s">
        <v>767</v>
      </c>
      <c r="E209" s="43">
        <v>46125</v>
      </c>
      <c r="F209" s="26" t="s">
        <v>23</v>
      </c>
      <c r="G209" s="26" t="s">
        <v>24</v>
      </c>
      <c r="H209" s="26" t="s">
        <v>25</v>
      </c>
      <c r="I209" s="26" t="s">
        <v>26</v>
      </c>
      <c r="J209" s="26" t="s">
        <v>24</v>
      </c>
      <c r="K209" s="27"/>
      <c r="L209" s="28" t="s">
        <v>25</v>
      </c>
      <c r="M209" s="29" t="str">
        <f t="shared" si="15"/>
        <v>✓ OK</v>
      </c>
      <c r="N209" s="43">
        <v>46193</v>
      </c>
      <c r="O209" s="26" t="s">
        <v>23</v>
      </c>
      <c r="P209" s="26" t="s">
        <v>24</v>
      </c>
      <c r="Q209" s="26" t="s">
        <v>25</v>
      </c>
      <c r="R209" s="26" t="s">
        <v>26</v>
      </c>
      <c r="S209" s="26" t="s">
        <v>24</v>
      </c>
      <c r="T209" s="27"/>
      <c r="U209" s="28" t="s">
        <v>25</v>
      </c>
      <c r="V209" s="29" t="str">
        <f t="shared" si="16"/>
        <v>✓ OK</v>
      </c>
      <c r="W209" s="45">
        <v>46248</v>
      </c>
      <c r="X209" s="30" t="s">
        <v>23</v>
      </c>
      <c r="Y209" s="30" t="s">
        <v>24</v>
      </c>
      <c r="Z209" s="30" t="s">
        <v>25</v>
      </c>
      <c r="AA209" s="30" t="s">
        <v>26</v>
      </c>
      <c r="AB209" s="30" t="s">
        <v>24</v>
      </c>
      <c r="AC209" s="27"/>
      <c r="AD209" s="31" t="s">
        <v>25</v>
      </c>
      <c r="AE209" s="32" t="str">
        <f t="shared" si="17"/>
        <v>✓ OK</v>
      </c>
      <c r="AF209" s="33" t="s">
        <v>27</v>
      </c>
      <c r="AG209" s="33" t="s">
        <v>23</v>
      </c>
      <c r="AH209" s="33" t="s">
        <v>24</v>
      </c>
      <c r="AI209" s="33" t="s">
        <v>25</v>
      </c>
      <c r="AJ209" s="33" t="s">
        <v>26</v>
      </c>
      <c r="AK209" s="33" t="s">
        <v>24</v>
      </c>
      <c r="AL209" s="27"/>
      <c r="AM209" s="34" t="s">
        <v>25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8" customHeight="1" x14ac:dyDescent="0.3">
      <c r="A210" s="39">
        <v>214</v>
      </c>
      <c r="B210" s="40" t="s">
        <v>1058</v>
      </c>
      <c r="C210" s="41" t="s">
        <v>1059</v>
      </c>
      <c r="D210" s="39" t="s">
        <v>767</v>
      </c>
      <c r="E210" s="43">
        <v>46125</v>
      </c>
      <c r="F210" s="26" t="s">
        <v>23</v>
      </c>
      <c r="G210" s="26" t="s">
        <v>24</v>
      </c>
      <c r="H210" s="26" t="s">
        <v>25</v>
      </c>
      <c r="I210" s="26" t="s">
        <v>26</v>
      </c>
      <c r="J210" s="26" t="s">
        <v>24</v>
      </c>
      <c r="K210" s="27" t="s">
        <v>822</v>
      </c>
      <c r="L210" s="28" t="s">
        <v>25</v>
      </c>
      <c r="M210" s="29" t="str">
        <f t="shared" si="15"/>
        <v>✓ OK</v>
      </c>
      <c r="N210" s="43">
        <v>46193</v>
      </c>
      <c r="O210" s="26" t="s">
        <v>23</v>
      </c>
      <c r="P210" s="26" t="s">
        <v>25</v>
      </c>
      <c r="Q210" s="26" t="s">
        <v>24</v>
      </c>
      <c r="R210" s="26" t="s">
        <v>135</v>
      </c>
      <c r="S210" s="26" t="s">
        <v>25</v>
      </c>
      <c r="T210" s="27"/>
      <c r="U210" s="28" t="s">
        <v>25</v>
      </c>
      <c r="V210" s="29" t="str">
        <f t="shared" si="16"/>
        <v>❌ Disc</v>
      </c>
      <c r="W210" s="45">
        <v>46248</v>
      </c>
      <c r="X210" s="30" t="s">
        <v>23</v>
      </c>
      <c r="Y210" s="30" t="s">
        <v>25</v>
      </c>
      <c r="Z210" s="30" t="s">
        <v>24</v>
      </c>
      <c r="AA210" s="30" t="s">
        <v>135</v>
      </c>
      <c r="AB210" s="30" t="s">
        <v>25</v>
      </c>
      <c r="AC210" s="27"/>
      <c r="AD210" s="31" t="s">
        <v>25</v>
      </c>
      <c r="AE210" s="32" t="str">
        <f t="shared" si="17"/>
        <v>❌ Disc</v>
      </c>
      <c r="AF210" s="33" t="s">
        <v>27</v>
      </c>
      <c r="AG210" s="33" t="s">
        <v>23</v>
      </c>
      <c r="AH210" s="33" t="s">
        <v>25</v>
      </c>
      <c r="AI210" s="33" t="s">
        <v>24</v>
      </c>
      <c r="AJ210" s="33" t="s">
        <v>135</v>
      </c>
      <c r="AK210" s="33" t="s">
        <v>25</v>
      </c>
      <c r="AL210" s="27"/>
      <c r="AM210" s="34" t="s">
        <v>25</v>
      </c>
      <c r="AN210" s="35" t="str">
        <f t="shared" si="18"/>
        <v>❌ Disc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8" customHeight="1" x14ac:dyDescent="0.3">
      <c r="A211" s="23">
        <v>215</v>
      </c>
      <c r="B211" s="24" t="s">
        <v>1060</v>
      </c>
      <c r="C211" s="25" t="s">
        <v>1061</v>
      </c>
      <c r="D211" s="23" t="s">
        <v>767</v>
      </c>
      <c r="E211" s="43">
        <v>46125</v>
      </c>
      <c r="F211" s="26" t="s">
        <v>23</v>
      </c>
      <c r="G211" s="26" t="s">
        <v>24</v>
      </c>
      <c r="H211" s="26" t="s">
        <v>25</v>
      </c>
      <c r="I211" s="26" t="s">
        <v>26</v>
      </c>
      <c r="J211" s="26" t="s">
        <v>24</v>
      </c>
      <c r="K211" s="27"/>
      <c r="L211" s="28" t="s">
        <v>25</v>
      </c>
      <c r="M211" s="29" t="str">
        <f t="shared" si="15"/>
        <v>✓ OK</v>
      </c>
      <c r="N211" s="43">
        <v>46193</v>
      </c>
      <c r="O211" s="26" t="s">
        <v>23</v>
      </c>
      <c r="P211" s="26" t="s">
        <v>25</v>
      </c>
      <c r="Q211" s="26" t="s">
        <v>24</v>
      </c>
      <c r="R211" s="26" t="s">
        <v>135</v>
      </c>
      <c r="S211" s="26" t="s">
        <v>25</v>
      </c>
      <c r="T211" s="27"/>
      <c r="U211" s="28" t="s">
        <v>25</v>
      </c>
      <c r="V211" s="29" t="str">
        <f t="shared" si="16"/>
        <v>❌ Disc</v>
      </c>
      <c r="W211" s="45">
        <v>46248</v>
      </c>
      <c r="X211" s="30" t="s">
        <v>23</v>
      </c>
      <c r="Y211" s="30" t="s">
        <v>25</v>
      </c>
      <c r="Z211" s="30" t="s">
        <v>24</v>
      </c>
      <c r="AA211" s="30" t="s">
        <v>135</v>
      </c>
      <c r="AB211" s="30" t="s">
        <v>25</v>
      </c>
      <c r="AC211" s="27"/>
      <c r="AD211" s="31" t="s">
        <v>25</v>
      </c>
      <c r="AE211" s="32" t="str">
        <f t="shared" si="17"/>
        <v>❌ Disc</v>
      </c>
      <c r="AF211" s="33" t="s">
        <v>27</v>
      </c>
      <c r="AG211" s="33" t="s">
        <v>23</v>
      </c>
      <c r="AH211" s="33" t="s">
        <v>25</v>
      </c>
      <c r="AI211" s="33" t="s">
        <v>24</v>
      </c>
      <c r="AJ211" s="33" t="s">
        <v>135</v>
      </c>
      <c r="AK211" s="33" t="s">
        <v>25</v>
      </c>
      <c r="AL211" s="27"/>
      <c r="AM211" s="34" t="s">
        <v>25</v>
      </c>
      <c r="AN211" s="35" t="str">
        <f t="shared" si="18"/>
        <v>❌ Disc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8" customHeight="1" x14ac:dyDescent="0.3">
      <c r="A212" s="39">
        <v>216</v>
      </c>
      <c r="B212" s="40" t="s">
        <v>1062</v>
      </c>
      <c r="C212" s="41" t="s">
        <v>1063</v>
      </c>
      <c r="D212" s="39" t="s">
        <v>767</v>
      </c>
      <c r="E212" s="43">
        <v>46125</v>
      </c>
      <c r="F212" s="26" t="s">
        <v>23</v>
      </c>
      <c r="G212" s="26" t="s">
        <v>24</v>
      </c>
      <c r="H212" s="26" t="s">
        <v>25</v>
      </c>
      <c r="I212" s="26" t="s">
        <v>26</v>
      </c>
      <c r="J212" s="26" t="s">
        <v>24</v>
      </c>
      <c r="K212" s="27"/>
      <c r="L212" s="28" t="s">
        <v>25</v>
      </c>
      <c r="M212" s="29" t="str">
        <f t="shared" si="15"/>
        <v>✓ OK</v>
      </c>
      <c r="N212" s="43">
        <v>46193</v>
      </c>
      <c r="O212" s="26" t="s">
        <v>23</v>
      </c>
      <c r="P212" s="26" t="s">
        <v>25</v>
      </c>
      <c r="Q212" s="26" t="s">
        <v>24</v>
      </c>
      <c r="R212" s="26" t="s">
        <v>135</v>
      </c>
      <c r="S212" s="26" t="s">
        <v>25</v>
      </c>
      <c r="T212" s="27"/>
      <c r="U212" s="28" t="s">
        <v>25</v>
      </c>
      <c r="V212" s="29" t="str">
        <f t="shared" si="16"/>
        <v>❌ Disc</v>
      </c>
      <c r="W212" s="45">
        <v>46248</v>
      </c>
      <c r="X212" s="30" t="s">
        <v>23</v>
      </c>
      <c r="Y212" s="30" t="s">
        <v>25</v>
      </c>
      <c r="Z212" s="30" t="s">
        <v>24</v>
      </c>
      <c r="AA212" s="30" t="s">
        <v>135</v>
      </c>
      <c r="AB212" s="30" t="s">
        <v>25</v>
      </c>
      <c r="AC212" s="27"/>
      <c r="AD212" s="31" t="s">
        <v>25</v>
      </c>
      <c r="AE212" s="32" t="str">
        <f t="shared" si="17"/>
        <v>❌ Disc</v>
      </c>
      <c r="AF212" s="33" t="s">
        <v>27</v>
      </c>
      <c r="AG212" s="33" t="s">
        <v>23</v>
      </c>
      <c r="AH212" s="33" t="s">
        <v>25</v>
      </c>
      <c r="AI212" s="33" t="s">
        <v>24</v>
      </c>
      <c r="AJ212" s="33" t="s">
        <v>135</v>
      </c>
      <c r="AK212" s="33" t="s">
        <v>25</v>
      </c>
      <c r="AL212" s="27"/>
      <c r="AM212" s="34" t="s">
        <v>25</v>
      </c>
      <c r="AN212" s="35" t="str">
        <f t="shared" si="18"/>
        <v>❌ Disc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8" customHeight="1" x14ac:dyDescent="0.3">
      <c r="A213" s="23">
        <v>217</v>
      </c>
      <c r="B213" s="24" t="s">
        <v>1064</v>
      </c>
      <c r="C213" s="25" t="s">
        <v>1065</v>
      </c>
      <c r="D213" s="23" t="s">
        <v>767</v>
      </c>
      <c r="E213" s="43">
        <v>46125</v>
      </c>
      <c r="F213" s="26" t="s">
        <v>23</v>
      </c>
      <c r="G213" s="26" t="s">
        <v>24</v>
      </c>
      <c r="H213" s="26" t="s">
        <v>25</v>
      </c>
      <c r="I213" s="26" t="s">
        <v>26</v>
      </c>
      <c r="J213" s="26" t="s">
        <v>24</v>
      </c>
      <c r="K213" s="27"/>
      <c r="L213" s="28" t="s">
        <v>25</v>
      </c>
      <c r="M213" s="29" t="str">
        <f t="shared" si="15"/>
        <v>✓ OK</v>
      </c>
      <c r="N213" s="43">
        <v>46193</v>
      </c>
      <c r="O213" s="26" t="s">
        <v>23</v>
      </c>
      <c r="P213" s="26" t="s">
        <v>24</v>
      </c>
      <c r="Q213" s="26" t="s">
        <v>25</v>
      </c>
      <c r="R213" s="26" t="s">
        <v>26</v>
      </c>
      <c r="S213" s="26" t="s">
        <v>24</v>
      </c>
      <c r="T213" s="27"/>
      <c r="U213" s="28" t="s">
        <v>25</v>
      </c>
      <c r="V213" s="29" t="str">
        <f t="shared" si="16"/>
        <v>✓ OK</v>
      </c>
      <c r="W213" s="45">
        <v>46248</v>
      </c>
      <c r="X213" s="30" t="s">
        <v>23</v>
      </c>
      <c r="Y213" s="30" t="s">
        <v>24</v>
      </c>
      <c r="Z213" s="30" t="s">
        <v>25</v>
      </c>
      <c r="AA213" s="30" t="s">
        <v>26</v>
      </c>
      <c r="AB213" s="30" t="s">
        <v>24</v>
      </c>
      <c r="AC213" s="27"/>
      <c r="AD213" s="31" t="s">
        <v>25</v>
      </c>
      <c r="AE213" s="32" t="str">
        <f t="shared" si="17"/>
        <v>✓ OK</v>
      </c>
      <c r="AF213" s="33" t="s">
        <v>27</v>
      </c>
      <c r="AG213" s="33" t="s">
        <v>23</v>
      </c>
      <c r="AH213" s="33" t="s">
        <v>24</v>
      </c>
      <c r="AI213" s="33" t="s">
        <v>25</v>
      </c>
      <c r="AJ213" s="33" t="s">
        <v>26</v>
      </c>
      <c r="AK213" s="33" t="s">
        <v>24</v>
      </c>
      <c r="AL213" s="27"/>
      <c r="AM213" s="34" t="s">
        <v>25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8" customHeight="1" x14ac:dyDescent="0.3">
      <c r="A214" s="39">
        <v>218</v>
      </c>
      <c r="B214" s="40" t="s">
        <v>1066</v>
      </c>
      <c r="C214" s="41" t="s">
        <v>1067</v>
      </c>
      <c r="D214" s="39" t="s">
        <v>767</v>
      </c>
      <c r="E214" s="43">
        <v>46125</v>
      </c>
      <c r="F214" s="26" t="s">
        <v>23</v>
      </c>
      <c r="G214" s="26" t="s">
        <v>24</v>
      </c>
      <c r="H214" s="26" t="s">
        <v>25</v>
      </c>
      <c r="I214" s="26" t="s">
        <v>26</v>
      </c>
      <c r="J214" s="26" t="s">
        <v>24</v>
      </c>
      <c r="K214" s="27"/>
      <c r="L214" s="28" t="s">
        <v>25</v>
      </c>
      <c r="M214" s="29" t="str">
        <f t="shared" si="15"/>
        <v>✓ OK</v>
      </c>
      <c r="N214" s="43">
        <v>46193</v>
      </c>
      <c r="O214" s="26" t="s">
        <v>23</v>
      </c>
      <c r="P214" s="26" t="s">
        <v>24</v>
      </c>
      <c r="Q214" s="26" t="s">
        <v>25</v>
      </c>
      <c r="R214" s="26" t="s">
        <v>26</v>
      </c>
      <c r="S214" s="26" t="s">
        <v>24</v>
      </c>
      <c r="T214" s="27"/>
      <c r="U214" s="28" t="s">
        <v>25</v>
      </c>
      <c r="V214" s="29" t="str">
        <f t="shared" si="16"/>
        <v>✓ OK</v>
      </c>
      <c r="W214" s="45">
        <v>46248</v>
      </c>
      <c r="X214" s="30" t="s">
        <v>23</v>
      </c>
      <c r="Y214" s="30" t="s">
        <v>24</v>
      </c>
      <c r="Z214" s="30" t="s">
        <v>25</v>
      </c>
      <c r="AA214" s="30" t="s">
        <v>26</v>
      </c>
      <c r="AB214" s="30" t="s">
        <v>24</v>
      </c>
      <c r="AC214" s="27"/>
      <c r="AD214" s="31" t="s">
        <v>25</v>
      </c>
      <c r="AE214" s="32" t="str">
        <f t="shared" si="17"/>
        <v>✓ OK</v>
      </c>
      <c r="AF214" s="33" t="s">
        <v>27</v>
      </c>
      <c r="AG214" s="33" t="s">
        <v>23</v>
      </c>
      <c r="AH214" s="33" t="s">
        <v>24</v>
      </c>
      <c r="AI214" s="33" t="s">
        <v>25</v>
      </c>
      <c r="AJ214" s="33" t="s">
        <v>26</v>
      </c>
      <c r="AK214" s="33" t="s">
        <v>24</v>
      </c>
      <c r="AL214" s="27"/>
      <c r="AM214" s="34" t="s">
        <v>25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8" customHeight="1" x14ac:dyDescent="0.3">
      <c r="A215" s="23">
        <v>219</v>
      </c>
      <c r="B215" s="24" t="s">
        <v>1068</v>
      </c>
      <c r="C215" s="25" t="s">
        <v>1069</v>
      </c>
      <c r="D215" s="23" t="s">
        <v>767</v>
      </c>
      <c r="E215" s="43">
        <v>46125</v>
      </c>
      <c r="F215" s="26" t="s">
        <v>23</v>
      </c>
      <c r="G215" s="26" t="s">
        <v>24</v>
      </c>
      <c r="H215" s="26" t="s">
        <v>25</v>
      </c>
      <c r="I215" s="26" t="s">
        <v>731</v>
      </c>
      <c r="J215" s="26" t="s">
        <v>25</v>
      </c>
      <c r="K215" s="27" t="s">
        <v>740</v>
      </c>
      <c r="L215" s="28" t="s">
        <v>24</v>
      </c>
      <c r="M215" s="29" t="str">
        <f t="shared" si="15"/>
        <v>⚠ Check</v>
      </c>
      <c r="N215" s="43">
        <v>46193</v>
      </c>
      <c r="O215" s="26" t="s">
        <v>23</v>
      </c>
      <c r="P215" s="26" t="s">
        <v>24</v>
      </c>
      <c r="Q215" s="26" t="s">
        <v>25</v>
      </c>
      <c r="R215" s="26" t="s">
        <v>731</v>
      </c>
      <c r="S215" s="26" t="s">
        <v>25</v>
      </c>
      <c r="T215" s="27" t="s">
        <v>740</v>
      </c>
      <c r="U215" s="28" t="s">
        <v>24</v>
      </c>
      <c r="V215" s="29" t="str">
        <f t="shared" si="16"/>
        <v>⚠ Check</v>
      </c>
      <c r="W215" s="45">
        <v>46248</v>
      </c>
      <c r="X215" s="30" t="s">
        <v>23</v>
      </c>
      <c r="Y215" s="30" t="s">
        <v>24</v>
      </c>
      <c r="Z215" s="30" t="s">
        <v>25</v>
      </c>
      <c r="AA215" s="30" t="s">
        <v>26</v>
      </c>
      <c r="AB215" s="30" t="s">
        <v>24</v>
      </c>
      <c r="AC215" s="27"/>
      <c r="AD215" s="31" t="s">
        <v>24</v>
      </c>
      <c r="AE215" s="32" t="str">
        <f t="shared" si="17"/>
        <v>✓ OK</v>
      </c>
      <c r="AF215" s="33" t="s">
        <v>27</v>
      </c>
      <c r="AG215" s="33" t="s">
        <v>23</v>
      </c>
      <c r="AH215" s="33" t="s">
        <v>24</v>
      </c>
      <c r="AI215" s="33" t="s">
        <v>25</v>
      </c>
      <c r="AJ215" s="33" t="s">
        <v>26</v>
      </c>
      <c r="AK215" s="33" t="s">
        <v>24</v>
      </c>
      <c r="AL215" s="27"/>
      <c r="AM215" s="34" t="s">
        <v>25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8" customHeight="1" x14ac:dyDescent="0.3">
      <c r="A216" s="39">
        <v>220</v>
      </c>
      <c r="B216" s="40" t="s">
        <v>1070</v>
      </c>
      <c r="C216" s="41" t="s">
        <v>1071</v>
      </c>
      <c r="D216" s="39" t="s">
        <v>767</v>
      </c>
      <c r="E216" s="43">
        <v>46125</v>
      </c>
      <c r="F216" s="26" t="s">
        <v>23</v>
      </c>
      <c r="G216" s="26" t="s">
        <v>24</v>
      </c>
      <c r="H216" s="26" t="s">
        <v>25</v>
      </c>
      <c r="I216" s="26" t="s">
        <v>26</v>
      </c>
      <c r="J216" s="26" t="s">
        <v>24</v>
      </c>
      <c r="K216" s="27"/>
      <c r="L216" s="28" t="s">
        <v>25</v>
      </c>
      <c r="M216" s="29" t="str">
        <f t="shared" si="15"/>
        <v>✓ OK</v>
      </c>
      <c r="N216" s="43">
        <v>46193</v>
      </c>
      <c r="O216" s="26" t="s">
        <v>23</v>
      </c>
      <c r="P216" s="26" t="s">
        <v>24</v>
      </c>
      <c r="Q216" s="26" t="s">
        <v>25</v>
      </c>
      <c r="R216" s="26" t="s">
        <v>26</v>
      </c>
      <c r="S216" s="26" t="s">
        <v>24</v>
      </c>
      <c r="T216" s="27"/>
      <c r="U216" s="28" t="s">
        <v>25</v>
      </c>
      <c r="V216" s="29" t="str">
        <f t="shared" si="16"/>
        <v>✓ OK</v>
      </c>
      <c r="W216" s="45">
        <v>46248</v>
      </c>
      <c r="X216" s="30" t="s">
        <v>23</v>
      </c>
      <c r="Y216" s="30" t="s">
        <v>24</v>
      </c>
      <c r="Z216" s="30" t="s">
        <v>25</v>
      </c>
      <c r="AA216" s="30" t="s">
        <v>26</v>
      </c>
      <c r="AB216" s="30" t="s">
        <v>24</v>
      </c>
      <c r="AC216" s="27"/>
      <c r="AD216" s="31" t="s">
        <v>25</v>
      </c>
      <c r="AE216" s="32" t="str">
        <f t="shared" si="17"/>
        <v>✓ OK</v>
      </c>
      <c r="AF216" s="33" t="s">
        <v>27</v>
      </c>
      <c r="AG216" s="33" t="s">
        <v>23</v>
      </c>
      <c r="AH216" s="33" t="s">
        <v>24</v>
      </c>
      <c r="AI216" s="33" t="s">
        <v>25</v>
      </c>
      <c r="AJ216" s="33" t="s">
        <v>26</v>
      </c>
      <c r="AK216" s="33" t="s">
        <v>24</v>
      </c>
      <c r="AL216" s="27"/>
      <c r="AM216" s="34" t="s">
        <v>25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8" customHeight="1" x14ac:dyDescent="0.3">
      <c r="A217" s="23">
        <v>221</v>
      </c>
      <c r="B217" s="24" t="s">
        <v>1072</v>
      </c>
      <c r="C217" s="25" t="s">
        <v>1073</v>
      </c>
      <c r="D217" s="23" t="s">
        <v>767</v>
      </c>
      <c r="E217" s="43">
        <v>46125</v>
      </c>
      <c r="F217" s="26" t="s">
        <v>23</v>
      </c>
      <c r="G217" s="26" t="s">
        <v>24</v>
      </c>
      <c r="H217" s="26" t="s">
        <v>25</v>
      </c>
      <c r="I217" s="26" t="s">
        <v>26</v>
      </c>
      <c r="J217" s="26" t="s">
        <v>24</v>
      </c>
      <c r="K217" s="27"/>
      <c r="L217" s="28" t="s">
        <v>25</v>
      </c>
      <c r="M217" s="29" t="str">
        <f t="shared" si="15"/>
        <v>✓ OK</v>
      </c>
      <c r="N217" s="43">
        <v>46193</v>
      </c>
      <c r="O217" s="26" t="s">
        <v>23</v>
      </c>
      <c r="P217" s="26" t="s">
        <v>24</v>
      </c>
      <c r="Q217" s="26" t="s">
        <v>25</v>
      </c>
      <c r="R217" s="26" t="s">
        <v>26</v>
      </c>
      <c r="S217" s="26" t="s">
        <v>24</v>
      </c>
      <c r="T217" s="27"/>
      <c r="U217" s="28" t="s">
        <v>25</v>
      </c>
      <c r="V217" s="29" t="str">
        <f t="shared" si="16"/>
        <v>✓ OK</v>
      </c>
      <c r="W217" s="45">
        <v>46248</v>
      </c>
      <c r="X217" s="30" t="s">
        <v>23</v>
      </c>
      <c r="Y217" s="30" t="s">
        <v>24</v>
      </c>
      <c r="Z217" s="30" t="s">
        <v>25</v>
      </c>
      <c r="AA217" s="30" t="s">
        <v>26</v>
      </c>
      <c r="AB217" s="30" t="s">
        <v>24</v>
      </c>
      <c r="AC217" s="27"/>
      <c r="AD217" s="31" t="s">
        <v>25</v>
      </c>
      <c r="AE217" s="32" t="str">
        <f t="shared" si="17"/>
        <v>✓ OK</v>
      </c>
      <c r="AF217" s="33" t="s">
        <v>27</v>
      </c>
      <c r="AG217" s="33" t="s">
        <v>23</v>
      </c>
      <c r="AH217" s="33" t="s">
        <v>24</v>
      </c>
      <c r="AI217" s="33" t="s">
        <v>25</v>
      </c>
      <c r="AJ217" s="33" t="s">
        <v>26</v>
      </c>
      <c r="AK217" s="33" t="s">
        <v>24</v>
      </c>
      <c r="AL217" s="27"/>
      <c r="AM217" s="34" t="s">
        <v>25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8" customHeight="1" x14ac:dyDescent="0.3">
      <c r="A218" s="39">
        <v>222</v>
      </c>
      <c r="B218" s="40" t="s">
        <v>1074</v>
      </c>
      <c r="C218" s="41" t="s">
        <v>1075</v>
      </c>
      <c r="D218" s="39" t="s">
        <v>767</v>
      </c>
      <c r="E218" s="43">
        <v>46125</v>
      </c>
      <c r="F218" s="26" t="s">
        <v>23</v>
      </c>
      <c r="G218" s="26" t="s">
        <v>24</v>
      </c>
      <c r="H218" s="26" t="s">
        <v>25</v>
      </c>
      <c r="I218" s="26" t="s">
        <v>26</v>
      </c>
      <c r="J218" s="26" t="s">
        <v>24</v>
      </c>
      <c r="K218" s="27" t="s">
        <v>822</v>
      </c>
      <c r="L218" s="28" t="s">
        <v>25</v>
      </c>
      <c r="M218" s="29" t="str">
        <f t="shared" si="15"/>
        <v>✓ OK</v>
      </c>
      <c r="N218" s="43">
        <v>46193</v>
      </c>
      <c r="O218" s="26" t="s">
        <v>23</v>
      </c>
      <c r="P218" s="26" t="s">
        <v>25</v>
      </c>
      <c r="Q218" s="26" t="s">
        <v>24</v>
      </c>
      <c r="R218" s="26" t="s">
        <v>135</v>
      </c>
      <c r="S218" s="26" t="s">
        <v>25</v>
      </c>
      <c r="T218" s="27"/>
      <c r="U218" s="28" t="s">
        <v>25</v>
      </c>
      <c r="V218" s="29" t="str">
        <f t="shared" si="16"/>
        <v>❌ Disc</v>
      </c>
      <c r="W218" s="45">
        <v>46248</v>
      </c>
      <c r="X218" s="30" t="s">
        <v>23</v>
      </c>
      <c r="Y218" s="30" t="s">
        <v>25</v>
      </c>
      <c r="Z218" s="30" t="s">
        <v>24</v>
      </c>
      <c r="AA218" s="30" t="s">
        <v>135</v>
      </c>
      <c r="AB218" s="30" t="s">
        <v>25</v>
      </c>
      <c r="AC218" s="27"/>
      <c r="AD218" s="31" t="s">
        <v>25</v>
      </c>
      <c r="AE218" s="32" t="str">
        <f t="shared" si="17"/>
        <v>❌ Disc</v>
      </c>
      <c r="AF218" s="33" t="s">
        <v>27</v>
      </c>
      <c r="AG218" s="33" t="s">
        <v>23</v>
      </c>
      <c r="AH218" s="33" t="s">
        <v>25</v>
      </c>
      <c r="AI218" s="33" t="s">
        <v>24</v>
      </c>
      <c r="AJ218" s="33" t="s">
        <v>135</v>
      </c>
      <c r="AK218" s="33" t="s">
        <v>25</v>
      </c>
      <c r="AL218" s="27"/>
      <c r="AM218" s="34" t="s">
        <v>25</v>
      </c>
      <c r="AN218" s="35" t="str">
        <f t="shared" si="18"/>
        <v>❌ Disc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8" customHeight="1" x14ac:dyDescent="0.3">
      <c r="A219" s="23">
        <v>223</v>
      </c>
      <c r="B219" s="24" t="s">
        <v>1076</v>
      </c>
      <c r="C219" s="25" t="s">
        <v>1077</v>
      </c>
      <c r="D219" s="23" t="s">
        <v>767</v>
      </c>
      <c r="E219" s="43">
        <v>46125</v>
      </c>
      <c r="F219" s="26" t="s">
        <v>23</v>
      </c>
      <c r="G219" s="26" t="s">
        <v>24</v>
      </c>
      <c r="H219" s="26" t="s">
        <v>25</v>
      </c>
      <c r="I219" s="26" t="s">
        <v>26</v>
      </c>
      <c r="J219" s="26" t="s">
        <v>24</v>
      </c>
      <c r="K219" s="27"/>
      <c r="L219" s="28" t="s">
        <v>25</v>
      </c>
      <c r="M219" s="29" t="str">
        <f t="shared" si="15"/>
        <v>✓ OK</v>
      </c>
      <c r="N219" s="43">
        <v>46193</v>
      </c>
      <c r="O219" s="26" t="s">
        <v>23</v>
      </c>
      <c r="P219" s="26" t="s">
        <v>24</v>
      </c>
      <c r="Q219" s="26" t="s">
        <v>25</v>
      </c>
      <c r="R219" s="26" t="s">
        <v>26</v>
      </c>
      <c r="S219" s="26" t="s">
        <v>24</v>
      </c>
      <c r="T219" s="27"/>
      <c r="U219" s="28" t="s">
        <v>25</v>
      </c>
      <c r="V219" s="29" t="str">
        <f t="shared" si="16"/>
        <v>✓ OK</v>
      </c>
      <c r="W219" s="45">
        <v>46248</v>
      </c>
      <c r="X219" s="30" t="s">
        <v>23</v>
      </c>
      <c r="Y219" s="30" t="s">
        <v>24</v>
      </c>
      <c r="Z219" s="30" t="s">
        <v>25</v>
      </c>
      <c r="AA219" s="30" t="s">
        <v>26</v>
      </c>
      <c r="AB219" s="30" t="s">
        <v>24</v>
      </c>
      <c r="AC219" s="27"/>
      <c r="AD219" s="31" t="s">
        <v>25</v>
      </c>
      <c r="AE219" s="32" t="str">
        <f t="shared" si="17"/>
        <v>✓ OK</v>
      </c>
      <c r="AF219" s="33" t="s">
        <v>27</v>
      </c>
      <c r="AG219" s="33" t="s">
        <v>23</v>
      </c>
      <c r="AH219" s="33" t="s">
        <v>24</v>
      </c>
      <c r="AI219" s="33" t="s">
        <v>25</v>
      </c>
      <c r="AJ219" s="33" t="s">
        <v>26</v>
      </c>
      <c r="AK219" s="33" t="s">
        <v>24</v>
      </c>
      <c r="AL219" s="27"/>
      <c r="AM219" s="34" t="s">
        <v>25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8" customHeight="1" x14ac:dyDescent="0.3">
      <c r="A220" s="39">
        <v>224</v>
      </c>
      <c r="B220" s="40" t="s">
        <v>1078</v>
      </c>
      <c r="C220" s="41" t="s">
        <v>1079</v>
      </c>
      <c r="D220" s="39" t="s">
        <v>767</v>
      </c>
      <c r="E220" s="43">
        <v>46125</v>
      </c>
      <c r="F220" s="26" t="s">
        <v>23</v>
      </c>
      <c r="G220" s="26" t="s">
        <v>24</v>
      </c>
      <c r="H220" s="26" t="s">
        <v>25</v>
      </c>
      <c r="I220" s="26" t="s">
        <v>26</v>
      </c>
      <c r="J220" s="26" t="s">
        <v>24</v>
      </c>
      <c r="K220" s="27"/>
      <c r="L220" s="28" t="s">
        <v>25</v>
      </c>
      <c r="M220" s="29" t="str">
        <f t="shared" si="15"/>
        <v>✓ OK</v>
      </c>
      <c r="N220" s="43">
        <v>46193</v>
      </c>
      <c r="O220" s="26" t="s">
        <v>23</v>
      </c>
      <c r="P220" s="26" t="s">
        <v>24</v>
      </c>
      <c r="Q220" s="26" t="s">
        <v>25</v>
      </c>
      <c r="R220" s="26" t="s">
        <v>26</v>
      </c>
      <c r="S220" s="26" t="s">
        <v>24</v>
      </c>
      <c r="T220" s="27"/>
      <c r="U220" s="28" t="s">
        <v>25</v>
      </c>
      <c r="V220" s="29" t="str">
        <f t="shared" si="16"/>
        <v>✓ OK</v>
      </c>
      <c r="W220" s="45">
        <v>46248</v>
      </c>
      <c r="X220" s="30" t="s">
        <v>23</v>
      </c>
      <c r="Y220" s="30" t="s">
        <v>24</v>
      </c>
      <c r="Z220" s="30" t="s">
        <v>25</v>
      </c>
      <c r="AA220" s="30" t="s">
        <v>26</v>
      </c>
      <c r="AB220" s="30" t="s">
        <v>24</v>
      </c>
      <c r="AC220" s="27"/>
      <c r="AD220" s="31" t="s">
        <v>25</v>
      </c>
      <c r="AE220" s="32" t="str">
        <f t="shared" si="17"/>
        <v>✓ OK</v>
      </c>
      <c r="AF220" s="33" t="s">
        <v>27</v>
      </c>
      <c r="AG220" s="33" t="s">
        <v>23</v>
      </c>
      <c r="AH220" s="33" t="s">
        <v>24</v>
      </c>
      <c r="AI220" s="33" t="s">
        <v>25</v>
      </c>
      <c r="AJ220" s="33" t="s">
        <v>26</v>
      </c>
      <c r="AK220" s="33" t="s">
        <v>24</v>
      </c>
      <c r="AL220" s="27"/>
      <c r="AM220" s="34" t="s">
        <v>25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8" customHeight="1" x14ac:dyDescent="0.3">
      <c r="A221" s="23">
        <v>225</v>
      </c>
      <c r="B221" s="24" t="s">
        <v>1080</v>
      </c>
      <c r="C221" s="25" t="s">
        <v>1081</v>
      </c>
      <c r="D221" s="23" t="s">
        <v>767</v>
      </c>
      <c r="E221" s="43">
        <v>46125</v>
      </c>
      <c r="F221" s="26" t="s">
        <v>23</v>
      </c>
      <c r="G221" s="26" t="s">
        <v>24</v>
      </c>
      <c r="H221" s="26" t="s">
        <v>25</v>
      </c>
      <c r="I221" s="26" t="s">
        <v>26</v>
      </c>
      <c r="J221" s="26" t="s">
        <v>24</v>
      </c>
      <c r="K221" s="27"/>
      <c r="L221" s="28" t="s">
        <v>25</v>
      </c>
      <c r="M221" s="29" t="str">
        <f t="shared" si="15"/>
        <v>✓ OK</v>
      </c>
      <c r="N221" s="43">
        <v>46193</v>
      </c>
      <c r="O221" s="26" t="s">
        <v>23</v>
      </c>
      <c r="P221" s="26" t="s">
        <v>24</v>
      </c>
      <c r="Q221" s="26" t="s">
        <v>25</v>
      </c>
      <c r="R221" s="26" t="s">
        <v>26</v>
      </c>
      <c r="S221" s="26" t="s">
        <v>24</v>
      </c>
      <c r="T221" s="27"/>
      <c r="U221" s="28" t="s">
        <v>25</v>
      </c>
      <c r="V221" s="29" t="str">
        <f t="shared" si="16"/>
        <v>✓ OK</v>
      </c>
      <c r="W221" s="45">
        <v>46248</v>
      </c>
      <c r="X221" s="30" t="s">
        <v>23</v>
      </c>
      <c r="Y221" s="30" t="s">
        <v>24</v>
      </c>
      <c r="Z221" s="30" t="s">
        <v>25</v>
      </c>
      <c r="AA221" s="30" t="s">
        <v>26</v>
      </c>
      <c r="AB221" s="30" t="s">
        <v>24</v>
      </c>
      <c r="AC221" s="27"/>
      <c r="AD221" s="31" t="s">
        <v>25</v>
      </c>
      <c r="AE221" s="32" t="str">
        <f t="shared" si="17"/>
        <v>✓ OK</v>
      </c>
      <c r="AF221" s="33" t="s">
        <v>27</v>
      </c>
      <c r="AG221" s="33" t="s">
        <v>23</v>
      </c>
      <c r="AH221" s="33" t="s">
        <v>24</v>
      </c>
      <c r="AI221" s="33" t="s">
        <v>25</v>
      </c>
      <c r="AJ221" s="33" t="s">
        <v>26</v>
      </c>
      <c r="AK221" s="33" t="s">
        <v>24</v>
      </c>
      <c r="AL221" s="27"/>
      <c r="AM221" s="34" t="s">
        <v>25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8" customHeight="1" x14ac:dyDescent="0.3">
      <c r="A222" s="39">
        <v>226</v>
      </c>
      <c r="B222" s="40" t="s">
        <v>1082</v>
      </c>
      <c r="C222" s="41" t="s">
        <v>1083</v>
      </c>
      <c r="D222" s="39" t="s">
        <v>767</v>
      </c>
      <c r="E222" s="43">
        <v>46125</v>
      </c>
      <c r="F222" s="26" t="s">
        <v>23</v>
      </c>
      <c r="G222" s="26" t="s">
        <v>24</v>
      </c>
      <c r="H222" s="26" t="s">
        <v>25</v>
      </c>
      <c r="I222" s="26" t="s">
        <v>26</v>
      </c>
      <c r="J222" s="26" t="s">
        <v>24</v>
      </c>
      <c r="K222" s="27"/>
      <c r="L222" s="28" t="s">
        <v>25</v>
      </c>
      <c r="M222" s="29" t="str">
        <f t="shared" si="15"/>
        <v>✓ OK</v>
      </c>
      <c r="N222" s="43">
        <v>46193</v>
      </c>
      <c r="O222" s="26" t="s">
        <v>23</v>
      </c>
      <c r="P222" s="26" t="s">
        <v>25</v>
      </c>
      <c r="Q222" s="26" t="s">
        <v>24</v>
      </c>
      <c r="R222" s="26" t="s">
        <v>135</v>
      </c>
      <c r="S222" s="26" t="s">
        <v>25</v>
      </c>
      <c r="T222" s="27"/>
      <c r="U222" s="28" t="s">
        <v>25</v>
      </c>
      <c r="V222" s="29" t="str">
        <f t="shared" si="16"/>
        <v>❌ Disc</v>
      </c>
      <c r="W222" s="45">
        <v>46248</v>
      </c>
      <c r="X222" s="30" t="s">
        <v>23</v>
      </c>
      <c r="Y222" s="30" t="s">
        <v>25</v>
      </c>
      <c r="Z222" s="30" t="s">
        <v>24</v>
      </c>
      <c r="AA222" s="30" t="s">
        <v>135</v>
      </c>
      <c r="AB222" s="30" t="s">
        <v>25</v>
      </c>
      <c r="AC222" s="27"/>
      <c r="AD222" s="31" t="s">
        <v>25</v>
      </c>
      <c r="AE222" s="32" t="str">
        <f t="shared" si="17"/>
        <v>❌ Disc</v>
      </c>
      <c r="AF222" s="33" t="s">
        <v>27</v>
      </c>
      <c r="AG222" s="33" t="s">
        <v>23</v>
      </c>
      <c r="AH222" s="33" t="s">
        <v>25</v>
      </c>
      <c r="AI222" s="33" t="s">
        <v>24</v>
      </c>
      <c r="AJ222" s="33" t="s">
        <v>135</v>
      </c>
      <c r="AK222" s="33" t="s">
        <v>25</v>
      </c>
      <c r="AL222" s="27"/>
      <c r="AM222" s="34" t="s">
        <v>25</v>
      </c>
      <c r="AN222" s="35" t="str">
        <f t="shared" si="18"/>
        <v>❌ Disc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8" customHeight="1" x14ac:dyDescent="0.3">
      <c r="A223" s="23">
        <v>227</v>
      </c>
      <c r="B223" s="24" t="s">
        <v>1084</v>
      </c>
      <c r="C223" s="25" t="s">
        <v>1085</v>
      </c>
      <c r="D223" s="23" t="s">
        <v>767</v>
      </c>
      <c r="E223" s="43">
        <v>46125</v>
      </c>
      <c r="F223" s="26" t="s">
        <v>23</v>
      </c>
      <c r="G223" s="26" t="s">
        <v>24</v>
      </c>
      <c r="H223" s="26" t="s">
        <v>25</v>
      </c>
      <c r="I223" s="26" t="s">
        <v>26</v>
      </c>
      <c r="J223" s="26" t="s">
        <v>24</v>
      </c>
      <c r="K223" s="27"/>
      <c r="L223" s="28" t="s">
        <v>25</v>
      </c>
      <c r="M223" s="29" t="str">
        <f t="shared" si="15"/>
        <v>✓ OK</v>
      </c>
      <c r="N223" s="43">
        <v>46193</v>
      </c>
      <c r="O223" s="26" t="s">
        <v>23</v>
      </c>
      <c r="P223" s="26" t="s">
        <v>25</v>
      </c>
      <c r="Q223" s="26" t="s">
        <v>24</v>
      </c>
      <c r="R223" s="26" t="s">
        <v>135</v>
      </c>
      <c r="S223" s="26" t="s">
        <v>25</v>
      </c>
      <c r="T223" s="27"/>
      <c r="U223" s="28" t="s">
        <v>25</v>
      </c>
      <c r="V223" s="29" t="str">
        <f t="shared" si="16"/>
        <v>❌ Disc</v>
      </c>
      <c r="W223" s="45">
        <v>46248</v>
      </c>
      <c r="X223" s="30" t="s">
        <v>23</v>
      </c>
      <c r="Y223" s="30" t="s">
        <v>25</v>
      </c>
      <c r="Z223" s="30" t="s">
        <v>24</v>
      </c>
      <c r="AA223" s="30" t="s">
        <v>135</v>
      </c>
      <c r="AB223" s="30" t="s">
        <v>25</v>
      </c>
      <c r="AC223" s="27"/>
      <c r="AD223" s="31" t="s">
        <v>25</v>
      </c>
      <c r="AE223" s="32" t="str">
        <f t="shared" si="17"/>
        <v>❌ Disc</v>
      </c>
      <c r="AF223" s="33" t="s">
        <v>27</v>
      </c>
      <c r="AG223" s="33" t="s">
        <v>23</v>
      </c>
      <c r="AH223" s="33" t="s">
        <v>25</v>
      </c>
      <c r="AI223" s="33" t="s">
        <v>24</v>
      </c>
      <c r="AJ223" s="33" t="s">
        <v>135</v>
      </c>
      <c r="AK223" s="33" t="s">
        <v>25</v>
      </c>
      <c r="AL223" s="27"/>
      <c r="AM223" s="34" t="s">
        <v>25</v>
      </c>
      <c r="AN223" s="35" t="str">
        <f t="shared" si="18"/>
        <v>❌ Disc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8" customHeight="1" x14ac:dyDescent="0.3">
      <c r="A224" s="39">
        <v>228</v>
      </c>
      <c r="B224" s="40" t="s">
        <v>1086</v>
      </c>
      <c r="C224" s="41" t="s">
        <v>1087</v>
      </c>
      <c r="D224" s="39" t="s">
        <v>767</v>
      </c>
      <c r="E224" s="43">
        <v>46125</v>
      </c>
      <c r="F224" s="26" t="s">
        <v>23</v>
      </c>
      <c r="G224" s="26" t="s">
        <v>24</v>
      </c>
      <c r="H224" s="26" t="s">
        <v>25</v>
      </c>
      <c r="I224" s="26" t="s">
        <v>26</v>
      </c>
      <c r="J224" s="26" t="s">
        <v>24</v>
      </c>
      <c r="K224" s="27" t="s">
        <v>822</v>
      </c>
      <c r="L224" s="28" t="s">
        <v>25</v>
      </c>
      <c r="M224" s="29" t="str">
        <f t="shared" si="15"/>
        <v>✓ OK</v>
      </c>
      <c r="N224" s="43">
        <v>46193</v>
      </c>
      <c r="O224" s="26" t="s">
        <v>23</v>
      </c>
      <c r="P224" s="26" t="s">
        <v>25</v>
      </c>
      <c r="Q224" s="26" t="s">
        <v>24</v>
      </c>
      <c r="R224" s="26" t="s">
        <v>135</v>
      </c>
      <c r="S224" s="26" t="s">
        <v>25</v>
      </c>
      <c r="T224" s="27"/>
      <c r="U224" s="28" t="s">
        <v>25</v>
      </c>
      <c r="V224" s="29" t="str">
        <f t="shared" si="16"/>
        <v>❌ Disc</v>
      </c>
      <c r="W224" s="45">
        <v>46248</v>
      </c>
      <c r="X224" s="30" t="s">
        <v>23</v>
      </c>
      <c r="Y224" s="30" t="s">
        <v>25</v>
      </c>
      <c r="Z224" s="30" t="s">
        <v>24</v>
      </c>
      <c r="AA224" s="30" t="s">
        <v>135</v>
      </c>
      <c r="AB224" s="30" t="s">
        <v>25</v>
      </c>
      <c r="AC224" s="27"/>
      <c r="AD224" s="31" t="s">
        <v>25</v>
      </c>
      <c r="AE224" s="32" t="str">
        <f t="shared" si="17"/>
        <v>❌ Disc</v>
      </c>
      <c r="AF224" s="33" t="s">
        <v>27</v>
      </c>
      <c r="AG224" s="33" t="s">
        <v>23</v>
      </c>
      <c r="AH224" s="33" t="s">
        <v>25</v>
      </c>
      <c r="AI224" s="33" t="s">
        <v>24</v>
      </c>
      <c r="AJ224" s="33" t="s">
        <v>135</v>
      </c>
      <c r="AK224" s="33" t="s">
        <v>25</v>
      </c>
      <c r="AL224" s="27"/>
      <c r="AM224" s="34" t="s">
        <v>25</v>
      </c>
      <c r="AN224" s="35" t="str">
        <f t="shared" si="18"/>
        <v>❌ Disc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8" customHeight="1" x14ac:dyDescent="0.3">
      <c r="A225" s="23">
        <v>229</v>
      </c>
      <c r="B225" s="24" t="s">
        <v>1088</v>
      </c>
      <c r="C225" s="25" t="s">
        <v>1089</v>
      </c>
      <c r="D225" s="23" t="s">
        <v>767</v>
      </c>
      <c r="E225" s="43">
        <v>46125</v>
      </c>
      <c r="F225" s="26" t="s">
        <v>23</v>
      </c>
      <c r="G225" s="26" t="s">
        <v>24</v>
      </c>
      <c r="H225" s="26" t="s">
        <v>25</v>
      </c>
      <c r="I225" s="26" t="s">
        <v>26</v>
      </c>
      <c r="J225" s="26" t="s">
        <v>24</v>
      </c>
      <c r="K225" s="27"/>
      <c r="L225" s="28" t="s">
        <v>25</v>
      </c>
      <c r="M225" s="29" t="str">
        <f t="shared" si="15"/>
        <v>✓ OK</v>
      </c>
      <c r="N225" s="43">
        <v>46193</v>
      </c>
      <c r="O225" s="26" t="s">
        <v>23</v>
      </c>
      <c r="P225" s="26" t="s">
        <v>24</v>
      </c>
      <c r="Q225" s="26" t="s">
        <v>25</v>
      </c>
      <c r="R225" s="26" t="s">
        <v>26</v>
      </c>
      <c r="S225" s="26" t="s">
        <v>24</v>
      </c>
      <c r="T225" s="27"/>
      <c r="U225" s="28" t="s">
        <v>25</v>
      </c>
      <c r="V225" s="29" t="str">
        <f t="shared" si="16"/>
        <v>✓ OK</v>
      </c>
      <c r="W225" s="45">
        <v>46248</v>
      </c>
      <c r="X225" s="30" t="s">
        <v>23</v>
      </c>
      <c r="Y225" s="30" t="s">
        <v>25</v>
      </c>
      <c r="Z225" s="30" t="s">
        <v>24</v>
      </c>
      <c r="AA225" s="30" t="s">
        <v>135</v>
      </c>
      <c r="AB225" s="30" t="s">
        <v>25</v>
      </c>
      <c r="AC225" s="27"/>
      <c r="AD225" s="31" t="s">
        <v>25</v>
      </c>
      <c r="AE225" s="32" t="str">
        <f t="shared" si="17"/>
        <v>❌ Disc</v>
      </c>
      <c r="AF225" s="33" t="s">
        <v>27</v>
      </c>
      <c r="AG225" s="33" t="s">
        <v>23</v>
      </c>
      <c r="AH225" s="33" t="s">
        <v>25</v>
      </c>
      <c r="AI225" s="33" t="s">
        <v>24</v>
      </c>
      <c r="AJ225" s="33" t="s">
        <v>135</v>
      </c>
      <c r="AK225" s="33" t="s">
        <v>25</v>
      </c>
      <c r="AL225" s="27"/>
      <c r="AM225" s="34" t="s">
        <v>25</v>
      </c>
      <c r="AN225" s="35" t="str">
        <f t="shared" si="18"/>
        <v>❌ Disc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8" customHeight="1" x14ac:dyDescent="0.3">
      <c r="A226" s="39">
        <v>230</v>
      </c>
      <c r="B226" s="40" t="s">
        <v>1090</v>
      </c>
      <c r="C226" s="41" t="s">
        <v>1091</v>
      </c>
      <c r="D226" s="39" t="s">
        <v>767</v>
      </c>
      <c r="E226" s="43">
        <v>46125</v>
      </c>
      <c r="F226" s="26" t="s">
        <v>23</v>
      </c>
      <c r="G226" s="26" t="s">
        <v>24</v>
      </c>
      <c r="H226" s="26" t="s">
        <v>25</v>
      </c>
      <c r="I226" s="26" t="s">
        <v>26</v>
      </c>
      <c r="J226" s="26" t="s">
        <v>24</v>
      </c>
      <c r="K226" s="27"/>
      <c r="L226" s="28" t="s">
        <v>25</v>
      </c>
      <c r="M226" s="29" t="str">
        <f t="shared" si="15"/>
        <v>✓ OK</v>
      </c>
      <c r="N226" s="43">
        <v>46193</v>
      </c>
      <c r="O226" s="26" t="s">
        <v>23</v>
      </c>
      <c r="P226" s="26" t="s">
        <v>24</v>
      </c>
      <c r="Q226" s="26" t="s">
        <v>25</v>
      </c>
      <c r="R226" s="26" t="s">
        <v>26</v>
      </c>
      <c r="S226" s="26" t="s">
        <v>24</v>
      </c>
      <c r="T226" s="27"/>
      <c r="U226" s="28" t="s">
        <v>25</v>
      </c>
      <c r="V226" s="29" t="str">
        <f t="shared" si="16"/>
        <v>✓ OK</v>
      </c>
      <c r="W226" s="45">
        <v>46248</v>
      </c>
      <c r="X226" s="30" t="s">
        <v>23</v>
      </c>
      <c r="Y226" s="30" t="s">
        <v>24</v>
      </c>
      <c r="Z226" s="30" t="s">
        <v>25</v>
      </c>
      <c r="AA226" s="30" t="s">
        <v>26</v>
      </c>
      <c r="AB226" s="30" t="s">
        <v>24</v>
      </c>
      <c r="AC226" s="27"/>
      <c r="AD226" s="31" t="s">
        <v>25</v>
      </c>
      <c r="AE226" s="32" t="str">
        <f t="shared" si="17"/>
        <v>✓ OK</v>
      </c>
      <c r="AF226" s="33" t="s">
        <v>27</v>
      </c>
      <c r="AG226" s="33" t="s">
        <v>23</v>
      </c>
      <c r="AH226" s="33" t="s">
        <v>24</v>
      </c>
      <c r="AI226" s="33" t="s">
        <v>25</v>
      </c>
      <c r="AJ226" s="33" t="s">
        <v>26</v>
      </c>
      <c r="AK226" s="33" t="s">
        <v>24</v>
      </c>
      <c r="AL226" s="27"/>
      <c r="AM226" s="34" t="s">
        <v>25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8" customHeight="1" x14ac:dyDescent="0.3">
      <c r="A227" s="23">
        <v>231</v>
      </c>
      <c r="B227" s="24" t="s">
        <v>1092</v>
      </c>
      <c r="C227" s="25" t="s">
        <v>1093</v>
      </c>
      <c r="D227" s="23" t="s">
        <v>767</v>
      </c>
      <c r="E227" s="43">
        <v>46125</v>
      </c>
      <c r="F227" s="26" t="s">
        <v>23</v>
      </c>
      <c r="G227" s="26" t="s">
        <v>24</v>
      </c>
      <c r="H227" s="26" t="s">
        <v>25</v>
      </c>
      <c r="I227" s="26" t="s">
        <v>26</v>
      </c>
      <c r="J227" s="26" t="s">
        <v>24</v>
      </c>
      <c r="K227" s="27" t="s">
        <v>822</v>
      </c>
      <c r="L227" s="28" t="s">
        <v>24</v>
      </c>
      <c r="M227" s="29" t="str">
        <f t="shared" si="15"/>
        <v>✓ OK</v>
      </c>
      <c r="N227" s="43">
        <v>46193</v>
      </c>
      <c r="O227" s="26" t="s">
        <v>23</v>
      </c>
      <c r="P227" s="26" t="s">
        <v>24</v>
      </c>
      <c r="Q227" s="26" t="s">
        <v>25</v>
      </c>
      <c r="R227" s="26" t="s">
        <v>26</v>
      </c>
      <c r="S227" s="26" t="s">
        <v>24</v>
      </c>
      <c r="T227" s="27" t="s">
        <v>822</v>
      </c>
      <c r="U227" s="28" t="s">
        <v>24</v>
      </c>
      <c r="V227" s="29" t="str">
        <f t="shared" si="16"/>
        <v>✓ OK</v>
      </c>
      <c r="W227" s="45">
        <v>46248</v>
      </c>
      <c r="X227" s="30" t="s">
        <v>23</v>
      </c>
      <c r="Y227" s="30" t="s">
        <v>24</v>
      </c>
      <c r="Z227" s="30" t="s">
        <v>25</v>
      </c>
      <c r="AA227" s="30" t="s">
        <v>26</v>
      </c>
      <c r="AB227" s="30" t="s">
        <v>24</v>
      </c>
      <c r="AC227" s="27" t="s">
        <v>822</v>
      </c>
      <c r="AD227" s="31" t="s">
        <v>24</v>
      </c>
      <c r="AE227" s="32" t="str">
        <f t="shared" si="17"/>
        <v>✓ OK</v>
      </c>
      <c r="AF227" s="33" t="s">
        <v>27</v>
      </c>
      <c r="AG227" s="33" t="s">
        <v>23</v>
      </c>
      <c r="AH227" s="33" t="s">
        <v>24</v>
      </c>
      <c r="AI227" s="33" t="s">
        <v>25</v>
      </c>
      <c r="AJ227" s="33" t="s">
        <v>26</v>
      </c>
      <c r="AK227" s="33" t="s">
        <v>24</v>
      </c>
      <c r="AL227" s="27" t="s">
        <v>822</v>
      </c>
      <c r="AM227" s="34" t="s">
        <v>24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8" customHeight="1" x14ac:dyDescent="0.3">
      <c r="A228" s="39">
        <v>232</v>
      </c>
      <c r="B228" s="40" t="s">
        <v>1094</v>
      </c>
      <c r="C228" s="41" t="s">
        <v>1095</v>
      </c>
      <c r="D228" s="39" t="s">
        <v>767</v>
      </c>
      <c r="E228" s="43">
        <v>46125</v>
      </c>
      <c r="F228" s="26" t="s">
        <v>23</v>
      </c>
      <c r="G228" s="26" t="s">
        <v>24</v>
      </c>
      <c r="H228" s="26" t="s">
        <v>25</v>
      </c>
      <c r="I228" s="26" t="s">
        <v>26</v>
      </c>
      <c r="J228" s="26" t="s">
        <v>24</v>
      </c>
      <c r="K228" s="27"/>
      <c r="L228" s="28" t="s">
        <v>25</v>
      </c>
      <c r="M228" s="29" t="str">
        <f t="shared" si="15"/>
        <v>✓ OK</v>
      </c>
      <c r="N228" s="43">
        <v>46193</v>
      </c>
      <c r="O228" s="26" t="s">
        <v>23</v>
      </c>
      <c r="P228" s="26" t="s">
        <v>24</v>
      </c>
      <c r="Q228" s="26" t="s">
        <v>25</v>
      </c>
      <c r="R228" s="26" t="s">
        <v>26</v>
      </c>
      <c r="S228" s="26" t="s">
        <v>24</v>
      </c>
      <c r="T228" s="27"/>
      <c r="U228" s="28" t="s">
        <v>25</v>
      </c>
      <c r="V228" s="29" t="str">
        <f t="shared" si="16"/>
        <v>✓ OK</v>
      </c>
      <c r="W228" s="45">
        <v>46248</v>
      </c>
      <c r="X228" s="30" t="s">
        <v>23</v>
      </c>
      <c r="Y228" s="30" t="s">
        <v>24</v>
      </c>
      <c r="Z228" s="30" t="s">
        <v>25</v>
      </c>
      <c r="AA228" s="30" t="s">
        <v>26</v>
      </c>
      <c r="AB228" s="30" t="s">
        <v>24</v>
      </c>
      <c r="AC228" s="27"/>
      <c r="AD228" s="31" t="s">
        <v>25</v>
      </c>
      <c r="AE228" s="32" t="str">
        <f t="shared" si="17"/>
        <v>✓ OK</v>
      </c>
      <c r="AF228" s="33" t="s">
        <v>27</v>
      </c>
      <c r="AG228" s="33" t="s">
        <v>23</v>
      </c>
      <c r="AH228" s="33" t="s">
        <v>24</v>
      </c>
      <c r="AI228" s="33" t="s">
        <v>25</v>
      </c>
      <c r="AJ228" s="33" t="s">
        <v>26</v>
      </c>
      <c r="AK228" s="33" t="s">
        <v>24</v>
      </c>
      <c r="AL228" s="27"/>
      <c r="AM228" s="34" t="s">
        <v>25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8" customHeight="1" x14ac:dyDescent="0.3">
      <c r="A229" s="23">
        <v>233</v>
      </c>
      <c r="B229" s="24" t="s">
        <v>1096</v>
      </c>
      <c r="C229" s="25" t="s">
        <v>1097</v>
      </c>
      <c r="D229" s="23" t="s">
        <v>767</v>
      </c>
      <c r="E229" s="43">
        <v>46125</v>
      </c>
      <c r="F229" s="26" t="s">
        <v>23</v>
      </c>
      <c r="G229" s="26" t="s">
        <v>24</v>
      </c>
      <c r="H229" s="26" t="s">
        <v>25</v>
      </c>
      <c r="I229" s="26" t="s">
        <v>26</v>
      </c>
      <c r="J229" s="26" t="s">
        <v>24</v>
      </c>
      <c r="K229" s="27"/>
      <c r="L229" s="28" t="s">
        <v>25</v>
      </c>
      <c r="M229" s="29" t="str">
        <f t="shared" si="15"/>
        <v>✓ OK</v>
      </c>
      <c r="N229" s="43">
        <v>46193</v>
      </c>
      <c r="O229" s="26" t="s">
        <v>23</v>
      </c>
      <c r="P229" s="26" t="s">
        <v>24</v>
      </c>
      <c r="Q229" s="26" t="s">
        <v>25</v>
      </c>
      <c r="R229" s="26" t="s">
        <v>26</v>
      </c>
      <c r="S229" s="26" t="s">
        <v>24</v>
      </c>
      <c r="T229" s="27"/>
      <c r="U229" s="28" t="s">
        <v>25</v>
      </c>
      <c r="V229" s="29" t="str">
        <f t="shared" si="16"/>
        <v>✓ OK</v>
      </c>
      <c r="W229" s="45">
        <v>46248</v>
      </c>
      <c r="X229" s="30" t="s">
        <v>23</v>
      </c>
      <c r="Y229" s="30" t="s">
        <v>24</v>
      </c>
      <c r="Z229" s="30" t="s">
        <v>25</v>
      </c>
      <c r="AA229" s="30" t="s">
        <v>26</v>
      </c>
      <c r="AB229" s="30" t="s">
        <v>24</v>
      </c>
      <c r="AC229" s="27"/>
      <c r="AD229" s="31" t="s">
        <v>25</v>
      </c>
      <c r="AE229" s="32" t="str">
        <f t="shared" si="17"/>
        <v>✓ OK</v>
      </c>
      <c r="AF229" s="33" t="s">
        <v>27</v>
      </c>
      <c r="AG229" s="33" t="s">
        <v>23</v>
      </c>
      <c r="AH229" s="33" t="s">
        <v>24</v>
      </c>
      <c r="AI229" s="33" t="s">
        <v>25</v>
      </c>
      <c r="AJ229" s="33" t="s">
        <v>26</v>
      </c>
      <c r="AK229" s="33" t="s">
        <v>24</v>
      </c>
      <c r="AL229" s="27"/>
      <c r="AM229" s="34" t="s">
        <v>25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8" customHeight="1" x14ac:dyDescent="0.3">
      <c r="A230" s="39">
        <v>234</v>
      </c>
      <c r="B230" s="40" t="s">
        <v>1098</v>
      </c>
      <c r="C230" s="41" t="s">
        <v>1099</v>
      </c>
      <c r="D230" s="39" t="s">
        <v>767</v>
      </c>
      <c r="E230" s="43">
        <v>46125</v>
      </c>
      <c r="F230" s="26" t="s">
        <v>23</v>
      </c>
      <c r="G230" s="26" t="s">
        <v>24</v>
      </c>
      <c r="H230" s="26" t="s">
        <v>25</v>
      </c>
      <c r="I230" s="26" t="s">
        <v>26</v>
      </c>
      <c r="J230" s="26" t="s">
        <v>24</v>
      </c>
      <c r="K230" s="27" t="s">
        <v>822</v>
      </c>
      <c r="L230" s="28" t="s">
        <v>24</v>
      </c>
      <c r="M230" s="29" t="str">
        <f t="shared" si="15"/>
        <v>✓ OK</v>
      </c>
      <c r="N230" s="43">
        <v>46193</v>
      </c>
      <c r="O230" s="26" t="s">
        <v>23</v>
      </c>
      <c r="P230" s="26" t="s">
        <v>24</v>
      </c>
      <c r="Q230" s="26" t="s">
        <v>25</v>
      </c>
      <c r="R230" s="26" t="s">
        <v>26</v>
      </c>
      <c r="S230" s="26" t="s">
        <v>24</v>
      </c>
      <c r="T230" s="27" t="s">
        <v>822</v>
      </c>
      <c r="U230" s="28" t="s">
        <v>24</v>
      </c>
      <c r="V230" s="29" t="str">
        <f t="shared" si="16"/>
        <v>✓ OK</v>
      </c>
      <c r="W230" s="45">
        <v>46248</v>
      </c>
      <c r="X230" s="30" t="s">
        <v>23</v>
      </c>
      <c r="Y230" s="30" t="s">
        <v>25</v>
      </c>
      <c r="Z230" s="30" t="s">
        <v>24</v>
      </c>
      <c r="AA230" s="30" t="s">
        <v>135</v>
      </c>
      <c r="AB230" s="30" t="s">
        <v>25</v>
      </c>
      <c r="AC230" s="27" t="s">
        <v>822</v>
      </c>
      <c r="AD230" s="31" t="s">
        <v>25</v>
      </c>
      <c r="AE230" s="32" t="str">
        <f t="shared" si="17"/>
        <v>❌ Disc</v>
      </c>
      <c r="AF230" s="33" t="s">
        <v>27</v>
      </c>
      <c r="AG230" s="33" t="s">
        <v>23</v>
      </c>
      <c r="AH230" s="33" t="s">
        <v>25</v>
      </c>
      <c r="AI230" s="33" t="s">
        <v>24</v>
      </c>
      <c r="AJ230" s="33" t="s">
        <v>135</v>
      </c>
      <c r="AK230" s="33" t="s">
        <v>25</v>
      </c>
      <c r="AL230" s="27"/>
      <c r="AM230" s="34" t="s">
        <v>25</v>
      </c>
      <c r="AN230" s="35" t="str">
        <f t="shared" si="18"/>
        <v>❌ Disc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8" customHeight="1" x14ac:dyDescent="0.3">
      <c r="A231" s="23">
        <v>235</v>
      </c>
      <c r="B231" s="24" t="s">
        <v>1100</v>
      </c>
      <c r="C231" s="25" t="s">
        <v>1101</v>
      </c>
      <c r="D231" s="23" t="s">
        <v>767</v>
      </c>
      <c r="E231" s="43">
        <v>46125</v>
      </c>
      <c r="F231" s="26" t="s">
        <v>23</v>
      </c>
      <c r="G231" s="26" t="s">
        <v>24</v>
      </c>
      <c r="H231" s="26" t="s">
        <v>25</v>
      </c>
      <c r="I231" s="26" t="s">
        <v>26</v>
      </c>
      <c r="J231" s="26" t="s">
        <v>24</v>
      </c>
      <c r="K231" s="27" t="s">
        <v>822</v>
      </c>
      <c r="L231" s="28" t="s">
        <v>24</v>
      </c>
      <c r="M231" s="29" t="str">
        <f t="shared" si="15"/>
        <v>✓ OK</v>
      </c>
      <c r="N231" s="43">
        <v>46193</v>
      </c>
      <c r="O231" s="26" t="s">
        <v>23</v>
      </c>
      <c r="P231" s="26" t="s">
        <v>25</v>
      </c>
      <c r="Q231" s="26" t="s">
        <v>24</v>
      </c>
      <c r="R231" s="26" t="s">
        <v>135</v>
      </c>
      <c r="S231" s="26" t="s">
        <v>25</v>
      </c>
      <c r="T231" s="27"/>
      <c r="U231" s="28" t="s">
        <v>24</v>
      </c>
      <c r="V231" s="29" t="str">
        <f t="shared" si="16"/>
        <v>❌ Disc</v>
      </c>
      <c r="W231" s="45">
        <v>46248</v>
      </c>
      <c r="X231" s="30" t="s">
        <v>23</v>
      </c>
      <c r="Y231" s="30" t="s">
        <v>25</v>
      </c>
      <c r="Z231" s="30" t="s">
        <v>24</v>
      </c>
      <c r="AA231" s="30" t="s">
        <v>135</v>
      </c>
      <c r="AB231" s="30" t="s">
        <v>25</v>
      </c>
      <c r="AC231" s="27"/>
      <c r="AD231" s="31" t="s">
        <v>25</v>
      </c>
      <c r="AE231" s="32" t="str">
        <f t="shared" si="17"/>
        <v>❌ Disc</v>
      </c>
      <c r="AF231" s="33" t="s">
        <v>27</v>
      </c>
      <c r="AG231" s="33" t="s">
        <v>23</v>
      </c>
      <c r="AH231" s="33" t="s">
        <v>25</v>
      </c>
      <c r="AI231" s="33" t="s">
        <v>24</v>
      </c>
      <c r="AJ231" s="33" t="s">
        <v>135</v>
      </c>
      <c r="AK231" s="33" t="s">
        <v>25</v>
      </c>
      <c r="AL231" s="27"/>
      <c r="AM231" s="34" t="s">
        <v>25</v>
      </c>
      <c r="AN231" s="35" t="str">
        <f t="shared" si="18"/>
        <v>❌ Disc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8" customHeight="1" x14ac:dyDescent="0.3">
      <c r="A232" s="39">
        <v>236</v>
      </c>
      <c r="B232" s="40" t="s">
        <v>1102</v>
      </c>
      <c r="C232" s="41" t="s">
        <v>1103</v>
      </c>
      <c r="D232" s="39" t="s">
        <v>767</v>
      </c>
      <c r="E232" s="43">
        <v>46125</v>
      </c>
      <c r="F232" s="26" t="s">
        <v>23</v>
      </c>
      <c r="G232" s="26" t="s">
        <v>24</v>
      </c>
      <c r="H232" s="26" t="s">
        <v>25</v>
      </c>
      <c r="I232" s="26" t="s">
        <v>26</v>
      </c>
      <c r="J232" s="26" t="s">
        <v>24</v>
      </c>
      <c r="K232" s="27"/>
      <c r="L232" s="28" t="s">
        <v>25</v>
      </c>
      <c r="M232" s="29" t="str">
        <f t="shared" si="15"/>
        <v>✓ OK</v>
      </c>
      <c r="N232" s="43">
        <v>46193</v>
      </c>
      <c r="O232" s="26" t="s">
        <v>23</v>
      </c>
      <c r="P232" s="26" t="s">
        <v>25</v>
      </c>
      <c r="Q232" s="26" t="s">
        <v>24</v>
      </c>
      <c r="R232" s="26" t="s">
        <v>135</v>
      </c>
      <c r="S232" s="26" t="s">
        <v>25</v>
      </c>
      <c r="T232" s="27"/>
      <c r="U232" s="28" t="s">
        <v>25</v>
      </c>
      <c r="V232" s="29" t="str">
        <f t="shared" si="16"/>
        <v>❌ Disc</v>
      </c>
      <c r="W232" s="45">
        <v>46248</v>
      </c>
      <c r="X232" s="30" t="s">
        <v>23</v>
      </c>
      <c r="Y232" s="30" t="s">
        <v>25</v>
      </c>
      <c r="Z232" s="30" t="s">
        <v>24</v>
      </c>
      <c r="AA232" s="30" t="s">
        <v>135</v>
      </c>
      <c r="AB232" s="30" t="s">
        <v>25</v>
      </c>
      <c r="AC232" s="27"/>
      <c r="AD232" s="31" t="s">
        <v>25</v>
      </c>
      <c r="AE232" s="32" t="str">
        <f t="shared" si="17"/>
        <v>❌ Disc</v>
      </c>
      <c r="AF232" s="33" t="s">
        <v>27</v>
      </c>
      <c r="AG232" s="33" t="s">
        <v>23</v>
      </c>
      <c r="AH232" s="33" t="s">
        <v>25</v>
      </c>
      <c r="AI232" s="33" t="s">
        <v>24</v>
      </c>
      <c r="AJ232" s="33" t="s">
        <v>135</v>
      </c>
      <c r="AK232" s="33" t="s">
        <v>25</v>
      </c>
      <c r="AL232" s="27"/>
      <c r="AM232" s="34" t="s">
        <v>25</v>
      </c>
      <c r="AN232" s="35" t="str">
        <f t="shared" si="18"/>
        <v>❌ Disc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8" customHeight="1" x14ac:dyDescent="0.3">
      <c r="A233" s="23">
        <v>237</v>
      </c>
      <c r="B233" s="24" t="s">
        <v>1104</v>
      </c>
      <c r="C233" s="25" t="s">
        <v>1105</v>
      </c>
      <c r="D233" s="23" t="s">
        <v>767</v>
      </c>
      <c r="E233" s="43">
        <v>46125</v>
      </c>
      <c r="F233" s="26" t="s">
        <v>23</v>
      </c>
      <c r="G233" s="26" t="s">
        <v>24</v>
      </c>
      <c r="H233" s="26" t="s">
        <v>25</v>
      </c>
      <c r="I233" s="26" t="s">
        <v>26</v>
      </c>
      <c r="J233" s="26" t="s">
        <v>24</v>
      </c>
      <c r="K233" s="27" t="s">
        <v>822</v>
      </c>
      <c r="L233" s="28" t="s">
        <v>24</v>
      </c>
      <c r="M233" s="29" t="str">
        <f t="shared" si="15"/>
        <v>✓ OK</v>
      </c>
      <c r="N233" s="43">
        <v>46193</v>
      </c>
      <c r="O233" s="26" t="s">
        <v>23</v>
      </c>
      <c r="P233" s="26" t="s">
        <v>24</v>
      </c>
      <c r="Q233" s="26" t="s">
        <v>25</v>
      </c>
      <c r="R233" s="26" t="s">
        <v>26</v>
      </c>
      <c r="S233" s="26" t="s">
        <v>24</v>
      </c>
      <c r="T233" s="27" t="s">
        <v>822</v>
      </c>
      <c r="U233" s="28" t="s">
        <v>24</v>
      </c>
      <c r="V233" s="29" t="str">
        <f t="shared" si="16"/>
        <v>✓ OK</v>
      </c>
      <c r="W233" s="45">
        <v>46248</v>
      </c>
      <c r="X233" s="30" t="s">
        <v>23</v>
      </c>
      <c r="Y233" s="30" t="s">
        <v>24</v>
      </c>
      <c r="Z233" s="30" t="s">
        <v>25</v>
      </c>
      <c r="AA233" s="30" t="s">
        <v>26</v>
      </c>
      <c r="AB233" s="30" t="s">
        <v>24</v>
      </c>
      <c r="AC233" s="27" t="s">
        <v>822</v>
      </c>
      <c r="AD233" s="31" t="s">
        <v>24</v>
      </c>
      <c r="AE233" s="32" t="str">
        <f t="shared" si="17"/>
        <v>✓ OK</v>
      </c>
      <c r="AF233" s="33" t="s">
        <v>27</v>
      </c>
      <c r="AG233" s="33" t="s">
        <v>23</v>
      </c>
      <c r="AH233" s="33" t="s">
        <v>25</v>
      </c>
      <c r="AI233" s="33" t="s">
        <v>24</v>
      </c>
      <c r="AJ233" s="33" t="s">
        <v>135</v>
      </c>
      <c r="AK233" s="33" t="s">
        <v>25</v>
      </c>
      <c r="AL233" s="27"/>
      <c r="AM233" s="34" t="s">
        <v>25</v>
      </c>
      <c r="AN233" s="35" t="str">
        <f t="shared" si="18"/>
        <v>❌ Disc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8" customHeight="1" x14ac:dyDescent="0.3">
      <c r="A234" s="39">
        <v>238</v>
      </c>
      <c r="B234" s="40" t="s">
        <v>1106</v>
      </c>
      <c r="C234" s="41" t="s">
        <v>1107</v>
      </c>
      <c r="D234" s="39" t="s">
        <v>767</v>
      </c>
      <c r="E234" s="43">
        <v>46125</v>
      </c>
      <c r="F234" s="26" t="s">
        <v>23</v>
      </c>
      <c r="G234" s="26" t="s">
        <v>24</v>
      </c>
      <c r="H234" s="26" t="s">
        <v>25</v>
      </c>
      <c r="I234" s="26" t="s">
        <v>26</v>
      </c>
      <c r="J234" s="26" t="s">
        <v>24</v>
      </c>
      <c r="K234" s="27"/>
      <c r="L234" s="28" t="s">
        <v>25</v>
      </c>
      <c r="M234" s="29" t="str">
        <f t="shared" si="15"/>
        <v>✓ OK</v>
      </c>
      <c r="N234" s="43">
        <v>46193</v>
      </c>
      <c r="O234" s="26" t="s">
        <v>23</v>
      </c>
      <c r="P234" s="26" t="s">
        <v>25</v>
      </c>
      <c r="Q234" s="26" t="s">
        <v>24</v>
      </c>
      <c r="R234" s="26" t="s">
        <v>135</v>
      </c>
      <c r="S234" s="26" t="s">
        <v>25</v>
      </c>
      <c r="T234" s="27"/>
      <c r="U234" s="28" t="s">
        <v>25</v>
      </c>
      <c r="V234" s="29" t="str">
        <f t="shared" si="16"/>
        <v>❌ Disc</v>
      </c>
      <c r="W234" s="45">
        <v>46248</v>
      </c>
      <c r="X234" s="30" t="s">
        <v>23</v>
      </c>
      <c r="Y234" s="30" t="s">
        <v>25</v>
      </c>
      <c r="Z234" s="30" t="s">
        <v>24</v>
      </c>
      <c r="AA234" s="30" t="s">
        <v>135</v>
      </c>
      <c r="AB234" s="30" t="s">
        <v>25</v>
      </c>
      <c r="AC234" s="27"/>
      <c r="AD234" s="31" t="s">
        <v>25</v>
      </c>
      <c r="AE234" s="32" t="str">
        <f t="shared" si="17"/>
        <v>❌ Disc</v>
      </c>
      <c r="AF234" s="33" t="s">
        <v>27</v>
      </c>
      <c r="AG234" s="33" t="s">
        <v>23</v>
      </c>
      <c r="AH234" s="33" t="s">
        <v>25</v>
      </c>
      <c r="AI234" s="33" t="s">
        <v>24</v>
      </c>
      <c r="AJ234" s="33" t="s">
        <v>135</v>
      </c>
      <c r="AK234" s="33" t="s">
        <v>25</v>
      </c>
      <c r="AL234" s="27"/>
      <c r="AM234" s="34" t="s">
        <v>25</v>
      </c>
      <c r="AN234" s="35" t="str">
        <f t="shared" si="18"/>
        <v>❌ Disc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8" customHeight="1" x14ac:dyDescent="0.3">
      <c r="A235" s="23">
        <v>239</v>
      </c>
      <c r="B235" s="24" t="s">
        <v>1108</v>
      </c>
      <c r="C235" s="25" t="s">
        <v>1109</v>
      </c>
      <c r="D235" s="23" t="s">
        <v>767</v>
      </c>
      <c r="E235" s="43">
        <v>46125</v>
      </c>
      <c r="F235" s="26" t="s">
        <v>23</v>
      </c>
      <c r="G235" s="26" t="s">
        <v>24</v>
      </c>
      <c r="H235" s="26" t="s">
        <v>25</v>
      </c>
      <c r="I235" s="26" t="s">
        <v>26</v>
      </c>
      <c r="J235" s="26" t="s">
        <v>24</v>
      </c>
      <c r="K235" s="27"/>
      <c r="L235" s="28" t="s">
        <v>25</v>
      </c>
      <c r="M235" s="29" t="str">
        <f t="shared" si="15"/>
        <v>✓ OK</v>
      </c>
      <c r="N235" s="43">
        <v>46193</v>
      </c>
      <c r="O235" s="26" t="s">
        <v>23</v>
      </c>
      <c r="P235" s="26" t="s">
        <v>24</v>
      </c>
      <c r="Q235" s="26" t="s">
        <v>25</v>
      </c>
      <c r="R235" s="26" t="s">
        <v>26</v>
      </c>
      <c r="S235" s="26" t="s">
        <v>24</v>
      </c>
      <c r="T235" s="27"/>
      <c r="U235" s="28" t="s">
        <v>25</v>
      </c>
      <c r="V235" s="29" t="str">
        <f t="shared" si="16"/>
        <v>✓ OK</v>
      </c>
      <c r="W235" s="45">
        <v>46248</v>
      </c>
      <c r="X235" s="30" t="s">
        <v>23</v>
      </c>
      <c r="Y235" s="30" t="s">
        <v>25</v>
      </c>
      <c r="Z235" s="30" t="s">
        <v>24</v>
      </c>
      <c r="AA235" s="30" t="s">
        <v>135</v>
      </c>
      <c r="AB235" s="30" t="s">
        <v>25</v>
      </c>
      <c r="AC235" s="27"/>
      <c r="AD235" s="31" t="s">
        <v>25</v>
      </c>
      <c r="AE235" s="32" t="str">
        <f t="shared" si="17"/>
        <v>❌ Disc</v>
      </c>
      <c r="AF235" s="33" t="s">
        <v>27</v>
      </c>
      <c r="AG235" s="33" t="s">
        <v>23</v>
      </c>
      <c r="AH235" s="33" t="s">
        <v>25</v>
      </c>
      <c r="AI235" s="33" t="s">
        <v>24</v>
      </c>
      <c r="AJ235" s="33" t="s">
        <v>135</v>
      </c>
      <c r="AK235" s="33" t="s">
        <v>25</v>
      </c>
      <c r="AL235" s="27"/>
      <c r="AM235" s="34" t="s">
        <v>25</v>
      </c>
      <c r="AN235" s="35" t="str">
        <f t="shared" si="18"/>
        <v>❌ Disc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8" customHeight="1" x14ac:dyDescent="0.3">
      <c r="A236" s="39">
        <v>240</v>
      </c>
      <c r="B236" s="40" t="s">
        <v>1110</v>
      </c>
      <c r="C236" s="41" t="s">
        <v>1111</v>
      </c>
      <c r="D236" s="39" t="s">
        <v>767</v>
      </c>
      <c r="E236" s="43">
        <v>46125</v>
      </c>
      <c r="F236" s="26" t="s">
        <v>23</v>
      </c>
      <c r="G236" s="26" t="s">
        <v>24</v>
      </c>
      <c r="H236" s="26" t="s">
        <v>25</v>
      </c>
      <c r="I236" s="26" t="s">
        <v>26</v>
      </c>
      <c r="J236" s="26" t="s">
        <v>24</v>
      </c>
      <c r="K236" s="27" t="s">
        <v>822</v>
      </c>
      <c r="L236" s="28" t="s">
        <v>24</v>
      </c>
      <c r="M236" s="29" t="str">
        <f t="shared" si="15"/>
        <v>✓ OK</v>
      </c>
      <c r="N236" s="43">
        <v>46193</v>
      </c>
      <c r="O236" s="26" t="s">
        <v>23</v>
      </c>
      <c r="P236" s="26" t="s">
        <v>25</v>
      </c>
      <c r="Q236" s="26" t="s">
        <v>24</v>
      </c>
      <c r="R236" s="26" t="s">
        <v>135</v>
      </c>
      <c r="S236" s="26" t="s">
        <v>25</v>
      </c>
      <c r="T236" s="27"/>
      <c r="U236" s="28" t="s">
        <v>24</v>
      </c>
      <c r="V236" s="29" t="str">
        <f t="shared" si="16"/>
        <v>❌ Disc</v>
      </c>
      <c r="W236" s="45">
        <v>46248</v>
      </c>
      <c r="X236" s="30" t="s">
        <v>23</v>
      </c>
      <c r="Y236" s="30" t="s">
        <v>25</v>
      </c>
      <c r="Z236" s="30" t="s">
        <v>24</v>
      </c>
      <c r="AA236" s="30" t="s">
        <v>135</v>
      </c>
      <c r="AB236" s="30" t="s">
        <v>25</v>
      </c>
      <c r="AC236" s="27"/>
      <c r="AD236" s="31" t="s">
        <v>25</v>
      </c>
      <c r="AE236" s="32" t="str">
        <f t="shared" si="17"/>
        <v>❌ Disc</v>
      </c>
      <c r="AF236" s="33" t="s">
        <v>27</v>
      </c>
      <c r="AG236" s="33" t="s">
        <v>23</v>
      </c>
      <c r="AH236" s="33" t="s">
        <v>25</v>
      </c>
      <c r="AI236" s="33" t="s">
        <v>24</v>
      </c>
      <c r="AJ236" s="33" t="s">
        <v>135</v>
      </c>
      <c r="AK236" s="33" t="s">
        <v>25</v>
      </c>
      <c r="AL236" s="27"/>
      <c r="AM236" s="34" t="s">
        <v>25</v>
      </c>
      <c r="AN236" s="35" t="str">
        <f t="shared" si="18"/>
        <v>❌ Disc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8" customHeight="1" x14ac:dyDescent="0.3">
      <c r="A237" s="23">
        <v>241</v>
      </c>
      <c r="B237" s="24" t="s">
        <v>1112</v>
      </c>
      <c r="C237" s="25" t="s">
        <v>1113</v>
      </c>
      <c r="D237" s="23" t="s">
        <v>767</v>
      </c>
      <c r="E237" s="43">
        <v>46125</v>
      </c>
      <c r="F237" s="26" t="s">
        <v>23</v>
      </c>
      <c r="G237" s="26" t="s">
        <v>24</v>
      </c>
      <c r="H237" s="26" t="s">
        <v>25</v>
      </c>
      <c r="I237" s="26" t="s">
        <v>26</v>
      </c>
      <c r="J237" s="26" t="s">
        <v>24</v>
      </c>
      <c r="K237" s="27" t="s">
        <v>822</v>
      </c>
      <c r="L237" s="28" t="s">
        <v>24</v>
      </c>
      <c r="M237" s="29" t="str">
        <f t="shared" si="15"/>
        <v>✓ OK</v>
      </c>
      <c r="N237" s="43">
        <v>46193</v>
      </c>
      <c r="O237" s="26" t="s">
        <v>23</v>
      </c>
      <c r="P237" s="26" t="s">
        <v>24</v>
      </c>
      <c r="Q237" s="26" t="s">
        <v>25</v>
      </c>
      <c r="R237" s="26" t="s">
        <v>26</v>
      </c>
      <c r="S237" s="26" t="s">
        <v>24</v>
      </c>
      <c r="T237" s="27" t="s">
        <v>822</v>
      </c>
      <c r="U237" s="28" t="s">
        <v>24</v>
      </c>
      <c r="V237" s="29" t="str">
        <f t="shared" si="16"/>
        <v>✓ OK</v>
      </c>
      <c r="W237" s="45">
        <v>46248</v>
      </c>
      <c r="X237" s="30" t="s">
        <v>23</v>
      </c>
      <c r="Y237" s="30" t="s">
        <v>24</v>
      </c>
      <c r="Z237" s="30" t="s">
        <v>25</v>
      </c>
      <c r="AA237" s="30" t="s">
        <v>26</v>
      </c>
      <c r="AB237" s="30" t="s">
        <v>24</v>
      </c>
      <c r="AC237" s="27" t="s">
        <v>822</v>
      </c>
      <c r="AD237" s="31" t="s">
        <v>24</v>
      </c>
      <c r="AE237" s="32" t="str">
        <f t="shared" si="17"/>
        <v>✓ OK</v>
      </c>
      <c r="AF237" s="33" t="s">
        <v>27</v>
      </c>
      <c r="AG237" s="33" t="s">
        <v>23</v>
      </c>
      <c r="AH237" s="33" t="s">
        <v>24</v>
      </c>
      <c r="AI237" s="33" t="s">
        <v>25</v>
      </c>
      <c r="AJ237" s="33" t="s">
        <v>26</v>
      </c>
      <c r="AK237" s="33" t="s">
        <v>24</v>
      </c>
      <c r="AL237" s="27" t="s">
        <v>822</v>
      </c>
      <c r="AM237" s="34" t="s">
        <v>24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8" customHeight="1" x14ac:dyDescent="0.3">
      <c r="A238" s="39">
        <v>242</v>
      </c>
      <c r="B238" s="40" t="s">
        <v>1114</v>
      </c>
      <c r="C238" s="41" t="s">
        <v>1115</v>
      </c>
      <c r="D238" s="39" t="s">
        <v>767</v>
      </c>
      <c r="E238" s="43">
        <v>46125</v>
      </c>
      <c r="F238" s="26" t="s">
        <v>23</v>
      </c>
      <c r="G238" s="26" t="s">
        <v>24</v>
      </c>
      <c r="H238" s="26" t="s">
        <v>25</v>
      </c>
      <c r="I238" s="26" t="s">
        <v>26</v>
      </c>
      <c r="J238" s="26" t="s">
        <v>24</v>
      </c>
      <c r="K238" s="27" t="s">
        <v>822</v>
      </c>
      <c r="L238" s="28" t="s">
        <v>24</v>
      </c>
      <c r="M238" s="29" t="str">
        <f t="shared" si="15"/>
        <v>✓ OK</v>
      </c>
      <c r="N238" s="43">
        <v>46193</v>
      </c>
      <c r="O238" s="26" t="s">
        <v>23</v>
      </c>
      <c r="P238" s="26" t="s">
        <v>24</v>
      </c>
      <c r="Q238" s="26" t="s">
        <v>25</v>
      </c>
      <c r="R238" s="26" t="s">
        <v>26</v>
      </c>
      <c r="S238" s="26" t="s">
        <v>24</v>
      </c>
      <c r="T238" s="27" t="s">
        <v>822</v>
      </c>
      <c r="U238" s="28" t="s">
        <v>24</v>
      </c>
      <c r="V238" s="29" t="str">
        <f t="shared" si="16"/>
        <v>✓ OK</v>
      </c>
      <c r="W238" s="45">
        <v>46248</v>
      </c>
      <c r="X238" s="30" t="s">
        <v>23</v>
      </c>
      <c r="Y238" s="30" t="s">
        <v>24</v>
      </c>
      <c r="Z238" s="30" t="s">
        <v>25</v>
      </c>
      <c r="AA238" s="30" t="s">
        <v>26</v>
      </c>
      <c r="AB238" s="30" t="s">
        <v>24</v>
      </c>
      <c r="AC238" s="27" t="s">
        <v>822</v>
      </c>
      <c r="AD238" s="31" t="s">
        <v>24</v>
      </c>
      <c r="AE238" s="32" t="str">
        <f t="shared" si="17"/>
        <v>✓ OK</v>
      </c>
      <c r="AF238" s="33" t="s">
        <v>27</v>
      </c>
      <c r="AG238" s="33" t="s">
        <v>23</v>
      </c>
      <c r="AH238" s="33" t="s">
        <v>24</v>
      </c>
      <c r="AI238" s="33" t="s">
        <v>25</v>
      </c>
      <c r="AJ238" s="33" t="s">
        <v>26</v>
      </c>
      <c r="AK238" s="33" t="s">
        <v>24</v>
      </c>
      <c r="AL238" s="27" t="s">
        <v>822</v>
      </c>
      <c r="AM238" s="34" t="s">
        <v>24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8" customHeight="1" x14ac:dyDescent="0.3">
      <c r="A239" s="23">
        <v>243</v>
      </c>
      <c r="B239" s="24" t="s">
        <v>1116</v>
      </c>
      <c r="C239" s="25" t="s">
        <v>1117</v>
      </c>
      <c r="D239" s="23" t="s">
        <v>767</v>
      </c>
      <c r="E239" s="43">
        <v>46125</v>
      </c>
      <c r="F239" s="26" t="s">
        <v>23</v>
      </c>
      <c r="G239" s="26" t="s">
        <v>24</v>
      </c>
      <c r="H239" s="26" t="s">
        <v>25</v>
      </c>
      <c r="I239" s="26" t="s">
        <v>26</v>
      </c>
      <c r="J239" s="26" t="s">
        <v>24</v>
      </c>
      <c r="K239" s="27"/>
      <c r="L239" s="28" t="s">
        <v>25</v>
      </c>
      <c r="M239" s="29" t="str">
        <f t="shared" si="15"/>
        <v>✓ OK</v>
      </c>
      <c r="N239" s="43">
        <v>46193</v>
      </c>
      <c r="O239" s="26" t="s">
        <v>23</v>
      </c>
      <c r="P239" s="26" t="s">
        <v>24</v>
      </c>
      <c r="Q239" s="26" t="s">
        <v>25</v>
      </c>
      <c r="R239" s="26" t="s">
        <v>26</v>
      </c>
      <c r="S239" s="26" t="s">
        <v>24</v>
      </c>
      <c r="T239" s="27"/>
      <c r="U239" s="28" t="s">
        <v>25</v>
      </c>
      <c r="V239" s="29" t="str">
        <f t="shared" si="16"/>
        <v>✓ OK</v>
      </c>
      <c r="W239" s="45">
        <v>46248</v>
      </c>
      <c r="X239" s="30" t="s">
        <v>23</v>
      </c>
      <c r="Y239" s="30" t="s">
        <v>24</v>
      </c>
      <c r="Z239" s="30" t="s">
        <v>25</v>
      </c>
      <c r="AA239" s="30" t="s">
        <v>26</v>
      </c>
      <c r="AB239" s="30" t="s">
        <v>24</v>
      </c>
      <c r="AC239" s="27"/>
      <c r="AD239" s="31" t="s">
        <v>25</v>
      </c>
      <c r="AE239" s="32" t="str">
        <f t="shared" si="17"/>
        <v>✓ OK</v>
      </c>
      <c r="AF239" s="33" t="s">
        <v>27</v>
      </c>
      <c r="AG239" s="33" t="s">
        <v>23</v>
      </c>
      <c r="AH239" s="33" t="s">
        <v>24</v>
      </c>
      <c r="AI239" s="33" t="s">
        <v>25</v>
      </c>
      <c r="AJ239" s="33" t="s">
        <v>26</v>
      </c>
      <c r="AK239" s="33" t="s">
        <v>24</v>
      </c>
      <c r="AL239" s="27"/>
      <c r="AM239" s="34" t="s">
        <v>25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8" customHeight="1" x14ac:dyDescent="0.3">
      <c r="A240" s="39">
        <v>244</v>
      </c>
      <c r="B240" s="40" t="s">
        <v>1118</v>
      </c>
      <c r="C240" s="41" t="s">
        <v>1119</v>
      </c>
      <c r="D240" s="39" t="s">
        <v>767</v>
      </c>
      <c r="E240" s="43">
        <v>46125</v>
      </c>
      <c r="F240" s="26" t="s">
        <v>23</v>
      </c>
      <c r="G240" s="26" t="s">
        <v>24</v>
      </c>
      <c r="H240" s="26" t="s">
        <v>25</v>
      </c>
      <c r="I240" s="26" t="s">
        <v>26</v>
      </c>
      <c r="J240" s="26" t="s">
        <v>24</v>
      </c>
      <c r="K240" s="27" t="s">
        <v>822</v>
      </c>
      <c r="L240" s="28" t="s">
        <v>24</v>
      </c>
      <c r="M240" s="29" t="str">
        <f t="shared" si="15"/>
        <v>✓ OK</v>
      </c>
      <c r="N240" s="43">
        <v>46193</v>
      </c>
      <c r="O240" s="26" t="s">
        <v>23</v>
      </c>
      <c r="P240" s="26" t="s">
        <v>25</v>
      </c>
      <c r="Q240" s="26" t="s">
        <v>24</v>
      </c>
      <c r="R240" s="26" t="s">
        <v>135</v>
      </c>
      <c r="S240" s="26" t="s">
        <v>25</v>
      </c>
      <c r="T240" s="27"/>
      <c r="U240" s="28" t="s">
        <v>24</v>
      </c>
      <c r="V240" s="29" t="str">
        <f t="shared" si="16"/>
        <v>❌ Disc</v>
      </c>
      <c r="W240" s="45">
        <v>46248</v>
      </c>
      <c r="X240" s="30" t="s">
        <v>23</v>
      </c>
      <c r="Y240" s="30" t="s">
        <v>25</v>
      </c>
      <c r="Z240" s="30" t="s">
        <v>24</v>
      </c>
      <c r="AA240" s="30" t="s">
        <v>135</v>
      </c>
      <c r="AB240" s="30" t="s">
        <v>25</v>
      </c>
      <c r="AC240" s="27"/>
      <c r="AD240" s="31" t="s">
        <v>25</v>
      </c>
      <c r="AE240" s="32" t="str">
        <f t="shared" si="17"/>
        <v>❌ Disc</v>
      </c>
      <c r="AF240" s="33" t="s">
        <v>27</v>
      </c>
      <c r="AG240" s="33" t="s">
        <v>23</v>
      </c>
      <c r="AH240" s="33" t="s">
        <v>25</v>
      </c>
      <c r="AI240" s="33" t="s">
        <v>24</v>
      </c>
      <c r="AJ240" s="33" t="s">
        <v>135</v>
      </c>
      <c r="AK240" s="33" t="s">
        <v>25</v>
      </c>
      <c r="AL240" s="27"/>
      <c r="AM240" s="34" t="s">
        <v>25</v>
      </c>
      <c r="AN240" s="35" t="str">
        <f t="shared" si="18"/>
        <v>❌ Disc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8" customHeight="1" x14ac:dyDescent="0.3">
      <c r="A241" s="23">
        <v>245</v>
      </c>
      <c r="B241" s="24" t="s">
        <v>1120</v>
      </c>
      <c r="C241" s="25" t="s">
        <v>1121</v>
      </c>
      <c r="D241" s="23" t="s">
        <v>767</v>
      </c>
      <c r="E241" s="43">
        <v>46125</v>
      </c>
      <c r="F241" s="26" t="s">
        <v>23</v>
      </c>
      <c r="G241" s="26" t="s">
        <v>24</v>
      </c>
      <c r="H241" s="26" t="s">
        <v>25</v>
      </c>
      <c r="I241" s="26" t="s">
        <v>26</v>
      </c>
      <c r="J241" s="26" t="s">
        <v>24</v>
      </c>
      <c r="K241" s="27"/>
      <c r="L241" s="28" t="s">
        <v>25</v>
      </c>
      <c r="M241" s="29" t="str">
        <f t="shared" si="15"/>
        <v>✓ OK</v>
      </c>
      <c r="N241" s="43">
        <v>46193</v>
      </c>
      <c r="O241" s="26" t="s">
        <v>23</v>
      </c>
      <c r="P241" s="26" t="s">
        <v>25</v>
      </c>
      <c r="Q241" s="26" t="s">
        <v>24</v>
      </c>
      <c r="R241" s="26" t="s">
        <v>135</v>
      </c>
      <c r="S241" s="26" t="s">
        <v>25</v>
      </c>
      <c r="T241" s="27"/>
      <c r="U241" s="28" t="s">
        <v>25</v>
      </c>
      <c r="V241" s="29" t="str">
        <f t="shared" si="16"/>
        <v>❌ Disc</v>
      </c>
      <c r="W241" s="45">
        <v>46248</v>
      </c>
      <c r="X241" s="30" t="s">
        <v>23</v>
      </c>
      <c r="Y241" s="30" t="s">
        <v>25</v>
      </c>
      <c r="Z241" s="30" t="s">
        <v>24</v>
      </c>
      <c r="AA241" s="30" t="s">
        <v>135</v>
      </c>
      <c r="AB241" s="30" t="s">
        <v>25</v>
      </c>
      <c r="AC241" s="27"/>
      <c r="AD241" s="31" t="s">
        <v>25</v>
      </c>
      <c r="AE241" s="32" t="str">
        <f t="shared" si="17"/>
        <v>❌ Disc</v>
      </c>
      <c r="AF241" s="33" t="s">
        <v>27</v>
      </c>
      <c r="AG241" s="33" t="s">
        <v>23</v>
      </c>
      <c r="AH241" s="33" t="s">
        <v>25</v>
      </c>
      <c r="AI241" s="33" t="s">
        <v>24</v>
      </c>
      <c r="AJ241" s="33" t="s">
        <v>135</v>
      </c>
      <c r="AK241" s="33" t="s">
        <v>25</v>
      </c>
      <c r="AL241" s="27"/>
      <c r="AM241" s="34" t="s">
        <v>25</v>
      </c>
      <c r="AN241" s="35" t="str">
        <f t="shared" si="18"/>
        <v>❌ Disc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8" customHeight="1" x14ac:dyDescent="0.3">
      <c r="A242" s="39">
        <v>246</v>
      </c>
      <c r="B242" s="40" t="s">
        <v>1122</v>
      </c>
      <c r="C242" s="41" t="s">
        <v>1123</v>
      </c>
      <c r="D242" s="39" t="s">
        <v>767</v>
      </c>
      <c r="E242" s="43">
        <v>46125</v>
      </c>
      <c r="F242" s="26" t="s">
        <v>23</v>
      </c>
      <c r="G242" s="26" t="s">
        <v>24</v>
      </c>
      <c r="H242" s="26" t="s">
        <v>25</v>
      </c>
      <c r="I242" s="26" t="s">
        <v>26</v>
      </c>
      <c r="J242" s="26" t="s">
        <v>24</v>
      </c>
      <c r="K242" s="27"/>
      <c r="L242" s="28" t="s">
        <v>25</v>
      </c>
      <c r="M242" s="29" t="str">
        <f t="shared" si="15"/>
        <v>✓ OK</v>
      </c>
      <c r="N242" s="43">
        <v>46193</v>
      </c>
      <c r="O242" s="26" t="s">
        <v>23</v>
      </c>
      <c r="P242" s="26" t="s">
        <v>25</v>
      </c>
      <c r="Q242" s="26" t="s">
        <v>24</v>
      </c>
      <c r="R242" s="26" t="s">
        <v>135</v>
      </c>
      <c r="S242" s="26" t="s">
        <v>25</v>
      </c>
      <c r="T242" s="27"/>
      <c r="U242" s="28" t="s">
        <v>25</v>
      </c>
      <c r="V242" s="29" t="str">
        <f t="shared" si="16"/>
        <v>❌ Disc</v>
      </c>
      <c r="W242" s="45">
        <v>46248</v>
      </c>
      <c r="X242" s="30" t="s">
        <v>23</v>
      </c>
      <c r="Y242" s="30" t="s">
        <v>25</v>
      </c>
      <c r="Z242" s="30" t="s">
        <v>24</v>
      </c>
      <c r="AA242" s="30" t="s">
        <v>135</v>
      </c>
      <c r="AB242" s="30" t="s">
        <v>25</v>
      </c>
      <c r="AC242" s="27"/>
      <c r="AD242" s="31" t="s">
        <v>25</v>
      </c>
      <c r="AE242" s="32" t="str">
        <f t="shared" si="17"/>
        <v>❌ Disc</v>
      </c>
      <c r="AF242" s="33" t="s">
        <v>27</v>
      </c>
      <c r="AG242" s="33" t="s">
        <v>23</v>
      </c>
      <c r="AH242" s="33" t="s">
        <v>25</v>
      </c>
      <c r="AI242" s="33" t="s">
        <v>24</v>
      </c>
      <c r="AJ242" s="33" t="s">
        <v>135</v>
      </c>
      <c r="AK242" s="33" t="s">
        <v>25</v>
      </c>
      <c r="AL242" s="27"/>
      <c r="AM242" s="34" t="s">
        <v>25</v>
      </c>
      <c r="AN242" s="35" t="str">
        <f t="shared" si="18"/>
        <v>❌ Disc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8" customHeight="1" x14ac:dyDescent="0.3">
      <c r="A243" s="23">
        <v>247</v>
      </c>
      <c r="B243" s="24" t="s">
        <v>1124</v>
      </c>
      <c r="C243" s="25" t="s">
        <v>1125</v>
      </c>
      <c r="D243" s="23" t="s">
        <v>767</v>
      </c>
      <c r="E243" s="43">
        <v>46125</v>
      </c>
      <c r="F243" s="26" t="s">
        <v>23</v>
      </c>
      <c r="G243" s="26" t="s">
        <v>24</v>
      </c>
      <c r="H243" s="26" t="s">
        <v>25</v>
      </c>
      <c r="I243" s="26" t="s">
        <v>26</v>
      </c>
      <c r="J243" s="26" t="s">
        <v>24</v>
      </c>
      <c r="K243" s="27"/>
      <c r="L243" s="28" t="s">
        <v>25</v>
      </c>
      <c r="M243" s="29" t="str">
        <f t="shared" si="15"/>
        <v>✓ OK</v>
      </c>
      <c r="N243" s="43">
        <v>46193</v>
      </c>
      <c r="O243" s="26" t="s">
        <v>23</v>
      </c>
      <c r="P243" s="26" t="s">
        <v>24</v>
      </c>
      <c r="Q243" s="26" t="s">
        <v>25</v>
      </c>
      <c r="R243" s="26" t="s">
        <v>26</v>
      </c>
      <c r="S243" s="26" t="s">
        <v>24</v>
      </c>
      <c r="T243" s="27"/>
      <c r="U243" s="28" t="s">
        <v>25</v>
      </c>
      <c r="V243" s="29" t="str">
        <f t="shared" si="16"/>
        <v>✓ OK</v>
      </c>
      <c r="W243" s="45">
        <v>46248</v>
      </c>
      <c r="X243" s="30" t="s">
        <v>23</v>
      </c>
      <c r="Y243" s="30" t="s">
        <v>25</v>
      </c>
      <c r="Z243" s="30" t="s">
        <v>24</v>
      </c>
      <c r="AA243" s="30" t="s">
        <v>135</v>
      </c>
      <c r="AB243" s="30" t="s">
        <v>25</v>
      </c>
      <c r="AC243" s="27"/>
      <c r="AD243" s="31" t="s">
        <v>25</v>
      </c>
      <c r="AE243" s="32" t="str">
        <f t="shared" si="17"/>
        <v>❌ Disc</v>
      </c>
      <c r="AF243" s="33" t="s">
        <v>27</v>
      </c>
      <c r="AG243" s="33" t="s">
        <v>23</v>
      </c>
      <c r="AH243" s="33" t="s">
        <v>25</v>
      </c>
      <c r="AI243" s="33" t="s">
        <v>24</v>
      </c>
      <c r="AJ243" s="33" t="s">
        <v>135</v>
      </c>
      <c r="AK243" s="33" t="s">
        <v>25</v>
      </c>
      <c r="AL243" s="27"/>
      <c r="AM243" s="34" t="s">
        <v>25</v>
      </c>
      <c r="AN243" s="35" t="str">
        <f t="shared" si="18"/>
        <v>❌ Disc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8" customHeight="1" x14ac:dyDescent="0.3">
      <c r="A244" s="39">
        <v>248</v>
      </c>
      <c r="B244" s="40" t="s">
        <v>1126</v>
      </c>
      <c r="C244" s="41" t="s">
        <v>1127</v>
      </c>
      <c r="D244" s="39" t="s">
        <v>767</v>
      </c>
      <c r="E244" s="43">
        <v>46125</v>
      </c>
      <c r="F244" s="26" t="s">
        <v>23</v>
      </c>
      <c r="G244" s="26" t="s">
        <v>24</v>
      </c>
      <c r="H244" s="26" t="s">
        <v>25</v>
      </c>
      <c r="I244" s="26" t="s">
        <v>26</v>
      </c>
      <c r="J244" s="26" t="s">
        <v>24</v>
      </c>
      <c r="K244" s="27"/>
      <c r="L244" s="28" t="s">
        <v>25</v>
      </c>
      <c r="M244" s="29" t="str">
        <f t="shared" si="15"/>
        <v>✓ OK</v>
      </c>
      <c r="N244" s="43">
        <v>46193</v>
      </c>
      <c r="O244" s="26" t="s">
        <v>23</v>
      </c>
      <c r="P244" s="26" t="s">
        <v>24</v>
      </c>
      <c r="Q244" s="26" t="s">
        <v>25</v>
      </c>
      <c r="R244" s="26" t="s">
        <v>26</v>
      </c>
      <c r="S244" s="26" t="s">
        <v>24</v>
      </c>
      <c r="T244" s="27"/>
      <c r="U244" s="28" t="s">
        <v>25</v>
      </c>
      <c r="V244" s="29" t="str">
        <f t="shared" si="16"/>
        <v>✓ OK</v>
      </c>
      <c r="W244" s="45">
        <v>46248</v>
      </c>
      <c r="X244" s="30" t="s">
        <v>23</v>
      </c>
      <c r="Y244" s="30" t="s">
        <v>24</v>
      </c>
      <c r="Z244" s="30" t="s">
        <v>25</v>
      </c>
      <c r="AA244" s="30" t="s">
        <v>26</v>
      </c>
      <c r="AB244" s="30" t="s">
        <v>24</v>
      </c>
      <c r="AC244" s="27"/>
      <c r="AD244" s="31" t="s">
        <v>25</v>
      </c>
      <c r="AE244" s="32" t="str">
        <f t="shared" si="17"/>
        <v>✓ OK</v>
      </c>
      <c r="AF244" s="33" t="s">
        <v>27</v>
      </c>
      <c r="AG244" s="33" t="s">
        <v>23</v>
      </c>
      <c r="AH244" s="33" t="s">
        <v>24</v>
      </c>
      <c r="AI244" s="33" t="s">
        <v>25</v>
      </c>
      <c r="AJ244" s="33" t="s">
        <v>26</v>
      </c>
      <c r="AK244" s="33" t="s">
        <v>24</v>
      </c>
      <c r="AL244" s="27"/>
      <c r="AM244" s="34" t="s">
        <v>25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8" customHeight="1" x14ac:dyDescent="0.3">
      <c r="A245" s="23">
        <v>249</v>
      </c>
      <c r="B245" s="24" t="s">
        <v>1128</v>
      </c>
      <c r="C245" s="25" t="s">
        <v>1129</v>
      </c>
      <c r="D245" s="23" t="s">
        <v>767</v>
      </c>
      <c r="E245" s="43">
        <v>46125</v>
      </c>
      <c r="F245" s="26" t="s">
        <v>23</v>
      </c>
      <c r="G245" s="26" t="s">
        <v>24</v>
      </c>
      <c r="H245" s="26" t="s">
        <v>25</v>
      </c>
      <c r="I245" s="26" t="s">
        <v>26</v>
      </c>
      <c r="J245" s="26" t="s">
        <v>24</v>
      </c>
      <c r="K245" s="27" t="s">
        <v>822</v>
      </c>
      <c r="L245" s="28" t="s">
        <v>24</v>
      </c>
      <c r="M245" s="29" t="str">
        <f t="shared" si="15"/>
        <v>✓ OK</v>
      </c>
      <c r="N245" s="43">
        <v>46193</v>
      </c>
      <c r="O245" s="26" t="s">
        <v>23</v>
      </c>
      <c r="P245" s="26" t="s">
        <v>24</v>
      </c>
      <c r="Q245" s="26" t="s">
        <v>25</v>
      </c>
      <c r="R245" s="26" t="s">
        <v>26</v>
      </c>
      <c r="S245" s="26" t="s">
        <v>24</v>
      </c>
      <c r="T245" s="27" t="s">
        <v>822</v>
      </c>
      <c r="U245" s="28" t="s">
        <v>24</v>
      </c>
      <c r="V245" s="29" t="str">
        <f t="shared" si="16"/>
        <v>✓ OK</v>
      </c>
      <c r="W245" s="45">
        <v>46248</v>
      </c>
      <c r="X245" s="30" t="s">
        <v>23</v>
      </c>
      <c r="Y245" s="30" t="s">
        <v>24</v>
      </c>
      <c r="Z245" s="30" t="s">
        <v>25</v>
      </c>
      <c r="AA245" s="30" t="s">
        <v>26</v>
      </c>
      <c r="AB245" s="30" t="s">
        <v>24</v>
      </c>
      <c r="AC245" s="27" t="s">
        <v>822</v>
      </c>
      <c r="AD245" s="31" t="s">
        <v>24</v>
      </c>
      <c r="AE245" s="32" t="str">
        <f t="shared" si="17"/>
        <v>✓ OK</v>
      </c>
      <c r="AF245" s="33" t="s">
        <v>27</v>
      </c>
      <c r="AG245" s="33" t="s">
        <v>23</v>
      </c>
      <c r="AH245" s="33" t="s">
        <v>25</v>
      </c>
      <c r="AI245" s="33" t="s">
        <v>24</v>
      </c>
      <c r="AJ245" s="33" t="s">
        <v>135</v>
      </c>
      <c r="AK245" s="33" t="s">
        <v>25</v>
      </c>
      <c r="AL245" s="27"/>
      <c r="AM245" s="34" t="s">
        <v>25</v>
      </c>
      <c r="AN245" s="35" t="str">
        <f t="shared" si="18"/>
        <v>❌ Disc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8" customHeight="1" x14ac:dyDescent="0.3">
      <c r="A246" s="39">
        <v>250</v>
      </c>
      <c r="B246" s="40" t="s">
        <v>1130</v>
      </c>
      <c r="C246" s="41" t="s">
        <v>1131</v>
      </c>
      <c r="D246" s="39" t="s">
        <v>767</v>
      </c>
      <c r="E246" s="43">
        <v>46125</v>
      </c>
      <c r="F246" s="26" t="s">
        <v>23</v>
      </c>
      <c r="G246" s="26" t="s">
        <v>24</v>
      </c>
      <c r="H246" s="26" t="s">
        <v>25</v>
      </c>
      <c r="I246" s="26" t="s">
        <v>26</v>
      </c>
      <c r="J246" s="26" t="s">
        <v>24</v>
      </c>
      <c r="K246" s="27"/>
      <c r="L246" s="28" t="s">
        <v>25</v>
      </c>
      <c r="M246" s="29" t="str">
        <f t="shared" si="15"/>
        <v>✓ OK</v>
      </c>
      <c r="N246" s="43">
        <v>46193</v>
      </c>
      <c r="O246" s="26" t="s">
        <v>23</v>
      </c>
      <c r="P246" s="26" t="s">
        <v>24</v>
      </c>
      <c r="Q246" s="26" t="s">
        <v>25</v>
      </c>
      <c r="R246" s="26" t="s">
        <v>26</v>
      </c>
      <c r="S246" s="26" t="s">
        <v>24</v>
      </c>
      <c r="T246" s="27"/>
      <c r="U246" s="28" t="s">
        <v>25</v>
      </c>
      <c r="V246" s="29" t="str">
        <f t="shared" si="16"/>
        <v>✓ OK</v>
      </c>
      <c r="W246" s="45">
        <v>46248</v>
      </c>
      <c r="X246" s="30" t="s">
        <v>23</v>
      </c>
      <c r="Y246" s="30" t="s">
        <v>24</v>
      </c>
      <c r="Z246" s="30" t="s">
        <v>25</v>
      </c>
      <c r="AA246" s="30" t="s">
        <v>26</v>
      </c>
      <c r="AB246" s="30" t="s">
        <v>24</v>
      </c>
      <c r="AC246" s="27"/>
      <c r="AD246" s="31" t="s">
        <v>25</v>
      </c>
      <c r="AE246" s="32" t="str">
        <f t="shared" si="17"/>
        <v>✓ OK</v>
      </c>
      <c r="AF246" s="33" t="s">
        <v>27</v>
      </c>
      <c r="AG246" s="33" t="s">
        <v>23</v>
      </c>
      <c r="AH246" s="33" t="s">
        <v>24</v>
      </c>
      <c r="AI246" s="33" t="s">
        <v>25</v>
      </c>
      <c r="AJ246" s="33" t="s">
        <v>26</v>
      </c>
      <c r="AK246" s="33" t="s">
        <v>24</v>
      </c>
      <c r="AL246" s="27"/>
      <c r="AM246" s="34" t="s">
        <v>25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8" customHeight="1" x14ac:dyDescent="0.3">
      <c r="A247" s="23">
        <v>251</v>
      </c>
      <c r="B247" s="24" t="s">
        <v>1132</v>
      </c>
      <c r="C247" s="25" t="s">
        <v>1133</v>
      </c>
      <c r="D247" s="23" t="s">
        <v>767</v>
      </c>
      <c r="E247" s="43">
        <v>46125</v>
      </c>
      <c r="F247" s="26" t="s">
        <v>23</v>
      </c>
      <c r="G247" s="26" t="s">
        <v>24</v>
      </c>
      <c r="H247" s="26" t="s">
        <v>25</v>
      </c>
      <c r="I247" s="26" t="s">
        <v>26</v>
      </c>
      <c r="J247" s="26" t="s">
        <v>24</v>
      </c>
      <c r="K247" s="27"/>
      <c r="L247" s="28" t="s">
        <v>25</v>
      </c>
      <c r="M247" s="29" t="str">
        <f t="shared" si="15"/>
        <v>✓ OK</v>
      </c>
      <c r="N247" s="43">
        <v>46193</v>
      </c>
      <c r="O247" s="26" t="s">
        <v>23</v>
      </c>
      <c r="P247" s="26" t="s">
        <v>24</v>
      </c>
      <c r="Q247" s="26" t="s">
        <v>25</v>
      </c>
      <c r="R247" s="26" t="s">
        <v>26</v>
      </c>
      <c r="S247" s="26" t="s">
        <v>24</v>
      </c>
      <c r="T247" s="27"/>
      <c r="U247" s="28" t="s">
        <v>25</v>
      </c>
      <c r="V247" s="29" t="str">
        <f t="shared" si="16"/>
        <v>✓ OK</v>
      </c>
      <c r="W247" s="45">
        <v>46248</v>
      </c>
      <c r="X247" s="30" t="s">
        <v>23</v>
      </c>
      <c r="Y247" s="30" t="s">
        <v>24</v>
      </c>
      <c r="Z247" s="30" t="s">
        <v>25</v>
      </c>
      <c r="AA247" s="30" t="s">
        <v>26</v>
      </c>
      <c r="AB247" s="30" t="s">
        <v>24</v>
      </c>
      <c r="AC247" s="27"/>
      <c r="AD247" s="31" t="s">
        <v>25</v>
      </c>
      <c r="AE247" s="32" t="str">
        <f t="shared" si="17"/>
        <v>✓ OK</v>
      </c>
      <c r="AF247" s="33" t="s">
        <v>27</v>
      </c>
      <c r="AG247" s="33" t="s">
        <v>23</v>
      </c>
      <c r="AH247" s="33" t="s">
        <v>24</v>
      </c>
      <c r="AI247" s="33" t="s">
        <v>25</v>
      </c>
      <c r="AJ247" s="33" t="s">
        <v>26</v>
      </c>
      <c r="AK247" s="33" t="s">
        <v>24</v>
      </c>
      <c r="AL247" s="27"/>
      <c r="AM247" s="34" t="s">
        <v>25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8" customHeight="1" x14ac:dyDescent="0.3">
      <c r="A248" s="39">
        <v>252</v>
      </c>
      <c r="B248" s="40" t="s">
        <v>1134</v>
      </c>
      <c r="C248" s="41" t="s">
        <v>1135</v>
      </c>
      <c r="D248" s="39" t="s">
        <v>767</v>
      </c>
      <c r="E248" s="43">
        <v>46125</v>
      </c>
      <c r="F248" s="26" t="s">
        <v>23</v>
      </c>
      <c r="G248" s="26" t="s">
        <v>24</v>
      </c>
      <c r="H248" s="26" t="s">
        <v>25</v>
      </c>
      <c r="I248" s="26" t="s">
        <v>26</v>
      </c>
      <c r="J248" s="26" t="s">
        <v>24</v>
      </c>
      <c r="K248" s="27"/>
      <c r="L248" s="28" t="s">
        <v>25</v>
      </c>
      <c r="M248" s="29" t="str">
        <f t="shared" si="15"/>
        <v>✓ OK</v>
      </c>
      <c r="N248" s="43">
        <v>46193</v>
      </c>
      <c r="O248" s="26" t="s">
        <v>23</v>
      </c>
      <c r="P248" s="26" t="s">
        <v>24</v>
      </c>
      <c r="Q248" s="26" t="s">
        <v>25</v>
      </c>
      <c r="R248" s="26" t="s">
        <v>26</v>
      </c>
      <c r="S248" s="26" t="s">
        <v>24</v>
      </c>
      <c r="T248" s="27"/>
      <c r="U248" s="28" t="s">
        <v>25</v>
      </c>
      <c r="V248" s="29" t="str">
        <f t="shared" si="16"/>
        <v>✓ OK</v>
      </c>
      <c r="W248" s="45">
        <v>46248</v>
      </c>
      <c r="X248" s="30" t="s">
        <v>23</v>
      </c>
      <c r="Y248" s="30" t="s">
        <v>24</v>
      </c>
      <c r="Z248" s="30" t="s">
        <v>25</v>
      </c>
      <c r="AA248" s="30" t="s">
        <v>26</v>
      </c>
      <c r="AB248" s="30" t="s">
        <v>24</v>
      </c>
      <c r="AC248" s="27"/>
      <c r="AD248" s="31" t="s">
        <v>25</v>
      </c>
      <c r="AE248" s="32" t="str">
        <f t="shared" si="17"/>
        <v>✓ OK</v>
      </c>
      <c r="AF248" s="33" t="s">
        <v>27</v>
      </c>
      <c r="AG248" s="33" t="s">
        <v>23</v>
      </c>
      <c r="AH248" s="33" t="s">
        <v>24</v>
      </c>
      <c r="AI248" s="33" t="s">
        <v>25</v>
      </c>
      <c r="AJ248" s="33" t="s">
        <v>26</v>
      </c>
      <c r="AK248" s="33" t="s">
        <v>24</v>
      </c>
      <c r="AL248" s="27"/>
      <c r="AM248" s="34" t="s">
        <v>25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8" customHeight="1" x14ac:dyDescent="0.3">
      <c r="A249" s="23">
        <v>253</v>
      </c>
      <c r="B249" s="24" t="s">
        <v>1136</v>
      </c>
      <c r="C249" s="25" t="s">
        <v>1137</v>
      </c>
      <c r="D249" s="23" t="s">
        <v>767</v>
      </c>
      <c r="E249" s="43">
        <v>46125</v>
      </c>
      <c r="F249" s="26" t="s">
        <v>23</v>
      </c>
      <c r="G249" s="26" t="s">
        <v>24</v>
      </c>
      <c r="H249" s="26" t="s">
        <v>25</v>
      </c>
      <c r="I249" s="26" t="s">
        <v>26</v>
      </c>
      <c r="J249" s="26" t="s">
        <v>24</v>
      </c>
      <c r="K249" s="27"/>
      <c r="L249" s="28" t="s">
        <v>25</v>
      </c>
      <c r="M249" s="29" t="str">
        <f t="shared" si="15"/>
        <v>✓ OK</v>
      </c>
      <c r="N249" s="43">
        <v>46193</v>
      </c>
      <c r="O249" s="26" t="s">
        <v>23</v>
      </c>
      <c r="P249" s="26" t="s">
        <v>25</v>
      </c>
      <c r="Q249" s="26" t="s">
        <v>24</v>
      </c>
      <c r="R249" s="26" t="s">
        <v>135</v>
      </c>
      <c r="S249" s="26" t="s">
        <v>25</v>
      </c>
      <c r="T249" s="27"/>
      <c r="U249" s="28" t="s">
        <v>25</v>
      </c>
      <c r="V249" s="29" t="str">
        <f t="shared" si="16"/>
        <v>❌ Disc</v>
      </c>
      <c r="W249" s="45">
        <v>46248</v>
      </c>
      <c r="X249" s="30" t="s">
        <v>23</v>
      </c>
      <c r="Y249" s="30" t="s">
        <v>25</v>
      </c>
      <c r="Z249" s="30" t="s">
        <v>24</v>
      </c>
      <c r="AA249" s="30" t="s">
        <v>135</v>
      </c>
      <c r="AB249" s="30" t="s">
        <v>25</v>
      </c>
      <c r="AC249" s="27"/>
      <c r="AD249" s="31" t="s">
        <v>25</v>
      </c>
      <c r="AE249" s="32" t="str">
        <f t="shared" si="17"/>
        <v>❌ Disc</v>
      </c>
      <c r="AF249" s="33" t="s">
        <v>27</v>
      </c>
      <c r="AG249" s="33" t="s">
        <v>23</v>
      </c>
      <c r="AH249" s="33" t="s">
        <v>25</v>
      </c>
      <c r="AI249" s="33" t="s">
        <v>24</v>
      </c>
      <c r="AJ249" s="33" t="s">
        <v>135</v>
      </c>
      <c r="AK249" s="33" t="s">
        <v>25</v>
      </c>
      <c r="AL249" s="27"/>
      <c r="AM249" s="34" t="s">
        <v>25</v>
      </c>
      <c r="AN249" s="35" t="str">
        <f t="shared" si="18"/>
        <v>❌ Disc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8" customHeight="1" x14ac:dyDescent="0.3">
      <c r="A250" s="39">
        <v>254</v>
      </c>
      <c r="B250" s="40" t="s">
        <v>1138</v>
      </c>
      <c r="C250" s="41" t="s">
        <v>1139</v>
      </c>
      <c r="D250" s="39" t="s">
        <v>767</v>
      </c>
      <c r="E250" s="43">
        <v>46125</v>
      </c>
      <c r="F250" s="26" t="s">
        <v>23</v>
      </c>
      <c r="G250" s="26" t="s">
        <v>24</v>
      </c>
      <c r="H250" s="26" t="s">
        <v>25</v>
      </c>
      <c r="I250" s="26" t="s">
        <v>26</v>
      </c>
      <c r="J250" s="26" t="s">
        <v>24</v>
      </c>
      <c r="K250" s="27" t="s">
        <v>822</v>
      </c>
      <c r="L250" s="28" t="s">
        <v>24</v>
      </c>
      <c r="M250" s="29" t="str">
        <f t="shared" si="15"/>
        <v>✓ OK</v>
      </c>
      <c r="N250" s="43">
        <v>46193</v>
      </c>
      <c r="O250" s="26" t="s">
        <v>23</v>
      </c>
      <c r="P250" s="26" t="s">
        <v>24</v>
      </c>
      <c r="Q250" s="26" t="s">
        <v>25</v>
      </c>
      <c r="R250" s="26" t="s">
        <v>26</v>
      </c>
      <c r="S250" s="26" t="s">
        <v>24</v>
      </c>
      <c r="T250" s="27" t="s">
        <v>822</v>
      </c>
      <c r="U250" s="28" t="s">
        <v>24</v>
      </c>
      <c r="V250" s="29" t="str">
        <f t="shared" si="16"/>
        <v>✓ OK</v>
      </c>
      <c r="W250" s="45">
        <v>46248</v>
      </c>
      <c r="X250" s="30" t="s">
        <v>23</v>
      </c>
      <c r="Y250" s="30" t="s">
        <v>24</v>
      </c>
      <c r="Z250" s="30" t="s">
        <v>25</v>
      </c>
      <c r="AA250" s="30" t="s">
        <v>26</v>
      </c>
      <c r="AB250" s="30" t="s">
        <v>24</v>
      </c>
      <c r="AC250" s="27" t="s">
        <v>822</v>
      </c>
      <c r="AD250" s="31" t="s">
        <v>24</v>
      </c>
      <c r="AE250" s="32" t="str">
        <f t="shared" si="17"/>
        <v>✓ OK</v>
      </c>
      <c r="AF250" s="33" t="s">
        <v>27</v>
      </c>
      <c r="AG250" s="33" t="s">
        <v>23</v>
      </c>
      <c r="AH250" s="33" t="s">
        <v>24</v>
      </c>
      <c r="AI250" s="33" t="s">
        <v>25</v>
      </c>
      <c r="AJ250" s="33" t="s">
        <v>26</v>
      </c>
      <c r="AK250" s="33" t="s">
        <v>24</v>
      </c>
      <c r="AL250" s="27" t="s">
        <v>822</v>
      </c>
      <c r="AM250" s="34" t="s">
        <v>24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8" customHeight="1" x14ac:dyDescent="0.3">
      <c r="A251" s="23">
        <v>255</v>
      </c>
      <c r="B251" s="24" t="s">
        <v>1140</v>
      </c>
      <c r="C251" s="25" t="s">
        <v>1141</v>
      </c>
      <c r="D251" s="23" t="s">
        <v>767</v>
      </c>
      <c r="E251" s="43">
        <v>46125</v>
      </c>
      <c r="F251" s="26" t="s">
        <v>23</v>
      </c>
      <c r="G251" s="26" t="s">
        <v>24</v>
      </c>
      <c r="H251" s="26" t="s">
        <v>25</v>
      </c>
      <c r="I251" s="26" t="s">
        <v>26</v>
      </c>
      <c r="J251" s="26" t="s">
        <v>24</v>
      </c>
      <c r="K251" s="27"/>
      <c r="L251" s="28" t="s">
        <v>25</v>
      </c>
      <c r="M251" s="29" t="str">
        <f t="shared" si="15"/>
        <v>✓ OK</v>
      </c>
      <c r="N251" s="43">
        <v>46193</v>
      </c>
      <c r="O251" s="26" t="s">
        <v>23</v>
      </c>
      <c r="P251" s="26" t="s">
        <v>24</v>
      </c>
      <c r="Q251" s="26" t="s">
        <v>25</v>
      </c>
      <c r="R251" s="26" t="s">
        <v>26</v>
      </c>
      <c r="S251" s="26" t="s">
        <v>24</v>
      </c>
      <c r="T251" s="27"/>
      <c r="U251" s="28" t="s">
        <v>25</v>
      </c>
      <c r="V251" s="29" t="str">
        <f t="shared" si="16"/>
        <v>✓ OK</v>
      </c>
      <c r="W251" s="45">
        <v>46248</v>
      </c>
      <c r="X251" s="30" t="s">
        <v>23</v>
      </c>
      <c r="Y251" s="30" t="s">
        <v>24</v>
      </c>
      <c r="Z251" s="30" t="s">
        <v>25</v>
      </c>
      <c r="AA251" s="30" t="s">
        <v>26</v>
      </c>
      <c r="AB251" s="30" t="s">
        <v>24</v>
      </c>
      <c r="AC251" s="27"/>
      <c r="AD251" s="31" t="s">
        <v>25</v>
      </c>
      <c r="AE251" s="32" t="str">
        <f t="shared" si="17"/>
        <v>✓ OK</v>
      </c>
      <c r="AF251" s="33" t="s">
        <v>27</v>
      </c>
      <c r="AG251" s="33" t="s">
        <v>23</v>
      </c>
      <c r="AH251" s="33" t="s">
        <v>24</v>
      </c>
      <c r="AI251" s="33" t="s">
        <v>25</v>
      </c>
      <c r="AJ251" s="33" t="s">
        <v>26</v>
      </c>
      <c r="AK251" s="33" t="s">
        <v>24</v>
      </c>
      <c r="AL251" s="27"/>
      <c r="AM251" s="34" t="s">
        <v>25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8" customHeight="1" x14ac:dyDescent="0.3">
      <c r="A252" s="39">
        <v>256</v>
      </c>
      <c r="B252" s="40" t="s">
        <v>1142</v>
      </c>
      <c r="C252" s="41" t="s">
        <v>1143</v>
      </c>
      <c r="D252" s="39" t="s">
        <v>767</v>
      </c>
      <c r="E252" s="43">
        <v>46125</v>
      </c>
      <c r="F252" s="26" t="s">
        <v>23</v>
      </c>
      <c r="G252" s="26" t="s">
        <v>24</v>
      </c>
      <c r="H252" s="26" t="s">
        <v>25</v>
      </c>
      <c r="I252" s="26" t="s">
        <v>26</v>
      </c>
      <c r="J252" s="26" t="s">
        <v>24</v>
      </c>
      <c r="K252" s="27"/>
      <c r="L252" s="28" t="s">
        <v>25</v>
      </c>
      <c r="M252" s="29" t="str">
        <f t="shared" si="15"/>
        <v>✓ OK</v>
      </c>
      <c r="N252" s="43">
        <v>46193</v>
      </c>
      <c r="O252" s="26" t="s">
        <v>23</v>
      </c>
      <c r="P252" s="26" t="s">
        <v>24</v>
      </c>
      <c r="Q252" s="26" t="s">
        <v>25</v>
      </c>
      <c r="R252" s="26" t="s">
        <v>26</v>
      </c>
      <c r="S252" s="26" t="s">
        <v>24</v>
      </c>
      <c r="T252" s="27"/>
      <c r="U252" s="28" t="s">
        <v>25</v>
      </c>
      <c r="V252" s="29" t="str">
        <f t="shared" si="16"/>
        <v>✓ OK</v>
      </c>
      <c r="W252" s="45">
        <v>46248</v>
      </c>
      <c r="X252" s="30" t="s">
        <v>23</v>
      </c>
      <c r="Y252" s="30" t="s">
        <v>24</v>
      </c>
      <c r="Z252" s="30" t="s">
        <v>25</v>
      </c>
      <c r="AA252" s="30" t="s">
        <v>26</v>
      </c>
      <c r="AB252" s="30" t="s">
        <v>24</v>
      </c>
      <c r="AC252" s="27"/>
      <c r="AD252" s="31" t="s">
        <v>25</v>
      </c>
      <c r="AE252" s="32" t="str">
        <f t="shared" si="17"/>
        <v>✓ OK</v>
      </c>
      <c r="AF252" s="33" t="s">
        <v>27</v>
      </c>
      <c r="AG252" s="33" t="s">
        <v>23</v>
      </c>
      <c r="AH252" s="33" t="s">
        <v>24</v>
      </c>
      <c r="AI252" s="33" t="s">
        <v>25</v>
      </c>
      <c r="AJ252" s="33" t="s">
        <v>26</v>
      </c>
      <c r="AK252" s="33" t="s">
        <v>24</v>
      </c>
      <c r="AL252" s="27"/>
      <c r="AM252" s="34" t="s">
        <v>25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8" customHeight="1" x14ac:dyDescent="0.3">
      <c r="A253" s="23">
        <v>257</v>
      </c>
      <c r="B253" s="24" t="s">
        <v>1144</v>
      </c>
      <c r="C253" s="25" t="s">
        <v>1145</v>
      </c>
      <c r="D253" s="23" t="s">
        <v>767</v>
      </c>
      <c r="E253" s="43">
        <v>46125</v>
      </c>
      <c r="F253" s="26" t="s">
        <v>23</v>
      </c>
      <c r="G253" s="26" t="s">
        <v>24</v>
      </c>
      <c r="H253" s="26" t="s">
        <v>25</v>
      </c>
      <c r="I253" s="26" t="s">
        <v>26</v>
      </c>
      <c r="J253" s="26" t="s">
        <v>24</v>
      </c>
      <c r="K253" s="27"/>
      <c r="L253" s="28" t="s">
        <v>25</v>
      </c>
      <c r="M253" s="29" t="str">
        <f t="shared" si="15"/>
        <v>✓ OK</v>
      </c>
      <c r="N253" s="43">
        <v>46193</v>
      </c>
      <c r="O253" s="26" t="s">
        <v>23</v>
      </c>
      <c r="P253" s="26" t="s">
        <v>24</v>
      </c>
      <c r="Q253" s="26" t="s">
        <v>25</v>
      </c>
      <c r="R253" s="26" t="s">
        <v>26</v>
      </c>
      <c r="S253" s="26" t="s">
        <v>24</v>
      </c>
      <c r="T253" s="27"/>
      <c r="U253" s="28" t="s">
        <v>25</v>
      </c>
      <c r="V253" s="29" t="str">
        <f t="shared" si="16"/>
        <v>✓ OK</v>
      </c>
      <c r="W253" s="45">
        <v>46248</v>
      </c>
      <c r="X253" s="30" t="s">
        <v>23</v>
      </c>
      <c r="Y253" s="30" t="s">
        <v>24</v>
      </c>
      <c r="Z253" s="30" t="s">
        <v>25</v>
      </c>
      <c r="AA253" s="30" t="s">
        <v>26</v>
      </c>
      <c r="AB253" s="30" t="s">
        <v>24</v>
      </c>
      <c r="AC253" s="27"/>
      <c r="AD253" s="31" t="s">
        <v>25</v>
      </c>
      <c r="AE253" s="32" t="str">
        <f t="shared" si="17"/>
        <v>✓ OK</v>
      </c>
      <c r="AF253" s="33" t="s">
        <v>27</v>
      </c>
      <c r="AG253" s="33" t="s">
        <v>23</v>
      </c>
      <c r="AH253" s="33" t="s">
        <v>24</v>
      </c>
      <c r="AI253" s="33" t="s">
        <v>25</v>
      </c>
      <c r="AJ253" s="33" t="s">
        <v>26</v>
      </c>
      <c r="AK253" s="33" t="s">
        <v>24</v>
      </c>
      <c r="AL253" s="27"/>
      <c r="AM253" s="34" t="s">
        <v>25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8" customHeight="1" x14ac:dyDescent="0.3">
      <c r="A254" s="39">
        <v>258</v>
      </c>
      <c r="B254" s="40" t="s">
        <v>1146</v>
      </c>
      <c r="C254" s="41" t="s">
        <v>1147</v>
      </c>
      <c r="D254" s="39" t="s">
        <v>767</v>
      </c>
      <c r="E254" s="43">
        <v>46125</v>
      </c>
      <c r="F254" s="26" t="s">
        <v>23</v>
      </c>
      <c r="G254" s="26" t="s">
        <v>24</v>
      </c>
      <c r="H254" s="26" t="s">
        <v>25</v>
      </c>
      <c r="I254" s="26" t="s">
        <v>26</v>
      </c>
      <c r="J254" s="26" t="s">
        <v>24</v>
      </c>
      <c r="K254" s="27"/>
      <c r="L254" s="28" t="s">
        <v>25</v>
      </c>
      <c r="M254" s="29" t="str">
        <f t="shared" si="15"/>
        <v>✓ OK</v>
      </c>
      <c r="N254" s="43">
        <v>46193</v>
      </c>
      <c r="O254" s="26" t="s">
        <v>23</v>
      </c>
      <c r="P254" s="26" t="s">
        <v>24</v>
      </c>
      <c r="Q254" s="26" t="s">
        <v>25</v>
      </c>
      <c r="R254" s="26" t="s">
        <v>26</v>
      </c>
      <c r="S254" s="26" t="s">
        <v>24</v>
      </c>
      <c r="T254" s="27"/>
      <c r="U254" s="28" t="s">
        <v>25</v>
      </c>
      <c r="V254" s="29" t="str">
        <f t="shared" si="16"/>
        <v>✓ OK</v>
      </c>
      <c r="W254" s="45">
        <v>46248</v>
      </c>
      <c r="X254" s="30" t="s">
        <v>23</v>
      </c>
      <c r="Y254" s="30" t="s">
        <v>24</v>
      </c>
      <c r="Z254" s="30" t="s">
        <v>25</v>
      </c>
      <c r="AA254" s="30" t="s">
        <v>26</v>
      </c>
      <c r="AB254" s="30" t="s">
        <v>24</v>
      </c>
      <c r="AC254" s="27"/>
      <c r="AD254" s="31" t="s">
        <v>25</v>
      </c>
      <c r="AE254" s="32" t="str">
        <f t="shared" si="17"/>
        <v>✓ OK</v>
      </c>
      <c r="AF254" s="33" t="s">
        <v>27</v>
      </c>
      <c r="AG254" s="33" t="s">
        <v>23</v>
      </c>
      <c r="AH254" s="33" t="s">
        <v>24</v>
      </c>
      <c r="AI254" s="33" t="s">
        <v>25</v>
      </c>
      <c r="AJ254" s="33" t="s">
        <v>26</v>
      </c>
      <c r="AK254" s="33" t="s">
        <v>24</v>
      </c>
      <c r="AL254" s="27"/>
      <c r="AM254" s="34" t="s">
        <v>25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8" customHeight="1" x14ac:dyDescent="0.3">
      <c r="A255" s="23">
        <v>259</v>
      </c>
      <c r="B255" s="24" t="s">
        <v>1148</v>
      </c>
      <c r="C255" s="25" t="s">
        <v>1149</v>
      </c>
      <c r="D255" s="23" t="s">
        <v>767</v>
      </c>
      <c r="E255" s="43">
        <v>46125</v>
      </c>
      <c r="F255" s="26" t="s">
        <v>23</v>
      </c>
      <c r="G255" s="26" t="s">
        <v>24</v>
      </c>
      <c r="H255" s="26" t="s">
        <v>25</v>
      </c>
      <c r="I255" s="26" t="s">
        <v>26</v>
      </c>
      <c r="J255" s="26" t="s">
        <v>24</v>
      </c>
      <c r="K255" s="27"/>
      <c r="L255" s="28" t="s">
        <v>25</v>
      </c>
      <c r="M255" s="29" t="str">
        <f t="shared" si="15"/>
        <v>✓ OK</v>
      </c>
      <c r="N255" s="43">
        <v>46193</v>
      </c>
      <c r="O255" s="26" t="s">
        <v>23</v>
      </c>
      <c r="P255" s="26" t="s">
        <v>24</v>
      </c>
      <c r="Q255" s="26" t="s">
        <v>25</v>
      </c>
      <c r="R255" s="26" t="s">
        <v>26</v>
      </c>
      <c r="S255" s="26" t="s">
        <v>24</v>
      </c>
      <c r="T255" s="27"/>
      <c r="U255" s="28" t="s">
        <v>25</v>
      </c>
      <c r="V255" s="29" t="str">
        <f t="shared" si="16"/>
        <v>✓ OK</v>
      </c>
      <c r="W255" s="45">
        <v>46248</v>
      </c>
      <c r="X255" s="30" t="s">
        <v>23</v>
      </c>
      <c r="Y255" s="30" t="s">
        <v>24</v>
      </c>
      <c r="Z255" s="30" t="s">
        <v>25</v>
      </c>
      <c r="AA255" s="30" t="s">
        <v>26</v>
      </c>
      <c r="AB255" s="30" t="s">
        <v>24</v>
      </c>
      <c r="AC255" s="27"/>
      <c r="AD255" s="31" t="s">
        <v>25</v>
      </c>
      <c r="AE255" s="32" t="str">
        <f t="shared" si="17"/>
        <v>✓ OK</v>
      </c>
      <c r="AF255" s="33" t="s">
        <v>27</v>
      </c>
      <c r="AG255" s="33" t="s">
        <v>23</v>
      </c>
      <c r="AH255" s="33" t="s">
        <v>24</v>
      </c>
      <c r="AI255" s="33" t="s">
        <v>25</v>
      </c>
      <c r="AJ255" s="33" t="s">
        <v>26</v>
      </c>
      <c r="AK255" s="33" t="s">
        <v>24</v>
      </c>
      <c r="AL255" s="27"/>
      <c r="AM255" s="34" t="s">
        <v>25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8" customHeight="1" x14ac:dyDescent="0.3">
      <c r="A256" s="39">
        <v>260</v>
      </c>
      <c r="B256" s="40" t="s">
        <v>1150</v>
      </c>
      <c r="C256" s="41" t="s">
        <v>1151</v>
      </c>
      <c r="D256" s="39" t="s">
        <v>767</v>
      </c>
      <c r="E256" s="43">
        <v>46125</v>
      </c>
      <c r="F256" s="26" t="s">
        <v>23</v>
      </c>
      <c r="G256" s="26" t="s">
        <v>24</v>
      </c>
      <c r="H256" s="26" t="s">
        <v>25</v>
      </c>
      <c r="I256" s="26" t="s">
        <v>26</v>
      </c>
      <c r="J256" s="26" t="s">
        <v>24</v>
      </c>
      <c r="K256" s="27"/>
      <c r="L256" s="28" t="s">
        <v>25</v>
      </c>
      <c r="M256" s="29" t="str">
        <f t="shared" si="15"/>
        <v>✓ OK</v>
      </c>
      <c r="N256" s="43">
        <v>46193</v>
      </c>
      <c r="O256" s="26" t="s">
        <v>23</v>
      </c>
      <c r="P256" s="26" t="s">
        <v>24</v>
      </c>
      <c r="Q256" s="26" t="s">
        <v>25</v>
      </c>
      <c r="R256" s="26" t="s">
        <v>26</v>
      </c>
      <c r="S256" s="26" t="s">
        <v>24</v>
      </c>
      <c r="T256" s="27"/>
      <c r="U256" s="28" t="s">
        <v>25</v>
      </c>
      <c r="V256" s="29" t="str">
        <f t="shared" si="16"/>
        <v>✓ OK</v>
      </c>
      <c r="W256" s="45">
        <v>46248</v>
      </c>
      <c r="X256" s="30" t="s">
        <v>23</v>
      </c>
      <c r="Y256" s="30" t="s">
        <v>24</v>
      </c>
      <c r="Z256" s="30" t="s">
        <v>25</v>
      </c>
      <c r="AA256" s="30" t="s">
        <v>26</v>
      </c>
      <c r="AB256" s="30" t="s">
        <v>24</v>
      </c>
      <c r="AC256" s="27"/>
      <c r="AD256" s="31" t="s">
        <v>25</v>
      </c>
      <c r="AE256" s="32" t="str">
        <f t="shared" si="17"/>
        <v>✓ OK</v>
      </c>
      <c r="AF256" s="33" t="s">
        <v>27</v>
      </c>
      <c r="AG256" s="33" t="s">
        <v>23</v>
      </c>
      <c r="AH256" s="33" t="s">
        <v>24</v>
      </c>
      <c r="AI256" s="33" t="s">
        <v>25</v>
      </c>
      <c r="AJ256" s="33" t="s">
        <v>26</v>
      </c>
      <c r="AK256" s="33" t="s">
        <v>24</v>
      </c>
      <c r="AL256" s="27"/>
      <c r="AM256" s="34" t="s">
        <v>25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8" customHeight="1" x14ac:dyDescent="0.3">
      <c r="A257" s="23">
        <v>261</v>
      </c>
      <c r="B257" s="24" t="s">
        <v>1152</v>
      </c>
      <c r="C257" s="25" t="s">
        <v>1153</v>
      </c>
      <c r="D257" s="23" t="s">
        <v>767</v>
      </c>
      <c r="E257" s="43">
        <v>46125</v>
      </c>
      <c r="F257" s="26" t="s">
        <v>23</v>
      </c>
      <c r="G257" s="26" t="s">
        <v>24</v>
      </c>
      <c r="H257" s="26" t="s">
        <v>25</v>
      </c>
      <c r="I257" s="26" t="s">
        <v>26</v>
      </c>
      <c r="J257" s="26" t="s">
        <v>24</v>
      </c>
      <c r="K257" s="27" t="s">
        <v>822</v>
      </c>
      <c r="L257" s="28" t="s">
        <v>24</v>
      </c>
      <c r="M257" s="29" t="str">
        <f t="shared" si="15"/>
        <v>✓ OK</v>
      </c>
      <c r="N257" s="43">
        <v>46193</v>
      </c>
      <c r="O257" s="26" t="s">
        <v>23</v>
      </c>
      <c r="P257" s="26" t="s">
        <v>24</v>
      </c>
      <c r="Q257" s="26" t="s">
        <v>25</v>
      </c>
      <c r="R257" s="26" t="s">
        <v>26</v>
      </c>
      <c r="S257" s="26" t="s">
        <v>24</v>
      </c>
      <c r="T257" s="27" t="s">
        <v>822</v>
      </c>
      <c r="U257" s="28" t="s">
        <v>24</v>
      </c>
      <c r="V257" s="29" t="str">
        <f t="shared" si="16"/>
        <v>✓ OK</v>
      </c>
      <c r="W257" s="45">
        <v>46248</v>
      </c>
      <c r="X257" s="30" t="s">
        <v>23</v>
      </c>
      <c r="Y257" s="30" t="s">
        <v>24</v>
      </c>
      <c r="Z257" s="30" t="s">
        <v>25</v>
      </c>
      <c r="AA257" s="30" t="s">
        <v>26</v>
      </c>
      <c r="AB257" s="30" t="s">
        <v>24</v>
      </c>
      <c r="AC257" s="27" t="s">
        <v>822</v>
      </c>
      <c r="AD257" s="31" t="s">
        <v>24</v>
      </c>
      <c r="AE257" s="32" t="str">
        <f t="shared" si="17"/>
        <v>✓ OK</v>
      </c>
      <c r="AF257" s="33" t="s">
        <v>27</v>
      </c>
      <c r="AG257" s="33" t="s">
        <v>23</v>
      </c>
      <c r="AH257" s="33" t="s">
        <v>24</v>
      </c>
      <c r="AI257" s="33" t="s">
        <v>25</v>
      </c>
      <c r="AJ257" s="33" t="s">
        <v>26</v>
      </c>
      <c r="AK257" s="33" t="s">
        <v>24</v>
      </c>
      <c r="AL257" s="27" t="s">
        <v>822</v>
      </c>
      <c r="AM257" s="34" t="s">
        <v>24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8" customHeight="1" x14ac:dyDescent="0.3">
      <c r="A258" s="39">
        <v>262</v>
      </c>
      <c r="B258" s="40" t="s">
        <v>1154</v>
      </c>
      <c r="C258" s="41" t="s">
        <v>1155</v>
      </c>
      <c r="D258" s="39" t="s">
        <v>767</v>
      </c>
      <c r="E258" s="43">
        <v>46125</v>
      </c>
      <c r="F258" s="26" t="s">
        <v>23</v>
      </c>
      <c r="G258" s="26" t="s">
        <v>24</v>
      </c>
      <c r="H258" s="26" t="s">
        <v>25</v>
      </c>
      <c r="I258" s="26" t="s">
        <v>26</v>
      </c>
      <c r="J258" s="26" t="s">
        <v>24</v>
      </c>
      <c r="K258" s="27"/>
      <c r="L258" s="28" t="s">
        <v>25</v>
      </c>
      <c r="M258" s="29" t="str">
        <f t="shared" si="15"/>
        <v>✓ OK</v>
      </c>
      <c r="N258" s="43">
        <v>46193</v>
      </c>
      <c r="O258" s="26" t="s">
        <v>23</v>
      </c>
      <c r="P258" s="26" t="s">
        <v>24</v>
      </c>
      <c r="Q258" s="26" t="s">
        <v>25</v>
      </c>
      <c r="R258" s="26" t="s">
        <v>26</v>
      </c>
      <c r="S258" s="26" t="s">
        <v>24</v>
      </c>
      <c r="T258" s="27"/>
      <c r="U258" s="28" t="s">
        <v>25</v>
      </c>
      <c r="V258" s="29" t="str">
        <f t="shared" si="16"/>
        <v>✓ OK</v>
      </c>
      <c r="W258" s="45">
        <v>46248</v>
      </c>
      <c r="X258" s="30" t="s">
        <v>23</v>
      </c>
      <c r="Y258" s="30" t="s">
        <v>24</v>
      </c>
      <c r="Z258" s="30" t="s">
        <v>25</v>
      </c>
      <c r="AA258" s="30" t="s">
        <v>26</v>
      </c>
      <c r="AB258" s="30" t="s">
        <v>24</v>
      </c>
      <c r="AC258" s="27"/>
      <c r="AD258" s="31" t="s">
        <v>25</v>
      </c>
      <c r="AE258" s="32" t="str">
        <f t="shared" si="17"/>
        <v>✓ OK</v>
      </c>
      <c r="AF258" s="33" t="s">
        <v>27</v>
      </c>
      <c r="AG258" s="33" t="s">
        <v>23</v>
      </c>
      <c r="AH258" s="33" t="s">
        <v>24</v>
      </c>
      <c r="AI258" s="33" t="s">
        <v>25</v>
      </c>
      <c r="AJ258" s="33" t="s">
        <v>26</v>
      </c>
      <c r="AK258" s="33" t="s">
        <v>24</v>
      </c>
      <c r="AL258" s="27"/>
      <c r="AM258" s="34" t="s">
        <v>25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8" customHeight="1" x14ac:dyDescent="0.3">
      <c r="A259" s="23">
        <v>263</v>
      </c>
      <c r="B259" s="24" t="s">
        <v>1156</v>
      </c>
      <c r="C259" s="25" t="s">
        <v>1157</v>
      </c>
      <c r="D259" s="23" t="s">
        <v>767</v>
      </c>
      <c r="E259" s="43">
        <v>46125</v>
      </c>
      <c r="F259" s="26" t="s">
        <v>23</v>
      </c>
      <c r="G259" s="26" t="s">
        <v>24</v>
      </c>
      <c r="H259" s="26" t="s">
        <v>25</v>
      </c>
      <c r="I259" s="26" t="s">
        <v>26</v>
      </c>
      <c r="J259" s="26" t="s">
        <v>24</v>
      </c>
      <c r="K259" s="27"/>
      <c r="L259" s="28" t="s">
        <v>25</v>
      </c>
      <c r="M259" s="29" t="str">
        <f t="shared" si="15"/>
        <v>✓ OK</v>
      </c>
      <c r="N259" s="43">
        <v>46193</v>
      </c>
      <c r="O259" s="26" t="s">
        <v>23</v>
      </c>
      <c r="P259" s="26" t="s">
        <v>24</v>
      </c>
      <c r="Q259" s="26" t="s">
        <v>25</v>
      </c>
      <c r="R259" s="26" t="s">
        <v>26</v>
      </c>
      <c r="S259" s="26" t="s">
        <v>24</v>
      </c>
      <c r="T259" s="27"/>
      <c r="U259" s="28" t="s">
        <v>25</v>
      </c>
      <c r="V259" s="29" t="str">
        <f t="shared" si="16"/>
        <v>✓ OK</v>
      </c>
      <c r="W259" s="45">
        <v>46248</v>
      </c>
      <c r="X259" s="30" t="s">
        <v>23</v>
      </c>
      <c r="Y259" s="30" t="s">
        <v>24</v>
      </c>
      <c r="Z259" s="30" t="s">
        <v>25</v>
      </c>
      <c r="AA259" s="30" t="s">
        <v>26</v>
      </c>
      <c r="AB259" s="30" t="s">
        <v>24</v>
      </c>
      <c r="AC259" s="27"/>
      <c r="AD259" s="31" t="s">
        <v>25</v>
      </c>
      <c r="AE259" s="32" t="str">
        <f t="shared" si="17"/>
        <v>✓ OK</v>
      </c>
      <c r="AF259" s="33" t="s">
        <v>27</v>
      </c>
      <c r="AG259" s="33" t="s">
        <v>23</v>
      </c>
      <c r="AH259" s="33" t="s">
        <v>24</v>
      </c>
      <c r="AI259" s="33" t="s">
        <v>25</v>
      </c>
      <c r="AJ259" s="33" t="s">
        <v>26</v>
      </c>
      <c r="AK259" s="33" t="s">
        <v>24</v>
      </c>
      <c r="AL259" s="27"/>
      <c r="AM259" s="34" t="s">
        <v>25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8" customHeight="1" x14ac:dyDescent="0.3">
      <c r="A260" s="39">
        <v>264</v>
      </c>
      <c r="B260" s="40" t="s">
        <v>1158</v>
      </c>
      <c r="C260" s="41" t="s">
        <v>1159</v>
      </c>
      <c r="D260" s="39" t="s">
        <v>767</v>
      </c>
      <c r="E260" s="43">
        <v>46125</v>
      </c>
      <c r="F260" s="26" t="s">
        <v>23</v>
      </c>
      <c r="G260" s="26" t="s">
        <v>24</v>
      </c>
      <c r="H260" s="26" t="s">
        <v>25</v>
      </c>
      <c r="I260" s="26" t="s">
        <v>26</v>
      </c>
      <c r="J260" s="26" t="s">
        <v>24</v>
      </c>
      <c r="K260" s="27"/>
      <c r="L260" s="28" t="s">
        <v>25</v>
      </c>
      <c r="M260" s="29" t="str">
        <f t="shared" si="15"/>
        <v>✓ OK</v>
      </c>
      <c r="N260" s="43">
        <v>46193</v>
      </c>
      <c r="O260" s="26" t="s">
        <v>23</v>
      </c>
      <c r="P260" s="26" t="s">
        <v>24</v>
      </c>
      <c r="Q260" s="26" t="s">
        <v>25</v>
      </c>
      <c r="R260" s="26" t="s">
        <v>26</v>
      </c>
      <c r="S260" s="26" t="s">
        <v>24</v>
      </c>
      <c r="T260" s="27"/>
      <c r="U260" s="28" t="s">
        <v>25</v>
      </c>
      <c r="V260" s="29" t="str">
        <f t="shared" si="16"/>
        <v>✓ OK</v>
      </c>
      <c r="W260" s="45">
        <v>46248</v>
      </c>
      <c r="X260" s="30" t="s">
        <v>23</v>
      </c>
      <c r="Y260" s="30" t="s">
        <v>24</v>
      </c>
      <c r="Z260" s="30" t="s">
        <v>25</v>
      </c>
      <c r="AA260" s="30" t="s">
        <v>26</v>
      </c>
      <c r="AB260" s="30" t="s">
        <v>24</v>
      </c>
      <c r="AC260" s="27"/>
      <c r="AD260" s="31" t="s">
        <v>25</v>
      </c>
      <c r="AE260" s="32" t="str">
        <f t="shared" si="17"/>
        <v>✓ OK</v>
      </c>
      <c r="AF260" s="33" t="s">
        <v>27</v>
      </c>
      <c r="AG260" s="33" t="s">
        <v>23</v>
      </c>
      <c r="AH260" s="33" t="s">
        <v>24</v>
      </c>
      <c r="AI260" s="33" t="s">
        <v>25</v>
      </c>
      <c r="AJ260" s="33" t="s">
        <v>26</v>
      </c>
      <c r="AK260" s="33" t="s">
        <v>24</v>
      </c>
      <c r="AL260" s="27"/>
      <c r="AM260" s="34" t="s">
        <v>25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8" customHeight="1" x14ac:dyDescent="0.3">
      <c r="A261" s="23">
        <v>265</v>
      </c>
      <c r="B261" s="24" t="s">
        <v>1160</v>
      </c>
      <c r="C261" s="25" t="s">
        <v>1161</v>
      </c>
      <c r="D261" s="23" t="s">
        <v>767</v>
      </c>
      <c r="E261" s="43">
        <v>46125</v>
      </c>
      <c r="F261" s="26" t="s">
        <v>23</v>
      </c>
      <c r="G261" s="26" t="s">
        <v>24</v>
      </c>
      <c r="H261" s="26" t="s">
        <v>25</v>
      </c>
      <c r="I261" s="26" t="s">
        <v>26</v>
      </c>
      <c r="J261" s="26" t="s">
        <v>24</v>
      </c>
      <c r="K261" s="27" t="s">
        <v>822</v>
      </c>
      <c r="L261" s="28" t="s">
        <v>24</v>
      </c>
      <c r="M261" s="29" t="str">
        <f t="shared" ref="M261:M288" si="20">IF(E261="","",IF(H261="Yes","❌ Disc",IF(G261="No","⚠ Missing",IF(J261="Yes","✓ OK","⚠ Check"))))</f>
        <v>✓ OK</v>
      </c>
      <c r="N261" s="43">
        <v>46193</v>
      </c>
      <c r="O261" s="26" t="s">
        <v>23</v>
      </c>
      <c r="P261" s="26" t="s">
        <v>25</v>
      </c>
      <c r="Q261" s="26" t="s">
        <v>24</v>
      </c>
      <c r="R261" s="26" t="s">
        <v>135</v>
      </c>
      <c r="S261" s="26" t="s">
        <v>25</v>
      </c>
      <c r="T261" s="27"/>
      <c r="U261" s="28" t="s">
        <v>24</v>
      </c>
      <c r="V261" s="29" t="str">
        <f t="shared" ref="V261:V288" si="21">IF(N261="","",IF(Q261="Yes","❌ Disc",IF(P261="No","⚠ Missing",IF(S261="Yes","✓ OK","⚠ Check"))))</f>
        <v>❌ Disc</v>
      </c>
      <c r="W261" s="45">
        <v>46248</v>
      </c>
      <c r="X261" s="30" t="s">
        <v>23</v>
      </c>
      <c r="Y261" s="30" t="s">
        <v>25</v>
      </c>
      <c r="Z261" s="30" t="s">
        <v>24</v>
      </c>
      <c r="AA261" s="30" t="s">
        <v>135</v>
      </c>
      <c r="AB261" s="30" t="s">
        <v>25</v>
      </c>
      <c r="AC261" s="27"/>
      <c r="AD261" s="31" t="s">
        <v>25</v>
      </c>
      <c r="AE261" s="32" t="str">
        <f t="shared" ref="AE261:AE288" si="22">IF(W261="","",IF(Z261="Yes","❌ Disc",IF(Y261="No","⚠ Missing",IF(AB261="Yes","✓ OK","⚠ Check"))))</f>
        <v>❌ Disc</v>
      </c>
      <c r="AF261" s="33" t="s">
        <v>27</v>
      </c>
      <c r="AG261" s="33" t="s">
        <v>23</v>
      </c>
      <c r="AH261" s="33" t="s">
        <v>25</v>
      </c>
      <c r="AI261" s="33" t="s">
        <v>24</v>
      </c>
      <c r="AJ261" s="33" t="s">
        <v>135</v>
      </c>
      <c r="AK261" s="33" t="s">
        <v>25</v>
      </c>
      <c r="AL261" s="27"/>
      <c r="AM261" s="34" t="s">
        <v>25</v>
      </c>
      <c r="AN261" s="35" t="str">
        <f t="shared" ref="AN261:AN288" si="23">IF(AF261="","",IF(AI261="Yes","❌ Disc",IF(AH261="No","⚠ Missing",IF(AK261="Yes","✓ OK","⚠ Check"))))</f>
        <v>❌ Disc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288" si="24">IF(AO261="","",IF(AR261="Yes","❌ Disc",IF(AQ261="No","⚠ Missing",IF(AT261="Yes","✓ OK","⚠ Check"))))</f>
        <v/>
      </c>
    </row>
    <row r="262" spans="1:49" ht="18" customHeight="1" x14ac:dyDescent="0.3">
      <c r="A262" s="39">
        <v>266</v>
      </c>
      <c r="B262" s="40" t="s">
        <v>1162</v>
      </c>
      <c r="C262" s="41" t="s">
        <v>1163</v>
      </c>
      <c r="D262" s="39" t="s">
        <v>767</v>
      </c>
      <c r="E262" s="43">
        <v>46125</v>
      </c>
      <c r="F262" s="26" t="s">
        <v>23</v>
      </c>
      <c r="G262" s="26" t="s">
        <v>24</v>
      </c>
      <c r="H262" s="26" t="s">
        <v>25</v>
      </c>
      <c r="I262" s="26" t="s">
        <v>26</v>
      </c>
      <c r="J262" s="26" t="s">
        <v>24</v>
      </c>
      <c r="K262" s="27"/>
      <c r="L262" s="28" t="s">
        <v>25</v>
      </c>
      <c r="M262" s="29" t="str">
        <f t="shared" si="20"/>
        <v>✓ OK</v>
      </c>
      <c r="N262" s="43">
        <v>46193</v>
      </c>
      <c r="O262" s="26" t="s">
        <v>23</v>
      </c>
      <c r="P262" s="26" t="s">
        <v>24</v>
      </c>
      <c r="Q262" s="26" t="s">
        <v>25</v>
      </c>
      <c r="R262" s="26" t="s">
        <v>26</v>
      </c>
      <c r="S262" s="26" t="s">
        <v>24</v>
      </c>
      <c r="T262" s="27"/>
      <c r="U262" s="28" t="s">
        <v>25</v>
      </c>
      <c r="V262" s="29" t="str">
        <f t="shared" si="21"/>
        <v>✓ OK</v>
      </c>
      <c r="W262" s="45">
        <v>46248</v>
      </c>
      <c r="X262" s="30" t="s">
        <v>23</v>
      </c>
      <c r="Y262" s="30" t="s">
        <v>24</v>
      </c>
      <c r="Z262" s="30" t="s">
        <v>25</v>
      </c>
      <c r="AA262" s="30" t="s">
        <v>26</v>
      </c>
      <c r="AB262" s="30" t="s">
        <v>24</v>
      </c>
      <c r="AC262" s="27"/>
      <c r="AD262" s="31" t="s">
        <v>25</v>
      </c>
      <c r="AE262" s="32" t="str">
        <f t="shared" si="22"/>
        <v>✓ OK</v>
      </c>
      <c r="AF262" s="33" t="s">
        <v>27</v>
      </c>
      <c r="AG262" s="33" t="s">
        <v>23</v>
      </c>
      <c r="AH262" s="33" t="s">
        <v>25</v>
      </c>
      <c r="AI262" s="33" t="s">
        <v>24</v>
      </c>
      <c r="AJ262" s="33" t="s">
        <v>135</v>
      </c>
      <c r="AK262" s="33" t="s">
        <v>25</v>
      </c>
      <c r="AL262" s="27"/>
      <c r="AM262" s="34" t="s">
        <v>25</v>
      </c>
      <c r="AN262" s="35" t="str">
        <f t="shared" si="23"/>
        <v>❌ Disc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8" customHeight="1" x14ac:dyDescent="0.3">
      <c r="A263" s="23">
        <v>267</v>
      </c>
      <c r="B263" s="24" t="s">
        <v>1164</v>
      </c>
      <c r="C263" s="25" t="s">
        <v>1165</v>
      </c>
      <c r="D263" s="23" t="s">
        <v>767</v>
      </c>
      <c r="E263" s="43">
        <v>46125</v>
      </c>
      <c r="F263" s="26" t="s">
        <v>23</v>
      </c>
      <c r="G263" s="26" t="s">
        <v>24</v>
      </c>
      <c r="H263" s="26" t="s">
        <v>25</v>
      </c>
      <c r="I263" s="26" t="s">
        <v>26</v>
      </c>
      <c r="J263" s="26" t="s">
        <v>24</v>
      </c>
      <c r="K263" s="27"/>
      <c r="L263" s="28" t="s">
        <v>25</v>
      </c>
      <c r="M263" s="29" t="str">
        <f t="shared" si="20"/>
        <v>✓ OK</v>
      </c>
      <c r="N263" s="43">
        <v>46193</v>
      </c>
      <c r="O263" s="26" t="s">
        <v>23</v>
      </c>
      <c r="P263" s="26" t="s">
        <v>24</v>
      </c>
      <c r="Q263" s="26" t="s">
        <v>25</v>
      </c>
      <c r="R263" s="26" t="s">
        <v>26</v>
      </c>
      <c r="S263" s="26" t="s">
        <v>24</v>
      </c>
      <c r="T263" s="27"/>
      <c r="U263" s="28" t="s">
        <v>25</v>
      </c>
      <c r="V263" s="29" t="str">
        <f t="shared" si="21"/>
        <v>✓ OK</v>
      </c>
      <c r="W263" s="45">
        <v>46248</v>
      </c>
      <c r="X263" s="30" t="s">
        <v>23</v>
      </c>
      <c r="Y263" s="30" t="s">
        <v>24</v>
      </c>
      <c r="Z263" s="30" t="s">
        <v>25</v>
      </c>
      <c r="AA263" s="30" t="s">
        <v>26</v>
      </c>
      <c r="AB263" s="30" t="s">
        <v>24</v>
      </c>
      <c r="AC263" s="27"/>
      <c r="AD263" s="31" t="s">
        <v>25</v>
      </c>
      <c r="AE263" s="32" t="str">
        <f t="shared" si="22"/>
        <v>✓ OK</v>
      </c>
      <c r="AF263" s="33" t="s">
        <v>27</v>
      </c>
      <c r="AG263" s="33" t="s">
        <v>23</v>
      </c>
      <c r="AH263" s="33" t="s">
        <v>24</v>
      </c>
      <c r="AI263" s="33" t="s">
        <v>25</v>
      </c>
      <c r="AJ263" s="33" t="s">
        <v>26</v>
      </c>
      <c r="AK263" s="33" t="s">
        <v>24</v>
      </c>
      <c r="AL263" s="27"/>
      <c r="AM263" s="34" t="s">
        <v>25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8" customHeight="1" x14ac:dyDescent="0.3">
      <c r="A264" s="39">
        <v>268</v>
      </c>
      <c r="B264" s="40" t="s">
        <v>1166</v>
      </c>
      <c r="C264" s="41" t="s">
        <v>1167</v>
      </c>
      <c r="D264" s="39" t="s">
        <v>767</v>
      </c>
      <c r="E264" s="43">
        <v>46125</v>
      </c>
      <c r="F264" s="26" t="s">
        <v>23</v>
      </c>
      <c r="G264" s="26" t="s">
        <v>24</v>
      </c>
      <c r="H264" s="26" t="s">
        <v>25</v>
      </c>
      <c r="I264" s="26" t="s">
        <v>26</v>
      </c>
      <c r="J264" s="26" t="s">
        <v>24</v>
      </c>
      <c r="K264" s="27"/>
      <c r="L264" s="28" t="s">
        <v>25</v>
      </c>
      <c r="M264" s="29" t="str">
        <f t="shared" si="20"/>
        <v>✓ OK</v>
      </c>
      <c r="N264" s="43">
        <v>46193</v>
      </c>
      <c r="O264" s="26" t="s">
        <v>23</v>
      </c>
      <c r="P264" s="26" t="s">
        <v>24</v>
      </c>
      <c r="Q264" s="26" t="s">
        <v>25</v>
      </c>
      <c r="R264" s="26" t="s">
        <v>26</v>
      </c>
      <c r="S264" s="26" t="s">
        <v>24</v>
      </c>
      <c r="T264" s="27"/>
      <c r="U264" s="28" t="s">
        <v>25</v>
      </c>
      <c r="V264" s="29" t="str">
        <f t="shared" si="21"/>
        <v>✓ OK</v>
      </c>
      <c r="W264" s="45">
        <v>46248</v>
      </c>
      <c r="X264" s="30" t="s">
        <v>23</v>
      </c>
      <c r="Y264" s="30" t="s">
        <v>24</v>
      </c>
      <c r="Z264" s="30" t="s">
        <v>25</v>
      </c>
      <c r="AA264" s="30" t="s">
        <v>26</v>
      </c>
      <c r="AB264" s="30" t="s">
        <v>24</v>
      </c>
      <c r="AC264" s="27"/>
      <c r="AD264" s="31" t="s">
        <v>25</v>
      </c>
      <c r="AE264" s="32" t="str">
        <f t="shared" si="22"/>
        <v>✓ OK</v>
      </c>
      <c r="AF264" s="33" t="s">
        <v>27</v>
      </c>
      <c r="AG264" s="33" t="s">
        <v>23</v>
      </c>
      <c r="AH264" s="33" t="s">
        <v>24</v>
      </c>
      <c r="AI264" s="33" t="s">
        <v>25</v>
      </c>
      <c r="AJ264" s="33" t="s">
        <v>26</v>
      </c>
      <c r="AK264" s="33" t="s">
        <v>24</v>
      </c>
      <c r="AL264" s="27"/>
      <c r="AM264" s="34" t="s">
        <v>25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8" customHeight="1" x14ac:dyDescent="0.3">
      <c r="A265" s="23">
        <v>269</v>
      </c>
      <c r="B265" s="24" t="s">
        <v>1168</v>
      </c>
      <c r="C265" s="25" t="s">
        <v>1169</v>
      </c>
      <c r="D265" s="23" t="s">
        <v>767</v>
      </c>
      <c r="E265" s="43">
        <v>46125</v>
      </c>
      <c r="F265" s="26" t="s">
        <v>23</v>
      </c>
      <c r="G265" s="26" t="s">
        <v>24</v>
      </c>
      <c r="H265" s="26" t="s">
        <v>25</v>
      </c>
      <c r="I265" s="26" t="s">
        <v>26</v>
      </c>
      <c r="J265" s="26" t="s">
        <v>24</v>
      </c>
      <c r="K265" s="27"/>
      <c r="L265" s="28" t="s">
        <v>25</v>
      </c>
      <c r="M265" s="29" t="str">
        <f t="shared" si="20"/>
        <v>✓ OK</v>
      </c>
      <c r="N265" s="43">
        <v>46193</v>
      </c>
      <c r="O265" s="26" t="s">
        <v>23</v>
      </c>
      <c r="P265" s="26" t="s">
        <v>24</v>
      </c>
      <c r="Q265" s="26" t="s">
        <v>25</v>
      </c>
      <c r="R265" s="26" t="s">
        <v>26</v>
      </c>
      <c r="S265" s="26" t="s">
        <v>24</v>
      </c>
      <c r="T265" s="27"/>
      <c r="U265" s="28" t="s">
        <v>25</v>
      </c>
      <c r="V265" s="29" t="str">
        <f t="shared" si="21"/>
        <v>✓ OK</v>
      </c>
      <c r="W265" s="45">
        <v>46248</v>
      </c>
      <c r="X265" s="30" t="s">
        <v>23</v>
      </c>
      <c r="Y265" s="30" t="s">
        <v>24</v>
      </c>
      <c r="Z265" s="30" t="s">
        <v>25</v>
      </c>
      <c r="AA265" s="30" t="s">
        <v>26</v>
      </c>
      <c r="AB265" s="30" t="s">
        <v>24</v>
      </c>
      <c r="AC265" s="27"/>
      <c r="AD265" s="31" t="s">
        <v>25</v>
      </c>
      <c r="AE265" s="32" t="str">
        <f t="shared" si="22"/>
        <v>✓ OK</v>
      </c>
      <c r="AF265" s="33" t="s">
        <v>27</v>
      </c>
      <c r="AG265" s="33" t="s">
        <v>23</v>
      </c>
      <c r="AH265" s="33" t="s">
        <v>24</v>
      </c>
      <c r="AI265" s="33" t="s">
        <v>25</v>
      </c>
      <c r="AJ265" s="33" t="s">
        <v>26</v>
      </c>
      <c r="AK265" s="33" t="s">
        <v>24</v>
      </c>
      <c r="AL265" s="27"/>
      <c r="AM265" s="34" t="s">
        <v>25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8" customHeight="1" x14ac:dyDescent="0.3">
      <c r="A266" s="39">
        <v>270</v>
      </c>
      <c r="B266" s="40" t="s">
        <v>1170</v>
      </c>
      <c r="C266" s="41" t="s">
        <v>1171</v>
      </c>
      <c r="D266" s="39" t="s">
        <v>767</v>
      </c>
      <c r="E266" s="43">
        <v>46125</v>
      </c>
      <c r="F266" s="26" t="s">
        <v>23</v>
      </c>
      <c r="G266" s="26" t="s">
        <v>24</v>
      </c>
      <c r="H266" s="26" t="s">
        <v>25</v>
      </c>
      <c r="I266" s="26" t="s">
        <v>26</v>
      </c>
      <c r="J266" s="26" t="s">
        <v>24</v>
      </c>
      <c r="K266" s="27"/>
      <c r="L266" s="28" t="s">
        <v>25</v>
      </c>
      <c r="M266" s="29" t="str">
        <f t="shared" si="20"/>
        <v>✓ OK</v>
      </c>
      <c r="N266" s="43">
        <v>46193</v>
      </c>
      <c r="O266" s="26" t="s">
        <v>23</v>
      </c>
      <c r="P266" s="26" t="s">
        <v>24</v>
      </c>
      <c r="Q266" s="26" t="s">
        <v>25</v>
      </c>
      <c r="R266" s="26" t="s">
        <v>26</v>
      </c>
      <c r="S266" s="26" t="s">
        <v>24</v>
      </c>
      <c r="T266" s="27"/>
      <c r="U266" s="28" t="s">
        <v>25</v>
      </c>
      <c r="V266" s="29" t="str">
        <f t="shared" si="21"/>
        <v>✓ OK</v>
      </c>
      <c r="W266" s="45">
        <v>46248</v>
      </c>
      <c r="X266" s="30" t="s">
        <v>23</v>
      </c>
      <c r="Y266" s="30" t="s">
        <v>24</v>
      </c>
      <c r="Z266" s="30" t="s">
        <v>25</v>
      </c>
      <c r="AA266" s="30" t="s">
        <v>26</v>
      </c>
      <c r="AB266" s="30" t="s">
        <v>24</v>
      </c>
      <c r="AC266" s="27"/>
      <c r="AD266" s="31" t="s">
        <v>25</v>
      </c>
      <c r="AE266" s="32" t="str">
        <f t="shared" si="22"/>
        <v>✓ OK</v>
      </c>
      <c r="AF266" s="33" t="s">
        <v>27</v>
      </c>
      <c r="AG266" s="33" t="s">
        <v>23</v>
      </c>
      <c r="AH266" s="33" t="s">
        <v>24</v>
      </c>
      <c r="AI266" s="33" t="s">
        <v>25</v>
      </c>
      <c r="AJ266" s="33" t="s">
        <v>26</v>
      </c>
      <c r="AK266" s="33" t="s">
        <v>24</v>
      </c>
      <c r="AL266" s="27"/>
      <c r="AM266" s="34" t="s">
        <v>25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8" customHeight="1" x14ac:dyDescent="0.3">
      <c r="A267" s="23">
        <v>271</v>
      </c>
      <c r="B267" s="24" t="s">
        <v>1172</v>
      </c>
      <c r="C267" s="25" t="s">
        <v>1173</v>
      </c>
      <c r="D267" s="23" t="s">
        <v>767</v>
      </c>
      <c r="E267" s="43">
        <v>46125</v>
      </c>
      <c r="F267" s="26" t="s">
        <v>23</v>
      </c>
      <c r="G267" s="26" t="s">
        <v>24</v>
      </c>
      <c r="H267" s="26" t="s">
        <v>25</v>
      </c>
      <c r="I267" s="26" t="s">
        <v>26</v>
      </c>
      <c r="J267" s="26" t="s">
        <v>24</v>
      </c>
      <c r="K267" s="27"/>
      <c r="L267" s="28" t="s">
        <v>25</v>
      </c>
      <c r="M267" s="29" t="str">
        <f t="shared" si="20"/>
        <v>✓ OK</v>
      </c>
      <c r="N267" s="43">
        <v>46193</v>
      </c>
      <c r="O267" s="26" t="s">
        <v>23</v>
      </c>
      <c r="P267" s="26" t="s">
        <v>25</v>
      </c>
      <c r="Q267" s="26" t="s">
        <v>24</v>
      </c>
      <c r="R267" s="26" t="s">
        <v>135</v>
      </c>
      <c r="S267" s="26" t="s">
        <v>25</v>
      </c>
      <c r="T267" s="27"/>
      <c r="U267" s="28" t="s">
        <v>25</v>
      </c>
      <c r="V267" s="29" t="str">
        <f t="shared" si="21"/>
        <v>❌ Disc</v>
      </c>
      <c r="W267" s="45">
        <v>46248</v>
      </c>
      <c r="X267" s="30" t="s">
        <v>23</v>
      </c>
      <c r="Y267" s="30" t="s">
        <v>25</v>
      </c>
      <c r="Z267" s="30" t="s">
        <v>24</v>
      </c>
      <c r="AA267" s="30" t="s">
        <v>135</v>
      </c>
      <c r="AB267" s="30" t="s">
        <v>25</v>
      </c>
      <c r="AC267" s="27"/>
      <c r="AD267" s="31" t="s">
        <v>25</v>
      </c>
      <c r="AE267" s="32" t="str">
        <f t="shared" si="22"/>
        <v>❌ Disc</v>
      </c>
      <c r="AF267" s="33" t="s">
        <v>27</v>
      </c>
      <c r="AG267" s="33" t="s">
        <v>23</v>
      </c>
      <c r="AH267" s="33" t="s">
        <v>25</v>
      </c>
      <c r="AI267" s="33" t="s">
        <v>24</v>
      </c>
      <c r="AJ267" s="33" t="s">
        <v>135</v>
      </c>
      <c r="AK267" s="33" t="s">
        <v>25</v>
      </c>
      <c r="AL267" s="27"/>
      <c r="AM267" s="34" t="s">
        <v>25</v>
      </c>
      <c r="AN267" s="35" t="str">
        <f t="shared" si="23"/>
        <v>❌ Disc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8" customHeight="1" x14ac:dyDescent="0.3">
      <c r="A268" s="39">
        <v>272</v>
      </c>
      <c r="B268" s="40" t="s">
        <v>1174</v>
      </c>
      <c r="C268" s="41" t="s">
        <v>1175</v>
      </c>
      <c r="D268" s="39" t="s">
        <v>767</v>
      </c>
      <c r="E268" s="43">
        <v>46125</v>
      </c>
      <c r="F268" s="26" t="s">
        <v>23</v>
      </c>
      <c r="G268" s="26" t="s">
        <v>24</v>
      </c>
      <c r="H268" s="26" t="s">
        <v>25</v>
      </c>
      <c r="I268" s="26" t="s">
        <v>731</v>
      </c>
      <c r="J268" s="26" t="s">
        <v>25</v>
      </c>
      <c r="K268" s="27" t="s">
        <v>740</v>
      </c>
      <c r="L268" s="28" t="s">
        <v>24</v>
      </c>
      <c r="M268" s="29" t="str">
        <f t="shared" si="20"/>
        <v>⚠ Check</v>
      </c>
      <c r="N268" s="43">
        <v>46193</v>
      </c>
      <c r="O268" s="26" t="s">
        <v>23</v>
      </c>
      <c r="P268" s="26" t="s">
        <v>24</v>
      </c>
      <c r="Q268" s="26" t="s">
        <v>25</v>
      </c>
      <c r="R268" s="26" t="s">
        <v>731</v>
      </c>
      <c r="S268" s="26" t="s">
        <v>25</v>
      </c>
      <c r="T268" s="27" t="s">
        <v>740</v>
      </c>
      <c r="U268" s="28" t="s">
        <v>24</v>
      </c>
      <c r="V268" s="29" t="str">
        <f t="shared" si="21"/>
        <v>⚠ Check</v>
      </c>
      <c r="W268" s="45">
        <v>46248</v>
      </c>
      <c r="X268" s="30" t="s">
        <v>23</v>
      </c>
      <c r="Y268" s="30" t="s">
        <v>24</v>
      </c>
      <c r="Z268" s="30" t="s">
        <v>25</v>
      </c>
      <c r="AA268" s="30" t="s">
        <v>26</v>
      </c>
      <c r="AB268" s="30" t="s">
        <v>24</v>
      </c>
      <c r="AC268" s="27"/>
      <c r="AD268" s="31" t="s">
        <v>24</v>
      </c>
      <c r="AE268" s="32" t="str">
        <f t="shared" si="22"/>
        <v>✓ OK</v>
      </c>
      <c r="AF268" s="33" t="s">
        <v>27</v>
      </c>
      <c r="AG268" s="33" t="s">
        <v>23</v>
      </c>
      <c r="AH268" s="33" t="s">
        <v>24</v>
      </c>
      <c r="AI268" s="33" t="s">
        <v>24</v>
      </c>
      <c r="AJ268" s="33" t="s">
        <v>26</v>
      </c>
      <c r="AK268" s="33" t="s">
        <v>24</v>
      </c>
      <c r="AL268" s="27"/>
      <c r="AM268" s="34" t="s">
        <v>25</v>
      </c>
      <c r="AN268" s="35" t="str">
        <f t="shared" si="23"/>
        <v>❌ Disc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8" customHeight="1" x14ac:dyDescent="0.3">
      <c r="A269" s="23">
        <v>273</v>
      </c>
      <c r="B269" s="24" t="s">
        <v>1176</v>
      </c>
      <c r="C269" s="25" t="s">
        <v>1177</v>
      </c>
      <c r="D269" s="23" t="s">
        <v>767</v>
      </c>
      <c r="E269" s="43">
        <v>46125</v>
      </c>
      <c r="F269" s="26" t="s">
        <v>23</v>
      </c>
      <c r="G269" s="26" t="s">
        <v>24</v>
      </c>
      <c r="H269" s="26" t="s">
        <v>25</v>
      </c>
      <c r="I269" s="26" t="s">
        <v>26</v>
      </c>
      <c r="J269" s="26" t="s">
        <v>24</v>
      </c>
      <c r="K269" s="27"/>
      <c r="L269" s="28" t="s">
        <v>25</v>
      </c>
      <c r="M269" s="29" t="str">
        <f t="shared" si="20"/>
        <v>✓ OK</v>
      </c>
      <c r="N269" s="43">
        <v>46193</v>
      </c>
      <c r="O269" s="26" t="s">
        <v>23</v>
      </c>
      <c r="P269" s="26" t="s">
        <v>24</v>
      </c>
      <c r="Q269" s="26" t="s">
        <v>25</v>
      </c>
      <c r="R269" s="26" t="s">
        <v>26</v>
      </c>
      <c r="S269" s="26" t="s">
        <v>24</v>
      </c>
      <c r="T269" s="27"/>
      <c r="U269" s="28" t="s">
        <v>25</v>
      </c>
      <c r="V269" s="29" t="str">
        <f t="shared" si="21"/>
        <v>✓ OK</v>
      </c>
      <c r="W269" s="45">
        <v>46248</v>
      </c>
      <c r="X269" s="30" t="s">
        <v>23</v>
      </c>
      <c r="Y269" s="30" t="s">
        <v>24</v>
      </c>
      <c r="Z269" s="30" t="s">
        <v>25</v>
      </c>
      <c r="AA269" s="30" t="s">
        <v>26</v>
      </c>
      <c r="AB269" s="30" t="s">
        <v>24</v>
      </c>
      <c r="AC269" s="27"/>
      <c r="AD269" s="31" t="s">
        <v>25</v>
      </c>
      <c r="AE269" s="32" t="str">
        <f t="shared" si="22"/>
        <v>✓ OK</v>
      </c>
      <c r="AF269" s="33" t="s">
        <v>27</v>
      </c>
      <c r="AG269" s="33" t="s">
        <v>23</v>
      </c>
      <c r="AH269" s="33" t="s">
        <v>24</v>
      </c>
      <c r="AI269" s="33" t="s">
        <v>25</v>
      </c>
      <c r="AJ269" s="33" t="s">
        <v>26</v>
      </c>
      <c r="AK269" s="33" t="s">
        <v>24</v>
      </c>
      <c r="AL269" s="27"/>
      <c r="AM269" s="34" t="s">
        <v>25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8" customHeight="1" x14ac:dyDescent="0.3">
      <c r="A270" s="39">
        <v>274</v>
      </c>
      <c r="B270" s="40" t="s">
        <v>1178</v>
      </c>
      <c r="C270" s="41" t="s">
        <v>1179</v>
      </c>
      <c r="D270" s="39" t="s">
        <v>767</v>
      </c>
      <c r="E270" s="43">
        <v>46125</v>
      </c>
      <c r="F270" s="26" t="s">
        <v>23</v>
      </c>
      <c r="G270" s="26" t="s">
        <v>25</v>
      </c>
      <c r="H270" s="26" t="s">
        <v>25</v>
      </c>
      <c r="I270" s="26" t="s">
        <v>735</v>
      </c>
      <c r="J270" s="26" t="s">
        <v>25</v>
      </c>
      <c r="K270" s="27"/>
      <c r="L270" s="28" t="s">
        <v>24</v>
      </c>
      <c r="M270" s="29" t="str">
        <f t="shared" si="20"/>
        <v>⚠ Missing</v>
      </c>
      <c r="N270" s="43">
        <v>46193</v>
      </c>
      <c r="O270" s="26" t="s">
        <v>23</v>
      </c>
      <c r="P270" s="26" t="s">
        <v>25</v>
      </c>
      <c r="Q270" s="26" t="s">
        <v>25</v>
      </c>
      <c r="R270" s="26" t="s">
        <v>735</v>
      </c>
      <c r="S270" s="26" t="s">
        <v>25</v>
      </c>
      <c r="T270" s="27"/>
      <c r="U270" s="28" t="s">
        <v>24</v>
      </c>
      <c r="V270" s="29" t="str">
        <f t="shared" si="21"/>
        <v>⚠ Missing</v>
      </c>
      <c r="W270" s="45">
        <v>46248</v>
      </c>
      <c r="X270" s="30" t="s">
        <v>23</v>
      </c>
      <c r="Y270" s="30" t="s">
        <v>25</v>
      </c>
      <c r="Z270" s="30" t="s">
        <v>25</v>
      </c>
      <c r="AA270" s="30" t="s">
        <v>735</v>
      </c>
      <c r="AB270" s="30" t="s">
        <v>25</v>
      </c>
      <c r="AC270" s="27"/>
      <c r="AD270" s="31" t="s">
        <v>24</v>
      </c>
      <c r="AE270" s="32" t="str">
        <f t="shared" si="22"/>
        <v>⚠ Missing</v>
      </c>
      <c r="AF270" s="33" t="s">
        <v>27</v>
      </c>
      <c r="AG270" s="33" t="s">
        <v>23</v>
      </c>
      <c r="AH270" s="33" t="s">
        <v>25</v>
      </c>
      <c r="AI270" s="33" t="s">
        <v>25</v>
      </c>
      <c r="AJ270" s="33" t="s">
        <v>735</v>
      </c>
      <c r="AK270" s="33" t="s">
        <v>25</v>
      </c>
      <c r="AL270" s="27"/>
      <c r="AM270" s="34" t="s">
        <v>24</v>
      </c>
      <c r="AN270" s="35" t="str">
        <f t="shared" si="23"/>
        <v>⚠ Missing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8" customHeight="1" x14ac:dyDescent="0.3">
      <c r="A271" s="23">
        <v>275</v>
      </c>
      <c r="B271" s="24" t="s">
        <v>1180</v>
      </c>
      <c r="C271" s="25" t="s">
        <v>1181</v>
      </c>
      <c r="D271" s="23" t="s">
        <v>767</v>
      </c>
      <c r="E271" s="43">
        <v>46125</v>
      </c>
      <c r="F271" s="26" t="s">
        <v>23</v>
      </c>
      <c r="G271" s="26" t="s">
        <v>24</v>
      </c>
      <c r="H271" s="26" t="s">
        <v>25</v>
      </c>
      <c r="I271" s="26" t="s">
        <v>26</v>
      </c>
      <c r="J271" s="26" t="s">
        <v>24</v>
      </c>
      <c r="K271" s="27"/>
      <c r="L271" s="28" t="s">
        <v>25</v>
      </c>
      <c r="M271" s="29" t="str">
        <f t="shared" si="20"/>
        <v>✓ OK</v>
      </c>
      <c r="N271" s="43">
        <v>46193</v>
      </c>
      <c r="O271" s="26" t="s">
        <v>23</v>
      </c>
      <c r="P271" s="26" t="s">
        <v>24</v>
      </c>
      <c r="Q271" s="26" t="s">
        <v>25</v>
      </c>
      <c r="R271" s="26" t="s">
        <v>26</v>
      </c>
      <c r="S271" s="26" t="s">
        <v>24</v>
      </c>
      <c r="T271" s="27"/>
      <c r="U271" s="28" t="s">
        <v>25</v>
      </c>
      <c r="V271" s="29" t="str">
        <f t="shared" si="21"/>
        <v>✓ OK</v>
      </c>
      <c r="W271" s="45">
        <v>46248</v>
      </c>
      <c r="X271" s="30" t="s">
        <v>23</v>
      </c>
      <c r="Y271" s="30" t="s">
        <v>24</v>
      </c>
      <c r="Z271" s="30" t="s">
        <v>25</v>
      </c>
      <c r="AA271" s="30" t="s">
        <v>26</v>
      </c>
      <c r="AB271" s="30" t="s">
        <v>24</v>
      </c>
      <c r="AC271" s="27"/>
      <c r="AD271" s="31" t="s">
        <v>25</v>
      </c>
      <c r="AE271" s="32" t="str">
        <f t="shared" si="22"/>
        <v>✓ OK</v>
      </c>
      <c r="AF271" s="33" t="s">
        <v>27</v>
      </c>
      <c r="AG271" s="33" t="s">
        <v>23</v>
      </c>
      <c r="AH271" s="33" t="s">
        <v>24</v>
      </c>
      <c r="AI271" s="33" t="s">
        <v>25</v>
      </c>
      <c r="AJ271" s="33" t="s">
        <v>26</v>
      </c>
      <c r="AK271" s="33" t="s">
        <v>24</v>
      </c>
      <c r="AL271" s="27"/>
      <c r="AM271" s="34" t="s">
        <v>25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8" customHeight="1" x14ac:dyDescent="0.3">
      <c r="A272" s="39">
        <v>276</v>
      </c>
      <c r="B272" s="40" t="s">
        <v>1182</v>
      </c>
      <c r="C272" s="41" t="s">
        <v>1183</v>
      </c>
      <c r="D272" s="39" t="s">
        <v>767</v>
      </c>
      <c r="E272" s="43">
        <v>46125</v>
      </c>
      <c r="F272" s="26" t="s">
        <v>23</v>
      </c>
      <c r="G272" s="26" t="s">
        <v>24</v>
      </c>
      <c r="H272" s="26" t="s">
        <v>25</v>
      </c>
      <c r="I272" s="26" t="s">
        <v>26</v>
      </c>
      <c r="J272" s="26" t="s">
        <v>24</v>
      </c>
      <c r="K272" s="27"/>
      <c r="L272" s="28" t="s">
        <v>25</v>
      </c>
      <c r="M272" s="29" t="str">
        <f t="shared" si="20"/>
        <v>✓ OK</v>
      </c>
      <c r="N272" s="43">
        <v>46193</v>
      </c>
      <c r="O272" s="26" t="s">
        <v>23</v>
      </c>
      <c r="P272" s="26" t="s">
        <v>24</v>
      </c>
      <c r="Q272" s="26" t="s">
        <v>25</v>
      </c>
      <c r="R272" s="26" t="s">
        <v>26</v>
      </c>
      <c r="S272" s="26" t="s">
        <v>24</v>
      </c>
      <c r="T272" s="27"/>
      <c r="U272" s="28" t="s">
        <v>25</v>
      </c>
      <c r="V272" s="29" t="str">
        <f t="shared" si="21"/>
        <v>✓ OK</v>
      </c>
      <c r="W272" s="45">
        <v>46248</v>
      </c>
      <c r="X272" s="30" t="s">
        <v>23</v>
      </c>
      <c r="Y272" s="30" t="s">
        <v>24</v>
      </c>
      <c r="Z272" s="30" t="s">
        <v>25</v>
      </c>
      <c r="AA272" s="30" t="s">
        <v>26</v>
      </c>
      <c r="AB272" s="30" t="s">
        <v>24</v>
      </c>
      <c r="AC272" s="27"/>
      <c r="AD272" s="31" t="s">
        <v>25</v>
      </c>
      <c r="AE272" s="32" t="str">
        <f t="shared" si="22"/>
        <v>✓ OK</v>
      </c>
      <c r="AF272" s="33" t="s">
        <v>27</v>
      </c>
      <c r="AG272" s="33" t="s">
        <v>23</v>
      </c>
      <c r="AH272" s="33" t="s">
        <v>24</v>
      </c>
      <c r="AI272" s="33" t="s">
        <v>25</v>
      </c>
      <c r="AJ272" s="33" t="s">
        <v>26</v>
      </c>
      <c r="AK272" s="33" t="s">
        <v>24</v>
      </c>
      <c r="AL272" s="27"/>
      <c r="AM272" s="34" t="s">
        <v>25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8" customHeight="1" x14ac:dyDescent="0.3">
      <c r="A273" s="23">
        <v>277</v>
      </c>
      <c r="B273" s="24" t="s">
        <v>1184</v>
      </c>
      <c r="C273" s="25" t="s">
        <v>1185</v>
      </c>
      <c r="D273" s="23" t="s">
        <v>767</v>
      </c>
      <c r="E273" s="43">
        <v>46125</v>
      </c>
      <c r="F273" s="26" t="s">
        <v>23</v>
      </c>
      <c r="G273" s="26" t="s">
        <v>24</v>
      </c>
      <c r="H273" s="26" t="s">
        <v>25</v>
      </c>
      <c r="I273" s="26" t="s">
        <v>26</v>
      </c>
      <c r="J273" s="26" t="s">
        <v>24</v>
      </c>
      <c r="K273" s="27"/>
      <c r="L273" s="28" t="s">
        <v>25</v>
      </c>
      <c r="M273" s="29" t="str">
        <f t="shared" si="20"/>
        <v>✓ OK</v>
      </c>
      <c r="N273" s="43">
        <v>46193</v>
      </c>
      <c r="O273" s="26" t="s">
        <v>23</v>
      </c>
      <c r="P273" s="26" t="s">
        <v>24</v>
      </c>
      <c r="Q273" s="26" t="s">
        <v>25</v>
      </c>
      <c r="R273" s="26" t="s">
        <v>26</v>
      </c>
      <c r="S273" s="26" t="s">
        <v>24</v>
      </c>
      <c r="T273" s="27"/>
      <c r="U273" s="28" t="s">
        <v>25</v>
      </c>
      <c r="V273" s="29" t="str">
        <f t="shared" si="21"/>
        <v>✓ OK</v>
      </c>
      <c r="W273" s="45">
        <v>46248</v>
      </c>
      <c r="X273" s="30" t="s">
        <v>23</v>
      </c>
      <c r="Y273" s="30" t="s">
        <v>24</v>
      </c>
      <c r="Z273" s="30" t="s">
        <v>25</v>
      </c>
      <c r="AA273" s="30" t="s">
        <v>26</v>
      </c>
      <c r="AB273" s="30" t="s">
        <v>24</v>
      </c>
      <c r="AC273" s="27"/>
      <c r="AD273" s="31" t="s">
        <v>25</v>
      </c>
      <c r="AE273" s="32" t="str">
        <f t="shared" si="22"/>
        <v>✓ OK</v>
      </c>
      <c r="AF273" s="33" t="s">
        <v>27</v>
      </c>
      <c r="AG273" s="33" t="s">
        <v>23</v>
      </c>
      <c r="AH273" s="33" t="s">
        <v>24</v>
      </c>
      <c r="AI273" s="33" t="s">
        <v>25</v>
      </c>
      <c r="AJ273" s="33" t="s">
        <v>26</v>
      </c>
      <c r="AK273" s="33" t="s">
        <v>24</v>
      </c>
      <c r="AL273" s="27"/>
      <c r="AM273" s="34" t="s">
        <v>25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8" customHeight="1" x14ac:dyDescent="0.3">
      <c r="A274" s="39">
        <v>278</v>
      </c>
      <c r="B274" s="40" t="s">
        <v>1186</v>
      </c>
      <c r="C274" s="41" t="s">
        <v>1187</v>
      </c>
      <c r="D274" s="39" t="s">
        <v>767</v>
      </c>
      <c r="E274" s="43">
        <v>46125</v>
      </c>
      <c r="F274" s="26" t="s">
        <v>23</v>
      </c>
      <c r="G274" s="26" t="s">
        <v>24</v>
      </c>
      <c r="H274" s="26" t="s">
        <v>25</v>
      </c>
      <c r="I274" s="26" t="s">
        <v>26</v>
      </c>
      <c r="J274" s="26" t="s">
        <v>24</v>
      </c>
      <c r="K274" s="27"/>
      <c r="L274" s="28" t="s">
        <v>25</v>
      </c>
      <c r="M274" s="29" t="str">
        <f t="shared" si="20"/>
        <v>✓ OK</v>
      </c>
      <c r="N274" s="43">
        <v>46193</v>
      </c>
      <c r="O274" s="26" t="s">
        <v>23</v>
      </c>
      <c r="P274" s="26" t="s">
        <v>24</v>
      </c>
      <c r="Q274" s="26" t="s">
        <v>25</v>
      </c>
      <c r="R274" s="26" t="s">
        <v>26</v>
      </c>
      <c r="S274" s="26" t="s">
        <v>24</v>
      </c>
      <c r="T274" s="27"/>
      <c r="U274" s="28" t="s">
        <v>25</v>
      </c>
      <c r="V274" s="29" t="str">
        <f t="shared" si="21"/>
        <v>✓ OK</v>
      </c>
      <c r="W274" s="45">
        <v>46248</v>
      </c>
      <c r="X274" s="30" t="s">
        <v>23</v>
      </c>
      <c r="Y274" s="30" t="s">
        <v>24</v>
      </c>
      <c r="Z274" s="30" t="s">
        <v>25</v>
      </c>
      <c r="AA274" s="30" t="s">
        <v>26</v>
      </c>
      <c r="AB274" s="30" t="s">
        <v>24</v>
      </c>
      <c r="AC274" s="27"/>
      <c r="AD274" s="31" t="s">
        <v>25</v>
      </c>
      <c r="AE274" s="32" t="str">
        <f t="shared" si="22"/>
        <v>✓ OK</v>
      </c>
      <c r="AF274" s="33" t="s">
        <v>27</v>
      </c>
      <c r="AG274" s="33" t="s">
        <v>23</v>
      </c>
      <c r="AH274" s="33" t="s">
        <v>24</v>
      </c>
      <c r="AI274" s="33" t="s">
        <v>25</v>
      </c>
      <c r="AJ274" s="33" t="s">
        <v>26</v>
      </c>
      <c r="AK274" s="33" t="s">
        <v>24</v>
      </c>
      <c r="AL274" s="27"/>
      <c r="AM274" s="34" t="s">
        <v>25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8" customHeight="1" x14ac:dyDescent="0.3">
      <c r="A275" s="23">
        <v>279</v>
      </c>
      <c r="B275" s="24" t="s">
        <v>1188</v>
      </c>
      <c r="C275" s="25" t="s">
        <v>1189</v>
      </c>
      <c r="D275" s="23" t="s">
        <v>767</v>
      </c>
      <c r="E275" s="43">
        <v>46125</v>
      </c>
      <c r="F275" s="26" t="s">
        <v>23</v>
      </c>
      <c r="G275" s="26" t="s">
        <v>24</v>
      </c>
      <c r="H275" s="26" t="s">
        <v>25</v>
      </c>
      <c r="I275" s="26" t="s">
        <v>731</v>
      </c>
      <c r="J275" s="26" t="s">
        <v>25</v>
      </c>
      <c r="K275" s="27" t="s">
        <v>732</v>
      </c>
      <c r="L275" s="28" t="s">
        <v>24</v>
      </c>
      <c r="M275" s="29" t="str">
        <f t="shared" si="20"/>
        <v>⚠ Check</v>
      </c>
      <c r="N275" s="43">
        <v>46193</v>
      </c>
      <c r="O275" s="26" t="s">
        <v>23</v>
      </c>
      <c r="P275" s="26" t="s">
        <v>24</v>
      </c>
      <c r="Q275" s="26" t="s">
        <v>25</v>
      </c>
      <c r="R275" s="26" t="s">
        <v>731</v>
      </c>
      <c r="S275" s="26" t="s">
        <v>25</v>
      </c>
      <c r="T275" s="27" t="s">
        <v>732</v>
      </c>
      <c r="U275" s="28" t="s">
        <v>24</v>
      </c>
      <c r="V275" s="29" t="str">
        <f t="shared" si="21"/>
        <v>⚠ Check</v>
      </c>
      <c r="W275" s="45">
        <v>46248</v>
      </c>
      <c r="X275" s="30" t="s">
        <v>23</v>
      </c>
      <c r="Y275" s="30" t="s">
        <v>24</v>
      </c>
      <c r="Z275" s="30" t="s">
        <v>25</v>
      </c>
      <c r="AA275" s="30" t="s">
        <v>731</v>
      </c>
      <c r="AB275" s="30" t="s">
        <v>25</v>
      </c>
      <c r="AC275" s="27" t="s">
        <v>732</v>
      </c>
      <c r="AD275" s="31" t="s">
        <v>24</v>
      </c>
      <c r="AE275" s="32" t="str">
        <f t="shared" si="22"/>
        <v>⚠ Check</v>
      </c>
      <c r="AF275" s="33" t="s">
        <v>27</v>
      </c>
      <c r="AG275" s="33" t="s">
        <v>23</v>
      </c>
      <c r="AH275" s="33" t="s">
        <v>24</v>
      </c>
      <c r="AI275" s="33" t="s">
        <v>25</v>
      </c>
      <c r="AJ275" s="33" t="s">
        <v>26</v>
      </c>
      <c r="AK275" s="33" t="s">
        <v>24</v>
      </c>
      <c r="AL275" s="27"/>
      <c r="AM275" s="34" t="s">
        <v>25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8" customHeight="1" x14ac:dyDescent="0.3">
      <c r="A276" s="39">
        <v>280</v>
      </c>
      <c r="B276" s="40" t="s">
        <v>1190</v>
      </c>
      <c r="C276" s="41" t="s">
        <v>1191</v>
      </c>
      <c r="D276" s="39" t="s">
        <v>767</v>
      </c>
      <c r="E276" s="43">
        <v>46125</v>
      </c>
      <c r="F276" s="26" t="s">
        <v>23</v>
      </c>
      <c r="G276" s="26" t="s">
        <v>24</v>
      </c>
      <c r="H276" s="26" t="s">
        <v>25</v>
      </c>
      <c r="I276" s="26" t="s">
        <v>26</v>
      </c>
      <c r="J276" s="26" t="s">
        <v>24</v>
      </c>
      <c r="K276" s="27"/>
      <c r="L276" s="28" t="s">
        <v>25</v>
      </c>
      <c r="M276" s="29" t="str">
        <f t="shared" si="20"/>
        <v>✓ OK</v>
      </c>
      <c r="N276" s="43">
        <v>46193</v>
      </c>
      <c r="O276" s="26" t="s">
        <v>23</v>
      </c>
      <c r="P276" s="26" t="s">
        <v>24</v>
      </c>
      <c r="Q276" s="26" t="s">
        <v>25</v>
      </c>
      <c r="R276" s="26" t="s">
        <v>26</v>
      </c>
      <c r="S276" s="26" t="s">
        <v>24</v>
      </c>
      <c r="T276" s="27"/>
      <c r="U276" s="28" t="s">
        <v>25</v>
      </c>
      <c r="V276" s="29" t="str">
        <f t="shared" si="21"/>
        <v>✓ OK</v>
      </c>
      <c r="W276" s="45">
        <v>46248</v>
      </c>
      <c r="X276" s="30" t="s">
        <v>23</v>
      </c>
      <c r="Y276" s="30" t="s">
        <v>24</v>
      </c>
      <c r="Z276" s="30" t="s">
        <v>25</v>
      </c>
      <c r="AA276" s="30" t="s">
        <v>26</v>
      </c>
      <c r="AB276" s="30" t="s">
        <v>24</v>
      </c>
      <c r="AC276" s="27"/>
      <c r="AD276" s="31" t="s">
        <v>25</v>
      </c>
      <c r="AE276" s="32" t="str">
        <f t="shared" si="22"/>
        <v>✓ OK</v>
      </c>
      <c r="AF276" s="33" t="s">
        <v>27</v>
      </c>
      <c r="AG276" s="33" t="s">
        <v>23</v>
      </c>
      <c r="AH276" s="33" t="s">
        <v>24</v>
      </c>
      <c r="AI276" s="33" t="s">
        <v>25</v>
      </c>
      <c r="AJ276" s="33" t="s">
        <v>26</v>
      </c>
      <c r="AK276" s="33" t="s">
        <v>24</v>
      </c>
      <c r="AL276" s="27"/>
      <c r="AM276" s="34" t="s">
        <v>25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8" customHeight="1" x14ac:dyDescent="0.3">
      <c r="A277" s="23">
        <v>281</v>
      </c>
      <c r="B277" s="24" t="s">
        <v>1192</v>
      </c>
      <c r="C277" s="25" t="s">
        <v>1193</v>
      </c>
      <c r="D277" s="23" t="s">
        <v>767</v>
      </c>
      <c r="E277" s="43">
        <v>46125</v>
      </c>
      <c r="F277" s="26" t="s">
        <v>23</v>
      </c>
      <c r="G277" s="26" t="s">
        <v>24</v>
      </c>
      <c r="H277" s="26" t="s">
        <v>25</v>
      </c>
      <c r="I277" s="26" t="s">
        <v>26</v>
      </c>
      <c r="J277" s="26" t="s">
        <v>24</v>
      </c>
      <c r="K277" s="27" t="s">
        <v>822</v>
      </c>
      <c r="L277" s="28" t="s">
        <v>24</v>
      </c>
      <c r="M277" s="29" t="str">
        <f t="shared" si="20"/>
        <v>✓ OK</v>
      </c>
      <c r="N277" s="43">
        <v>46193</v>
      </c>
      <c r="O277" s="26" t="s">
        <v>23</v>
      </c>
      <c r="P277" s="26" t="s">
        <v>25</v>
      </c>
      <c r="Q277" s="26" t="s">
        <v>24</v>
      </c>
      <c r="R277" s="26" t="s">
        <v>135</v>
      </c>
      <c r="S277" s="26" t="s">
        <v>25</v>
      </c>
      <c r="T277" s="27"/>
      <c r="U277" s="28" t="s">
        <v>24</v>
      </c>
      <c r="V277" s="29" t="str">
        <f t="shared" si="21"/>
        <v>❌ Disc</v>
      </c>
      <c r="W277" s="45">
        <v>46248</v>
      </c>
      <c r="X277" s="30" t="s">
        <v>23</v>
      </c>
      <c r="Y277" s="30" t="s">
        <v>25</v>
      </c>
      <c r="Z277" s="30" t="s">
        <v>24</v>
      </c>
      <c r="AA277" s="30" t="s">
        <v>135</v>
      </c>
      <c r="AB277" s="30" t="s">
        <v>25</v>
      </c>
      <c r="AC277" s="27"/>
      <c r="AD277" s="31" t="s">
        <v>25</v>
      </c>
      <c r="AE277" s="32" t="str">
        <f t="shared" si="22"/>
        <v>❌ Disc</v>
      </c>
      <c r="AF277" s="33" t="s">
        <v>27</v>
      </c>
      <c r="AG277" s="33" t="s">
        <v>23</v>
      </c>
      <c r="AH277" s="33" t="s">
        <v>25</v>
      </c>
      <c r="AI277" s="33" t="s">
        <v>24</v>
      </c>
      <c r="AJ277" s="33" t="s">
        <v>135</v>
      </c>
      <c r="AK277" s="33" t="s">
        <v>25</v>
      </c>
      <c r="AL277" s="27"/>
      <c r="AM277" s="34" t="s">
        <v>25</v>
      </c>
      <c r="AN277" s="35" t="str">
        <f t="shared" si="23"/>
        <v>❌ Disc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8" customHeight="1" x14ac:dyDescent="0.3">
      <c r="A278" s="39">
        <v>282</v>
      </c>
      <c r="B278" s="40" t="s">
        <v>1194</v>
      </c>
      <c r="C278" s="41" t="s">
        <v>1195</v>
      </c>
      <c r="D278" s="39" t="s">
        <v>767</v>
      </c>
      <c r="E278" s="43">
        <v>46125</v>
      </c>
      <c r="F278" s="26" t="s">
        <v>23</v>
      </c>
      <c r="G278" s="26" t="s">
        <v>24</v>
      </c>
      <c r="H278" s="26" t="s">
        <v>25</v>
      </c>
      <c r="I278" s="26" t="s">
        <v>731</v>
      </c>
      <c r="J278" s="26" t="s">
        <v>25</v>
      </c>
      <c r="K278" s="27" t="s">
        <v>732</v>
      </c>
      <c r="L278" s="28" t="s">
        <v>24</v>
      </c>
      <c r="M278" s="29" t="str">
        <f t="shared" si="20"/>
        <v>⚠ Check</v>
      </c>
      <c r="N278" s="43">
        <v>46193</v>
      </c>
      <c r="O278" s="26" t="s">
        <v>23</v>
      </c>
      <c r="P278" s="26" t="s">
        <v>25</v>
      </c>
      <c r="Q278" s="26" t="s">
        <v>24</v>
      </c>
      <c r="R278" s="26" t="s">
        <v>135</v>
      </c>
      <c r="S278" s="26" t="s">
        <v>25</v>
      </c>
      <c r="T278" s="27"/>
      <c r="U278" s="28" t="s">
        <v>24</v>
      </c>
      <c r="V278" s="29" t="str">
        <f t="shared" si="21"/>
        <v>❌ Disc</v>
      </c>
      <c r="W278" s="45">
        <v>46248</v>
      </c>
      <c r="X278" s="30" t="s">
        <v>23</v>
      </c>
      <c r="Y278" s="30" t="s">
        <v>25</v>
      </c>
      <c r="Z278" s="30" t="s">
        <v>24</v>
      </c>
      <c r="AA278" s="30" t="s">
        <v>135</v>
      </c>
      <c r="AB278" s="30" t="s">
        <v>25</v>
      </c>
      <c r="AC278" s="27"/>
      <c r="AD278" s="31" t="s">
        <v>25</v>
      </c>
      <c r="AE278" s="32" t="str">
        <f t="shared" si="22"/>
        <v>❌ Disc</v>
      </c>
      <c r="AF278" s="33" t="s">
        <v>27</v>
      </c>
      <c r="AG278" s="33" t="s">
        <v>23</v>
      </c>
      <c r="AH278" s="33" t="s">
        <v>24</v>
      </c>
      <c r="AI278" s="33" t="s">
        <v>24</v>
      </c>
      <c r="AJ278" s="33" t="s">
        <v>26</v>
      </c>
      <c r="AK278" s="33" t="s">
        <v>24</v>
      </c>
      <c r="AL278" s="27"/>
      <c r="AM278" s="34" t="s">
        <v>25</v>
      </c>
      <c r="AN278" s="35" t="str">
        <f t="shared" si="23"/>
        <v>❌ Disc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8" customHeight="1" x14ac:dyDescent="0.3">
      <c r="A279" s="23">
        <v>283</v>
      </c>
      <c r="B279" s="24" t="s">
        <v>1196</v>
      </c>
      <c r="C279" s="25" t="s">
        <v>1197</v>
      </c>
      <c r="D279" s="23" t="s">
        <v>767</v>
      </c>
      <c r="E279" s="43">
        <v>46125</v>
      </c>
      <c r="F279" s="26" t="s">
        <v>23</v>
      </c>
      <c r="G279" s="26" t="s">
        <v>24</v>
      </c>
      <c r="H279" s="26" t="s">
        <v>25</v>
      </c>
      <c r="I279" s="26" t="s">
        <v>26</v>
      </c>
      <c r="J279" s="26" t="s">
        <v>24</v>
      </c>
      <c r="K279" s="27"/>
      <c r="L279" s="28" t="s">
        <v>25</v>
      </c>
      <c r="M279" s="29" t="str">
        <f t="shared" si="20"/>
        <v>✓ OK</v>
      </c>
      <c r="N279" s="43">
        <v>46193</v>
      </c>
      <c r="O279" s="26" t="s">
        <v>23</v>
      </c>
      <c r="P279" s="26" t="s">
        <v>24</v>
      </c>
      <c r="Q279" s="26" t="s">
        <v>25</v>
      </c>
      <c r="R279" s="26" t="s">
        <v>26</v>
      </c>
      <c r="S279" s="26" t="s">
        <v>24</v>
      </c>
      <c r="T279" s="27"/>
      <c r="U279" s="28" t="s">
        <v>25</v>
      </c>
      <c r="V279" s="29" t="str">
        <f t="shared" si="21"/>
        <v>✓ OK</v>
      </c>
      <c r="W279" s="45">
        <v>46248</v>
      </c>
      <c r="X279" s="30" t="s">
        <v>23</v>
      </c>
      <c r="Y279" s="30" t="s">
        <v>24</v>
      </c>
      <c r="Z279" s="30" t="s">
        <v>25</v>
      </c>
      <c r="AA279" s="30" t="s">
        <v>26</v>
      </c>
      <c r="AB279" s="30" t="s">
        <v>24</v>
      </c>
      <c r="AC279" s="27"/>
      <c r="AD279" s="31" t="s">
        <v>25</v>
      </c>
      <c r="AE279" s="32" t="str">
        <f t="shared" si="22"/>
        <v>✓ OK</v>
      </c>
      <c r="AF279" s="33" t="s">
        <v>27</v>
      </c>
      <c r="AG279" s="33" t="s">
        <v>23</v>
      </c>
      <c r="AH279" s="33" t="s">
        <v>25</v>
      </c>
      <c r="AI279" s="33" t="s">
        <v>24</v>
      </c>
      <c r="AJ279" s="33" t="s">
        <v>135</v>
      </c>
      <c r="AK279" s="33" t="s">
        <v>25</v>
      </c>
      <c r="AL279" s="27"/>
      <c r="AM279" s="34" t="s">
        <v>25</v>
      </c>
      <c r="AN279" s="35" t="str">
        <f t="shared" si="23"/>
        <v>❌ Disc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8" customHeight="1" x14ac:dyDescent="0.3">
      <c r="A280" s="39">
        <v>284</v>
      </c>
      <c r="B280" s="40" t="s">
        <v>1198</v>
      </c>
      <c r="C280" s="41" t="s">
        <v>1199</v>
      </c>
      <c r="D280" s="39" t="s">
        <v>767</v>
      </c>
      <c r="E280" s="43">
        <v>46125</v>
      </c>
      <c r="F280" s="26" t="s">
        <v>23</v>
      </c>
      <c r="G280" s="26" t="s">
        <v>24</v>
      </c>
      <c r="H280" s="26" t="s">
        <v>25</v>
      </c>
      <c r="I280" s="26" t="s">
        <v>731</v>
      </c>
      <c r="J280" s="26" t="s">
        <v>25</v>
      </c>
      <c r="K280" s="27" t="s">
        <v>851</v>
      </c>
      <c r="L280" s="28" t="s">
        <v>24</v>
      </c>
      <c r="M280" s="29" t="str">
        <f t="shared" si="20"/>
        <v>⚠ Check</v>
      </c>
      <c r="N280" s="43">
        <v>46193</v>
      </c>
      <c r="O280" s="26" t="s">
        <v>23</v>
      </c>
      <c r="P280" s="26" t="s">
        <v>24</v>
      </c>
      <c r="Q280" s="26" t="s">
        <v>25</v>
      </c>
      <c r="R280" s="26" t="s">
        <v>731</v>
      </c>
      <c r="S280" s="26" t="s">
        <v>25</v>
      </c>
      <c r="T280" s="27" t="s">
        <v>851</v>
      </c>
      <c r="U280" s="28" t="s">
        <v>24</v>
      </c>
      <c r="V280" s="29" t="str">
        <f t="shared" si="21"/>
        <v>⚠ Check</v>
      </c>
      <c r="W280" s="45">
        <v>46248</v>
      </c>
      <c r="X280" s="30" t="s">
        <v>23</v>
      </c>
      <c r="Y280" s="30" t="s">
        <v>24</v>
      </c>
      <c r="Z280" s="30" t="s">
        <v>25</v>
      </c>
      <c r="AA280" s="30" t="s">
        <v>26</v>
      </c>
      <c r="AB280" s="30" t="s">
        <v>24</v>
      </c>
      <c r="AC280" s="27"/>
      <c r="AD280" s="31" t="s">
        <v>24</v>
      </c>
      <c r="AE280" s="32" t="str">
        <f t="shared" si="22"/>
        <v>✓ OK</v>
      </c>
      <c r="AF280" s="33" t="s">
        <v>27</v>
      </c>
      <c r="AG280" s="33" t="s">
        <v>23</v>
      </c>
      <c r="AH280" s="33" t="s">
        <v>24</v>
      </c>
      <c r="AI280" s="33" t="s">
        <v>25</v>
      </c>
      <c r="AJ280" s="33" t="s">
        <v>26</v>
      </c>
      <c r="AK280" s="33" t="s">
        <v>24</v>
      </c>
      <c r="AL280" s="27"/>
      <c r="AM280" s="34" t="s">
        <v>25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8" customHeight="1" x14ac:dyDescent="0.3">
      <c r="A281" s="23">
        <v>285</v>
      </c>
      <c r="B281" s="24" t="s">
        <v>1200</v>
      </c>
      <c r="C281" s="25" t="s">
        <v>1201</v>
      </c>
      <c r="D281" s="23" t="s">
        <v>767</v>
      </c>
      <c r="E281" s="43">
        <v>46125</v>
      </c>
      <c r="F281" s="26" t="s">
        <v>23</v>
      </c>
      <c r="G281" s="26" t="s">
        <v>24</v>
      </c>
      <c r="H281" s="26" t="s">
        <v>25</v>
      </c>
      <c r="I281" s="26" t="s">
        <v>26</v>
      </c>
      <c r="J281" s="26" t="s">
        <v>24</v>
      </c>
      <c r="K281" s="27"/>
      <c r="L281" s="28" t="s">
        <v>25</v>
      </c>
      <c r="M281" s="29" t="str">
        <f t="shared" si="20"/>
        <v>✓ OK</v>
      </c>
      <c r="N281" s="43">
        <v>46193</v>
      </c>
      <c r="O281" s="26" t="s">
        <v>23</v>
      </c>
      <c r="P281" s="26" t="s">
        <v>24</v>
      </c>
      <c r="Q281" s="26" t="s">
        <v>25</v>
      </c>
      <c r="R281" s="26" t="s">
        <v>26</v>
      </c>
      <c r="S281" s="26" t="s">
        <v>24</v>
      </c>
      <c r="T281" s="27"/>
      <c r="U281" s="28" t="s">
        <v>25</v>
      </c>
      <c r="V281" s="29" t="str">
        <f t="shared" si="21"/>
        <v>✓ OK</v>
      </c>
      <c r="W281" s="45">
        <v>46248</v>
      </c>
      <c r="X281" s="30" t="s">
        <v>23</v>
      </c>
      <c r="Y281" s="30" t="s">
        <v>24</v>
      </c>
      <c r="Z281" s="30" t="s">
        <v>25</v>
      </c>
      <c r="AA281" s="30" t="s">
        <v>26</v>
      </c>
      <c r="AB281" s="30" t="s">
        <v>24</v>
      </c>
      <c r="AC281" s="27"/>
      <c r="AD281" s="31" t="s">
        <v>25</v>
      </c>
      <c r="AE281" s="32" t="str">
        <f t="shared" si="22"/>
        <v>✓ OK</v>
      </c>
      <c r="AF281" s="33" t="s">
        <v>27</v>
      </c>
      <c r="AG281" s="33" t="s">
        <v>23</v>
      </c>
      <c r="AH281" s="33" t="s">
        <v>24</v>
      </c>
      <c r="AI281" s="33" t="s">
        <v>25</v>
      </c>
      <c r="AJ281" s="33" t="s">
        <v>26</v>
      </c>
      <c r="AK281" s="33" t="s">
        <v>24</v>
      </c>
      <c r="AL281" s="27"/>
      <c r="AM281" s="34" t="s">
        <v>25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8" customHeight="1" x14ac:dyDescent="0.3">
      <c r="A282" s="39">
        <v>286</v>
      </c>
      <c r="B282" s="40" t="s">
        <v>1202</v>
      </c>
      <c r="C282" s="41" t="s">
        <v>1203</v>
      </c>
      <c r="D282" s="39" t="s">
        <v>767</v>
      </c>
      <c r="E282" s="43">
        <v>46125</v>
      </c>
      <c r="F282" s="26" t="s">
        <v>23</v>
      </c>
      <c r="G282" s="26" t="s">
        <v>24</v>
      </c>
      <c r="H282" s="26" t="s">
        <v>25</v>
      </c>
      <c r="I282" s="26" t="s">
        <v>26</v>
      </c>
      <c r="J282" s="26" t="s">
        <v>24</v>
      </c>
      <c r="K282" s="27"/>
      <c r="L282" s="28" t="s">
        <v>25</v>
      </c>
      <c r="M282" s="29" t="str">
        <f t="shared" si="20"/>
        <v>✓ OK</v>
      </c>
      <c r="N282" s="43">
        <v>46193</v>
      </c>
      <c r="O282" s="26" t="s">
        <v>23</v>
      </c>
      <c r="P282" s="26" t="s">
        <v>25</v>
      </c>
      <c r="Q282" s="26" t="s">
        <v>24</v>
      </c>
      <c r="R282" s="26" t="s">
        <v>135</v>
      </c>
      <c r="S282" s="26" t="s">
        <v>25</v>
      </c>
      <c r="T282" s="27"/>
      <c r="U282" s="28" t="s">
        <v>25</v>
      </c>
      <c r="V282" s="29" t="str">
        <f t="shared" si="21"/>
        <v>❌ Disc</v>
      </c>
      <c r="W282" s="45">
        <v>46248</v>
      </c>
      <c r="X282" s="30" t="s">
        <v>23</v>
      </c>
      <c r="Y282" s="30" t="s">
        <v>25</v>
      </c>
      <c r="Z282" s="30" t="s">
        <v>24</v>
      </c>
      <c r="AA282" s="30" t="s">
        <v>135</v>
      </c>
      <c r="AB282" s="30" t="s">
        <v>25</v>
      </c>
      <c r="AC282" s="27"/>
      <c r="AD282" s="31" t="s">
        <v>25</v>
      </c>
      <c r="AE282" s="32" t="str">
        <f t="shared" si="22"/>
        <v>❌ Disc</v>
      </c>
      <c r="AF282" s="33" t="s">
        <v>27</v>
      </c>
      <c r="AG282" s="33" t="s">
        <v>23</v>
      </c>
      <c r="AH282" s="33" t="s">
        <v>25</v>
      </c>
      <c r="AI282" s="33" t="s">
        <v>24</v>
      </c>
      <c r="AJ282" s="33" t="s">
        <v>135</v>
      </c>
      <c r="AK282" s="33" t="s">
        <v>25</v>
      </c>
      <c r="AL282" s="27"/>
      <c r="AM282" s="34" t="s">
        <v>25</v>
      </c>
      <c r="AN282" s="35" t="str">
        <f t="shared" si="23"/>
        <v>❌ Disc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8" customHeight="1" x14ac:dyDescent="0.3">
      <c r="A283" s="23">
        <v>287</v>
      </c>
      <c r="B283" s="24" t="s">
        <v>1204</v>
      </c>
      <c r="C283" s="25" t="s">
        <v>1205</v>
      </c>
      <c r="D283" s="23" t="s">
        <v>767</v>
      </c>
      <c r="E283" s="43">
        <v>46125</v>
      </c>
      <c r="F283" s="26" t="s">
        <v>23</v>
      </c>
      <c r="G283" s="26" t="s">
        <v>24</v>
      </c>
      <c r="H283" s="26" t="s">
        <v>25</v>
      </c>
      <c r="I283" s="26" t="s">
        <v>26</v>
      </c>
      <c r="J283" s="26" t="s">
        <v>24</v>
      </c>
      <c r="K283" s="27" t="s">
        <v>822</v>
      </c>
      <c r="L283" s="28" t="s">
        <v>25</v>
      </c>
      <c r="M283" s="29" t="str">
        <f t="shared" si="20"/>
        <v>✓ OK</v>
      </c>
      <c r="N283" s="43">
        <v>46193</v>
      </c>
      <c r="O283" s="26" t="s">
        <v>23</v>
      </c>
      <c r="P283" s="26" t="s">
        <v>24</v>
      </c>
      <c r="Q283" s="26" t="s">
        <v>25</v>
      </c>
      <c r="R283" s="26" t="s">
        <v>26</v>
      </c>
      <c r="S283" s="26" t="s">
        <v>24</v>
      </c>
      <c r="T283" s="27" t="s">
        <v>822</v>
      </c>
      <c r="U283" s="28" t="s">
        <v>25</v>
      </c>
      <c r="V283" s="29" t="str">
        <f t="shared" si="21"/>
        <v>✓ OK</v>
      </c>
      <c r="W283" s="45">
        <v>46248</v>
      </c>
      <c r="X283" s="30" t="s">
        <v>23</v>
      </c>
      <c r="Y283" s="30" t="s">
        <v>24</v>
      </c>
      <c r="Z283" s="30" t="s">
        <v>25</v>
      </c>
      <c r="AA283" s="30" t="s">
        <v>26</v>
      </c>
      <c r="AB283" s="30" t="s">
        <v>24</v>
      </c>
      <c r="AC283" s="27" t="s">
        <v>822</v>
      </c>
      <c r="AD283" s="31" t="s">
        <v>25</v>
      </c>
      <c r="AE283" s="32" t="str">
        <f t="shared" si="22"/>
        <v>✓ OK</v>
      </c>
      <c r="AF283" s="33" t="s">
        <v>27</v>
      </c>
      <c r="AG283" s="33" t="s">
        <v>23</v>
      </c>
      <c r="AH283" s="33" t="s">
        <v>24</v>
      </c>
      <c r="AI283" s="33" t="s">
        <v>25</v>
      </c>
      <c r="AJ283" s="33" t="s">
        <v>26</v>
      </c>
      <c r="AK283" s="33" t="s">
        <v>24</v>
      </c>
      <c r="AL283" s="27" t="s">
        <v>822</v>
      </c>
      <c r="AM283" s="34" t="s">
        <v>25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8" customHeight="1" x14ac:dyDescent="0.3">
      <c r="A284" s="39">
        <v>288</v>
      </c>
      <c r="B284" s="40" t="s">
        <v>1206</v>
      </c>
      <c r="C284" s="41" t="s">
        <v>1207</v>
      </c>
      <c r="D284" s="39" t="s">
        <v>767</v>
      </c>
      <c r="E284" s="43">
        <v>46125</v>
      </c>
      <c r="F284" s="26" t="s">
        <v>23</v>
      </c>
      <c r="G284" s="26" t="s">
        <v>24</v>
      </c>
      <c r="H284" s="26" t="s">
        <v>25</v>
      </c>
      <c r="I284" s="26" t="s">
        <v>26</v>
      </c>
      <c r="J284" s="26" t="s">
        <v>24</v>
      </c>
      <c r="K284" s="27" t="s">
        <v>822</v>
      </c>
      <c r="L284" s="28" t="s">
        <v>24</v>
      </c>
      <c r="M284" s="29" t="str">
        <f t="shared" si="20"/>
        <v>✓ OK</v>
      </c>
      <c r="N284" s="43">
        <v>46193</v>
      </c>
      <c r="O284" s="26" t="s">
        <v>23</v>
      </c>
      <c r="P284" s="26" t="s">
        <v>25</v>
      </c>
      <c r="Q284" s="26" t="s">
        <v>24</v>
      </c>
      <c r="R284" s="26" t="s">
        <v>135</v>
      </c>
      <c r="S284" s="26" t="s">
        <v>25</v>
      </c>
      <c r="T284" s="27"/>
      <c r="U284" s="28" t="s">
        <v>24</v>
      </c>
      <c r="V284" s="29" t="str">
        <f t="shared" si="21"/>
        <v>❌ Disc</v>
      </c>
      <c r="W284" s="45">
        <v>46248</v>
      </c>
      <c r="X284" s="30" t="s">
        <v>23</v>
      </c>
      <c r="Y284" s="30" t="s">
        <v>25</v>
      </c>
      <c r="Z284" s="30" t="s">
        <v>24</v>
      </c>
      <c r="AA284" s="30" t="s">
        <v>135</v>
      </c>
      <c r="AB284" s="30" t="s">
        <v>25</v>
      </c>
      <c r="AC284" s="27"/>
      <c r="AD284" s="31" t="s">
        <v>25</v>
      </c>
      <c r="AE284" s="32" t="str">
        <f t="shared" si="22"/>
        <v>❌ Disc</v>
      </c>
      <c r="AF284" s="33" t="s">
        <v>27</v>
      </c>
      <c r="AG284" s="33" t="s">
        <v>23</v>
      </c>
      <c r="AH284" s="33" t="s">
        <v>25</v>
      </c>
      <c r="AI284" s="33" t="s">
        <v>24</v>
      </c>
      <c r="AJ284" s="33" t="s">
        <v>135</v>
      </c>
      <c r="AK284" s="33" t="s">
        <v>25</v>
      </c>
      <c r="AL284" s="27"/>
      <c r="AM284" s="34" t="s">
        <v>25</v>
      </c>
      <c r="AN284" s="35" t="str">
        <f t="shared" si="23"/>
        <v>❌ Disc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8" customHeight="1" x14ac:dyDescent="0.3">
      <c r="A285" s="23">
        <v>289</v>
      </c>
      <c r="B285" s="24" t="s">
        <v>1208</v>
      </c>
      <c r="C285" s="25" t="s">
        <v>1209</v>
      </c>
      <c r="D285" s="23" t="s">
        <v>767</v>
      </c>
      <c r="E285" s="43">
        <v>46125</v>
      </c>
      <c r="F285" s="26" t="s">
        <v>23</v>
      </c>
      <c r="G285" s="26" t="s">
        <v>24</v>
      </c>
      <c r="H285" s="26" t="s">
        <v>25</v>
      </c>
      <c r="I285" s="26" t="s">
        <v>26</v>
      </c>
      <c r="J285" s="26" t="s">
        <v>24</v>
      </c>
      <c r="K285" s="27" t="s">
        <v>822</v>
      </c>
      <c r="L285" s="28" t="s">
        <v>24</v>
      </c>
      <c r="M285" s="29" t="str">
        <f t="shared" si="20"/>
        <v>✓ OK</v>
      </c>
      <c r="N285" s="43">
        <v>46193</v>
      </c>
      <c r="O285" s="26" t="s">
        <v>23</v>
      </c>
      <c r="P285" s="26" t="s">
        <v>25</v>
      </c>
      <c r="Q285" s="26" t="s">
        <v>24</v>
      </c>
      <c r="R285" s="26" t="s">
        <v>135</v>
      </c>
      <c r="S285" s="26" t="s">
        <v>25</v>
      </c>
      <c r="T285" s="27"/>
      <c r="U285" s="28" t="s">
        <v>24</v>
      </c>
      <c r="V285" s="29" t="str">
        <f t="shared" si="21"/>
        <v>❌ Disc</v>
      </c>
      <c r="W285" s="45">
        <v>46248</v>
      </c>
      <c r="X285" s="30" t="s">
        <v>23</v>
      </c>
      <c r="Y285" s="30" t="s">
        <v>25</v>
      </c>
      <c r="Z285" s="30" t="s">
        <v>24</v>
      </c>
      <c r="AA285" s="30" t="s">
        <v>135</v>
      </c>
      <c r="AB285" s="30" t="s">
        <v>25</v>
      </c>
      <c r="AC285" s="27"/>
      <c r="AD285" s="31" t="s">
        <v>25</v>
      </c>
      <c r="AE285" s="32" t="str">
        <f t="shared" si="22"/>
        <v>❌ Disc</v>
      </c>
      <c r="AF285" s="33" t="s">
        <v>27</v>
      </c>
      <c r="AG285" s="33" t="s">
        <v>23</v>
      </c>
      <c r="AH285" s="33" t="s">
        <v>25</v>
      </c>
      <c r="AI285" s="33" t="s">
        <v>24</v>
      </c>
      <c r="AJ285" s="33" t="s">
        <v>135</v>
      </c>
      <c r="AK285" s="33" t="s">
        <v>25</v>
      </c>
      <c r="AL285" s="27"/>
      <c r="AM285" s="34" t="s">
        <v>25</v>
      </c>
      <c r="AN285" s="35" t="str">
        <f t="shared" si="23"/>
        <v>❌ Disc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8" customHeight="1" x14ac:dyDescent="0.3">
      <c r="A286" s="39">
        <v>290</v>
      </c>
      <c r="B286" s="40" t="s">
        <v>1210</v>
      </c>
      <c r="C286" s="41" t="s">
        <v>1211</v>
      </c>
      <c r="D286" s="39" t="s">
        <v>767</v>
      </c>
      <c r="E286" s="43">
        <v>46125</v>
      </c>
      <c r="F286" s="26" t="s">
        <v>23</v>
      </c>
      <c r="G286" s="26" t="s">
        <v>24</v>
      </c>
      <c r="H286" s="26" t="s">
        <v>25</v>
      </c>
      <c r="I286" s="26" t="s">
        <v>26</v>
      </c>
      <c r="J286" s="26" t="s">
        <v>24</v>
      </c>
      <c r="K286" s="27"/>
      <c r="L286" s="28" t="s">
        <v>25</v>
      </c>
      <c r="M286" s="29" t="str">
        <f t="shared" si="20"/>
        <v>✓ OK</v>
      </c>
      <c r="N286" s="43">
        <v>46193</v>
      </c>
      <c r="O286" s="26" t="s">
        <v>23</v>
      </c>
      <c r="P286" s="26" t="s">
        <v>24</v>
      </c>
      <c r="Q286" s="26" t="s">
        <v>25</v>
      </c>
      <c r="R286" s="26" t="s">
        <v>26</v>
      </c>
      <c r="S286" s="26" t="s">
        <v>24</v>
      </c>
      <c r="T286" s="27"/>
      <c r="U286" s="28" t="s">
        <v>25</v>
      </c>
      <c r="V286" s="29" t="str">
        <f t="shared" si="21"/>
        <v>✓ OK</v>
      </c>
      <c r="W286" s="45">
        <v>46248</v>
      </c>
      <c r="X286" s="30" t="s">
        <v>23</v>
      </c>
      <c r="Y286" s="30" t="s">
        <v>24</v>
      </c>
      <c r="Z286" s="30" t="s">
        <v>25</v>
      </c>
      <c r="AA286" s="30" t="s">
        <v>26</v>
      </c>
      <c r="AB286" s="30" t="s">
        <v>24</v>
      </c>
      <c r="AC286" s="27"/>
      <c r="AD286" s="31" t="s">
        <v>25</v>
      </c>
      <c r="AE286" s="32" t="str">
        <f t="shared" si="22"/>
        <v>✓ OK</v>
      </c>
      <c r="AF286" s="33" t="s">
        <v>27</v>
      </c>
      <c r="AG286" s="33" t="s">
        <v>23</v>
      </c>
      <c r="AH286" s="33" t="s">
        <v>24</v>
      </c>
      <c r="AI286" s="33" t="s">
        <v>25</v>
      </c>
      <c r="AJ286" s="33" t="s">
        <v>26</v>
      </c>
      <c r="AK286" s="33" t="s">
        <v>24</v>
      </c>
      <c r="AL286" s="27"/>
      <c r="AM286" s="34" t="s">
        <v>25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8" customHeight="1" x14ac:dyDescent="0.3">
      <c r="A287" s="23">
        <v>291</v>
      </c>
      <c r="B287" s="24" t="s">
        <v>1212</v>
      </c>
      <c r="C287" s="25" t="s">
        <v>1213</v>
      </c>
      <c r="D287" s="23" t="s">
        <v>767</v>
      </c>
      <c r="E287" s="43">
        <v>46125</v>
      </c>
      <c r="F287" s="26" t="s">
        <v>23</v>
      </c>
      <c r="G287" s="26" t="s">
        <v>24</v>
      </c>
      <c r="H287" s="26" t="s">
        <v>25</v>
      </c>
      <c r="I287" s="26" t="s">
        <v>731</v>
      </c>
      <c r="J287" s="26" t="s">
        <v>25</v>
      </c>
      <c r="K287" s="27" t="s">
        <v>740</v>
      </c>
      <c r="L287" s="28" t="s">
        <v>24</v>
      </c>
      <c r="M287" s="29" t="str">
        <f t="shared" si="20"/>
        <v>⚠ Check</v>
      </c>
      <c r="N287" s="43">
        <v>46193</v>
      </c>
      <c r="O287" s="26" t="s">
        <v>23</v>
      </c>
      <c r="P287" s="26" t="s">
        <v>24</v>
      </c>
      <c r="Q287" s="26" t="s">
        <v>25</v>
      </c>
      <c r="R287" s="26" t="s">
        <v>731</v>
      </c>
      <c r="S287" s="26" t="s">
        <v>25</v>
      </c>
      <c r="T287" s="27" t="s">
        <v>740</v>
      </c>
      <c r="U287" s="28" t="s">
        <v>24</v>
      </c>
      <c r="V287" s="29" t="str">
        <f t="shared" si="21"/>
        <v>⚠ Check</v>
      </c>
      <c r="W287" s="45">
        <v>46248</v>
      </c>
      <c r="X287" s="30" t="s">
        <v>23</v>
      </c>
      <c r="Y287" s="30" t="s">
        <v>24</v>
      </c>
      <c r="Z287" s="30" t="s">
        <v>25</v>
      </c>
      <c r="AA287" s="30" t="s">
        <v>26</v>
      </c>
      <c r="AB287" s="30" t="s">
        <v>24</v>
      </c>
      <c r="AC287" s="27"/>
      <c r="AD287" s="31" t="s">
        <v>24</v>
      </c>
      <c r="AE287" s="32" t="str">
        <f t="shared" si="22"/>
        <v>✓ OK</v>
      </c>
      <c r="AF287" s="33" t="s">
        <v>27</v>
      </c>
      <c r="AG287" s="33" t="s">
        <v>23</v>
      </c>
      <c r="AH287" s="33" t="s">
        <v>24</v>
      </c>
      <c r="AI287" s="33" t="s">
        <v>25</v>
      </c>
      <c r="AJ287" s="33" t="s">
        <v>26</v>
      </c>
      <c r="AK287" s="33" t="s">
        <v>24</v>
      </c>
      <c r="AL287" s="27"/>
      <c r="AM287" s="34" t="s">
        <v>25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8" customHeight="1" x14ac:dyDescent="0.3">
      <c r="A288" s="39">
        <v>292</v>
      </c>
      <c r="B288" s="40" t="s">
        <v>1214</v>
      </c>
      <c r="C288" s="41" t="s">
        <v>1215</v>
      </c>
      <c r="D288" s="39" t="s">
        <v>767</v>
      </c>
      <c r="E288" s="43">
        <v>46125</v>
      </c>
      <c r="F288" s="26" t="s">
        <v>23</v>
      </c>
      <c r="G288" s="26" t="s">
        <v>24</v>
      </c>
      <c r="H288" s="26" t="s">
        <v>25</v>
      </c>
      <c r="I288" s="26" t="s">
        <v>26</v>
      </c>
      <c r="J288" s="26" t="s">
        <v>24</v>
      </c>
      <c r="K288" s="27" t="s">
        <v>822</v>
      </c>
      <c r="L288" s="28" t="s">
        <v>24</v>
      </c>
      <c r="M288" s="29" t="str">
        <f t="shared" si="20"/>
        <v>✓ OK</v>
      </c>
      <c r="N288" s="43">
        <v>46193</v>
      </c>
      <c r="O288" s="26" t="s">
        <v>23</v>
      </c>
      <c r="P288" s="26" t="s">
        <v>25</v>
      </c>
      <c r="Q288" s="26" t="s">
        <v>24</v>
      </c>
      <c r="R288" s="26" t="s">
        <v>135</v>
      </c>
      <c r="S288" s="26" t="s">
        <v>25</v>
      </c>
      <c r="T288" s="27"/>
      <c r="U288" s="28" t="s">
        <v>24</v>
      </c>
      <c r="V288" s="29" t="str">
        <f t="shared" si="21"/>
        <v>❌ Disc</v>
      </c>
      <c r="W288" s="45">
        <v>46248</v>
      </c>
      <c r="X288" s="30" t="s">
        <v>23</v>
      </c>
      <c r="Y288" s="30" t="s">
        <v>25</v>
      </c>
      <c r="Z288" s="30" t="s">
        <v>24</v>
      </c>
      <c r="AA288" s="30" t="s">
        <v>135</v>
      </c>
      <c r="AB288" s="30" t="s">
        <v>25</v>
      </c>
      <c r="AC288" s="27"/>
      <c r="AD288" s="31" t="s">
        <v>25</v>
      </c>
      <c r="AE288" s="32" t="str">
        <f t="shared" si="22"/>
        <v>❌ Disc</v>
      </c>
      <c r="AF288" s="33" t="s">
        <v>27</v>
      </c>
      <c r="AG288" s="33" t="s">
        <v>23</v>
      </c>
      <c r="AH288" s="33" t="s">
        <v>25</v>
      </c>
      <c r="AI288" s="33" t="s">
        <v>24</v>
      </c>
      <c r="AJ288" s="33" t="s">
        <v>135</v>
      </c>
      <c r="AK288" s="33" t="s">
        <v>25</v>
      </c>
      <c r="AL288" s="27"/>
      <c r="AM288" s="34" t="s">
        <v>25</v>
      </c>
      <c r="AN288" s="35" t="str">
        <f t="shared" si="23"/>
        <v>❌ Disc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</sheetData>
  <autoFilter ref="A4:AW288" xr:uid="{00000000-0009-0000-0000-000001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AW288">
    <cfRule type="expression" dxfId="662" priority="46">
      <formula>MOD(ROW(),2)=0</formula>
    </cfRule>
  </conditionalFormatting>
  <conditionalFormatting sqref="G5:G288 J5:J288 P5:P288 S5:S288 Y5:Y288 AB5:AB288 AH5:AH288 AK5:AK288 AQ5:AQ288 AT5:AT288">
    <cfRule type="expression" dxfId="661" priority="5">
      <formula>G5="Yes"</formula>
    </cfRule>
    <cfRule type="expression" dxfId="660" priority="6">
      <formula>G5="No"</formula>
    </cfRule>
  </conditionalFormatting>
  <conditionalFormatting sqref="H5:H288 Q5:Q288 Z5:Z288 AI5:AI288 AR5:AR288">
    <cfRule type="expression" dxfId="659" priority="7">
      <formula>H5="Yes"</formula>
    </cfRule>
  </conditionalFormatting>
  <conditionalFormatting sqref="M5:M288 V5:V288 AE5:AE288 AN5:AN288 AW5:AW288">
    <cfRule type="expression" dxfId="658" priority="1">
      <formula>M5="✓ OK"</formula>
    </cfRule>
    <cfRule type="expression" dxfId="657" priority="2">
      <formula>M5="❌ Disc"</formula>
    </cfRule>
    <cfRule type="expression" dxfId="656" priority="3">
      <formula>M5="⚠ Missing"</formula>
    </cfRule>
    <cfRule type="expression" dxfId="655" priority="4">
      <formula>M5="⚠ Check"</formula>
    </cfRule>
  </conditionalFormatting>
  <dataValidations count="2">
    <dataValidation type="list" allowBlank="1" sqref="G5:H288 J5:J288 P5:Q288 S5:S288 Y5:Z288 AB5:AB288 AH5:AI288 AK5:AK288 AQ5:AR288 AT5:AT288" xr:uid="{00000000-0002-0000-0100-000000000000}">
      <formula1>"Yes,No"</formula1>
    </dataValidation>
    <dataValidation type="list" allowBlank="1" sqref="I5:I288 R5:R288 AA5:AA288 AJ5:AJ288 AS5:AS288" xr:uid="{00000000-0002-0000-01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AW67"/>
  <sheetViews>
    <sheetView workbookViewId="0">
      <pane xSplit="4" ySplit="4" topLeftCell="X5" activePane="bottomRight" state="frozen"/>
      <selection pane="topRight" activeCell="AU16" sqref="AU16"/>
      <selection pane="bottomLeft" activeCell="AU16" sqref="AU16"/>
      <selection pane="bottomRight" activeCell="AE5" sqref="AE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1216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1217</v>
      </c>
      <c r="C5" s="25" t="s">
        <v>1218</v>
      </c>
      <c r="D5" s="23" t="s">
        <v>1219</v>
      </c>
      <c r="E5" s="43">
        <v>46125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43">
        <v>46193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/>
      <c r="AD5" s="31" t="s">
        <v>25</v>
      </c>
      <c r="AE5" s="32" t="str">
        <f t="shared" ref="AE5:AE36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/>
      <c r="AM5" s="34" t="s">
        <v>25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1220</v>
      </c>
      <c r="C6" s="41" t="s">
        <v>1221</v>
      </c>
      <c r="D6" s="39" t="s">
        <v>1219</v>
      </c>
      <c r="E6" s="43">
        <v>46125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46193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24</v>
      </c>
      <c r="Z6" s="30" t="s">
        <v>25</v>
      </c>
      <c r="AA6" s="30" t="s">
        <v>26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24</v>
      </c>
      <c r="AI6" s="33" t="s">
        <v>25</v>
      </c>
      <c r="AJ6" s="33" t="s">
        <v>26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1222</v>
      </c>
      <c r="C7" s="25" t="s">
        <v>1223</v>
      </c>
      <c r="D7" s="23" t="s">
        <v>1219</v>
      </c>
      <c r="E7" s="43">
        <v>46125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46193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24</v>
      </c>
      <c r="Z7" s="30" t="s">
        <v>25</v>
      </c>
      <c r="AA7" s="30" t="s">
        <v>26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24</v>
      </c>
      <c r="AI7" s="33" t="s">
        <v>25</v>
      </c>
      <c r="AJ7" s="33" t="s">
        <v>26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1224</v>
      </c>
      <c r="C8" s="41" t="s">
        <v>1225</v>
      </c>
      <c r="D8" s="39" t="s">
        <v>1219</v>
      </c>
      <c r="E8" s="43">
        <v>46125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46193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 t="s">
        <v>25</v>
      </c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 t="s">
        <v>25</v>
      </c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1226</v>
      </c>
      <c r="C9" s="25" t="s">
        <v>1227</v>
      </c>
      <c r="D9" s="23" t="s">
        <v>1219</v>
      </c>
      <c r="E9" s="43">
        <v>46125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46193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 t="s">
        <v>25</v>
      </c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 t="s">
        <v>25</v>
      </c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1228</v>
      </c>
      <c r="C10" s="41" t="s">
        <v>1229</v>
      </c>
      <c r="D10" s="39" t="s">
        <v>1219</v>
      </c>
      <c r="E10" s="43">
        <v>46125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46193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1230</v>
      </c>
      <c r="C11" s="25" t="s">
        <v>1231</v>
      </c>
      <c r="D11" s="23" t="s">
        <v>1219</v>
      </c>
      <c r="E11" s="43">
        <v>46125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46193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 t="s">
        <v>25</v>
      </c>
      <c r="AA11" s="30" t="s">
        <v>26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 t="s">
        <v>25</v>
      </c>
      <c r="AJ11" s="33" t="s">
        <v>26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1232</v>
      </c>
      <c r="C12" s="41" t="s">
        <v>1233</v>
      </c>
      <c r="D12" s="39" t="s">
        <v>1219</v>
      </c>
      <c r="E12" s="43">
        <v>46125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46193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1234</v>
      </c>
      <c r="C13" s="25" t="s">
        <v>1235</v>
      </c>
      <c r="D13" s="23" t="s">
        <v>1219</v>
      </c>
      <c r="E13" s="43">
        <v>46125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46193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 t="s">
        <v>25</v>
      </c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 t="s">
        <v>25</v>
      </c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1236</v>
      </c>
      <c r="C14" s="41" t="s">
        <v>1237</v>
      </c>
      <c r="D14" s="39" t="s">
        <v>1219</v>
      </c>
      <c r="E14" s="43">
        <v>46125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46193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1238</v>
      </c>
      <c r="C15" s="25" t="s">
        <v>1239</v>
      </c>
      <c r="D15" s="23" t="s">
        <v>1219</v>
      </c>
      <c r="E15" s="43">
        <v>46125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46193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1240</v>
      </c>
      <c r="C16" s="41" t="s">
        <v>1241</v>
      </c>
      <c r="D16" s="39" t="s">
        <v>1219</v>
      </c>
      <c r="E16" s="43">
        <v>46125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46193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 t="s">
        <v>25</v>
      </c>
      <c r="AA16" s="30" t="s">
        <v>26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 t="s">
        <v>25</v>
      </c>
      <c r="AJ16" s="33" t="s">
        <v>26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1242</v>
      </c>
      <c r="C17" s="25" t="s">
        <v>1243</v>
      </c>
      <c r="D17" s="23" t="s">
        <v>1219</v>
      </c>
      <c r="E17" s="43">
        <v>46125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46193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24</v>
      </c>
      <c r="Z17" s="30" t="s">
        <v>25</v>
      </c>
      <c r="AA17" s="30" t="s">
        <v>26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24</v>
      </c>
      <c r="AI17" s="33" t="s">
        <v>25</v>
      </c>
      <c r="AJ17" s="33" t="s">
        <v>26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1244</v>
      </c>
      <c r="C18" s="41" t="s">
        <v>1245</v>
      </c>
      <c r="D18" s="39" t="s">
        <v>1219</v>
      </c>
      <c r="E18" s="43">
        <v>46125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46193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1246</v>
      </c>
      <c r="C19" s="25" t="s">
        <v>1247</v>
      </c>
      <c r="D19" s="23" t="s">
        <v>1219</v>
      </c>
      <c r="E19" s="43">
        <v>46125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46193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1248</v>
      </c>
      <c r="C20" s="41" t="s">
        <v>1249</v>
      </c>
      <c r="D20" s="39" t="s">
        <v>1219</v>
      </c>
      <c r="E20" s="43">
        <v>46125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46193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24</v>
      </c>
      <c r="Z20" s="30" t="s">
        <v>25</v>
      </c>
      <c r="AA20" s="30" t="s">
        <v>26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24</v>
      </c>
      <c r="AI20" s="33" t="s">
        <v>25</v>
      </c>
      <c r="AJ20" s="33" t="s">
        <v>26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1250</v>
      </c>
      <c r="C21" s="25" t="s">
        <v>1251</v>
      </c>
      <c r="D21" s="23" t="s">
        <v>1219</v>
      </c>
      <c r="E21" s="43">
        <v>46125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46193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1252</v>
      </c>
      <c r="C22" s="41" t="s">
        <v>1253</v>
      </c>
      <c r="D22" s="39" t="s">
        <v>1219</v>
      </c>
      <c r="E22" s="43">
        <v>46125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43">
        <v>46193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24</v>
      </c>
      <c r="Z22" s="30" t="s">
        <v>25</v>
      </c>
      <c r="AA22" s="30" t="s">
        <v>26</v>
      </c>
      <c r="AB22" s="30" t="s">
        <v>24</v>
      </c>
      <c r="AC22" s="27"/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24</v>
      </c>
      <c r="AI22" s="33" t="s">
        <v>25</v>
      </c>
      <c r="AJ22" s="33" t="s">
        <v>26</v>
      </c>
      <c r="AK22" s="33" t="s">
        <v>24</v>
      </c>
      <c r="AL22" s="27"/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1254</v>
      </c>
      <c r="C23" s="25" t="s">
        <v>1255</v>
      </c>
      <c r="D23" s="23" t="s">
        <v>1219</v>
      </c>
      <c r="E23" s="43">
        <v>46125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46193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1256</v>
      </c>
      <c r="C24" s="41" t="s">
        <v>1257</v>
      </c>
      <c r="D24" s="39" t="s">
        <v>1219</v>
      </c>
      <c r="E24" s="43">
        <v>46125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46193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24</v>
      </c>
      <c r="Z24" s="30" t="s">
        <v>25</v>
      </c>
      <c r="AA24" s="30" t="s">
        <v>26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24</v>
      </c>
      <c r="AI24" s="33" t="s">
        <v>25</v>
      </c>
      <c r="AJ24" s="33" t="s">
        <v>26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1258</v>
      </c>
      <c r="C25" s="25" t="s">
        <v>1259</v>
      </c>
      <c r="D25" s="23" t="s">
        <v>1219</v>
      </c>
      <c r="E25" s="43">
        <v>46125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46193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1260</v>
      </c>
      <c r="C26" s="41" t="s">
        <v>1261</v>
      </c>
      <c r="D26" s="39" t="s">
        <v>1219</v>
      </c>
      <c r="E26" s="43">
        <v>46125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46193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24</v>
      </c>
      <c r="Z26" s="30" t="s">
        <v>25</v>
      </c>
      <c r="AA26" s="30" t="s">
        <v>26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24</v>
      </c>
      <c r="AI26" s="33" t="s">
        <v>25</v>
      </c>
      <c r="AJ26" s="33" t="s">
        <v>26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1262</v>
      </c>
      <c r="C27" s="25" t="s">
        <v>1263</v>
      </c>
      <c r="D27" s="23" t="s">
        <v>1219</v>
      </c>
      <c r="E27" s="43">
        <v>46125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46193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1264</v>
      </c>
      <c r="C28" s="41" t="s">
        <v>1265</v>
      </c>
      <c r="D28" s="39" t="s">
        <v>1219</v>
      </c>
      <c r="E28" s="43">
        <v>46125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46193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24</v>
      </c>
      <c r="AI28" s="33" t="s">
        <v>25</v>
      </c>
      <c r="AJ28" s="33" t="s">
        <v>26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1266</v>
      </c>
      <c r="C29" s="25" t="s">
        <v>1267</v>
      </c>
      <c r="D29" s="23" t="s">
        <v>1268</v>
      </c>
      <c r="E29" s="43">
        <v>46125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46193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1269</v>
      </c>
      <c r="C30" s="41" t="s">
        <v>1270</v>
      </c>
      <c r="D30" s="39" t="s">
        <v>1268</v>
      </c>
      <c r="E30" s="43">
        <v>46125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46193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24</v>
      </c>
      <c r="Z30" s="30" t="s">
        <v>25</v>
      </c>
      <c r="AA30" s="30" t="s">
        <v>26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24</v>
      </c>
      <c r="AI30" s="33" t="s">
        <v>25</v>
      </c>
      <c r="AJ30" s="33" t="s">
        <v>26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1271</v>
      </c>
      <c r="C31" s="25" t="s">
        <v>1272</v>
      </c>
      <c r="D31" s="23" t="s">
        <v>1268</v>
      </c>
      <c r="E31" s="43">
        <v>46125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46193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24</v>
      </c>
      <c r="AI31" s="33" t="s">
        <v>25</v>
      </c>
      <c r="AJ31" s="33" t="s">
        <v>26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1273</v>
      </c>
      <c r="C32" s="41" t="s">
        <v>1274</v>
      </c>
      <c r="D32" s="39" t="s">
        <v>1268</v>
      </c>
      <c r="E32" s="43">
        <v>46125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46193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24</v>
      </c>
      <c r="Z32" s="30" t="s">
        <v>25</v>
      </c>
      <c r="AA32" s="30" t="s">
        <v>26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24</v>
      </c>
      <c r="AI32" s="33" t="s">
        <v>25</v>
      </c>
      <c r="AJ32" s="33" t="s">
        <v>26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1275</v>
      </c>
      <c r="C33" s="25" t="s">
        <v>1276</v>
      </c>
      <c r="D33" s="23" t="s">
        <v>1268</v>
      </c>
      <c r="E33" s="43">
        <v>46125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46193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24</v>
      </c>
      <c r="Z33" s="30" t="s">
        <v>25</v>
      </c>
      <c r="AA33" s="30" t="s">
        <v>26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24</v>
      </c>
      <c r="AI33" s="33" t="s">
        <v>25</v>
      </c>
      <c r="AJ33" s="33" t="s">
        <v>26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1277</v>
      </c>
      <c r="C34" s="41" t="s">
        <v>1278</v>
      </c>
      <c r="D34" s="39" t="s">
        <v>1268</v>
      </c>
      <c r="E34" s="43">
        <v>46125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46193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24</v>
      </c>
      <c r="Z34" s="30" t="s">
        <v>25</v>
      </c>
      <c r="AA34" s="30" t="s">
        <v>26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24</v>
      </c>
      <c r="AI34" s="33" t="s">
        <v>25</v>
      </c>
      <c r="AJ34" s="33" t="s">
        <v>26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1279</v>
      </c>
      <c r="C35" s="25" t="s">
        <v>1280</v>
      </c>
      <c r="D35" s="23" t="s">
        <v>1268</v>
      </c>
      <c r="E35" s="43">
        <v>46125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46193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24</v>
      </c>
      <c r="Z35" s="30" t="s">
        <v>25</v>
      </c>
      <c r="AA35" s="30" t="s">
        <v>26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24</v>
      </c>
      <c r="AI35" s="33" t="s">
        <v>25</v>
      </c>
      <c r="AJ35" s="33" t="s">
        <v>26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1281</v>
      </c>
      <c r="C36" s="41" t="s">
        <v>1282</v>
      </c>
      <c r="D36" s="39" t="s">
        <v>1268</v>
      </c>
      <c r="E36" s="43">
        <v>46125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46193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24</v>
      </c>
      <c r="Z36" s="30" t="s">
        <v>25</v>
      </c>
      <c r="AA36" s="30" t="s">
        <v>26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24</v>
      </c>
      <c r="AI36" s="33" t="s">
        <v>25</v>
      </c>
      <c r="AJ36" s="33" t="s">
        <v>26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1283</v>
      </c>
      <c r="C37" s="25" t="s">
        <v>1284</v>
      </c>
      <c r="D37" s="23" t="s">
        <v>1268</v>
      </c>
      <c r="E37" s="43">
        <v>46125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ref="M37:M67" si="5">IF(E37="","",IF(H37="Yes","❌ Disc",IF(G37="No","⚠ Missing",IF(J37="Yes","✓ OK","⚠ Check"))))</f>
        <v>✓ OK</v>
      </c>
      <c r="N37" s="43">
        <v>46193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ref="V37:V67" si="6">IF(N37="","",IF(Q37="Yes","❌ Disc",IF(P37="No","⚠ Missing",IF(S37="Yes","✓ OK","⚠ Check"))))</f>
        <v>✓ OK</v>
      </c>
      <c r="W37" s="45">
        <v>46248</v>
      </c>
      <c r="X37" s="30" t="s">
        <v>23</v>
      </c>
      <c r="Y37" s="30" t="s">
        <v>24</v>
      </c>
      <c r="Z37" s="30" t="s">
        <v>25</v>
      </c>
      <c r="AA37" s="30" t="s">
        <v>26</v>
      </c>
      <c r="AB37" s="30" t="s">
        <v>24</v>
      </c>
      <c r="AC37" s="27"/>
      <c r="AD37" s="31" t="s">
        <v>25</v>
      </c>
      <c r="AE37" s="32" t="str">
        <f t="shared" ref="AE37:AE67" si="7">IF(W37="","",IF(Z37="Yes","❌ Disc",IF(Y37="No","⚠ Missing",IF(AB37="Yes","✓ OK","⚠ Check"))))</f>
        <v>✓ OK</v>
      </c>
      <c r="AF37" s="33" t="s">
        <v>27</v>
      </c>
      <c r="AG37" s="33" t="s">
        <v>23</v>
      </c>
      <c r="AH37" s="33" t="s">
        <v>24</v>
      </c>
      <c r="AI37" s="33" t="s">
        <v>25</v>
      </c>
      <c r="AJ37" s="33" t="s">
        <v>26</v>
      </c>
      <c r="AK37" s="33" t="s">
        <v>24</v>
      </c>
      <c r="AL37" s="27"/>
      <c r="AM37" s="34" t="s">
        <v>25</v>
      </c>
      <c r="AN37" s="35" t="str">
        <f t="shared" ref="AN37:AN67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7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1285</v>
      </c>
      <c r="C38" s="41" t="s">
        <v>1286</v>
      </c>
      <c r="D38" s="39" t="s">
        <v>1268</v>
      </c>
      <c r="E38" s="43">
        <v>46125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43">
        <v>46193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7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1287</v>
      </c>
      <c r="C39" s="25" t="s">
        <v>1288</v>
      </c>
      <c r="D39" s="23" t="s">
        <v>1268</v>
      </c>
      <c r="E39" s="43">
        <v>46125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5"/>
        <v>✓ OK</v>
      </c>
      <c r="N39" s="43">
        <v>46193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6"/>
        <v>✓ OK</v>
      </c>
      <c r="W39" s="45">
        <v>46248</v>
      </c>
      <c r="X39" s="30" t="s">
        <v>23</v>
      </c>
      <c r="Y39" s="30" t="s">
        <v>24</v>
      </c>
      <c r="Z39" s="30" t="s">
        <v>25</v>
      </c>
      <c r="AA39" s="30" t="s">
        <v>26</v>
      </c>
      <c r="AB39" s="30" t="s">
        <v>24</v>
      </c>
      <c r="AC39" s="27"/>
      <c r="AD39" s="31" t="s">
        <v>25</v>
      </c>
      <c r="AE39" s="32" t="str">
        <f t="shared" si="7"/>
        <v>✓ OK</v>
      </c>
      <c r="AF39" s="33" t="s">
        <v>27</v>
      </c>
      <c r="AG39" s="33" t="s">
        <v>23</v>
      </c>
      <c r="AH39" s="33" t="s">
        <v>24</v>
      </c>
      <c r="AI39" s="33" t="s">
        <v>25</v>
      </c>
      <c r="AJ39" s="33" t="s">
        <v>26</v>
      </c>
      <c r="AK39" s="33" t="s">
        <v>24</v>
      </c>
      <c r="AL39" s="27"/>
      <c r="AM39" s="34" t="s">
        <v>25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1289</v>
      </c>
      <c r="C40" s="41" t="s">
        <v>1290</v>
      </c>
      <c r="D40" s="39" t="s">
        <v>1268</v>
      </c>
      <c r="E40" s="43">
        <v>46125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5"/>
        <v>✓ OK</v>
      </c>
      <c r="N40" s="43">
        <v>46193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6"/>
        <v>✓ OK</v>
      </c>
      <c r="W40" s="45">
        <v>46248</v>
      </c>
      <c r="X40" s="30" t="s">
        <v>23</v>
      </c>
      <c r="Y40" s="30" t="s">
        <v>24</v>
      </c>
      <c r="Z40" s="30" t="s">
        <v>25</v>
      </c>
      <c r="AA40" s="30" t="s">
        <v>26</v>
      </c>
      <c r="AB40" s="30" t="s">
        <v>24</v>
      </c>
      <c r="AC40" s="27"/>
      <c r="AD40" s="31" t="s">
        <v>25</v>
      </c>
      <c r="AE40" s="32" t="str">
        <f t="shared" si="7"/>
        <v>✓ OK</v>
      </c>
      <c r="AF40" s="33" t="s">
        <v>27</v>
      </c>
      <c r="AG40" s="33" t="s">
        <v>23</v>
      </c>
      <c r="AH40" s="33" t="s">
        <v>24</v>
      </c>
      <c r="AI40" s="33" t="s">
        <v>25</v>
      </c>
      <c r="AJ40" s="33" t="s">
        <v>26</v>
      </c>
      <c r="AK40" s="33" t="s">
        <v>24</v>
      </c>
      <c r="AL40" s="27"/>
      <c r="AM40" s="34" t="s">
        <v>25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1291</v>
      </c>
      <c r="C41" s="25" t="s">
        <v>1292</v>
      </c>
      <c r="D41" s="23" t="s">
        <v>1268</v>
      </c>
      <c r="E41" s="43">
        <v>46125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5"/>
        <v>✓ OK</v>
      </c>
      <c r="N41" s="43">
        <v>46193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6"/>
        <v>✓ OK</v>
      </c>
      <c r="W41" s="45">
        <v>46248</v>
      </c>
      <c r="X41" s="30" t="s">
        <v>23</v>
      </c>
      <c r="Y41" s="30" t="s">
        <v>24</v>
      </c>
      <c r="Z41" s="30" t="s">
        <v>25</v>
      </c>
      <c r="AA41" s="30" t="s">
        <v>26</v>
      </c>
      <c r="AB41" s="30" t="s">
        <v>24</v>
      </c>
      <c r="AC41" s="27"/>
      <c r="AD41" s="31" t="s">
        <v>25</v>
      </c>
      <c r="AE41" s="32" t="str">
        <f t="shared" si="7"/>
        <v>✓ OK</v>
      </c>
      <c r="AF41" s="33" t="s">
        <v>27</v>
      </c>
      <c r="AG41" s="33" t="s">
        <v>23</v>
      </c>
      <c r="AH41" s="33" t="s">
        <v>24</v>
      </c>
      <c r="AI41" s="33" t="s">
        <v>25</v>
      </c>
      <c r="AJ41" s="33" t="s">
        <v>26</v>
      </c>
      <c r="AK41" s="33" t="s">
        <v>24</v>
      </c>
      <c r="AL41" s="27"/>
      <c r="AM41" s="34" t="s">
        <v>25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1293</v>
      </c>
      <c r="C42" s="41" t="s">
        <v>1294</v>
      </c>
      <c r="D42" s="39" t="s">
        <v>1268</v>
      </c>
      <c r="E42" s="43">
        <v>46125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5"/>
        <v>✓ OK</v>
      </c>
      <c r="N42" s="43">
        <v>46193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6"/>
        <v>✓ OK</v>
      </c>
      <c r="W42" s="45">
        <v>46248</v>
      </c>
      <c r="X42" s="30" t="s">
        <v>23</v>
      </c>
      <c r="Y42" s="30" t="s">
        <v>24</v>
      </c>
      <c r="Z42" s="30" t="s">
        <v>25</v>
      </c>
      <c r="AA42" s="30" t="s">
        <v>26</v>
      </c>
      <c r="AB42" s="30" t="s">
        <v>24</v>
      </c>
      <c r="AC42" s="27"/>
      <c r="AD42" s="31" t="s">
        <v>25</v>
      </c>
      <c r="AE42" s="32" t="str">
        <f t="shared" si="7"/>
        <v>✓ OK</v>
      </c>
      <c r="AF42" s="33" t="s">
        <v>27</v>
      </c>
      <c r="AG42" s="33" t="s">
        <v>23</v>
      </c>
      <c r="AH42" s="33" t="s">
        <v>24</v>
      </c>
      <c r="AI42" s="33" t="s">
        <v>25</v>
      </c>
      <c r="AJ42" s="33" t="s">
        <v>26</v>
      </c>
      <c r="AK42" s="33" t="s">
        <v>24</v>
      </c>
      <c r="AL42" s="27"/>
      <c r="AM42" s="34" t="s">
        <v>25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1295</v>
      </c>
      <c r="C43" s="25" t="s">
        <v>1296</v>
      </c>
      <c r="D43" s="23" t="s">
        <v>1268</v>
      </c>
      <c r="E43" s="43">
        <v>46125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5"/>
        <v>✓ OK</v>
      </c>
      <c r="N43" s="43">
        <v>46193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6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7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1297</v>
      </c>
      <c r="C44" s="41" t="s">
        <v>1298</v>
      </c>
      <c r="D44" s="39" t="s">
        <v>1268</v>
      </c>
      <c r="E44" s="43">
        <v>46125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5"/>
        <v>✓ OK</v>
      </c>
      <c r="N44" s="43">
        <v>46193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6"/>
        <v>✓ OK</v>
      </c>
      <c r="W44" s="45">
        <v>46248</v>
      </c>
      <c r="X44" s="30" t="s">
        <v>23</v>
      </c>
      <c r="Y44" s="30" t="s">
        <v>24</v>
      </c>
      <c r="Z44" s="30" t="s">
        <v>25</v>
      </c>
      <c r="AA44" s="30" t="s">
        <v>26</v>
      </c>
      <c r="AB44" s="30" t="s">
        <v>24</v>
      </c>
      <c r="AC44" s="27"/>
      <c r="AD44" s="31" t="s">
        <v>25</v>
      </c>
      <c r="AE44" s="32" t="str">
        <f t="shared" si="7"/>
        <v>✓ OK</v>
      </c>
      <c r="AF44" s="33" t="s">
        <v>27</v>
      </c>
      <c r="AG44" s="33" t="s">
        <v>23</v>
      </c>
      <c r="AH44" s="33" t="s">
        <v>24</v>
      </c>
      <c r="AI44" s="33" t="s">
        <v>25</v>
      </c>
      <c r="AJ44" s="33" t="s">
        <v>26</v>
      </c>
      <c r="AK44" s="33" t="s">
        <v>24</v>
      </c>
      <c r="AL44" s="27"/>
      <c r="AM44" s="34" t="s">
        <v>25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1299</v>
      </c>
      <c r="C45" s="25" t="s">
        <v>1300</v>
      </c>
      <c r="D45" s="23" t="s">
        <v>1268</v>
      </c>
      <c r="E45" s="43">
        <v>46125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5"/>
        <v>✓ OK</v>
      </c>
      <c r="N45" s="43">
        <v>46193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6"/>
        <v>✓ OK</v>
      </c>
      <c r="W45" s="45">
        <v>46248</v>
      </c>
      <c r="X45" s="30" t="s">
        <v>23</v>
      </c>
      <c r="Y45" s="30" t="s">
        <v>24</v>
      </c>
      <c r="Z45" s="30" t="s">
        <v>25</v>
      </c>
      <c r="AA45" s="30" t="s">
        <v>26</v>
      </c>
      <c r="AB45" s="30" t="s">
        <v>24</v>
      </c>
      <c r="AC45" s="27"/>
      <c r="AD45" s="31" t="s">
        <v>25</v>
      </c>
      <c r="AE45" s="32" t="str">
        <f t="shared" si="7"/>
        <v>✓ OK</v>
      </c>
      <c r="AF45" s="33" t="s">
        <v>27</v>
      </c>
      <c r="AG45" s="33" t="s">
        <v>23</v>
      </c>
      <c r="AH45" s="33" t="s">
        <v>24</v>
      </c>
      <c r="AI45" s="33" t="s">
        <v>25</v>
      </c>
      <c r="AJ45" s="33" t="s">
        <v>26</v>
      </c>
      <c r="AK45" s="33" t="s">
        <v>24</v>
      </c>
      <c r="AL45" s="27"/>
      <c r="AM45" s="34" t="s">
        <v>25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1301</v>
      </c>
      <c r="C46" s="41" t="s">
        <v>1302</v>
      </c>
      <c r="D46" s="39" t="s">
        <v>1268</v>
      </c>
      <c r="E46" s="43">
        <v>46125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5"/>
        <v>✓ OK</v>
      </c>
      <c r="N46" s="43">
        <v>46193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6"/>
        <v>✓ OK</v>
      </c>
      <c r="W46" s="45">
        <v>46248</v>
      </c>
      <c r="X46" s="30" t="s">
        <v>23</v>
      </c>
      <c r="Y46" s="30" t="s">
        <v>24</v>
      </c>
      <c r="Z46" s="30" t="s">
        <v>25</v>
      </c>
      <c r="AA46" s="30" t="s">
        <v>26</v>
      </c>
      <c r="AB46" s="30" t="s">
        <v>24</v>
      </c>
      <c r="AC46" s="27"/>
      <c r="AD46" s="31" t="s">
        <v>25</v>
      </c>
      <c r="AE46" s="32" t="str">
        <f t="shared" si="7"/>
        <v>✓ OK</v>
      </c>
      <c r="AF46" s="33" t="s">
        <v>27</v>
      </c>
      <c r="AG46" s="33" t="s">
        <v>23</v>
      </c>
      <c r="AH46" s="33" t="s">
        <v>24</v>
      </c>
      <c r="AI46" s="33" t="s">
        <v>25</v>
      </c>
      <c r="AJ46" s="33" t="s">
        <v>26</v>
      </c>
      <c r="AK46" s="33" t="s">
        <v>24</v>
      </c>
      <c r="AL46" s="27"/>
      <c r="AM46" s="34" t="s">
        <v>25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1303</v>
      </c>
      <c r="C47" s="25" t="s">
        <v>1304</v>
      </c>
      <c r="D47" s="23" t="s">
        <v>1268</v>
      </c>
      <c r="E47" s="43">
        <v>46125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5"/>
        <v>✓ OK</v>
      </c>
      <c r="N47" s="43">
        <v>46193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6"/>
        <v>✓ OK</v>
      </c>
      <c r="W47" s="45">
        <v>46248</v>
      </c>
      <c r="X47" s="30" t="s">
        <v>23</v>
      </c>
      <c r="Y47" s="30" t="s">
        <v>24</v>
      </c>
      <c r="Z47" s="30" t="s">
        <v>25</v>
      </c>
      <c r="AA47" s="30" t="s">
        <v>26</v>
      </c>
      <c r="AB47" s="30" t="s">
        <v>24</v>
      </c>
      <c r="AC47" s="27"/>
      <c r="AD47" s="31" t="s">
        <v>25</v>
      </c>
      <c r="AE47" s="32" t="str">
        <f t="shared" si="7"/>
        <v>✓ OK</v>
      </c>
      <c r="AF47" s="33" t="s">
        <v>27</v>
      </c>
      <c r="AG47" s="33" t="s">
        <v>23</v>
      </c>
      <c r="AH47" s="33" t="s">
        <v>24</v>
      </c>
      <c r="AI47" s="33" t="s">
        <v>25</v>
      </c>
      <c r="AJ47" s="33" t="s">
        <v>26</v>
      </c>
      <c r="AK47" s="33" t="s">
        <v>24</v>
      </c>
      <c r="AL47" s="27"/>
      <c r="AM47" s="34" t="s">
        <v>25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1305</v>
      </c>
      <c r="C48" s="41" t="s">
        <v>1306</v>
      </c>
      <c r="D48" s="39" t="s">
        <v>1268</v>
      </c>
      <c r="E48" s="43">
        <v>46125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5"/>
        <v>✓ OK</v>
      </c>
      <c r="N48" s="43">
        <v>46193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6"/>
        <v>✓ OK</v>
      </c>
      <c r="W48" s="45">
        <v>46248</v>
      </c>
      <c r="X48" s="30" t="s">
        <v>23</v>
      </c>
      <c r="Y48" s="30" t="s">
        <v>24</v>
      </c>
      <c r="Z48" s="30" t="s">
        <v>25</v>
      </c>
      <c r="AA48" s="30" t="s">
        <v>26</v>
      </c>
      <c r="AB48" s="30" t="s">
        <v>24</v>
      </c>
      <c r="AC48" s="27"/>
      <c r="AD48" s="31" t="s">
        <v>25</v>
      </c>
      <c r="AE48" s="32" t="str">
        <f t="shared" si="7"/>
        <v>✓ OK</v>
      </c>
      <c r="AF48" s="33" t="s">
        <v>27</v>
      </c>
      <c r="AG48" s="33" t="s">
        <v>23</v>
      </c>
      <c r="AH48" s="33" t="s">
        <v>24</v>
      </c>
      <c r="AI48" s="33" t="s">
        <v>25</v>
      </c>
      <c r="AJ48" s="33" t="s">
        <v>26</v>
      </c>
      <c r="AK48" s="33" t="s">
        <v>24</v>
      </c>
      <c r="AL48" s="27"/>
      <c r="AM48" s="34" t="s">
        <v>25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1307</v>
      </c>
      <c r="C49" s="25" t="s">
        <v>1308</v>
      </c>
      <c r="D49" s="23" t="s">
        <v>1268</v>
      </c>
      <c r="E49" s="43">
        <v>46125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5"/>
        <v>✓ OK</v>
      </c>
      <c r="N49" s="43">
        <v>46193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6"/>
        <v>✓ OK</v>
      </c>
      <c r="W49" s="45">
        <v>46248</v>
      </c>
      <c r="X49" s="30" t="s">
        <v>23</v>
      </c>
      <c r="Y49" s="30" t="s">
        <v>24</v>
      </c>
      <c r="Z49" s="30" t="s">
        <v>25</v>
      </c>
      <c r="AA49" s="30" t="s">
        <v>26</v>
      </c>
      <c r="AB49" s="30" t="s">
        <v>24</v>
      </c>
      <c r="AC49" s="27"/>
      <c r="AD49" s="31" t="s">
        <v>25</v>
      </c>
      <c r="AE49" s="32" t="str">
        <f t="shared" si="7"/>
        <v>✓ OK</v>
      </c>
      <c r="AF49" s="33" t="s">
        <v>27</v>
      </c>
      <c r="AG49" s="33" t="s">
        <v>23</v>
      </c>
      <c r="AH49" s="33" t="s">
        <v>24</v>
      </c>
      <c r="AI49" s="33" t="s">
        <v>25</v>
      </c>
      <c r="AJ49" s="33" t="s">
        <v>26</v>
      </c>
      <c r="AK49" s="33" t="s">
        <v>24</v>
      </c>
      <c r="AL49" s="27"/>
      <c r="AM49" s="34" t="s">
        <v>25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1309</v>
      </c>
      <c r="C50" s="41" t="s">
        <v>1310</v>
      </c>
      <c r="D50" s="39" t="s">
        <v>1268</v>
      </c>
      <c r="E50" s="43">
        <v>46125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5"/>
        <v>✓ OK</v>
      </c>
      <c r="N50" s="43">
        <v>46193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6"/>
        <v>✓ OK</v>
      </c>
      <c r="W50" s="45">
        <v>46248</v>
      </c>
      <c r="X50" s="30" t="s">
        <v>23</v>
      </c>
      <c r="Y50" s="30" t="s">
        <v>24</v>
      </c>
      <c r="Z50" s="30" t="s">
        <v>25</v>
      </c>
      <c r="AA50" s="30" t="s">
        <v>26</v>
      </c>
      <c r="AB50" s="30" t="s">
        <v>24</v>
      </c>
      <c r="AC50" s="27"/>
      <c r="AD50" s="31" t="s">
        <v>25</v>
      </c>
      <c r="AE50" s="32" t="str">
        <f t="shared" si="7"/>
        <v>✓ OK</v>
      </c>
      <c r="AF50" s="33" t="s">
        <v>27</v>
      </c>
      <c r="AG50" s="33" t="s">
        <v>23</v>
      </c>
      <c r="AH50" s="33" t="s">
        <v>24</v>
      </c>
      <c r="AI50" s="33" t="s">
        <v>25</v>
      </c>
      <c r="AJ50" s="33" t="s">
        <v>26</v>
      </c>
      <c r="AK50" s="33" t="s">
        <v>24</v>
      </c>
      <c r="AL50" s="27"/>
      <c r="AM50" s="34" t="s">
        <v>25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1311</v>
      </c>
      <c r="C51" s="25" t="s">
        <v>1312</v>
      </c>
      <c r="D51" s="23" t="s">
        <v>1268</v>
      </c>
      <c r="E51" s="43">
        <v>46125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5"/>
        <v>✓ OK</v>
      </c>
      <c r="N51" s="43">
        <v>46193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6"/>
        <v>✓ OK</v>
      </c>
      <c r="W51" s="45">
        <v>46248</v>
      </c>
      <c r="X51" s="30" t="s">
        <v>23</v>
      </c>
      <c r="Y51" s="30" t="s">
        <v>24</v>
      </c>
      <c r="Z51" s="30" t="s">
        <v>25</v>
      </c>
      <c r="AA51" s="30" t="s">
        <v>26</v>
      </c>
      <c r="AB51" s="30" t="s">
        <v>24</v>
      </c>
      <c r="AC51" s="27"/>
      <c r="AD51" s="31" t="s">
        <v>25</v>
      </c>
      <c r="AE51" s="32" t="str">
        <f t="shared" si="7"/>
        <v>✓ OK</v>
      </c>
      <c r="AF51" s="33" t="s">
        <v>27</v>
      </c>
      <c r="AG51" s="33" t="s">
        <v>23</v>
      </c>
      <c r="AH51" s="33" t="s">
        <v>24</v>
      </c>
      <c r="AI51" s="33" t="s">
        <v>25</v>
      </c>
      <c r="AJ51" s="33" t="s">
        <v>26</v>
      </c>
      <c r="AK51" s="33" t="s">
        <v>24</v>
      </c>
      <c r="AL51" s="27"/>
      <c r="AM51" s="34" t="s">
        <v>25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1313</v>
      </c>
      <c r="C52" s="41" t="s">
        <v>1314</v>
      </c>
      <c r="D52" s="39" t="s">
        <v>1268</v>
      </c>
      <c r="E52" s="43">
        <v>46125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5"/>
        <v>✓ OK</v>
      </c>
      <c r="N52" s="43">
        <v>46193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6"/>
        <v>✓ OK</v>
      </c>
      <c r="W52" s="45">
        <v>46248</v>
      </c>
      <c r="X52" s="30" t="s">
        <v>23</v>
      </c>
      <c r="Y52" s="30" t="s">
        <v>24</v>
      </c>
      <c r="Z52" s="30" t="s">
        <v>25</v>
      </c>
      <c r="AA52" s="30" t="s">
        <v>26</v>
      </c>
      <c r="AB52" s="30" t="s">
        <v>24</v>
      </c>
      <c r="AC52" s="27"/>
      <c r="AD52" s="31" t="s">
        <v>25</v>
      </c>
      <c r="AE52" s="32" t="str">
        <f t="shared" si="7"/>
        <v>✓ OK</v>
      </c>
      <c r="AF52" s="33" t="s">
        <v>27</v>
      </c>
      <c r="AG52" s="33" t="s">
        <v>23</v>
      </c>
      <c r="AH52" s="33" t="s">
        <v>24</v>
      </c>
      <c r="AI52" s="33" t="s">
        <v>25</v>
      </c>
      <c r="AJ52" s="33" t="s">
        <v>26</v>
      </c>
      <c r="AK52" s="33" t="s">
        <v>24</v>
      </c>
      <c r="AL52" s="27"/>
      <c r="AM52" s="34" t="s">
        <v>25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1315</v>
      </c>
      <c r="C53" s="25" t="s">
        <v>1316</v>
      </c>
      <c r="D53" s="23" t="s">
        <v>1268</v>
      </c>
      <c r="E53" s="43">
        <v>46125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5"/>
        <v>✓ OK</v>
      </c>
      <c r="N53" s="43">
        <v>46193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6"/>
        <v>✓ OK</v>
      </c>
      <c r="W53" s="45">
        <v>46248</v>
      </c>
      <c r="X53" s="30" t="s">
        <v>23</v>
      </c>
      <c r="Y53" s="30" t="s">
        <v>24</v>
      </c>
      <c r="Z53" s="30" t="s">
        <v>25</v>
      </c>
      <c r="AA53" s="30" t="s">
        <v>26</v>
      </c>
      <c r="AB53" s="30" t="s">
        <v>24</v>
      </c>
      <c r="AC53" s="27"/>
      <c r="AD53" s="31" t="s">
        <v>25</v>
      </c>
      <c r="AE53" s="32" t="str">
        <f t="shared" si="7"/>
        <v>✓ OK</v>
      </c>
      <c r="AF53" s="33" t="s">
        <v>27</v>
      </c>
      <c r="AG53" s="33" t="s">
        <v>23</v>
      </c>
      <c r="AH53" s="33" t="s">
        <v>24</v>
      </c>
      <c r="AI53" s="33" t="s">
        <v>25</v>
      </c>
      <c r="AJ53" s="33" t="s">
        <v>26</v>
      </c>
      <c r="AK53" s="33" t="s">
        <v>24</v>
      </c>
      <c r="AL53" s="27"/>
      <c r="AM53" s="34" t="s">
        <v>25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1317</v>
      </c>
      <c r="C54" s="41" t="s">
        <v>1318</v>
      </c>
      <c r="D54" s="39" t="s">
        <v>1268</v>
      </c>
      <c r="E54" s="43">
        <v>46125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5"/>
        <v>✓ OK</v>
      </c>
      <c r="N54" s="43">
        <v>46193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6"/>
        <v>✓ OK</v>
      </c>
      <c r="W54" s="45">
        <v>46248</v>
      </c>
      <c r="X54" s="30" t="s">
        <v>23</v>
      </c>
      <c r="Y54" s="30" t="s">
        <v>24</v>
      </c>
      <c r="Z54" s="30" t="s">
        <v>25</v>
      </c>
      <c r="AA54" s="30" t="s">
        <v>26</v>
      </c>
      <c r="AB54" s="30" t="s">
        <v>24</v>
      </c>
      <c r="AC54" s="27"/>
      <c r="AD54" s="31" t="s">
        <v>25</v>
      </c>
      <c r="AE54" s="32" t="str">
        <f t="shared" si="7"/>
        <v>✓ OK</v>
      </c>
      <c r="AF54" s="33" t="s">
        <v>27</v>
      </c>
      <c r="AG54" s="33" t="s">
        <v>23</v>
      </c>
      <c r="AH54" s="33" t="s">
        <v>24</v>
      </c>
      <c r="AI54" s="33" t="s">
        <v>25</v>
      </c>
      <c r="AJ54" s="33" t="s">
        <v>26</v>
      </c>
      <c r="AK54" s="33" t="s">
        <v>24</v>
      </c>
      <c r="AL54" s="27"/>
      <c r="AM54" s="34" t="s">
        <v>25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1319</v>
      </c>
      <c r="C55" s="25" t="s">
        <v>1320</v>
      </c>
      <c r="D55" s="23" t="s">
        <v>1268</v>
      </c>
      <c r="E55" s="43">
        <v>46125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5"/>
        <v>✓ OK</v>
      </c>
      <c r="N55" s="43">
        <v>46193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6"/>
        <v>✓ OK</v>
      </c>
      <c r="W55" s="45">
        <v>46248</v>
      </c>
      <c r="X55" s="30" t="s">
        <v>23</v>
      </c>
      <c r="Y55" s="30" t="s">
        <v>24</v>
      </c>
      <c r="Z55" s="30" t="s">
        <v>25</v>
      </c>
      <c r="AA55" s="30" t="s">
        <v>26</v>
      </c>
      <c r="AB55" s="30" t="s">
        <v>24</v>
      </c>
      <c r="AC55" s="27"/>
      <c r="AD55" s="31" t="s">
        <v>25</v>
      </c>
      <c r="AE55" s="32" t="str">
        <f t="shared" si="7"/>
        <v>✓ OK</v>
      </c>
      <c r="AF55" s="33" t="s">
        <v>27</v>
      </c>
      <c r="AG55" s="33" t="s">
        <v>23</v>
      </c>
      <c r="AH55" s="33" t="s">
        <v>24</v>
      </c>
      <c r="AI55" s="33" t="s">
        <v>25</v>
      </c>
      <c r="AJ55" s="33" t="s">
        <v>26</v>
      </c>
      <c r="AK55" s="33" t="s">
        <v>24</v>
      </c>
      <c r="AL55" s="27"/>
      <c r="AM55" s="34" t="s">
        <v>25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1321</v>
      </c>
      <c r="C56" s="41" t="s">
        <v>1322</v>
      </c>
      <c r="D56" s="39" t="s">
        <v>1268</v>
      </c>
      <c r="E56" s="43">
        <v>46125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5"/>
        <v>✓ OK</v>
      </c>
      <c r="N56" s="43">
        <v>46193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6"/>
        <v>✓ OK</v>
      </c>
      <c r="W56" s="45">
        <v>46248</v>
      </c>
      <c r="X56" s="30" t="s">
        <v>23</v>
      </c>
      <c r="Y56" s="30" t="s">
        <v>24</v>
      </c>
      <c r="Z56" s="30" t="s">
        <v>25</v>
      </c>
      <c r="AA56" s="30" t="s">
        <v>26</v>
      </c>
      <c r="AB56" s="30" t="s">
        <v>24</v>
      </c>
      <c r="AC56" s="27"/>
      <c r="AD56" s="31" t="s">
        <v>25</v>
      </c>
      <c r="AE56" s="32" t="str">
        <f t="shared" si="7"/>
        <v>✓ OK</v>
      </c>
      <c r="AF56" s="33" t="s">
        <v>27</v>
      </c>
      <c r="AG56" s="33" t="s">
        <v>23</v>
      </c>
      <c r="AH56" s="33" t="s">
        <v>24</v>
      </c>
      <c r="AI56" s="33" t="s">
        <v>25</v>
      </c>
      <c r="AJ56" s="33" t="s">
        <v>26</v>
      </c>
      <c r="AK56" s="33" t="s">
        <v>24</v>
      </c>
      <c r="AL56" s="27"/>
      <c r="AM56" s="34" t="s">
        <v>25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1323</v>
      </c>
      <c r="C57" s="25" t="s">
        <v>1324</v>
      </c>
      <c r="D57" s="23" t="s">
        <v>1268</v>
      </c>
      <c r="E57" s="43">
        <v>46125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5"/>
        <v>✓ OK</v>
      </c>
      <c r="N57" s="43">
        <v>46193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6"/>
        <v>✓ OK</v>
      </c>
      <c r="W57" s="45">
        <v>46248</v>
      </c>
      <c r="X57" s="30" t="s">
        <v>23</v>
      </c>
      <c r="Y57" s="30" t="s">
        <v>24</v>
      </c>
      <c r="Z57" s="30" t="s">
        <v>25</v>
      </c>
      <c r="AA57" s="30" t="s">
        <v>26</v>
      </c>
      <c r="AB57" s="30" t="s">
        <v>24</v>
      </c>
      <c r="AC57" s="27"/>
      <c r="AD57" s="31" t="s">
        <v>25</v>
      </c>
      <c r="AE57" s="32" t="str">
        <f t="shared" si="7"/>
        <v>✓ OK</v>
      </c>
      <c r="AF57" s="33" t="s">
        <v>27</v>
      </c>
      <c r="AG57" s="33" t="s">
        <v>23</v>
      </c>
      <c r="AH57" s="33" t="s">
        <v>24</v>
      </c>
      <c r="AI57" s="33" t="s">
        <v>25</v>
      </c>
      <c r="AJ57" s="33" t="s">
        <v>26</v>
      </c>
      <c r="AK57" s="33" t="s">
        <v>24</v>
      </c>
      <c r="AL57" s="27"/>
      <c r="AM57" s="34" t="s">
        <v>25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1325</v>
      </c>
      <c r="C58" s="41" t="s">
        <v>1326</v>
      </c>
      <c r="D58" s="39" t="s">
        <v>1268</v>
      </c>
      <c r="E58" s="43">
        <v>46125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5"/>
        <v>✓ OK</v>
      </c>
      <c r="N58" s="43">
        <v>46193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6"/>
        <v>✓ OK</v>
      </c>
      <c r="W58" s="45">
        <v>46248</v>
      </c>
      <c r="X58" s="30" t="s">
        <v>23</v>
      </c>
      <c r="Y58" s="30" t="s">
        <v>24</v>
      </c>
      <c r="Z58" s="30" t="s">
        <v>25</v>
      </c>
      <c r="AA58" s="30" t="s">
        <v>26</v>
      </c>
      <c r="AB58" s="30" t="s">
        <v>24</v>
      </c>
      <c r="AC58" s="27"/>
      <c r="AD58" s="31" t="s">
        <v>25</v>
      </c>
      <c r="AE58" s="32" t="str">
        <f t="shared" si="7"/>
        <v>✓ OK</v>
      </c>
      <c r="AF58" s="33" t="s">
        <v>27</v>
      </c>
      <c r="AG58" s="33" t="s">
        <v>23</v>
      </c>
      <c r="AH58" s="33" t="s">
        <v>24</v>
      </c>
      <c r="AI58" s="33" t="s">
        <v>25</v>
      </c>
      <c r="AJ58" s="33" t="s">
        <v>26</v>
      </c>
      <c r="AK58" s="33" t="s">
        <v>24</v>
      </c>
      <c r="AL58" s="27"/>
      <c r="AM58" s="34" t="s">
        <v>25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1327</v>
      </c>
      <c r="C59" s="25" t="s">
        <v>1328</v>
      </c>
      <c r="D59" s="23" t="s">
        <v>1268</v>
      </c>
      <c r="E59" s="43">
        <v>46125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43">
        <v>46193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45">
        <v>46248</v>
      </c>
      <c r="X59" s="30" t="s">
        <v>23</v>
      </c>
      <c r="Y59" s="30" t="s">
        <v>24</v>
      </c>
      <c r="Z59" s="30" t="s">
        <v>25</v>
      </c>
      <c r="AA59" s="30" t="s">
        <v>26</v>
      </c>
      <c r="AB59" s="30" t="s">
        <v>24</v>
      </c>
      <c r="AC59" s="27"/>
      <c r="AD59" s="31" t="s">
        <v>25</v>
      </c>
      <c r="AE59" s="32" t="str">
        <f t="shared" si="7"/>
        <v>✓ OK</v>
      </c>
      <c r="AF59" s="33" t="s">
        <v>27</v>
      </c>
      <c r="AG59" s="33" t="s">
        <v>23</v>
      </c>
      <c r="AH59" s="33" t="s">
        <v>24</v>
      </c>
      <c r="AI59" s="33" t="s">
        <v>25</v>
      </c>
      <c r="AJ59" s="33" t="s">
        <v>26</v>
      </c>
      <c r="AK59" s="33" t="s">
        <v>24</v>
      </c>
      <c r="AL59" s="27"/>
      <c r="AM59" s="34" t="s">
        <v>25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1329</v>
      </c>
      <c r="C60" s="41" t="s">
        <v>1330</v>
      </c>
      <c r="D60" s="39" t="s">
        <v>1268</v>
      </c>
      <c r="E60" s="43">
        <v>46125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5"/>
        <v>✓ OK</v>
      </c>
      <c r="N60" s="43">
        <v>46193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6"/>
        <v>✓ OK</v>
      </c>
      <c r="W60" s="45">
        <v>46248</v>
      </c>
      <c r="X60" s="30" t="s">
        <v>23</v>
      </c>
      <c r="Y60" s="30" t="s">
        <v>24</v>
      </c>
      <c r="Z60" s="30" t="s">
        <v>25</v>
      </c>
      <c r="AA60" s="30" t="s">
        <v>26</v>
      </c>
      <c r="AB60" s="30" t="s">
        <v>24</v>
      </c>
      <c r="AC60" s="27"/>
      <c r="AD60" s="31" t="s">
        <v>25</v>
      </c>
      <c r="AE60" s="32" t="str">
        <f t="shared" si="7"/>
        <v>✓ OK</v>
      </c>
      <c r="AF60" s="33" t="s">
        <v>27</v>
      </c>
      <c r="AG60" s="33" t="s">
        <v>23</v>
      </c>
      <c r="AH60" s="33" t="s">
        <v>24</v>
      </c>
      <c r="AI60" s="33" t="s">
        <v>25</v>
      </c>
      <c r="AJ60" s="33" t="s">
        <v>26</v>
      </c>
      <c r="AK60" s="33" t="s">
        <v>24</v>
      </c>
      <c r="AL60" s="27"/>
      <c r="AM60" s="34" t="s">
        <v>25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1331</v>
      </c>
      <c r="C61" s="25" t="s">
        <v>1332</v>
      </c>
      <c r="D61" s="23" t="s">
        <v>1268</v>
      </c>
      <c r="E61" s="43">
        <v>46125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5"/>
        <v>✓ OK</v>
      </c>
      <c r="N61" s="43">
        <v>46193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6"/>
        <v>✓ OK</v>
      </c>
      <c r="W61" s="45">
        <v>46248</v>
      </c>
      <c r="X61" s="30" t="s">
        <v>23</v>
      </c>
      <c r="Y61" s="30" t="s">
        <v>24</v>
      </c>
      <c r="Z61" s="30" t="s">
        <v>25</v>
      </c>
      <c r="AA61" s="30" t="s">
        <v>26</v>
      </c>
      <c r="AB61" s="30" t="s">
        <v>24</v>
      </c>
      <c r="AC61" s="27"/>
      <c r="AD61" s="31" t="s">
        <v>25</v>
      </c>
      <c r="AE61" s="32" t="str">
        <f t="shared" si="7"/>
        <v>✓ OK</v>
      </c>
      <c r="AF61" s="33" t="s">
        <v>27</v>
      </c>
      <c r="AG61" s="33" t="s">
        <v>23</v>
      </c>
      <c r="AH61" s="33" t="s">
        <v>24</v>
      </c>
      <c r="AI61" s="33" t="s">
        <v>25</v>
      </c>
      <c r="AJ61" s="33" t="s">
        <v>26</v>
      </c>
      <c r="AK61" s="33" t="s">
        <v>24</v>
      </c>
      <c r="AL61" s="27"/>
      <c r="AM61" s="34" t="s">
        <v>25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1333</v>
      </c>
      <c r="C62" s="41" t="s">
        <v>1334</v>
      </c>
      <c r="D62" s="39" t="s">
        <v>1268</v>
      </c>
      <c r="E62" s="43">
        <v>46125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5"/>
        <v>✓ OK</v>
      </c>
      <c r="N62" s="43">
        <v>46193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6"/>
        <v>✓ OK</v>
      </c>
      <c r="W62" s="45">
        <v>46248</v>
      </c>
      <c r="X62" s="30" t="s">
        <v>23</v>
      </c>
      <c r="Y62" s="30" t="s">
        <v>24</v>
      </c>
      <c r="Z62" s="30" t="s">
        <v>25</v>
      </c>
      <c r="AA62" s="30" t="s">
        <v>26</v>
      </c>
      <c r="AB62" s="30" t="s">
        <v>24</v>
      </c>
      <c r="AC62" s="27"/>
      <c r="AD62" s="31" t="s">
        <v>25</v>
      </c>
      <c r="AE62" s="32" t="str">
        <f t="shared" si="7"/>
        <v>✓ OK</v>
      </c>
      <c r="AF62" s="33" t="s">
        <v>27</v>
      </c>
      <c r="AG62" s="33" t="s">
        <v>23</v>
      </c>
      <c r="AH62" s="33" t="s">
        <v>24</v>
      </c>
      <c r="AI62" s="33" t="s">
        <v>25</v>
      </c>
      <c r="AJ62" s="33" t="s">
        <v>26</v>
      </c>
      <c r="AK62" s="33" t="s">
        <v>24</v>
      </c>
      <c r="AL62" s="27"/>
      <c r="AM62" s="34" t="s">
        <v>25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1335</v>
      </c>
      <c r="C63" s="25" t="s">
        <v>1336</v>
      </c>
      <c r="D63" s="23" t="s">
        <v>1268</v>
      </c>
      <c r="E63" s="43">
        <v>46125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5"/>
        <v>✓ OK</v>
      </c>
      <c r="N63" s="43">
        <v>46193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6"/>
        <v>✓ OK</v>
      </c>
      <c r="W63" s="45">
        <v>46248</v>
      </c>
      <c r="X63" s="30" t="s">
        <v>23</v>
      </c>
      <c r="Y63" s="30" t="s">
        <v>24</v>
      </c>
      <c r="Z63" s="30" t="s">
        <v>25</v>
      </c>
      <c r="AA63" s="30" t="s">
        <v>26</v>
      </c>
      <c r="AB63" s="30" t="s">
        <v>24</v>
      </c>
      <c r="AC63" s="27"/>
      <c r="AD63" s="31" t="s">
        <v>25</v>
      </c>
      <c r="AE63" s="32" t="str">
        <f t="shared" si="7"/>
        <v>✓ OK</v>
      </c>
      <c r="AF63" s="33" t="s">
        <v>27</v>
      </c>
      <c r="AG63" s="33" t="s">
        <v>23</v>
      </c>
      <c r="AH63" s="33" t="s">
        <v>24</v>
      </c>
      <c r="AI63" s="33" t="s">
        <v>25</v>
      </c>
      <c r="AJ63" s="33" t="s">
        <v>26</v>
      </c>
      <c r="AK63" s="33" t="s">
        <v>24</v>
      </c>
      <c r="AL63" s="27"/>
      <c r="AM63" s="34" t="s">
        <v>25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1337</v>
      </c>
      <c r="C64" s="41" t="s">
        <v>1338</v>
      </c>
      <c r="D64" s="39" t="s">
        <v>1268</v>
      </c>
      <c r="E64" s="43">
        <v>46125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5"/>
        <v>✓ OK</v>
      </c>
      <c r="N64" s="43">
        <v>46193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6"/>
        <v>✓ OK</v>
      </c>
      <c r="W64" s="45">
        <v>46248</v>
      </c>
      <c r="X64" s="30" t="s">
        <v>23</v>
      </c>
      <c r="Y64" s="30" t="s">
        <v>24</v>
      </c>
      <c r="Z64" s="30" t="s">
        <v>25</v>
      </c>
      <c r="AA64" s="30" t="s">
        <v>26</v>
      </c>
      <c r="AB64" s="30" t="s">
        <v>24</v>
      </c>
      <c r="AC64" s="27"/>
      <c r="AD64" s="31" t="s">
        <v>25</v>
      </c>
      <c r="AE64" s="32" t="str">
        <f t="shared" si="7"/>
        <v>✓ OK</v>
      </c>
      <c r="AF64" s="33" t="s">
        <v>27</v>
      </c>
      <c r="AG64" s="33" t="s">
        <v>23</v>
      </c>
      <c r="AH64" s="33" t="s">
        <v>24</v>
      </c>
      <c r="AI64" s="33" t="s">
        <v>25</v>
      </c>
      <c r="AJ64" s="33" t="s">
        <v>26</v>
      </c>
      <c r="AK64" s="33" t="s">
        <v>24</v>
      </c>
      <c r="AL64" s="27"/>
      <c r="AM64" s="34" t="s">
        <v>25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1339</v>
      </c>
      <c r="C65" s="25" t="s">
        <v>1340</v>
      </c>
      <c r="D65" s="23" t="s">
        <v>1268</v>
      </c>
      <c r="E65" s="43">
        <v>46125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5"/>
        <v>✓ OK</v>
      </c>
      <c r="N65" s="43">
        <v>46193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6"/>
        <v>✓ OK</v>
      </c>
      <c r="W65" s="45">
        <v>46248</v>
      </c>
      <c r="X65" s="30" t="s">
        <v>23</v>
      </c>
      <c r="Y65" s="30" t="s">
        <v>24</v>
      </c>
      <c r="Z65" s="30" t="s">
        <v>25</v>
      </c>
      <c r="AA65" s="30" t="s">
        <v>26</v>
      </c>
      <c r="AB65" s="30" t="s">
        <v>24</v>
      </c>
      <c r="AC65" s="27"/>
      <c r="AD65" s="31" t="s">
        <v>25</v>
      </c>
      <c r="AE65" s="32" t="str">
        <f t="shared" si="7"/>
        <v>✓ OK</v>
      </c>
      <c r="AF65" s="33" t="s">
        <v>27</v>
      </c>
      <c r="AG65" s="33" t="s">
        <v>23</v>
      </c>
      <c r="AH65" s="33" t="s">
        <v>24</v>
      </c>
      <c r="AI65" s="33" t="s">
        <v>25</v>
      </c>
      <c r="AJ65" s="33" t="s">
        <v>26</v>
      </c>
      <c r="AK65" s="33" t="s">
        <v>24</v>
      </c>
      <c r="AL65" s="27"/>
      <c r="AM65" s="34" t="s">
        <v>25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1341</v>
      </c>
      <c r="C66" s="41" t="s">
        <v>1342</v>
      </c>
      <c r="D66" s="39" t="s">
        <v>1268</v>
      </c>
      <c r="E66" s="43">
        <v>46125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5"/>
        <v>✓ OK</v>
      </c>
      <c r="N66" s="43">
        <v>46193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6"/>
        <v>✓ OK</v>
      </c>
      <c r="W66" s="45">
        <v>46248</v>
      </c>
      <c r="X66" s="30" t="s">
        <v>23</v>
      </c>
      <c r="Y66" s="30" t="s">
        <v>24</v>
      </c>
      <c r="Z66" s="30" t="s">
        <v>25</v>
      </c>
      <c r="AA66" s="30" t="s">
        <v>26</v>
      </c>
      <c r="AB66" s="30" t="s">
        <v>24</v>
      </c>
      <c r="AC66" s="27"/>
      <c r="AD66" s="31" t="s">
        <v>25</v>
      </c>
      <c r="AE66" s="32" t="str">
        <f t="shared" si="7"/>
        <v>✓ OK</v>
      </c>
      <c r="AF66" s="33" t="s">
        <v>27</v>
      </c>
      <c r="AG66" s="33" t="s">
        <v>23</v>
      </c>
      <c r="AH66" s="33" t="s">
        <v>24</v>
      </c>
      <c r="AI66" s="33" t="s">
        <v>25</v>
      </c>
      <c r="AJ66" s="33" t="s">
        <v>26</v>
      </c>
      <c r="AK66" s="33" t="s">
        <v>24</v>
      </c>
      <c r="AL66" s="27"/>
      <c r="AM66" s="34" t="s">
        <v>25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1343</v>
      </c>
      <c r="C67" s="25" t="s">
        <v>1344</v>
      </c>
      <c r="D67" s="23" t="s">
        <v>1268</v>
      </c>
      <c r="E67" s="43">
        <v>46125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5"/>
        <v>✓ OK</v>
      </c>
      <c r="N67" s="43">
        <v>46193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6"/>
        <v>✓ OK</v>
      </c>
      <c r="W67" s="45">
        <v>46248</v>
      </c>
      <c r="X67" s="30" t="s">
        <v>23</v>
      </c>
      <c r="Y67" s="30" t="s">
        <v>24</v>
      </c>
      <c r="Z67" s="30" t="s">
        <v>25</v>
      </c>
      <c r="AA67" s="30" t="s">
        <v>26</v>
      </c>
      <c r="AB67" s="30" t="s">
        <v>24</v>
      </c>
      <c r="AC67" s="27"/>
      <c r="AD67" s="31" t="s">
        <v>25</v>
      </c>
      <c r="AE67" s="32" t="str">
        <f t="shared" si="7"/>
        <v>✓ OK</v>
      </c>
      <c r="AF67" s="33" t="s">
        <v>27</v>
      </c>
      <c r="AG67" s="33" t="s">
        <v>23</v>
      </c>
      <c r="AH67" s="33" t="s">
        <v>24</v>
      </c>
      <c r="AI67" s="33" t="s">
        <v>25</v>
      </c>
      <c r="AJ67" s="33" t="s">
        <v>26</v>
      </c>
      <c r="AK67" s="33" t="s">
        <v>24</v>
      </c>
      <c r="AL67" s="27"/>
      <c r="AM67" s="34" t="s">
        <v>25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</sheetData>
  <autoFilter ref="A4:AW67" xr:uid="{00000000-0009-0000-0000-000002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67">
    <cfRule type="expression" dxfId="654" priority="15">
      <formula>G5="Yes"</formula>
    </cfRule>
    <cfRule type="expression" dxfId="653" priority="16">
      <formula>G5="No"</formula>
    </cfRule>
  </conditionalFormatting>
  <conditionalFormatting sqref="H5:H67">
    <cfRule type="expression" dxfId="652" priority="17">
      <formula>H5="Yes"</formula>
    </cfRule>
  </conditionalFormatting>
  <conditionalFormatting sqref="J5:J67">
    <cfRule type="expression" dxfId="651" priority="18">
      <formula>J5="Yes"</formula>
    </cfRule>
    <cfRule type="expression" dxfId="650" priority="19">
      <formula>J5="No"</formula>
    </cfRule>
  </conditionalFormatting>
  <conditionalFormatting sqref="M5:M67">
    <cfRule type="expression" dxfId="649" priority="13">
      <formula>M5="⚠ Missing"</formula>
    </cfRule>
    <cfRule type="expression" dxfId="648" priority="11">
      <formula>M5="✓ OK"</formula>
    </cfRule>
    <cfRule type="expression" dxfId="647" priority="12">
      <formula>M5="❌ Disc"</formula>
    </cfRule>
    <cfRule type="expression" dxfId="646" priority="14">
      <formula>M5="⚠ Check"</formula>
    </cfRule>
  </conditionalFormatting>
  <conditionalFormatting sqref="N5:N67">
    <cfRule type="expression" dxfId="645" priority="1">
      <formula>MOD(ROW(),2)=0</formula>
    </cfRule>
  </conditionalFormatting>
  <conditionalFormatting sqref="O5:AW67 A5:M67">
    <cfRule type="expression" dxfId="644" priority="56">
      <formula>MOD(ROW(),2)=0</formula>
    </cfRule>
  </conditionalFormatting>
  <conditionalFormatting sqref="P5:P67">
    <cfRule type="expression" dxfId="643" priority="6">
      <formula>P5="Yes"</formula>
    </cfRule>
    <cfRule type="expression" dxfId="642" priority="7">
      <formula>P5="No"</formula>
    </cfRule>
    <cfRule type="expression" dxfId="641" priority="24">
      <formula>P5="Yes"</formula>
    </cfRule>
    <cfRule type="expression" dxfId="640" priority="25">
      <formula>P5="No"</formula>
    </cfRule>
  </conditionalFormatting>
  <conditionalFormatting sqref="Q5:Q67">
    <cfRule type="expression" dxfId="639" priority="8">
      <formula>Q5="Yes"</formula>
    </cfRule>
  </conditionalFormatting>
  <conditionalFormatting sqref="S5:S67">
    <cfRule type="expression" dxfId="638" priority="9">
      <formula>S5="Yes"</formula>
    </cfRule>
    <cfRule type="expression" dxfId="637" priority="10">
      <formula>S5="No"</formula>
    </cfRule>
    <cfRule type="expression" dxfId="636" priority="27">
      <formula>S5="Yes"</formula>
    </cfRule>
    <cfRule type="expression" dxfId="635" priority="28">
      <formula>S5="No"</formula>
    </cfRule>
  </conditionalFormatting>
  <conditionalFormatting sqref="V5:V67">
    <cfRule type="expression" dxfId="634" priority="2">
      <formula>V5="✓ OK"</formula>
    </cfRule>
    <cfRule type="expression" dxfId="633" priority="3">
      <formula>V5="❌ Disc"</formula>
    </cfRule>
    <cfRule type="expression" dxfId="632" priority="4">
      <formula>V5="⚠ Missing"</formula>
    </cfRule>
    <cfRule type="expression" dxfId="631" priority="5">
      <formula>V5="⚠ Check"</formula>
    </cfRule>
    <cfRule type="expression" dxfId="630" priority="20">
      <formula>V5="✓ OK"</formula>
    </cfRule>
    <cfRule type="expression" dxfId="629" priority="21">
      <formula>V5="❌ Disc"</formula>
    </cfRule>
    <cfRule type="expression" dxfId="628" priority="22">
      <formula>V5="⚠ Missing"</formula>
    </cfRule>
    <cfRule type="expression" dxfId="627" priority="23">
      <formula>V5="⚠ Check"</formula>
    </cfRule>
  </conditionalFormatting>
  <conditionalFormatting sqref="Y5:Y67">
    <cfRule type="expression" dxfId="626" priority="33">
      <formula>Y5="Yes"</formula>
    </cfRule>
    <cfRule type="expression" dxfId="625" priority="34">
      <formula>Y5="No"</formula>
    </cfRule>
  </conditionalFormatting>
  <conditionalFormatting sqref="Z5:Z67">
    <cfRule type="expression" dxfId="624" priority="35">
      <formula>Z5="Yes"</formula>
    </cfRule>
  </conditionalFormatting>
  <conditionalFormatting sqref="AB5:AB67">
    <cfRule type="expression" dxfId="623" priority="36">
      <formula>AB5="Yes"</formula>
    </cfRule>
    <cfRule type="expression" dxfId="622" priority="37">
      <formula>AB5="No"</formula>
    </cfRule>
  </conditionalFormatting>
  <conditionalFormatting sqref="AE5:AE67">
    <cfRule type="expression" dxfId="621" priority="30">
      <formula>AE5="❌ Disc"</formula>
    </cfRule>
    <cfRule type="expression" dxfId="620" priority="31">
      <formula>AE5="⚠ Missing"</formula>
    </cfRule>
    <cfRule type="expression" dxfId="619" priority="29">
      <formula>AE5="✓ OK"</formula>
    </cfRule>
    <cfRule type="expression" dxfId="618" priority="32">
      <formula>AE5="⚠ Check"</formula>
    </cfRule>
  </conditionalFormatting>
  <conditionalFormatting sqref="AH5:AH67">
    <cfRule type="expression" dxfId="617" priority="42">
      <formula>AH5="Yes"</formula>
    </cfRule>
    <cfRule type="expression" dxfId="616" priority="43">
      <formula>AH5="No"</formula>
    </cfRule>
  </conditionalFormatting>
  <conditionalFormatting sqref="AI5:AI67">
    <cfRule type="expression" dxfId="615" priority="44">
      <formula>AI5="Yes"</formula>
    </cfRule>
  </conditionalFormatting>
  <conditionalFormatting sqref="AK5:AK67">
    <cfRule type="expression" dxfId="614" priority="45">
      <formula>AK5="Yes"</formula>
    </cfRule>
    <cfRule type="expression" dxfId="613" priority="46">
      <formula>AK5="No"</formula>
    </cfRule>
  </conditionalFormatting>
  <conditionalFormatting sqref="AN5:AN67">
    <cfRule type="expression" dxfId="612" priority="38">
      <formula>AN5="✓ OK"</formula>
    </cfRule>
    <cfRule type="expression" dxfId="611" priority="39">
      <formula>AN5="❌ Disc"</formula>
    </cfRule>
    <cfRule type="expression" dxfId="610" priority="40">
      <formula>AN5="⚠ Missing"</formula>
    </cfRule>
    <cfRule type="expression" dxfId="609" priority="41">
      <formula>AN5="⚠ Check"</formula>
    </cfRule>
  </conditionalFormatting>
  <conditionalFormatting sqref="AQ5:AQ67">
    <cfRule type="expression" dxfId="608" priority="51">
      <formula>AQ5="Yes"</formula>
    </cfRule>
    <cfRule type="expression" dxfId="607" priority="52">
      <formula>AQ5="No"</formula>
    </cfRule>
  </conditionalFormatting>
  <conditionalFormatting sqref="AR5:AR67">
    <cfRule type="expression" dxfId="606" priority="53">
      <formula>AR5="Yes"</formula>
    </cfRule>
  </conditionalFormatting>
  <conditionalFormatting sqref="AT5:AT67">
    <cfRule type="expression" dxfId="605" priority="54">
      <formula>AT5="Yes"</formula>
    </cfRule>
    <cfRule type="expression" dxfId="604" priority="55">
      <formula>AT5="No"</formula>
    </cfRule>
  </conditionalFormatting>
  <conditionalFormatting sqref="AW5:AW67">
    <cfRule type="expression" dxfId="603" priority="47">
      <formula>AW5="✓ OK"</formula>
    </cfRule>
    <cfRule type="expression" dxfId="602" priority="48">
      <formula>AW5="❌ Disc"</formula>
    </cfRule>
    <cfRule type="expression" dxfId="601" priority="49">
      <formula>AW5="⚠ Missing"</formula>
    </cfRule>
    <cfRule type="expression" dxfId="600" priority="50">
      <formula>AW5="⚠ Check"</formula>
    </cfRule>
  </conditionalFormatting>
  <dataValidations count="2">
    <dataValidation type="list" allowBlank="1" sqref="G5:H67 J5:J67 P5:Q67 S5:S67 Y5:Z67 AB5:AB67 AH5:AI67 AK5:AK67 AQ5:AR67 AT5:AT67" xr:uid="{00000000-0002-0000-0200-000000000000}">
      <formula1>"Yes,No"</formula1>
    </dataValidation>
    <dataValidation type="list" allowBlank="1" sqref="I5:I67 R5:R67 AA5:AA67 AJ5:AJ67 AS5:AS67" xr:uid="{00000000-0002-0000-02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W85"/>
  <sheetViews>
    <sheetView workbookViewId="0">
      <pane xSplit="4" ySplit="4" topLeftCell="AF5" activePane="bottomRight" state="frozen"/>
      <selection pane="topRight" activeCell="AU16" sqref="AU16"/>
      <selection pane="bottomLeft" activeCell="AU16" sqref="AU16"/>
      <selection pane="bottomRight" activeCell="AF4" sqref="AF4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26.6640625" bestFit="1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1345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1346</v>
      </c>
      <c r="C5" s="25" t="s">
        <v>1347</v>
      </c>
      <c r="D5" s="23" t="s">
        <v>1348</v>
      </c>
      <c r="E5" s="43">
        <v>46126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 t="s">
        <v>1349</v>
      </c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43">
        <v>46193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 t="s">
        <v>1349</v>
      </c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 t="s">
        <v>1349</v>
      </c>
      <c r="AD5" s="31" t="s">
        <v>25</v>
      </c>
      <c r="AE5" s="32" t="str">
        <f t="shared" ref="AE5:AE36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 t="s">
        <v>1349</v>
      </c>
      <c r="AM5" s="34" t="s">
        <v>25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1350</v>
      </c>
      <c r="C6" s="41" t="s">
        <v>1351</v>
      </c>
      <c r="D6" s="39" t="s">
        <v>1348</v>
      </c>
      <c r="E6" s="43">
        <v>46126</v>
      </c>
      <c r="F6" s="26" t="s">
        <v>23</v>
      </c>
      <c r="G6" s="44" t="s">
        <v>1352</v>
      </c>
      <c r="H6" s="26" t="s">
        <v>25</v>
      </c>
      <c r="I6" s="44" t="s">
        <v>1352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46193</v>
      </c>
      <c r="O6" s="26" t="s">
        <v>23</v>
      </c>
      <c r="P6" s="44" t="s">
        <v>1352</v>
      </c>
      <c r="Q6" s="26" t="s">
        <v>25</v>
      </c>
      <c r="R6" s="44" t="s">
        <v>1352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1352</v>
      </c>
      <c r="Z6" s="30" t="s">
        <v>25</v>
      </c>
      <c r="AA6" s="30" t="s">
        <v>1352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1352</v>
      </c>
      <c r="AI6" s="33" t="s">
        <v>25</v>
      </c>
      <c r="AJ6" s="33" t="s">
        <v>1352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1353</v>
      </c>
      <c r="C7" s="25" t="s">
        <v>1354</v>
      </c>
      <c r="D7" s="23" t="s">
        <v>1348</v>
      </c>
      <c r="E7" s="43">
        <v>46126</v>
      </c>
      <c r="F7" s="26" t="s">
        <v>23</v>
      </c>
      <c r="G7" s="26" t="s">
        <v>25</v>
      </c>
      <c r="H7" s="26" t="s">
        <v>25</v>
      </c>
      <c r="I7" s="26" t="s">
        <v>735</v>
      </c>
      <c r="J7" s="26" t="s">
        <v>25</v>
      </c>
      <c r="K7" s="27"/>
      <c r="L7" s="28" t="s">
        <v>24</v>
      </c>
      <c r="M7" s="29" t="str">
        <f t="shared" si="0"/>
        <v>⚠ Missing</v>
      </c>
      <c r="N7" s="43">
        <v>46193</v>
      </c>
      <c r="O7" s="26" t="s">
        <v>23</v>
      </c>
      <c r="P7" s="26" t="s">
        <v>25</v>
      </c>
      <c r="Q7" s="26" t="s">
        <v>25</v>
      </c>
      <c r="R7" s="26" t="s">
        <v>735</v>
      </c>
      <c r="S7" s="26" t="s">
        <v>25</v>
      </c>
      <c r="T7" s="27"/>
      <c r="U7" s="28" t="s">
        <v>24</v>
      </c>
      <c r="V7" s="29" t="str">
        <f t="shared" si="1"/>
        <v>⚠ Missing</v>
      </c>
      <c r="W7" s="45">
        <v>46248</v>
      </c>
      <c r="X7" s="30" t="s">
        <v>23</v>
      </c>
      <c r="Y7" s="30" t="s">
        <v>25</v>
      </c>
      <c r="Z7" s="30" t="s">
        <v>25</v>
      </c>
      <c r="AA7" s="30" t="s">
        <v>735</v>
      </c>
      <c r="AB7" s="30" t="s">
        <v>25</v>
      </c>
      <c r="AC7" s="27"/>
      <c r="AD7" s="31" t="s">
        <v>24</v>
      </c>
      <c r="AE7" s="32" t="str">
        <f t="shared" si="2"/>
        <v>⚠ Missing</v>
      </c>
      <c r="AF7" s="33" t="s">
        <v>27</v>
      </c>
      <c r="AG7" s="33" t="s">
        <v>23</v>
      </c>
      <c r="AH7" s="33" t="s">
        <v>25</v>
      </c>
      <c r="AI7" s="33" t="s">
        <v>25</v>
      </c>
      <c r="AJ7" s="33" t="s">
        <v>735</v>
      </c>
      <c r="AK7" s="33" t="s">
        <v>25</v>
      </c>
      <c r="AL7" s="27"/>
      <c r="AM7" s="34" t="s">
        <v>24</v>
      </c>
      <c r="AN7" s="35" t="str">
        <f t="shared" si="3"/>
        <v>⚠ Missing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1355</v>
      </c>
      <c r="C8" s="41" t="s">
        <v>1356</v>
      </c>
      <c r="D8" s="39" t="s">
        <v>1348</v>
      </c>
      <c r="E8" s="43">
        <v>46126</v>
      </c>
      <c r="F8" s="26" t="s">
        <v>23</v>
      </c>
      <c r="G8" s="26" t="s">
        <v>25</v>
      </c>
      <c r="H8" s="26" t="s">
        <v>25</v>
      </c>
      <c r="I8" s="26" t="s">
        <v>735</v>
      </c>
      <c r="J8" s="26" t="s">
        <v>25</v>
      </c>
      <c r="K8" s="27"/>
      <c r="L8" s="28" t="s">
        <v>24</v>
      </c>
      <c r="M8" s="29" t="str">
        <f t="shared" si="0"/>
        <v>⚠ Missing</v>
      </c>
      <c r="N8" s="43">
        <v>46193</v>
      </c>
      <c r="O8" s="26" t="s">
        <v>23</v>
      </c>
      <c r="P8" s="26" t="s">
        <v>25</v>
      </c>
      <c r="Q8" s="26" t="s">
        <v>25</v>
      </c>
      <c r="R8" s="26" t="s">
        <v>735</v>
      </c>
      <c r="S8" s="26" t="s">
        <v>25</v>
      </c>
      <c r="T8" s="27"/>
      <c r="U8" s="28" t="s">
        <v>24</v>
      </c>
      <c r="V8" s="29" t="str">
        <f t="shared" si="1"/>
        <v>⚠ Missing</v>
      </c>
      <c r="W8" s="45">
        <v>46248</v>
      </c>
      <c r="X8" s="30" t="s">
        <v>23</v>
      </c>
      <c r="Y8" s="30" t="s">
        <v>25</v>
      </c>
      <c r="Z8" s="30" t="s">
        <v>25</v>
      </c>
      <c r="AA8" s="30" t="s">
        <v>735</v>
      </c>
      <c r="AB8" s="30" t="s">
        <v>25</v>
      </c>
      <c r="AC8" s="27"/>
      <c r="AD8" s="31" t="s">
        <v>24</v>
      </c>
      <c r="AE8" s="32" t="str">
        <f t="shared" si="2"/>
        <v>⚠ Missing</v>
      </c>
      <c r="AF8" s="33" t="s">
        <v>27</v>
      </c>
      <c r="AG8" s="33" t="s">
        <v>23</v>
      </c>
      <c r="AH8" s="33" t="s">
        <v>25</v>
      </c>
      <c r="AI8" s="33" t="s">
        <v>25</v>
      </c>
      <c r="AJ8" s="33" t="s">
        <v>735</v>
      </c>
      <c r="AK8" s="33" t="s">
        <v>25</v>
      </c>
      <c r="AL8" s="27"/>
      <c r="AM8" s="34" t="s">
        <v>24</v>
      </c>
      <c r="AN8" s="35" t="str">
        <f t="shared" si="3"/>
        <v>⚠ Missing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1357</v>
      </c>
      <c r="C9" s="25" t="s">
        <v>1358</v>
      </c>
      <c r="D9" s="23" t="s">
        <v>1348</v>
      </c>
      <c r="E9" s="43">
        <v>46126</v>
      </c>
      <c r="F9" s="26" t="s">
        <v>23</v>
      </c>
      <c r="G9" s="44" t="s">
        <v>1352</v>
      </c>
      <c r="H9" s="26" t="s">
        <v>25</v>
      </c>
      <c r="I9" s="44" t="s">
        <v>1352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46193</v>
      </c>
      <c r="O9" s="26" t="s">
        <v>23</v>
      </c>
      <c r="P9" s="44" t="s">
        <v>1352</v>
      </c>
      <c r="Q9" s="26" t="s">
        <v>25</v>
      </c>
      <c r="R9" s="44" t="s">
        <v>1352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1352</v>
      </c>
      <c r="Z9" s="30" t="s">
        <v>25</v>
      </c>
      <c r="AA9" s="30" t="s">
        <v>1352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1352</v>
      </c>
      <c r="AI9" s="33" t="s">
        <v>25</v>
      </c>
      <c r="AJ9" s="33" t="s">
        <v>1352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1359</v>
      </c>
      <c r="C10" s="41" t="s">
        <v>1360</v>
      </c>
      <c r="D10" s="39" t="s">
        <v>1348</v>
      </c>
      <c r="E10" s="43">
        <v>46126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 t="s">
        <v>1361</v>
      </c>
      <c r="L10" s="28" t="s">
        <v>25</v>
      </c>
      <c r="M10" s="29" t="str">
        <f t="shared" si="0"/>
        <v>✓ OK</v>
      </c>
      <c r="N10" s="43">
        <v>46193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 t="s">
        <v>1361</v>
      </c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 t="s">
        <v>1361</v>
      </c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 t="s">
        <v>1361</v>
      </c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1362</v>
      </c>
      <c r="C11" s="25" t="s">
        <v>1363</v>
      </c>
      <c r="D11" s="23" t="s">
        <v>1348</v>
      </c>
      <c r="E11" s="43">
        <v>46126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 t="s">
        <v>1364</v>
      </c>
      <c r="L11" s="28" t="s">
        <v>25</v>
      </c>
      <c r="M11" s="29" t="str">
        <f t="shared" si="0"/>
        <v>✓ OK</v>
      </c>
      <c r="N11" s="43">
        <v>46193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 t="s">
        <v>1364</v>
      </c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 t="s">
        <v>25</v>
      </c>
      <c r="AA11" s="30" t="s">
        <v>26</v>
      </c>
      <c r="AB11" s="30" t="s">
        <v>24</v>
      </c>
      <c r="AC11" s="27" t="s">
        <v>1364</v>
      </c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 t="s">
        <v>25</v>
      </c>
      <c r="AJ11" s="33" t="s">
        <v>26</v>
      </c>
      <c r="AK11" s="33" t="s">
        <v>24</v>
      </c>
      <c r="AL11" s="27" t="s">
        <v>1364</v>
      </c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1365</v>
      </c>
      <c r="C12" s="41" t="s">
        <v>1366</v>
      </c>
      <c r="D12" s="39" t="s">
        <v>1348</v>
      </c>
      <c r="E12" s="43">
        <v>46126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 t="s">
        <v>1364</v>
      </c>
      <c r="L12" s="28" t="s">
        <v>25</v>
      </c>
      <c r="M12" s="29" t="str">
        <f t="shared" si="0"/>
        <v>✓ OK</v>
      </c>
      <c r="N12" s="43">
        <v>46193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 t="s">
        <v>1364</v>
      </c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 t="s">
        <v>1364</v>
      </c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 t="s">
        <v>1364</v>
      </c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1367</v>
      </c>
      <c r="C13" s="25" t="s">
        <v>1368</v>
      </c>
      <c r="D13" s="23" t="s">
        <v>1348</v>
      </c>
      <c r="E13" s="43">
        <v>46126</v>
      </c>
      <c r="F13" s="26" t="s">
        <v>23</v>
      </c>
      <c r="G13" s="44" t="s">
        <v>1352</v>
      </c>
      <c r="H13" s="26" t="s">
        <v>25</v>
      </c>
      <c r="I13" s="44" t="s">
        <v>1352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46193</v>
      </c>
      <c r="O13" s="26" t="s">
        <v>23</v>
      </c>
      <c r="P13" s="44" t="s">
        <v>1352</v>
      </c>
      <c r="Q13" s="26" t="s">
        <v>25</v>
      </c>
      <c r="R13" s="44" t="s">
        <v>1352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1352</v>
      </c>
      <c r="Z13" s="30" t="s">
        <v>25</v>
      </c>
      <c r="AA13" s="30" t="s">
        <v>1352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1352</v>
      </c>
      <c r="AI13" s="33" t="s">
        <v>25</v>
      </c>
      <c r="AJ13" s="33" t="s">
        <v>1352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1369</v>
      </c>
      <c r="C14" s="41" t="s">
        <v>1370</v>
      </c>
      <c r="D14" s="39" t="s">
        <v>1348</v>
      </c>
      <c r="E14" s="43">
        <v>46126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 t="s">
        <v>1371</v>
      </c>
      <c r="L14" s="28" t="s">
        <v>25</v>
      </c>
      <c r="M14" s="29" t="str">
        <f t="shared" si="0"/>
        <v>✓ OK</v>
      </c>
      <c r="N14" s="43">
        <v>46193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 t="s">
        <v>1371</v>
      </c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 t="s">
        <v>1371</v>
      </c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 t="s">
        <v>1371</v>
      </c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1372</v>
      </c>
      <c r="C15" s="25" t="s">
        <v>1373</v>
      </c>
      <c r="D15" s="23" t="s">
        <v>1348</v>
      </c>
      <c r="E15" s="43">
        <v>46126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 t="s">
        <v>1364</v>
      </c>
      <c r="L15" s="28" t="s">
        <v>25</v>
      </c>
      <c r="M15" s="29" t="str">
        <f t="shared" si="0"/>
        <v>✓ OK</v>
      </c>
      <c r="N15" s="43">
        <v>46193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 t="s">
        <v>1364</v>
      </c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 t="s">
        <v>1364</v>
      </c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 t="s">
        <v>1364</v>
      </c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1374</v>
      </c>
      <c r="C16" s="41" t="s">
        <v>1375</v>
      </c>
      <c r="D16" s="39" t="s">
        <v>1348</v>
      </c>
      <c r="E16" s="43">
        <v>46126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 t="s">
        <v>1376</v>
      </c>
      <c r="L16" s="28" t="s">
        <v>25</v>
      </c>
      <c r="M16" s="29" t="str">
        <f t="shared" si="0"/>
        <v>✓ OK</v>
      </c>
      <c r="N16" s="43">
        <v>46193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 t="s">
        <v>1376</v>
      </c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 t="s">
        <v>25</v>
      </c>
      <c r="AA16" s="30" t="s">
        <v>26</v>
      </c>
      <c r="AB16" s="30" t="s">
        <v>24</v>
      </c>
      <c r="AC16" s="27" t="s">
        <v>1376</v>
      </c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 t="s">
        <v>25</v>
      </c>
      <c r="AJ16" s="33" t="s">
        <v>26</v>
      </c>
      <c r="AK16" s="33" t="s">
        <v>24</v>
      </c>
      <c r="AL16" s="27" t="s">
        <v>1376</v>
      </c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1377</v>
      </c>
      <c r="C17" s="25" t="s">
        <v>1378</v>
      </c>
      <c r="D17" s="23" t="s">
        <v>1348</v>
      </c>
      <c r="E17" s="43">
        <v>46126</v>
      </c>
      <c r="F17" s="26" t="s">
        <v>23</v>
      </c>
      <c r="G17" s="44" t="s">
        <v>1352</v>
      </c>
      <c r="H17" s="26" t="s">
        <v>25</v>
      </c>
      <c r="I17" s="44" t="s">
        <v>1352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46193</v>
      </c>
      <c r="O17" s="26" t="s">
        <v>23</v>
      </c>
      <c r="P17" s="44" t="s">
        <v>1352</v>
      </c>
      <c r="Q17" s="26" t="s">
        <v>25</v>
      </c>
      <c r="R17" s="44" t="s">
        <v>1352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1352</v>
      </c>
      <c r="Z17" s="30" t="s">
        <v>25</v>
      </c>
      <c r="AA17" s="30" t="s">
        <v>1352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1352</v>
      </c>
      <c r="AI17" s="33" t="s">
        <v>25</v>
      </c>
      <c r="AJ17" s="33" t="s">
        <v>1352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1379</v>
      </c>
      <c r="C18" s="41" t="s">
        <v>1380</v>
      </c>
      <c r="D18" s="39" t="s">
        <v>1348</v>
      </c>
      <c r="E18" s="43">
        <v>46126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 t="s">
        <v>1364</v>
      </c>
      <c r="L18" s="28" t="s">
        <v>25</v>
      </c>
      <c r="M18" s="29" t="str">
        <f t="shared" si="0"/>
        <v>✓ OK</v>
      </c>
      <c r="N18" s="43">
        <v>46193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 t="s">
        <v>1364</v>
      </c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 t="s">
        <v>1364</v>
      </c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 t="s">
        <v>1364</v>
      </c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1381</v>
      </c>
      <c r="C19" s="25" t="s">
        <v>1382</v>
      </c>
      <c r="D19" s="23" t="s">
        <v>1348</v>
      </c>
      <c r="E19" s="43">
        <v>46126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 t="s">
        <v>1371</v>
      </c>
      <c r="L19" s="28" t="s">
        <v>25</v>
      </c>
      <c r="M19" s="29" t="str">
        <f t="shared" si="0"/>
        <v>✓ OK</v>
      </c>
      <c r="N19" s="43">
        <v>46193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 t="s">
        <v>1371</v>
      </c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 t="s">
        <v>1371</v>
      </c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 t="s">
        <v>1371</v>
      </c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1383</v>
      </c>
      <c r="C20" s="41" t="s">
        <v>1384</v>
      </c>
      <c r="D20" s="39" t="s">
        <v>1348</v>
      </c>
      <c r="E20" s="43">
        <v>46126</v>
      </c>
      <c r="F20" s="26" t="s">
        <v>23</v>
      </c>
      <c r="G20" s="44" t="s">
        <v>1352</v>
      </c>
      <c r="H20" s="26" t="s">
        <v>25</v>
      </c>
      <c r="I20" s="44" t="s">
        <v>1352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46193</v>
      </c>
      <c r="O20" s="26" t="s">
        <v>23</v>
      </c>
      <c r="P20" s="44" t="s">
        <v>1352</v>
      </c>
      <c r="Q20" s="26" t="s">
        <v>25</v>
      </c>
      <c r="R20" s="44" t="s">
        <v>1352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1352</v>
      </c>
      <c r="Z20" s="30" t="s">
        <v>25</v>
      </c>
      <c r="AA20" s="30" t="s">
        <v>1352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1352</v>
      </c>
      <c r="AI20" s="33" t="s">
        <v>25</v>
      </c>
      <c r="AJ20" s="33" t="s">
        <v>1352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1385</v>
      </c>
      <c r="C21" s="25" t="s">
        <v>1386</v>
      </c>
      <c r="D21" s="23" t="s">
        <v>1348</v>
      </c>
      <c r="E21" s="43">
        <v>46126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 t="s">
        <v>1387</v>
      </c>
      <c r="L21" s="28" t="s">
        <v>25</v>
      </c>
      <c r="M21" s="29" t="str">
        <f t="shared" si="0"/>
        <v>✓ OK</v>
      </c>
      <c r="N21" s="43">
        <v>46193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 t="s">
        <v>1387</v>
      </c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 t="s">
        <v>1387</v>
      </c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 t="s">
        <v>1387</v>
      </c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1388</v>
      </c>
      <c r="C22" s="41" t="s">
        <v>1389</v>
      </c>
      <c r="D22" s="39" t="s">
        <v>1348</v>
      </c>
      <c r="E22" s="43">
        <v>46126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 t="s">
        <v>1364</v>
      </c>
      <c r="L22" s="28" t="s">
        <v>25</v>
      </c>
      <c r="M22" s="29" t="str">
        <f t="shared" si="0"/>
        <v>✓ OK</v>
      </c>
      <c r="N22" s="43">
        <v>46193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 t="s">
        <v>1364</v>
      </c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24</v>
      </c>
      <c r="Z22" s="30" t="s">
        <v>25</v>
      </c>
      <c r="AA22" s="30" t="s">
        <v>26</v>
      </c>
      <c r="AB22" s="30" t="s">
        <v>24</v>
      </c>
      <c r="AC22" s="27" t="s">
        <v>1364</v>
      </c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24</v>
      </c>
      <c r="AI22" s="33" t="s">
        <v>25</v>
      </c>
      <c r="AJ22" s="33" t="s">
        <v>26</v>
      </c>
      <c r="AK22" s="33" t="s">
        <v>24</v>
      </c>
      <c r="AL22" s="27" t="s">
        <v>1364</v>
      </c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1390</v>
      </c>
      <c r="C23" s="25" t="s">
        <v>1391</v>
      </c>
      <c r="D23" s="23" t="s">
        <v>1348</v>
      </c>
      <c r="E23" s="43">
        <v>46126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 t="s">
        <v>1349</v>
      </c>
      <c r="L23" s="28" t="s">
        <v>25</v>
      </c>
      <c r="M23" s="29" t="str">
        <f t="shared" si="0"/>
        <v>✓ OK</v>
      </c>
      <c r="N23" s="43">
        <v>46193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 t="s">
        <v>1349</v>
      </c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 t="s">
        <v>1349</v>
      </c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 t="s">
        <v>1349</v>
      </c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1392</v>
      </c>
      <c r="C24" s="41" t="s">
        <v>1393</v>
      </c>
      <c r="D24" s="39" t="s">
        <v>1348</v>
      </c>
      <c r="E24" s="43">
        <v>46126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 t="s">
        <v>1394</v>
      </c>
      <c r="L24" s="28" t="s">
        <v>25</v>
      </c>
      <c r="M24" s="29" t="str">
        <f t="shared" si="0"/>
        <v>✓ OK</v>
      </c>
      <c r="N24" s="43">
        <v>46193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 t="s">
        <v>1394</v>
      </c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24</v>
      </c>
      <c r="Z24" s="30" t="s">
        <v>25</v>
      </c>
      <c r="AA24" s="30" t="s">
        <v>26</v>
      </c>
      <c r="AB24" s="30" t="s">
        <v>24</v>
      </c>
      <c r="AC24" s="27" t="s">
        <v>1394</v>
      </c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24</v>
      </c>
      <c r="AI24" s="33" t="s">
        <v>25</v>
      </c>
      <c r="AJ24" s="33" t="s">
        <v>26</v>
      </c>
      <c r="AK24" s="33" t="s">
        <v>24</v>
      </c>
      <c r="AL24" s="27" t="s">
        <v>1394</v>
      </c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1395</v>
      </c>
      <c r="C25" s="25" t="s">
        <v>1396</v>
      </c>
      <c r="D25" s="23" t="s">
        <v>1348</v>
      </c>
      <c r="E25" s="43">
        <v>46126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 t="s">
        <v>1364</v>
      </c>
      <c r="L25" s="28" t="s">
        <v>25</v>
      </c>
      <c r="M25" s="29" t="str">
        <f t="shared" si="0"/>
        <v>✓ OK</v>
      </c>
      <c r="N25" s="43">
        <v>46193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 t="s">
        <v>1364</v>
      </c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 t="s">
        <v>1364</v>
      </c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 t="s">
        <v>1364</v>
      </c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1397</v>
      </c>
      <c r="C26" s="41" t="s">
        <v>1398</v>
      </c>
      <c r="D26" s="39" t="s">
        <v>1348</v>
      </c>
      <c r="E26" s="43">
        <v>46126</v>
      </c>
      <c r="F26" s="26" t="s">
        <v>23</v>
      </c>
      <c r="G26" s="44" t="s">
        <v>1352</v>
      </c>
      <c r="H26" s="26" t="s">
        <v>25</v>
      </c>
      <c r="I26" s="44" t="s">
        <v>1352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46193</v>
      </c>
      <c r="O26" s="26" t="s">
        <v>23</v>
      </c>
      <c r="P26" s="44" t="s">
        <v>1352</v>
      </c>
      <c r="Q26" s="26" t="s">
        <v>25</v>
      </c>
      <c r="R26" s="44" t="s">
        <v>1352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1352</v>
      </c>
      <c r="Z26" s="30" t="s">
        <v>25</v>
      </c>
      <c r="AA26" s="30" t="s">
        <v>1352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1352</v>
      </c>
      <c r="AI26" s="33" t="s">
        <v>25</v>
      </c>
      <c r="AJ26" s="33" t="s">
        <v>1352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1399</v>
      </c>
      <c r="C27" s="25" t="s">
        <v>1400</v>
      </c>
      <c r="D27" s="23" t="s">
        <v>1348</v>
      </c>
      <c r="E27" s="43">
        <v>46126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 t="s">
        <v>1401</v>
      </c>
      <c r="L27" s="28" t="s">
        <v>25</v>
      </c>
      <c r="M27" s="29" t="str">
        <f t="shared" si="0"/>
        <v>✓ OK</v>
      </c>
      <c r="N27" s="43">
        <v>46193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 t="s">
        <v>1401</v>
      </c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 t="s">
        <v>1401</v>
      </c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 t="s">
        <v>1401</v>
      </c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1402</v>
      </c>
      <c r="C28" s="41" t="s">
        <v>1403</v>
      </c>
      <c r="D28" s="39" t="s">
        <v>1348</v>
      </c>
      <c r="E28" s="43">
        <v>46126</v>
      </c>
      <c r="F28" s="26" t="s">
        <v>23</v>
      </c>
      <c r="G28" s="44" t="s">
        <v>1352</v>
      </c>
      <c r="H28" s="26" t="s">
        <v>25</v>
      </c>
      <c r="I28" s="44" t="s">
        <v>1352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46193</v>
      </c>
      <c r="O28" s="26" t="s">
        <v>23</v>
      </c>
      <c r="P28" s="44" t="s">
        <v>1352</v>
      </c>
      <c r="Q28" s="26" t="s">
        <v>25</v>
      </c>
      <c r="R28" s="44" t="s">
        <v>1352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1352</v>
      </c>
      <c r="Z28" s="30" t="s">
        <v>25</v>
      </c>
      <c r="AA28" s="30" t="s">
        <v>1352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1352</v>
      </c>
      <c r="AI28" s="33" t="s">
        <v>25</v>
      </c>
      <c r="AJ28" s="33" t="s">
        <v>1352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1404</v>
      </c>
      <c r="C29" s="25" t="s">
        <v>1405</v>
      </c>
      <c r="D29" s="23" t="s">
        <v>1348</v>
      </c>
      <c r="E29" s="43">
        <v>46126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 t="s">
        <v>1387</v>
      </c>
      <c r="L29" s="28" t="s">
        <v>25</v>
      </c>
      <c r="M29" s="29" t="str">
        <f t="shared" si="0"/>
        <v>✓ OK</v>
      </c>
      <c r="N29" s="43">
        <v>46193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 t="s">
        <v>1387</v>
      </c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 t="s">
        <v>1387</v>
      </c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 t="s">
        <v>1387</v>
      </c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1406</v>
      </c>
      <c r="C30" s="41" t="s">
        <v>1407</v>
      </c>
      <c r="D30" s="39" t="s">
        <v>1348</v>
      </c>
      <c r="E30" s="43">
        <v>46126</v>
      </c>
      <c r="F30" s="26" t="s">
        <v>23</v>
      </c>
      <c r="G30" s="44" t="s">
        <v>1352</v>
      </c>
      <c r="H30" s="26" t="s">
        <v>25</v>
      </c>
      <c r="I30" s="44" t="s">
        <v>1352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46193</v>
      </c>
      <c r="O30" s="26" t="s">
        <v>23</v>
      </c>
      <c r="P30" s="44" t="s">
        <v>1352</v>
      </c>
      <c r="Q30" s="26" t="s">
        <v>25</v>
      </c>
      <c r="R30" s="44" t="s">
        <v>1352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1352</v>
      </c>
      <c r="Z30" s="30" t="s">
        <v>25</v>
      </c>
      <c r="AA30" s="30" t="s">
        <v>1352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1352</v>
      </c>
      <c r="AI30" s="33" t="s">
        <v>25</v>
      </c>
      <c r="AJ30" s="33" t="s">
        <v>1352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1408</v>
      </c>
      <c r="C31" s="25" t="s">
        <v>1409</v>
      </c>
      <c r="D31" s="23" t="s">
        <v>1410</v>
      </c>
      <c r="E31" s="43">
        <v>46125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46193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24</v>
      </c>
      <c r="AI31" s="33" t="s">
        <v>25</v>
      </c>
      <c r="AJ31" s="33" t="s">
        <v>26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1411</v>
      </c>
      <c r="C32" s="41" t="s">
        <v>1412</v>
      </c>
      <c r="D32" s="39" t="s">
        <v>1410</v>
      </c>
      <c r="E32" s="43">
        <v>46125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46193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24</v>
      </c>
      <c r="Z32" s="30" t="s">
        <v>25</v>
      </c>
      <c r="AA32" s="30" t="s">
        <v>26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24</v>
      </c>
      <c r="AI32" s="33" t="s">
        <v>25</v>
      </c>
      <c r="AJ32" s="33" t="s">
        <v>26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1413</v>
      </c>
      <c r="C33" s="25" t="s">
        <v>1414</v>
      </c>
      <c r="D33" s="23" t="s">
        <v>1410</v>
      </c>
      <c r="E33" s="43">
        <v>46125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46193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24</v>
      </c>
      <c r="Z33" s="30" t="s">
        <v>25</v>
      </c>
      <c r="AA33" s="30" t="s">
        <v>26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24</v>
      </c>
      <c r="AI33" s="33" t="s">
        <v>25</v>
      </c>
      <c r="AJ33" s="33" t="s">
        <v>26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1415</v>
      </c>
      <c r="C34" s="41" t="s">
        <v>1416</v>
      </c>
      <c r="D34" s="39" t="s">
        <v>1410</v>
      </c>
      <c r="E34" s="43">
        <v>46125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46193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24</v>
      </c>
      <c r="Z34" s="30" t="s">
        <v>25</v>
      </c>
      <c r="AA34" s="30" t="s">
        <v>26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24</v>
      </c>
      <c r="AI34" s="33" t="s">
        <v>25</v>
      </c>
      <c r="AJ34" s="33" t="s">
        <v>26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1417</v>
      </c>
      <c r="C35" s="25" t="s">
        <v>1418</v>
      </c>
      <c r="D35" s="23" t="s">
        <v>1410</v>
      </c>
      <c r="E35" s="43">
        <v>46125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46193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24</v>
      </c>
      <c r="Z35" s="30" t="s">
        <v>25</v>
      </c>
      <c r="AA35" s="30" t="s">
        <v>26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24</v>
      </c>
      <c r="AI35" s="33" t="s">
        <v>25</v>
      </c>
      <c r="AJ35" s="33" t="s">
        <v>26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1419</v>
      </c>
      <c r="C36" s="41" t="s">
        <v>1420</v>
      </c>
      <c r="D36" s="39" t="s">
        <v>1410</v>
      </c>
      <c r="E36" s="43">
        <v>46125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46193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24</v>
      </c>
      <c r="Z36" s="30" t="s">
        <v>25</v>
      </c>
      <c r="AA36" s="30" t="s">
        <v>26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24</v>
      </c>
      <c r="AI36" s="33" t="s">
        <v>25</v>
      </c>
      <c r="AJ36" s="33" t="s">
        <v>26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1421</v>
      </c>
      <c r="C37" s="25" t="s">
        <v>1422</v>
      </c>
      <c r="D37" s="23" t="s">
        <v>1410</v>
      </c>
      <c r="E37" s="43">
        <v>46125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ref="M37:M68" si="5">IF(E37="","",IF(H37="Yes","❌ Disc",IF(G37="No","⚠ Missing",IF(J37="Yes","✓ OK","⚠ Check"))))</f>
        <v>✓ OK</v>
      </c>
      <c r="N37" s="43">
        <v>46193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ref="V37:V68" si="6">IF(N37="","",IF(Q37="Yes","❌ Disc",IF(P37="No","⚠ Missing",IF(S37="Yes","✓ OK","⚠ Check"))))</f>
        <v>✓ OK</v>
      </c>
      <c r="W37" s="45">
        <v>46248</v>
      </c>
      <c r="X37" s="30" t="s">
        <v>23</v>
      </c>
      <c r="Y37" s="30" t="s">
        <v>24</v>
      </c>
      <c r="Z37" s="30" t="s">
        <v>25</v>
      </c>
      <c r="AA37" s="30" t="s">
        <v>26</v>
      </c>
      <c r="AB37" s="30" t="s">
        <v>24</v>
      </c>
      <c r="AC37" s="27"/>
      <c r="AD37" s="31" t="s">
        <v>25</v>
      </c>
      <c r="AE37" s="32" t="str">
        <f t="shared" ref="AE37:AE68" si="7">IF(W37="","",IF(Z37="Yes","❌ Disc",IF(Y37="No","⚠ Missing",IF(AB37="Yes","✓ OK","⚠ Check"))))</f>
        <v>✓ OK</v>
      </c>
      <c r="AF37" s="33" t="s">
        <v>27</v>
      </c>
      <c r="AG37" s="33" t="s">
        <v>23</v>
      </c>
      <c r="AH37" s="33" t="s">
        <v>24</v>
      </c>
      <c r="AI37" s="33" t="s">
        <v>25</v>
      </c>
      <c r="AJ37" s="33" t="s">
        <v>26</v>
      </c>
      <c r="AK37" s="33" t="s">
        <v>24</v>
      </c>
      <c r="AL37" s="27"/>
      <c r="AM37" s="34" t="s">
        <v>25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1423</v>
      </c>
      <c r="C38" s="41" t="s">
        <v>1424</v>
      </c>
      <c r="D38" s="39" t="s">
        <v>1410</v>
      </c>
      <c r="E38" s="43">
        <v>46125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43">
        <v>46193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7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1425</v>
      </c>
      <c r="C39" s="25" t="s">
        <v>1426</v>
      </c>
      <c r="D39" s="23" t="s">
        <v>1410</v>
      </c>
      <c r="E39" s="43">
        <v>46125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5"/>
        <v>✓ OK</v>
      </c>
      <c r="N39" s="43">
        <v>46193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6"/>
        <v>✓ OK</v>
      </c>
      <c r="W39" s="45">
        <v>46248</v>
      </c>
      <c r="X39" s="30" t="s">
        <v>23</v>
      </c>
      <c r="Y39" s="30" t="s">
        <v>24</v>
      </c>
      <c r="Z39" s="30" t="s">
        <v>25</v>
      </c>
      <c r="AA39" s="30" t="s">
        <v>26</v>
      </c>
      <c r="AB39" s="30" t="s">
        <v>24</v>
      </c>
      <c r="AC39" s="27"/>
      <c r="AD39" s="31" t="s">
        <v>25</v>
      </c>
      <c r="AE39" s="32" t="str">
        <f t="shared" si="7"/>
        <v>✓ OK</v>
      </c>
      <c r="AF39" s="33" t="s">
        <v>27</v>
      </c>
      <c r="AG39" s="33" t="s">
        <v>23</v>
      </c>
      <c r="AH39" s="33" t="s">
        <v>24</v>
      </c>
      <c r="AI39" s="33" t="s">
        <v>25</v>
      </c>
      <c r="AJ39" s="33" t="s">
        <v>26</v>
      </c>
      <c r="AK39" s="33" t="s">
        <v>24</v>
      </c>
      <c r="AL39" s="27"/>
      <c r="AM39" s="34" t="s">
        <v>25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1427</v>
      </c>
      <c r="C40" s="41" t="s">
        <v>1428</v>
      </c>
      <c r="D40" s="39" t="s">
        <v>1410</v>
      </c>
      <c r="E40" s="43">
        <v>46125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5"/>
        <v>✓ OK</v>
      </c>
      <c r="N40" s="43">
        <v>46193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6"/>
        <v>✓ OK</v>
      </c>
      <c r="W40" s="45">
        <v>46248</v>
      </c>
      <c r="X40" s="30" t="s">
        <v>23</v>
      </c>
      <c r="Y40" s="30" t="s">
        <v>24</v>
      </c>
      <c r="Z40" s="30" t="s">
        <v>25</v>
      </c>
      <c r="AA40" s="30" t="s">
        <v>26</v>
      </c>
      <c r="AB40" s="30" t="s">
        <v>24</v>
      </c>
      <c r="AC40" s="27"/>
      <c r="AD40" s="31" t="s">
        <v>25</v>
      </c>
      <c r="AE40" s="32" t="str">
        <f t="shared" si="7"/>
        <v>✓ OK</v>
      </c>
      <c r="AF40" s="33" t="s">
        <v>27</v>
      </c>
      <c r="AG40" s="33" t="s">
        <v>23</v>
      </c>
      <c r="AH40" s="33" t="s">
        <v>24</v>
      </c>
      <c r="AI40" s="33" t="s">
        <v>25</v>
      </c>
      <c r="AJ40" s="33" t="s">
        <v>26</v>
      </c>
      <c r="AK40" s="33" t="s">
        <v>24</v>
      </c>
      <c r="AL40" s="27"/>
      <c r="AM40" s="34" t="s">
        <v>25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1429</v>
      </c>
      <c r="C41" s="25" t="s">
        <v>1430</v>
      </c>
      <c r="D41" s="23" t="s">
        <v>1410</v>
      </c>
      <c r="E41" s="43">
        <v>46125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5"/>
        <v>✓ OK</v>
      </c>
      <c r="N41" s="43">
        <v>46193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6"/>
        <v>✓ OK</v>
      </c>
      <c r="W41" s="45">
        <v>46248</v>
      </c>
      <c r="X41" s="30" t="s">
        <v>23</v>
      </c>
      <c r="Y41" s="30" t="s">
        <v>24</v>
      </c>
      <c r="Z41" s="30" t="s">
        <v>25</v>
      </c>
      <c r="AA41" s="30" t="s">
        <v>26</v>
      </c>
      <c r="AB41" s="30" t="s">
        <v>24</v>
      </c>
      <c r="AC41" s="27"/>
      <c r="AD41" s="31" t="s">
        <v>25</v>
      </c>
      <c r="AE41" s="32" t="str">
        <f t="shared" si="7"/>
        <v>✓ OK</v>
      </c>
      <c r="AF41" s="33" t="s">
        <v>27</v>
      </c>
      <c r="AG41" s="33" t="s">
        <v>23</v>
      </c>
      <c r="AH41" s="33" t="s">
        <v>24</v>
      </c>
      <c r="AI41" s="33" t="s">
        <v>25</v>
      </c>
      <c r="AJ41" s="33" t="s">
        <v>26</v>
      </c>
      <c r="AK41" s="33" t="s">
        <v>24</v>
      </c>
      <c r="AL41" s="27"/>
      <c r="AM41" s="34" t="s">
        <v>25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1431</v>
      </c>
      <c r="C42" s="41" t="s">
        <v>1432</v>
      </c>
      <c r="D42" s="39" t="s">
        <v>1410</v>
      </c>
      <c r="E42" s="43">
        <v>46125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5"/>
        <v>✓ OK</v>
      </c>
      <c r="N42" s="43">
        <v>46193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6"/>
        <v>✓ OK</v>
      </c>
      <c r="W42" s="45">
        <v>46248</v>
      </c>
      <c r="X42" s="30" t="s">
        <v>23</v>
      </c>
      <c r="Y42" s="30" t="s">
        <v>24</v>
      </c>
      <c r="Z42" s="30" t="s">
        <v>25</v>
      </c>
      <c r="AA42" s="30" t="s">
        <v>26</v>
      </c>
      <c r="AB42" s="30" t="s">
        <v>24</v>
      </c>
      <c r="AC42" s="27"/>
      <c r="AD42" s="31" t="s">
        <v>25</v>
      </c>
      <c r="AE42" s="32" t="str">
        <f t="shared" si="7"/>
        <v>✓ OK</v>
      </c>
      <c r="AF42" s="33" t="s">
        <v>27</v>
      </c>
      <c r="AG42" s="33" t="s">
        <v>23</v>
      </c>
      <c r="AH42" s="33" t="s">
        <v>24</v>
      </c>
      <c r="AI42" s="33" t="s">
        <v>25</v>
      </c>
      <c r="AJ42" s="33" t="s">
        <v>26</v>
      </c>
      <c r="AK42" s="33" t="s">
        <v>24</v>
      </c>
      <c r="AL42" s="27"/>
      <c r="AM42" s="34" t="s">
        <v>25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1433</v>
      </c>
      <c r="C43" s="25" t="s">
        <v>1434</v>
      </c>
      <c r="D43" s="23" t="s">
        <v>1410</v>
      </c>
      <c r="E43" s="43">
        <v>46125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5"/>
        <v>✓ OK</v>
      </c>
      <c r="N43" s="43">
        <v>46193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6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7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1435</v>
      </c>
      <c r="C44" s="41" t="s">
        <v>1436</v>
      </c>
      <c r="D44" s="39" t="s">
        <v>1410</v>
      </c>
      <c r="E44" s="43">
        <v>46125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5"/>
        <v>✓ OK</v>
      </c>
      <c r="N44" s="43">
        <v>46193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6"/>
        <v>✓ OK</v>
      </c>
      <c r="W44" s="45">
        <v>46248</v>
      </c>
      <c r="X44" s="30" t="s">
        <v>23</v>
      </c>
      <c r="Y44" s="30" t="s">
        <v>24</v>
      </c>
      <c r="Z44" s="30" t="s">
        <v>25</v>
      </c>
      <c r="AA44" s="30" t="s">
        <v>26</v>
      </c>
      <c r="AB44" s="30" t="s">
        <v>24</v>
      </c>
      <c r="AC44" s="27"/>
      <c r="AD44" s="31" t="s">
        <v>25</v>
      </c>
      <c r="AE44" s="32" t="str">
        <f t="shared" si="7"/>
        <v>✓ OK</v>
      </c>
      <c r="AF44" s="33" t="s">
        <v>27</v>
      </c>
      <c r="AG44" s="33" t="s">
        <v>23</v>
      </c>
      <c r="AH44" s="33" t="s">
        <v>24</v>
      </c>
      <c r="AI44" s="33" t="s">
        <v>25</v>
      </c>
      <c r="AJ44" s="33" t="s">
        <v>26</v>
      </c>
      <c r="AK44" s="33" t="s">
        <v>24</v>
      </c>
      <c r="AL44" s="27"/>
      <c r="AM44" s="34" t="s">
        <v>25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1437</v>
      </c>
      <c r="C45" s="25" t="s">
        <v>1438</v>
      </c>
      <c r="D45" s="23" t="s">
        <v>1410</v>
      </c>
      <c r="E45" s="43">
        <v>46125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5"/>
        <v>✓ OK</v>
      </c>
      <c r="N45" s="43">
        <v>46193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6"/>
        <v>✓ OK</v>
      </c>
      <c r="W45" s="45">
        <v>46248</v>
      </c>
      <c r="X45" s="30" t="s">
        <v>23</v>
      </c>
      <c r="Y45" s="30" t="s">
        <v>24</v>
      </c>
      <c r="Z45" s="30" t="s">
        <v>25</v>
      </c>
      <c r="AA45" s="30" t="s">
        <v>26</v>
      </c>
      <c r="AB45" s="30" t="s">
        <v>24</v>
      </c>
      <c r="AC45" s="27"/>
      <c r="AD45" s="31" t="s">
        <v>25</v>
      </c>
      <c r="AE45" s="32" t="str">
        <f t="shared" si="7"/>
        <v>✓ OK</v>
      </c>
      <c r="AF45" s="33" t="s">
        <v>27</v>
      </c>
      <c r="AG45" s="33" t="s">
        <v>23</v>
      </c>
      <c r="AH45" s="33" t="s">
        <v>24</v>
      </c>
      <c r="AI45" s="33" t="s">
        <v>25</v>
      </c>
      <c r="AJ45" s="33" t="s">
        <v>26</v>
      </c>
      <c r="AK45" s="33" t="s">
        <v>24</v>
      </c>
      <c r="AL45" s="27"/>
      <c r="AM45" s="34" t="s">
        <v>25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1439</v>
      </c>
      <c r="C46" s="41" t="s">
        <v>1440</v>
      </c>
      <c r="D46" s="39" t="s">
        <v>1410</v>
      </c>
      <c r="E46" s="43">
        <v>46125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5"/>
        <v>✓ OK</v>
      </c>
      <c r="N46" s="43">
        <v>46193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6"/>
        <v>✓ OK</v>
      </c>
      <c r="W46" s="45">
        <v>46248</v>
      </c>
      <c r="X46" s="30" t="s">
        <v>23</v>
      </c>
      <c r="Y46" s="30" t="s">
        <v>24</v>
      </c>
      <c r="Z46" s="30" t="s">
        <v>25</v>
      </c>
      <c r="AA46" s="30" t="s">
        <v>26</v>
      </c>
      <c r="AB46" s="30" t="s">
        <v>24</v>
      </c>
      <c r="AC46" s="27"/>
      <c r="AD46" s="31" t="s">
        <v>25</v>
      </c>
      <c r="AE46" s="32" t="str">
        <f t="shared" si="7"/>
        <v>✓ OK</v>
      </c>
      <c r="AF46" s="33" t="s">
        <v>27</v>
      </c>
      <c r="AG46" s="33" t="s">
        <v>23</v>
      </c>
      <c r="AH46" s="33" t="s">
        <v>24</v>
      </c>
      <c r="AI46" s="33" t="s">
        <v>25</v>
      </c>
      <c r="AJ46" s="33" t="s">
        <v>26</v>
      </c>
      <c r="AK46" s="33" t="s">
        <v>24</v>
      </c>
      <c r="AL46" s="27"/>
      <c r="AM46" s="34" t="s">
        <v>25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1441</v>
      </c>
      <c r="C47" s="25" t="s">
        <v>1442</v>
      </c>
      <c r="D47" s="23" t="s">
        <v>1410</v>
      </c>
      <c r="E47" s="43">
        <v>46125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5"/>
        <v>✓ OK</v>
      </c>
      <c r="N47" s="43">
        <v>46193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6"/>
        <v>✓ OK</v>
      </c>
      <c r="W47" s="45">
        <v>46248</v>
      </c>
      <c r="X47" s="30" t="s">
        <v>23</v>
      </c>
      <c r="Y47" s="30" t="s">
        <v>24</v>
      </c>
      <c r="Z47" s="30" t="s">
        <v>25</v>
      </c>
      <c r="AA47" s="30" t="s">
        <v>26</v>
      </c>
      <c r="AB47" s="30" t="s">
        <v>24</v>
      </c>
      <c r="AC47" s="27"/>
      <c r="AD47" s="31" t="s">
        <v>25</v>
      </c>
      <c r="AE47" s="32" t="str">
        <f t="shared" si="7"/>
        <v>✓ OK</v>
      </c>
      <c r="AF47" s="33" t="s">
        <v>27</v>
      </c>
      <c r="AG47" s="33" t="s">
        <v>23</v>
      </c>
      <c r="AH47" s="33" t="s">
        <v>24</v>
      </c>
      <c r="AI47" s="33" t="s">
        <v>25</v>
      </c>
      <c r="AJ47" s="33" t="s">
        <v>26</v>
      </c>
      <c r="AK47" s="33" t="s">
        <v>24</v>
      </c>
      <c r="AL47" s="27"/>
      <c r="AM47" s="34" t="s">
        <v>25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1443</v>
      </c>
      <c r="C48" s="41" t="s">
        <v>1444</v>
      </c>
      <c r="D48" s="39" t="s">
        <v>1410</v>
      </c>
      <c r="E48" s="43">
        <v>46125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5"/>
        <v>✓ OK</v>
      </c>
      <c r="N48" s="43">
        <v>46193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6"/>
        <v>✓ OK</v>
      </c>
      <c r="W48" s="45">
        <v>46248</v>
      </c>
      <c r="X48" s="30" t="s">
        <v>23</v>
      </c>
      <c r="Y48" s="30" t="s">
        <v>24</v>
      </c>
      <c r="Z48" s="30" t="s">
        <v>25</v>
      </c>
      <c r="AA48" s="30" t="s">
        <v>26</v>
      </c>
      <c r="AB48" s="30" t="s">
        <v>24</v>
      </c>
      <c r="AC48" s="27"/>
      <c r="AD48" s="31" t="s">
        <v>25</v>
      </c>
      <c r="AE48" s="32" t="str">
        <f t="shared" si="7"/>
        <v>✓ OK</v>
      </c>
      <c r="AF48" s="33" t="s">
        <v>27</v>
      </c>
      <c r="AG48" s="33" t="s">
        <v>23</v>
      </c>
      <c r="AH48" s="33" t="s">
        <v>24</v>
      </c>
      <c r="AI48" s="33" t="s">
        <v>25</v>
      </c>
      <c r="AJ48" s="33" t="s">
        <v>26</v>
      </c>
      <c r="AK48" s="33" t="s">
        <v>24</v>
      </c>
      <c r="AL48" s="27"/>
      <c r="AM48" s="34" t="s">
        <v>25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1445</v>
      </c>
      <c r="C49" s="25" t="s">
        <v>1446</v>
      </c>
      <c r="D49" s="23" t="s">
        <v>1410</v>
      </c>
      <c r="E49" s="43">
        <v>46125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5"/>
        <v>✓ OK</v>
      </c>
      <c r="N49" s="43">
        <v>46193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6"/>
        <v>✓ OK</v>
      </c>
      <c r="W49" s="45">
        <v>46248</v>
      </c>
      <c r="X49" s="30" t="s">
        <v>23</v>
      </c>
      <c r="Y49" s="30" t="s">
        <v>24</v>
      </c>
      <c r="Z49" s="30" t="s">
        <v>25</v>
      </c>
      <c r="AA49" s="30" t="s">
        <v>26</v>
      </c>
      <c r="AB49" s="30" t="s">
        <v>24</v>
      </c>
      <c r="AC49" s="27"/>
      <c r="AD49" s="31" t="s">
        <v>25</v>
      </c>
      <c r="AE49" s="32" t="str">
        <f t="shared" si="7"/>
        <v>✓ OK</v>
      </c>
      <c r="AF49" s="33" t="s">
        <v>27</v>
      </c>
      <c r="AG49" s="33" t="s">
        <v>23</v>
      </c>
      <c r="AH49" s="33" t="s">
        <v>24</v>
      </c>
      <c r="AI49" s="33" t="s">
        <v>25</v>
      </c>
      <c r="AJ49" s="33" t="s">
        <v>26</v>
      </c>
      <c r="AK49" s="33" t="s">
        <v>24</v>
      </c>
      <c r="AL49" s="27"/>
      <c r="AM49" s="34" t="s">
        <v>25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1447</v>
      </c>
      <c r="C50" s="41" t="s">
        <v>1448</v>
      </c>
      <c r="D50" s="39" t="s">
        <v>1410</v>
      </c>
      <c r="E50" s="43">
        <v>46125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5"/>
        <v>✓ OK</v>
      </c>
      <c r="N50" s="43">
        <v>46193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6"/>
        <v>✓ OK</v>
      </c>
      <c r="W50" s="45">
        <v>46248</v>
      </c>
      <c r="X50" s="30" t="s">
        <v>23</v>
      </c>
      <c r="Y50" s="30" t="s">
        <v>24</v>
      </c>
      <c r="Z50" s="30" t="s">
        <v>25</v>
      </c>
      <c r="AA50" s="30" t="s">
        <v>26</v>
      </c>
      <c r="AB50" s="30" t="s">
        <v>24</v>
      </c>
      <c r="AC50" s="27"/>
      <c r="AD50" s="31" t="s">
        <v>25</v>
      </c>
      <c r="AE50" s="32" t="str">
        <f t="shared" si="7"/>
        <v>✓ OK</v>
      </c>
      <c r="AF50" s="33" t="s">
        <v>27</v>
      </c>
      <c r="AG50" s="33" t="s">
        <v>23</v>
      </c>
      <c r="AH50" s="33" t="s">
        <v>24</v>
      </c>
      <c r="AI50" s="33" t="s">
        <v>25</v>
      </c>
      <c r="AJ50" s="33" t="s">
        <v>26</v>
      </c>
      <c r="AK50" s="33" t="s">
        <v>24</v>
      </c>
      <c r="AL50" s="27"/>
      <c r="AM50" s="34" t="s">
        <v>25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1449</v>
      </c>
      <c r="C51" s="25" t="s">
        <v>1450</v>
      </c>
      <c r="D51" s="23" t="s">
        <v>1410</v>
      </c>
      <c r="E51" s="43">
        <v>46125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5"/>
        <v>✓ OK</v>
      </c>
      <c r="N51" s="43">
        <v>46193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6"/>
        <v>✓ OK</v>
      </c>
      <c r="W51" s="45">
        <v>46248</v>
      </c>
      <c r="X51" s="30" t="s">
        <v>23</v>
      </c>
      <c r="Y51" s="30" t="s">
        <v>24</v>
      </c>
      <c r="Z51" s="30" t="s">
        <v>25</v>
      </c>
      <c r="AA51" s="30" t="s">
        <v>26</v>
      </c>
      <c r="AB51" s="30" t="s">
        <v>24</v>
      </c>
      <c r="AC51" s="27"/>
      <c r="AD51" s="31" t="s">
        <v>25</v>
      </c>
      <c r="AE51" s="32" t="str">
        <f t="shared" si="7"/>
        <v>✓ OK</v>
      </c>
      <c r="AF51" s="33" t="s">
        <v>27</v>
      </c>
      <c r="AG51" s="33" t="s">
        <v>23</v>
      </c>
      <c r="AH51" s="33" t="s">
        <v>24</v>
      </c>
      <c r="AI51" s="33" t="s">
        <v>25</v>
      </c>
      <c r="AJ51" s="33" t="s">
        <v>26</v>
      </c>
      <c r="AK51" s="33" t="s">
        <v>24</v>
      </c>
      <c r="AL51" s="27"/>
      <c r="AM51" s="34" t="s">
        <v>25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1451</v>
      </c>
      <c r="C52" s="41" t="s">
        <v>1452</v>
      </c>
      <c r="D52" s="39" t="s">
        <v>1410</v>
      </c>
      <c r="E52" s="43">
        <v>46125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5"/>
        <v>✓ OK</v>
      </c>
      <c r="N52" s="43">
        <v>46193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6"/>
        <v>✓ OK</v>
      </c>
      <c r="W52" s="45">
        <v>46248</v>
      </c>
      <c r="X52" s="30" t="s">
        <v>23</v>
      </c>
      <c r="Y52" s="30" t="s">
        <v>24</v>
      </c>
      <c r="Z52" s="30" t="s">
        <v>25</v>
      </c>
      <c r="AA52" s="30" t="s">
        <v>26</v>
      </c>
      <c r="AB52" s="30" t="s">
        <v>24</v>
      </c>
      <c r="AC52" s="27"/>
      <c r="AD52" s="31" t="s">
        <v>25</v>
      </c>
      <c r="AE52" s="32" t="str">
        <f t="shared" si="7"/>
        <v>✓ OK</v>
      </c>
      <c r="AF52" s="33" t="s">
        <v>27</v>
      </c>
      <c r="AG52" s="33" t="s">
        <v>23</v>
      </c>
      <c r="AH52" s="33" t="s">
        <v>24</v>
      </c>
      <c r="AI52" s="33" t="s">
        <v>25</v>
      </c>
      <c r="AJ52" s="33" t="s">
        <v>26</v>
      </c>
      <c r="AK52" s="33" t="s">
        <v>24</v>
      </c>
      <c r="AL52" s="27"/>
      <c r="AM52" s="34" t="s">
        <v>25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1453</v>
      </c>
      <c r="C53" s="25" t="s">
        <v>1454</v>
      </c>
      <c r="D53" s="23" t="s">
        <v>1410</v>
      </c>
      <c r="E53" s="43">
        <v>46125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5"/>
        <v>✓ OK</v>
      </c>
      <c r="N53" s="43">
        <v>46193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6"/>
        <v>✓ OK</v>
      </c>
      <c r="W53" s="45">
        <v>46248</v>
      </c>
      <c r="X53" s="30" t="s">
        <v>23</v>
      </c>
      <c r="Y53" s="30" t="s">
        <v>24</v>
      </c>
      <c r="Z53" s="30" t="s">
        <v>25</v>
      </c>
      <c r="AA53" s="30" t="s">
        <v>26</v>
      </c>
      <c r="AB53" s="30" t="s">
        <v>24</v>
      </c>
      <c r="AC53" s="27"/>
      <c r="AD53" s="31" t="s">
        <v>25</v>
      </c>
      <c r="AE53" s="32" t="str">
        <f t="shared" si="7"/>
        <v>✓ OK</v>
      </c>
      <c r="AF53" s="33" t="s">
        <v>27</v>
      </c>
      <c r="AG53" s="33" t="s">
        <v>23</v>
      </c>
      <c r="AH53" s="33" t="s">
        <v>24</v>
      </c>
      <c r="AI53" s="33" t="s">
        <v>25</v>
      </c>
      <c r="AJ53" s="33" t="s">
        <v>26</v>
      </c>
      <c r="AK53" s="33" t="s">
        <v>24</v>
      </c>
      <c r="AL53" s="27"/>
      <c r="AM53" s="34" t="s">
        <v>25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1455</v>
      </c>
      <c r="C54" s="41" t="s">
        <v>1456</v>
      </c>
      <c r="D54" s="39" t="s">
        <v>1410</v>
      </c>
      <c r="E54" s="43">
        <v>46125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5"/>
        <v>✓ OK</v>
      </c>
      <c r="N54" s="43">
        <v>46193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6"/>
        <v>✓ OK</v>
      </c>
      <c r="W54" s="45">
        <v>46248</v>
      </c>
      <c r="X54" s="30" t="s">
        <v>23</v>
      </c>
      <c r="Y54" s="30" t="s">
        <v>24</v>
      </c>
      <c r="Z54" s="30" t="s">
        <v>25</v>
      </c>
      <c r="AA54" s="30" t="s">
        <v>26</v>
      </c>
      <c r="AB54" s="30" t="s">
        <v>24</v>
      </c>
      <c r="AC54" s="27"/>
      <c r="AD54" s="31" t="s">
        <v>25</v>
      </c>
      <c r="AE54" s="32" t="str">
        <f t="shared" si="7"/>
        <v>✓ OK</v>
      </c>
      <c r="AF54" s="33" t="s">
        <v>27</v>
      </c>
      <c r="AG54" s="33" t="s">
        <v>23</v>
      </c>
      <c r="AH54" s="33" t="s">
        <v>24</v>
      </c>
      <c r="AI54" s="33" t="s">
        <v>25</v>
      </c>
      <c r="AJ54" s="33" t="s">
        <v>26</v>
      </c>
      <c r="AK54" s="33" t="s">
        <v>24</v>
      </c>
      <c r="AL54" s="27"/>
      <c r="AM54" s="34" t="s">
        <v>25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1457</v>
      </c>
      <c r="C55" s="25" t="s">
        <v>1457</v>
      </c>
      <c r="D55" s="23" t="s">
        <v>1410</v>
      </c>
      <c r="E55" s="43">
        <v>46125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5"/>
        <v>✓ OK</v>
      </c>
      <c r="N55" s="43">
        <v>46193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6"/>
        <v>✓ OK</v>
      </c>
      <c r="W55" s="45">
        <v>46248</v>
      </c>
      <c r="X55" s="30" t="s">
        <v>23</v>
      </c>
      <c r="Y55" s="30" t="s">
        <v>24</v>
      </c>
      <c r="Z55" s="30" t="s">
        <v>25</v>
      </c>
      <c r="AA55" s="30" t="s">
        <v>26</v>
      </c>
      <c r="AB55" s="30" t="s">
        <v>24</v>
      </c>
      <c r="AC55" s="27"/>
      <c r="AD55" s="31" t="s">
        <v>25</v>
      </c>
      <c r="AE55" s="32" t="str">
        <f t="shared" si="7"/>
        <v>✓ OK</v>
      </c>
      <c r="AF55" s="33" t="s">
        <v>27</v>
      </c>
      <c r="AG55" s="33" t="s">
        <v>23</v>
      </c>
      <c r="AH55" s="33" t="s">
        <v>24</v>
      </c>
      <c r="AI55" s="33" t="s">
        <v>25</v>
      </c>
      <c r="AJ55" s="33" t="s">
        <v>26</v>
      </c>
      <c r="AK55" s="33" t="s">
        <v>24</v>
      </c>
      <c r="AL55" s="27"/>
      <c r="AM55" s="34" t="s">
        <v>25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1458</v>
      </c>
      <c r="C56" s="41" t="s">
        <v>1459</v>
      </c>
      <c r="D56" s="39" t="s">
        <v>1410</v>
      </c>
      <c r="E56" s="43">
        <v>46125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5"/>
        <v>✓ OK</v>
      </c>
      <c r="N56" s="43">
        <v>46193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6"/>
        <v>✓ OK</v>
      </c>
      <c r="W56" s="45">
        <v>46248</v>
      </c>
      <c r="X56" s="30" t="s">
        <v>23</v>
      </c>
      <c r="Y56" s="30" t="s">
        <v>24</v>
      </c>
      <c r="Z56" s="30" t="s">
        <v>25</v>
      </c>
      <c r="AA56" s="30" t="s">
        <v>26</v>
      </c>
      <c r="AB56" s="30" t="s">
        <v>24</v>
      </c>
      <c r="AC56" s="27"/>
      <c r="AD56" s="31" t="s">
        <v>25</v>
      </c>
      <c r="AE56" s="32" t="str">
        <f t="shared" si="7"/>
        <v>✓ OK</v>
      </c>
      <c r="AF56" s="33" t="s">
        <v>27</v>
      </c>
      <c r="AG56" s="33" t="s">
        <v>23</v>
      </c>
      <c r="AH56" s="33" t="s">
        <v>24</v>
      </c>
      <c r="AI56" s="33" t="s">
        <v>25</v>
      </c>
      <c r="AJ56" s="33" t="s">
        <v>26</v>
      </c>
      <c r="AK56" s="33" t="s">
        <v>24</v>
      </c>
      <c r="AL56" s="27"/>
      <c r="AM56" s="34" t="s">
        <v>25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1460</v>
      </c>
      <c r="C57" s="25" t="s">
        <v>1461</v>
      </c>
      <c r="D57" s="23" t="s">
        <v>1410</v>
      </c>
      <c r="E57" s="43">
        <v>46125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5"/>
        <v>✓ OK</v>
      </c>
      <c r="N57" s="43">
        <v>46193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6"/>
        <v>✓ OK</v>
      </c>
      <c r="W57" s="45">
        <v>46248</v>
      </c>
      <c r="X57" s="30" t="s">
        <v>23</v>
      </c>
      <c r="Y57" s="30" t="s">
        <v>24</v>
      </c>
      <c r="Z57" s="30" t="s">
        <v>25</v>
      </c>
      <c r="AA57" s="30" t="s">
        <v>26</v>
      </c>
      <c r="AB57" s="30" t="s">
        <v>24</v>
      </c>
      <c r="AC57" s="27"/>
      <c r="AD57" s="31" t="s">
        <v>25</v>
      </c>
      <c r="AE57" s="32" t="str">
        <f t="shared" si="7"/>
        <v>✓ OK</v>
      </c>
      <c r="AF57" s="33" t="s">
        <v>27</v>
      </c>
      <c r="AG57" s="33" t="s">
        <v>23</v>
      </c>
      <c r="AH57" s="33" t="s">
        <v>24</v>
      </c>
      <c r="AI57" s="33" t="s">
        <v>25</v>
      </c>
      <c r="AJ57" s="33" t="s">
        <v>26</v>
      </c>
      <c r="AK57" s="33" t="s">
        <v>24</v>
      </c>
      <c r="AL57" s="27"/>
      <c r="AM57" s="34" t="s">
        <v>25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1462</v>
      </c>
      <c r="C58" s="41" t="s">
        <v>1463</v>
      </c>
      <c r="D58" s="39" t="s">
        <v>1410</v>
      </c>
      <c r="E58" s="43">
        <v>46125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5"/>
        <v>✓ OK</v>
      </c>
      <c r="N58" s="43">
        <v>46193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6"/>
        <v>✓ OK</v>
      </c>
      <c r="W58" s="45">
        <v>46248</v>
      </c>
      <c r="X58" s="30" t="s">
        <v>23</v>
      </c>
      <c r="Y58" s="30" t="s">
        <v>24</v>
      </c>
      <c r="Z58" s="30" t="s">
        <v>25</v>
      </c>
      <c r="AA58" s="30" t="s">
        <v>26</v>
      </c>
      <c r="AB58" s="30" t="s">
        <v>24</v>
      </c>
      <c r="AC58" s="27"/>
      <c r="AD58" s="31" t="s">
        <v>25</v>
      </c>
      <c r="AE58" s="32" t="str">
        <f t="shared" si="7"/>
        <v>✓ OK</v>
      </c>
      <c r="AF58" s="33" t="s">
        <v>27</v>
      </c>
      <c r="AG58" s="33" t="s">
        <v>23</v>
      </c>
      <c r="AH58" s="33" t="s">
        <v>24</v>
      </c>
      <c r="AI58" s="33" t="s">
        <v>25</v>
      </c>
      <c r="AJ58" s="33" t="s">
        <v>26</v>
      </c>
      <c r="AK58" s="33" t="s">
        <v>24</v>
      </c>
      <c r="AL58" s="27"/>
      <c r="AM58" s="34" t="s">
        <v>25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1464</v>
      </c>
      <c r="C59" s="25" t="s">
        <v>1465</v>
      </c>
      <c r="D59" s="23" t="s">
        <v>1410</v>
      </c>
      <c r="E59" s="43">
        <v>46125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43">
        <v>46193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45">
        <v>46248</v>
      </c>
      <c r="X59" s="30" t="s">
        <v>23</v>
      </c>
      <c r="Y59" s="30" t="s">
        <v>24</v>
      </c>
      <c r="Z59" s="30" t="s">
        <v>25</v>
      </c>
      <c r="AA59" s="30" t="s">
        <v>26</v>
      </c>
      <c r="AB59" s="30" t="s">
        <v>24</v>
      </c>
      <c r="AC59" s="27"/>
      <c r="AD59" s="31" t="s">
        <v>25</v>
      </c>
      <c r="AE59" s="32" t="str">
        <f t="shared" si="7"/>
        <v>✓ OK</v>
      </c>
      <c r="AF59" s="33" t="s">
        <v>27</v>
      </c>
      <c r="AG59" s="33" t="s">
        <v>23</v>
      </c>
      <c r="AH59" s="33" t="s">
        <v>24</v>
      </c>
      <c r="AI59" s="33" t="s">
        <v>25</v>
      </c>
      <c r="AJ59" s="33" t="s">
        <v>26</v>
      </c>
      <c r="AK59" s="33" t="s">
        <v>24</v>
      </c>
      <c r="AL59" s="27"/>
      <c r="AM59" s="34" t="s">
        <v>25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1466</v>
      </c>
      <c r="C60" s="41" t="s">
        <v>1467</v>
      </c>
      <c r="D60" s="39" t="s">
        <v>1410</v>
      </c>
      <c r="E60" s="43">
        <v>46125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5"/>
        <v>✓ OK</v>
      </c>
      <c r="N60" s="43">
        <v>46193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6"/>
        <v>✓ OK</v>
      </c>
      <c r="W60" s="45">
        <v>46248</v>
      </c>
      <c r="X60" s="30" t="s">
        <v>23</v>
      </c>
      <c r="Y60" s="30" t="s">
        <v>24</v>
      </c>
      <c r="Z60" s="30" t="s">
        <v>25</v>
      </c>
      <c r="AA60" s="30" t="s">
        <v>26</v>
      </c>
      <c r="AB60" s="30" t="s">
        <v>24</v>
      </c>
      <c r="AC60" s="27"/>
      <c r="AD60" s="31" t="s">
        <v>25</v>
      </c>
      <c r="AE60" s="32" t="str">
        <f t="shared" si="7"/>
        <v>✓ OK</v>
      </c>
      <c r="AF60" s="33" t="s">
        <v>27</v>
      </c>
      <c r="AG60" s="33" t="s">
        <v>23</v>
      </c>
      <c r="AH60" s="33" t="s">
        <v>24</v>
      </c>
      <c r="AI60" s="33" t="s">
        <v>25</v>
      </c>
      <c r="AJ60" s="33" t="s">
        <v>26</v>
      </c>
      <c r="AK60" s="33" t="s">
        <v>24</v>
      </c>
      <c r="AL60" s="27"/>
      <c r="AM60" s="34" t="s">
        <v>25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1468</v>
      </c>
      <c r="C61" s="25" t="s">
        <v>1469</v>
      </c>
      <c r="D61" s="23" t="s">
        <v>1410</v>
      </c>
      <c r="E61" s="43">
        <v>46125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5"/>
        <v>✓ OK</v>
      </c>
      <c r="N61" s="43">
        <v>46193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6"/>
        <v>✓ OK</v>
      </c>
      <c r="W61" s="45">
        <v>46248</v>
      </c>
      <c r="X61" s="30" t="s">
        <v>23</v>
      </c>
      <c r="Y61" s="30" t="s">
        <v>24</v>
      </c>
      <c r="Z61" s="30" t="s">
        <v>25</v>
      </c>
      <c r="AA61" s="30" t="s">
        <v>26</v>
      </c>
      <c r="AB61" s="30" t="s">
        <v>24</v>
      </c>
      <c r="AC61" s="27"/>
      <c r="AD61" s="31" t="s">
        <v>25</v>
      </c>
      <c r="AE61" s="32" t="str">
        <f t="shared" si="7"/>
        <v>✓ OK</v>
      </c>
      <c r="AF61" s="33" t="s">
        <v>27</v>
      </c>
      <c r="AG61" s="33" t="s">
        <v>23</v>
      </c>
      <c r="AH61" s="33" t="s">
        <v>24</v>
      </c>
      <c r="AI61" s="33" t="s">
        <v>25</v>
      </c>
      <c r="AJ61" s="33" t="s">
        <v>26</v>
      </c>
      <c r="AK61" s="33" t="s">
        <v>24</v>
      </c>
      <c r="AL61" s="27"/>
      <c r="AM61" s="34" t="s">
        <v>25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1470</v>
      </c>
      <c r="C62" s="41" t="s">
        <v>1471</v>
      </c>
      <c r="D62" s="39" t="s">
        <v>1410</v>
      </c>
      <c r="E62" s="43">
        <v>46125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5"/>
        <v>✓ OK</v>
      </c>
      <c r="N62" s="43">
        <v>46193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6"/>
        <v>✓ OK</v>
      </c>
      <c r="W62" s="45">
        <v>46248</v>
      </c>
      <c r="X62" s="30" t="s">
        <v>23</v>
      </c>
      <c r="Y62" s="30" t="s">
        <v>24</v>
      </c>
      <c r="Z62" s="30" t="s">
        <v>25</v>
      </c>
      <c r="AA62" s="30" t="s">
        <v>26</v>
      </c>
      <c r="AB62" s="30" t="s">
        <v>24</v>
      </c>
      <c r="AC62" s="27"/>
      <c r="AD62" s="31" t="s">
        <v>25</v>
      </c>
      <c r="AE62" s="32" t="str">
        <f t="shared" si="7"/>
        <v>✓ OK</v>
      </c>
      <c r="AF62" s="33" t="s">
        <v>27</v>
      </c>
      <c r="AG62" s="33" t="s">
        <v>23</v>
      </c>
      <c r="AH62" s="33" t="s">
        <v>24</v>
      </c>
      <c r="AI62" s="33" t="s">
        <v>25</v>
      </c>
      <c r="AJ62" s="33" t="s">
        <v>26</v>
      </c>
      <c r="AK62" s="33" t="s">
        <v>24</v>
      </c>
      <c r="AL62" s="27"/>
      <c r="AM62" s="34" t="s">
        <v>25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1472</v>
      </c>
      <c r="C63" s="25" t="s">
        <v>1473</v>
      </c>
      <c r="D63" s="23" t="s">
        <v>1410</v>
      </c>
      <c r="E63" s="43">
        <v>46125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5"/>
        <v>✓ OK</v>
      </c>
      <c r="N63" s="43">
        <v>46193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6"/>
        <v>✓ OK</v>
      </c>
      <c r="W63" s="45">
        <v>46248</v>
      </c>
      <c r="X63" s="30" t="s">
        <v>23</v>
      </c>
      <c r="Y63" s="30" t="s">
        <v>24</v>
      </c>
      <c r="Z63" s="30" t="s">
        <v>25</v>
      </c>
      <c r="AA63" s="30" t="s">
        <v>26</v>
      </c>
      <c r="AB63" s="30" t="s">
        <v>24</v>
      </c>
      <c r="AC63" s="27"/>
      <c r="AD63" s="31" t="s">
        <v>25</v>
      </c>
      <c r="AE63" s="32" t="str">
        <f t="shared" si="7"/>
        <v>✓ OK</v>
      </c>
      <c r="AF63" s="33" t="s">
        <v>27</v>
      </c>
      <c r="AG63" s="33" t="s">
        <v>23</v>
      </c>
      <c r="AH63" s="33" t="s">
        <v>24</v>
      </c>
      <c r="AI63" s="33" t="s">
        <v>25</v>
      </c>
      <c r="AJ63" s="33" t="s">
        <v>26</v>
      </c>
      <c r="AK63" s="33" t="s">
        <v>24</v>
      </c>
      <c r="AL63" s="27"/>
      <c r="AM63" s="34" t="s">
        <v>25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1474</v>
      </c>
      <c r="C64" s="41" t="s">
        <v>1475</v>
      </c>
      <c r="D64" s="39" t="s">
        <v>1410</v>
      </c>
      <c r="E64" s="43">
        <v>46125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5"/>
        <v>✓ OK</v>
      </c>
      <c r="N64" s="43">
        <v>46193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6"/>
        <v>✓ OK</v>
      </c>
      <c r="W64" s="45">
        <v>46248</v>
      </c>
      <c r="X64" s="30" t="s">
        <v>23</v>
      </c>
      <c r="Y64" s="30" t="s">
        <v>24</v>
      </c>
      <c r="Z64" s="30" t="s">
        <v>25</v>
      </c>
      <c r="AA64" s="30" t="s">
        <v>26</v>
      </c>
      <c r="AB64" s="30" t="s">
        <v>24</v>
      </c>
      <c r="AC64" s="27"/>
      <c r="AD64" s="31" t="s">
        <v>25</v>
      </c>
      <c r="AE64" s="32" t="str">
        <f t="shared" si="7"/>
        <v>✓ OK</v>
      </c>
      <c r="AF64" s="33" t="s">
        <v>27</v>
      </c>
      <c r="AG64" s="33" t="s">
        <v>23</v>
      </c>
      <c r="AH64" s="33" t="s">
        <v>24</v>
      </c>
      <c r="AI64" s="33" t="s">
        <v>25</v>
      </c>
      <c r="AJ64" s="33" t="s">
        <v>26</v>
      </c>
      <c r="AK64" s="33" t="s">
        <v>24</v>
      </c>
      <c r="AL64" s="27"/>
      <c r="AM64" s="34" t="s">
        <v>25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1476</v>
      </c>
      <c r="C65" s="25" t="s">
        <v>1476</v>
      </c>
      <c r="D65" s="23" t="s">
        <v>1410</v>
      </c>
      <c r="E65" s="43">
        <v>46125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5"/>
        <v>✓ OK</v>
      </c>
      <c r="N65" s="43">
        <v>46193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6"/>
        <v>✓ OK</v>
      </c>
      <c r="W65" s="45">
        <v>46248</v>
      </c>
      <c r="X65" s="30" t="s">
        <v>23</v>
      </c>
      <c r="Y65" s="30" t="s">
        <v>24</v>
      </c>
      <c r="Z65" s="30" t="s">
        <v>25</v>
      </c>
      <c r="AA65" s="30" t="s">
        <v>26</v>
      </c>
      <c r="AB65" s="30" t="s">
        <v>24</v>
      </c>
      <c r="AC65" s="27"/>
      <c r="AD65" s="31" t="s">
        <v>25</v>
      </c>
      <c r="AE65" s="32" t="str">
        <f t="shared" si="7"/>
        <v>✓ OK</v>
      </c>
      <c r="AF65" s="33" t="s">
        <v>27</v>
      </c>
      <c r="AG65" s="33" t="s">
        <v>23</v>
      </c>
      <c r="AH65" s="33" t="s">
        <v>24</v>
      </c>
      <c r="AI65" s="33" t="s">
        <v>25</v>
      </c>
      <c r="AJ65" s="33" t="s">
        <v>26</v>
      </c>
      <c r="AK65" s="33" t="s">
        <v>24</v>
      </c>
      <c r="AL65" s="27"/>
      <c r="AM65" s="34" t="s">
        <v>25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1477</v>
      </c>
      <c r="C66" s="41" t="s">
        <v>1478</v>
      </c>
      <c r="D66" s="39" t="s">
        <v>1410</v>
      </c>
      <c r="E66" s="43">
        <v>46125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5"/>
        <v>✓ OK</v>
      </c>
      <c r="N66" s="43">
        <v>46193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6"/>
        <v>✓ OK</v>
      </c>
      <c r="W66" s="45">
        <v>46248</v>
      </c>
      <c r="X66" s="30" t="s">
        <v>23</v>
      </c>
      <c r="Y66" s="30" t="s">
        <v>24</v>
      </c>
      <c r="Z66" s="30" t="s">
        <v>25</v>
      </c>
      <c r="AA66" s="30" t="s">
        <v>26</v>
      </c>
      <c r="AB66" s="30" t="s">
        <v>24</v>
      </c>
      <c r="AC66" s="27"/>
      <c r="AD66" s="31" t="s">
        <v>25</v>
      </c>
      <c r="AE66" s="32" t="str">
        <f t="shared" si="7"/>
        <v>✓ OK</v>
      </c>
      <c r="AF66" s="33" t="s">
        <v>27</v>
      </c>
      <c r="AG66" s="33" t="s">
        <v>23</v>
      </c>
      <c r="AH66" s="33" t="s">
        <v>24</v>
      </c>
      <c r="AI66" s="33" t="s">
        <v>25</v>
      </c>
      <c r="AJ66" s="33" t="s">
        <v>26</v>
      </c>
      <c r="AK66" s="33" t="s">
        <v>24</v>
      </c>
      <c r="AL66" s="27"/>
      <c r="AM66" s="34" t="s">
        <v>25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1479</v>
      </c>
      <c r="C67" s="25" t="s">
        <v>1480</v>
      </c>
      <c r="D67" s="23" t="s">
        <v>1410</v>
      </c>
      <c r="E67" s="43">
        <v>46125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5"/>
        <v>✓ OK</v>
      </c>
      <c r="N67" s="43">
        <v>46193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6"/>
        <v>✓ OK</v>
      </c>
      <c r="W67" s="45">
        <v>46248</v>
      </c>
      <c r="X67" s="30" t="s">
        <v>23</v>
      </c>
      <c r="Y67" s="30" t="s">
        <v>24</v>
      </c>
      <c r="Z67" s="30" t="s">
        <v>25</v>
      </c>
      <c r="AA67" s="30" t="s">
        <v>26</v>
      </c>
      <c r="AB67" s="30" t="s">
        <v>24</v>
      </c>
      <c r="AC67" s="27"/>
      <c r="AD67" s="31" t="s">
        <v>25</v>
      </c>
      <c r="AE67" s="32" t="str">
        <f t="shared" si="7"/>
        <v>✓ OK</v>
      </c>
      <c r="AF67" s="33" t="s">
        <v>27</v>
      </c>
      <c r="AG67" s="33" t="s">
        <v>23</v>
      </c>
      <c r="AH67" s="33" t="s">
        <v>24</v>
      </c>
      <c r="AI67" s="33" t="s">
        <v>25</v>
      </c>
      <c r="AJ67" s="33" t="s">
        <v>26</v>
      </c>
      <c r="AK67" s="33" t="s">
        <v>24</v>
      </c>
      <c r="AL67" s="27"/>
      <c r="AM67" s="34" t="s">
        <v>25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8" customHeight="1" x14ac:dyDescent="0.3">
      <c r="A68" s="39">
        <v>64</v>
      </c>
      <c r="B68" s="40" t="s">
        <v>1481</v>
      </c>
      <c r="C68" s="41" t="s">
        <v>1482</v>
      </c>
      <c r="D68" s="39" t="s">
        <v>1410</v>
      </c>
      <c r="E68" s="43">
        <v>46125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5"/>
        <v>✓ OK</v>
      </c>
      <c r="N68" s="43">
        <v>46193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6"/>
        <v>✓ OK</v>
      </c>
      <c r="W68" s="45">
        <v>46248</v>
      </c>
      <c r="X68" s="30" t="s">
        <v>23</v>
      </c>
      <c r="Y68" s="30" t="s">
        <v>24</v>
      </c>
      <c r="Z68" s="30" t="s">
        <v>25</v>
      </c>
      <c r="AA68" s="30" t="s">
        <v>26</v>
      </c>
      <c r="AB68" s="30" t="s">
        <v>24</v>
      </c>
      <c r="AC68" s="27"/>
      <c r="AD68" s="31" t="s">
        <v>25</v>
      </c>
      <c r="AE68" s="32" t="str">
        <f t="shared" si="7"/>
        <v>✓ OK</v>
      </c>
      <c r="AF68" s="33" t="s">
        <v>27</v>
      </c>
      <c r="AG68" s="33" t="s">
        <v>23</v>
      </c>
      <c r="AH68" s="33" t="s">
        <v>24</v>
      </c>
      <c r="AI68" s="33" t="s">
        <v>25</v>
      </c>
      <c r="AJ68" s="33" t="s">
        <v>26</v>
      </c>
      <c r="AK68" s="33" t="s">
        <v>24</v>
      </c>
      <c r="AL68" s="27"/>
      <c r="AM68" s="34" t="s">
        <v>25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8" customHeight="1" x14ac:dyDescent="0.3">
      <c r="A69" s="23">
        <v>65</v>
      </c>
      <c r="B69" s="24" t="s">
        <v>1483</v>
      </c>
      <c r="C69" s="25" t="s">
        <v>1484</v>
      </c>
      <c r="D69" s="23" t="s">
        <v>1410</v>
      </c>
      <c r="E69" s="43">
        <v>46125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85" si="10">IF(E69="","",IF(H69="Yes","❌ Disc",IF(G69="No","⚠ Missing",IF(J69="Yes","✓ OK","⚠ Check"))))</f>
        <v>✓ OK</v>
      </c>
      <c r="N69" s="43">
        <v>46193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85" si="11">IF(N69="","",IF(Q69="Yes","❌ Disc",IF(P69="No","⚠ Missing",IF(S69="Yes","✓ OK","⚠ Check"))))</f>
        <v>✓ OK</v>
      </c>
      <c r="W69" s="45">
        <v>46248</v>
      </c>
      <c r="X69" s="30" t="s">
        <v>23</v>
      </c>
      <c r="Y69" s="30" t="s">
        <v>24</v>
      </c>
      <c r="Z69" s="30" t="s">
        <v>25</v>
      </c>
      <c r="AA69" s="30" t="s">
        <v>26</v>
      </c>
      <c r="AB69" s="30" t="s">
        <v>24</v>
      </c>
      <c r="AC69" s="27"/>
      <c r="AD69" s="31" t="s">
        <v>25</v>
      </c>
      <c r="AE69" s="32" t="str">
        <f t="shared" ref="AE69:AE85" si="12">IF(W69="","",IF(Z69="Yes","❌ Disc",IF(Y69="No","⚠ Missing",IF(AB69="Yes","✓ OK","⚠ Check"))))</f>
        <v>✓ OK</v>
      </c>
      <c r="AF69" s="33" t="s">
        <v>27</v>
      </c>
      <c r="AG69" s="33" t="s">
        <v>23</v>
      </c>
      <c r="AH69" s="33" t="s">
        <v>24</v>
      </c>
      <c r="AI69" s="33" t="s">
        <v>25</v>
      </c>
      <c r="AJ69" s="33" t="s">
        <v>26</v>
      </c>
      <c r="AK69" s="33" t="s">
        <v>24</v>
      </c>
      <c r="AL69" s="27"/>
      <c r="AM69" s="34" t="s">
        <v>25</v>
      </c>
      <c r="AN69" s="35" t="str">
        <f t="shared" ref="AN69:AN85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85" si="14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1485</v>
      </c>
      <c r="C70" s="41" t="s">
        <v>1486</v>
      </c>
      <c r="D70" s="39" t="s">
        <v>1410</v>
      </c>
      <c r="E70" s="43">
        <v>46125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10"/>
        <v>✓ OK</v>
      </c>
      <c r="N70" s="43">
        <v>46193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11"/>
        <v>✓ OK</v>
      </c>
      <c r="W70" s="45">
        <v>46248</v>
      </c>
      <c r="X70" s="30" t="s">
        <v>23</v>
      </c>
      <c r="Y70" s="30" t="s">
        <v>24</v>
      </c>
      <c r="Z70" s="30" t="s">
        <v>25</v>
      </c>
      <c r="AA70" s="30" t="s">
        <v>26</v>
      </c>
      <c r="AB70" s="30" t="s">
        <v>24</v>
      </c>
      <c r="AC70" s="27"/>
      <c r="AD70" s="31" t="s">
        <v>25</v>
      </c>
      <c r="AE70" s="32" t="str">
        <f t="shared" si="12"/>
        <v>✓ OK</v>
      </c>
      <c r="AF70" s="33" t="s">
        <v>27</v>
      </c>
      <c r="AG70" s="33" t="s">
        <v>23</v>
      </c>
      <c r="AH70" s="33" t="s">
        <v>24</v>
      </c>
      <c r="AI70" s="33" t="s">
        <v>25</v>
      </c>
      <c r="AJ70" s="33" t="s">
        <v>26</v>
      </c>
      <c r="AK70" s="33" t="s">
        <v>24</v>
      </c>
      <c r="AL70" s="27"/>
      <c r="AM70" s="34" t="s">
        <v>25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8" customHeight="1" x14ac:dyDescent="0.3">
      <c r="A71" s="23">
        <v>67</v>
      </c>
      <c r="B71" s="24" t="s">
        <v>1487</v>
      </c>
      <c r="C71" s="25" t="s">
        <v>1488</v>
      </c>
      <c r="D71" s="23" t="s">
        <v>1410</v>
      </c>
      <c r="E71" s="43">
        <v>46125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10"/>
        <v>✓ OK</v>
      </c>
      <c r="N71" s="43">
        <v>46193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11"/>
        <v>✓ OK</v>
      </c>
      <c r="W71" s="45">
        <v>46248</v>
      </c>
      <c r="X71" s="30" t="s">
        <v>23</v>
      </c>
      <c r="Y71" s="30" t="s">
        <v>24</v>
      </c>
      <c r="Z71" s="30" t="s">
        <v>25</v>
      </c>
      <c r="AA71" s="30" t="s">
        <v>26</v>
      </c>
      <c r="AB71" s="30" t="s">
        <v>24</v>
      </c>
      <c r="AC71" s="27"/>
      <c r="AD71" s="31" t="s">
        <v>25</v>
      </c>
      <c r="AE71" s="32" t="str">
        <f t="shared" si="12"/>
        <v>✓ OK</v>
      </c>
      <c r="AF71" s="33" t="s">
        <v>27</v>
      </c>
      <c r="AG71" s="33" t="s">
        <v>23</v>
      </c>
      <c r="AH71" s="33" t="s">
        <v>24</v>
      </c>
      <c r="AI71" s="33" t="s">
        <v>25</v>
      </c>
      <c r="AJ71" s="33" t="s">
        <v>26</v>
      </c>
      <c r="AK71" s="33" t="s">
        <v>24</v>
      </c>
      <c r="AL71" s="27"/>
      <c r="AM71" s="34" t="s">
        <v>25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8" customHeight="1" x14ac:dyDescent="0.3">
      <c r="A72" s="39">
        <v>68</v>
      </c>
      <c r="B72" s="40" t="s">
        <v>1489</v>
      </c>
      <c r="C72" s="41" t="s">
        <v>1490</v>
      </c>
      <c r="D72" s="39" t="s">
        <v>1410</v>
      </c>
      <c r="E72" s="43">
        <v>46125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10"/>
        <v>✓ OK</v>
      </c>
      <c r="N72" s="43">
        <v>46193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24</v>
      </c>
      <c r="T72" s="27"/>
      <c r="U72" s="28" t="s">
        <v>25</v>
      </c>
      <c r="V72" s="29" t="str">
        <f t="shared" si="11"/>
        <v>✓ OK</v>
      </c>
      <c r="W72" s="45">
        <v>46248</v>
      </c>
      <c r="X72" s="30" t="s">
        <v>23</v>
      </c>
      <c r="Y72" s="30" t="s">
        <v>24</v>
      </c>
      <c r="Z72" s="30" t="s">
        <v>25</v>
      </c>
      <c r="AA72" s="30" t="s">
        <v>26</v>
      </c>
      <c r="AB72" s="30" t="s">
        <v>24</v>
      </c>
      <c r="AC72" s="27"/>
      <c r="AD72" s="31" t="s">
        <v>25</v>
      </c>
      <c r="AE72" s="32" t="str">
        <f t="shared" si="12"/>
        <v>✓ OK</v>
      </c>
      <c r="AF72" s="33" t="s">
        <v>27</v>
      </c>
      <c r="AG72" s="33" t="s">
        <v>23</v>
      </c>
      <c r="AH72" s="33" t="s">
        <v>24</v>
      </c>
      <c r="AI72" s="33" t="s">
        <v>25</v>
      </c>
      <c r="AJ72" s="33" t="s">
        <v>26</v>
      </c>
      <c r="AK72" s="33" t="s">
        <v>24</v>
      </c>
      <c r="AL72" s="27"/>
      <c r="AM72" s="34" t="s">
        <v>25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8" customHeight="1" x14ac:dyDescent="0.3">
      <c r="A73" s="23">
        <v>69</v>
      </c>
      <c r="B73" s="24" t="s">
        <v>1491</v>
      </c>
      <c r="C73" s="25" t="s">
        <v>1492</v>
      </c>
      <c r="D73" s="23" t="s">
        <v>1410</v>
      </c>
      <c r="E73" s="43">
        <v>46125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10"/>
        <v>✓ OK</v>
      </c>
      <c r="N73" s="43">
        <v>46193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25</v>
      </c>
      <c r="V73" s="29" t="str">
        <f t="shared" si="11"/>
        <v>✓ OK</v>
      </c>
      <c r="W73" s="45">
        <v>46248</v>
      </c>
      <c r="X73" s="30" t="s">
        <v>23</v>
      </c>
      <c r="Y73" s="30" t="s">
        <v>24</v>
      </c>
      <c r="Z73" s="30" t="s">
        <v>25</v>
      </c>
      <c r="AA73" s="30" t="s">
        <v>26</v>
      </c>
      <c r="AB73" s="30" t="s">
        <v>24</v>
      </c>
      <c r="AC73" s="27"/>
      <c r="AD73" s="31" t="s">
        <v>25</v>
      </c>
      <c r="AE73" s="32" t="str">
        <f t="shared" si="12"/>
        <v>✓ OK</v>
      </c>
      <c r="AF73" s="33" t="s">
        <v>27</v>
      </c>
      <c r="AG73" s="33" t="s">
        <v>23</v>
      </c>
      <c r="AH73" s="33" t="s">
        <v>24</v>
      </c>
      <c r="AI73" s="33" t="s">
        <v>25</v>
      </c>
      <c r="AJ73" s="33" t="s">
        <v>26</v>
      </c>
      <c r="AK73" s="33" t="s">
        <v>24</v>
      </c>
      <c r="AL73" s="27"/>
      <c r="AM73" s="34" t="s">
        <v>25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8" customHeight="1" x14ac:dyDescent="0.3">
      <c r="A74" s="39">
        <v>70</v>
      </c>
      <c r="B74" s="40" t="s">
        <v>1493</v>
      </c>
      <c r="C74" s="41" t="s">
        <v>1494</v>
      </c>
      <c r="D74" s="39" t="s">
        <v>1410</v>
      </c>
      <c r="E74" s="43">
        <v>46125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10"/>
        <v>✓ OK</v>
      </c>
      <c r="N74" s="43">
        <v>46193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11"/>
        <v>✓ OK</v>
      </c>
      <c r="W74" s="45">
        <v>46248</v>
      </c>
      <c r="X74" s="30" t="s">
        <v>23</v>
      </c>
      <c r="Y74" s="30" t="s">
        <v>24</v>
      </c>
      <c r="Z74" s="30" t="s">
        <v>25</v>
      </c>
      <c r="AA74" s="30" t="s">
        <v>26</v>
      </c>
      <c r="AB74" s="30" t="s">
        <v>24</v>
      </c>
      <c r="AC74" s="27"/>
      <c r="AD74" s="31" t="s">
        <v>25</v>
      </c>
      <c r="AE74" s="32" t="str">
        <f t="shared" si="12"/>
        <v>✓ OK</v>
      </c>
      <c r="AF74" s="33" t="s">
        <v>27</v>
      </c>
      <c r="AG74" s="33" t="s">
        <v>23</v>
      </c>
      <c r="AH74" s="33" t="s">
        <v>24</v>
      </c>
      <c r="AI74" s="33" t="s">
        <v>25</v>
      </c>
      <c r="AJ74" s="33" t="s">
        <v>26</v>
      </c>
      <c r="AK74" s="33" t="s">
        <v>24</v>
      </c>
      <c r="AL74" s="27"/>
      <c r="AM74" s="34" t="s">
        <v>25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8" customHeight="1" x14ac:dyDescent="0.3">
      <c r="A75" s="23">
        <v>71</v>
      </c>
      <c r="B75" s="24" t="s">
        <v>1495</v>
      </c>
      <c r="C75" s="25" t="s">
        <v>1495</v>
      </c>
      <c r="D75" s="23" t="s">
        <v>1410</v>
      </c>
      <c r="E75" s="43">
        <v>46125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10"/>
        <v>✓ OK</v>
      </c>
      <c r="N75" s="43">
        <v>46193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11"/>
        <v>✓ OK</v>
      </c>
      <c r="W75" s="45">
        <v>46248</v>
      </c>
      <c r="X75" s="30" t="s">
        <v>23</v>
      </c>
      <c r="Y75" s="30" t="s">
        <v>24</v>
      </c>
      <c r="Z75" s="30" t="s">
        <v>25</v>
      </c>
      <c r="AA75" s="30" t="s">
        <v>26</v>
      </c>
      <c r="AB75" s="30" t="s">
        <v>24</v>
      </c>
      <c r="AC75" s="27"/>
      <c r="AD75" s="31" t="s">
        <v>25</v>
      </c>
      <c r="AE75" s="32" t="str">
        <f t="shared" si="12"/>
        <v>✓ OK</v>
      </c>
      <c r="AF75" s="33" t="s">
        <v>27</v>
      </c>
      <c r="AG75" s="33" t="s">
        <v>23</v>
      </c>
      <c r="AH75" s="33" t="s">
        <v>24</v>
      </c>
      <c r="AI75" s="33" t="s">
        <v>25</v>
      </c>
      <c r="AJ75" s="33" t="s">
        <v>26</v>
      </c>
      <c r="AK75" s="33" t="s">
        <v>24</v>
      </c>
      <c r="AL75" s="27"/>
      <c r="AM75" s="34" t="s">
        <v>25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8" customHeight="1" x14ac:dyDescent="0.3">
      <c r="A76" s="39">
        <v>72</v>
      </c>
      <c r="B76" s="40" t="s">
        <v>1496</v>
      </c>
      <c r="C76" s="41" t="s">
        <v>1497</v>
      </c>
      <c r="D76" s="39" t="s">
        <v>1410</v>
      </c>
      <c r="E76" s="43">
        <v>46125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10"/>
        <v>✓ OK</v>
      </c>
      <c r="N76" s="43">
        <v>46193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11"/>
        <v>✓ OK</v>
      </c>
      <c r="W76" s="45">
        <v>46248</v>
      </c>
      <c r="X76" s="30" t="s">
        <v>23</v>
      </c>
      <c r="Y76" s="30" t="s">
        <v>24</v>
      </c>
      <c r="Z76" s="30" t="s">
        <v>25</v>
      </c>
      <c r="AA76" s="30" t="s">
        <v>26</v>
      </c>
      <c r="AB76" s="30" t="s">
        <v>24</v>
      </c>
      <c r="AC76" s="27"/>
      <c r="AD76" s="31" t="s">
        <v>25</v>
      </c>
      <c r="AE76" s="32" t="str">
        <f t="shared" si="12"/>
        <v>✓ OK</v>
      </c>
      <c r="AF76" s="33" t="s">
        <v>27</v>
      </c>
      <c r="AG76" s="33" t="s">
        <v>23</v>
      </c>
      <c r="AH76" s="33" t="s">
        <v>24</v>
      </c>
      <c r="AI76" s="33" t="s">
        <v>25</v>
      </c>
      <c r="AJ76" s="33" t="s">
        <v>26</v>
      </c>
      <c r="AK76" s="33" t="s">
        <v>24</v>
      </c>
      <c r="AL76" s="27"/>
      <c r="AM76" s="34" t="s">
        <v>25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8" customHeight="1" x14ac:dyDescent="0.3">
      <c r="A77" s="23">
        <v>73</v>
      </c>
      <c r="B77" s="24" t="s">
        <v>1498</v>
      </c>
      <c r="C77" s="25" t="s">
        <v>1499</v>
      </c>
      <c r="D77" s="23" t="s">
        <v>1410</v>
      </c>
      <c r="E77" s="43">
        <v>46125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10"/>
        <v>✓ OK</v>
      </c>
      <c r="N77" s="43">
        <v>46193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11"/>
        <v>✓ OK</v>
      </c>
      <c r="W77" s="45">
        <v>46248</v>
      </c>
      <c r="X77" s="30" t="s">
        <v>23</v>
      </c>
      <c r="Y77" s="30" t="s">
        <v>24</v>
      </c>
      <c r="Z77" s="30" t="s">
        <v>25</v>
      </c>
      <c r="AA77" s="30" t="s">
        <v>26</v>
      </c>
      <c r="AB77" s="30" t="s">
        <v>24</v>
      </c>
      <c r="AC77" s="27"/>
      <c r="AD77" s="31" t="s">
        <v>25</v>
      </c>
      <c r="AE77" s="32" t="str">
        <f t="shared" si="12"/>
        <v>✓ OK</v>
      </c>
      <c r="AF77" s="33" t="s">
        <v>27</v>
      </c>
      <c r="AG77" s="33" t="s">
        <v>23</v>
      </c>
      <c r="AH77" s="33" t="s">
        <v>24</v>
      </c>
      <c r="AI77" s="33" t="s">
        <v>25</v>
      </c>
      <c r="AJ77" s="33" t="s">
        <v>26</v>
      </c>
      <c r="AK77" s="33" t="s">
        <v>24</v>
      </c>
      <c r="AL77" s="27"/>
      <c r="AM77" s="34" t="s">
        <v>25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  <row r="78" spans="1:49" ht="18" customHeight="1" x14ac:dyDescent="0.3">
      <c r="A78" s="39">
        <v>74</v>
      </c>
      <c r="B78" s="40" t="s">
        <v>1500</v>
      </c>
      <c r="C78" s="41" t="s">
        <v>1501</v>
      </c>
      <c r="D78" s="39" t="s">
        <v>1410</v>
      </c>
      <c r="E78" s="43">
        <v>46125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10"/>
        <v>✓ OK</v>
      </c>
      <c r="N78" s="43">
        <v>46193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11"/>
        <v>✓ OK</v>
      </c>
      <c r="W78" s="45">
        <v>46248</v>
      </c>
      <c r="X78" s="30" t="s">
        <v>23</v>
      </c>
      <c r="Y78" s="30" t="s">
        <v>24</v>
      </c>
      <c r="Z78" s="30" t="s">
        <v>25</v>
      </c>
      <c r="AA78" s="30" t="s">
        <v>26</v>
      </c>
      <c r="AB78" s="30" t="s">
        <v>24</v>
      </c>
      <c r="AC78" s="27"/>
      <c r="AD78" s="31" t="s">
        <v>25</v>
      </c>
      <c r="AE78" s="32" t="str">
        <f t="shared" si="12"/>
        <v>✓ OK</v>
      </c>
      <c r="AF78" s="33" t="s">
        <v>27</v>
      </c>
      <c r="AG78" s="33" t="s">
        <v>23</v>
      </c>
      <c r="AH78" s="33" t="s">
        <v>24</v>
      </c>
      <c r="AI78" s="33" t="s">
        <v>25</v>
      </c>
      <c r="AJ78" s="33" t="s">
        <v>26</v>
      </c>
      <c r="AK78" s="33" t="s">
        <v>24</v>
      </c>
      <c r="AL78" s="27"/>
      <c r="AM78" s="34" t="s">
        <v>25</v>
      </c>
      <c r="AN78" s="35" t="str">
        <f t="shared" si="13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4"/>
        <v/>
      </c>
    </row>
    <row r="79" spans="1:49" ht="18" customHeight="1" x14ac:dyDescent="0.3">
      <c r="A79" s="23">
        <v>75</v>
      </c>
      <c r="B79" s="24" t="s">
        <v>1502</v>
      </c>
      <c r="C79" s="25" t="s">
        <v>1503</v>
      </c>
      <c r="D79" s="23" t="s">
        <v>1410</v>
      </c>
      <c r="E79" s="43">
        <v>46125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10"/>
        <v>✓ OK</v>
      </c>
      <c r="N79" s="43">
        <v>46193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11"/>
        <v>✓ OK</v>
      </c>
      <c r="W79" s="45">
        <v>46248</v>
      </c>
      <c r="X79" s="30" t="s">
        <v>23</v>
      </c>
      <c r="Y79" s="30" t="s">
        <v>24</v>
      </c>
      <c r="Z79" s="30" t="s">
        <v>25</v>
      </c>
      <c r="AA79" s="30" t="s">
        <v>26</v>
      </c>
      <c r="AB79" s="30" t="s">
        <v>24</v>
      </c>
      <c r="AC79" s="27"/>
      <c r="AD79" s="31" t="s">
        <v>25</v>
      </c>
      <c r="AE79" s="32" t="str">
        <f t="shared" si="12"/>
        <v>✓ OK</v>
      </c>
      <c r="AF79" s="33" t="s">
        <v>27</v>
      </c>
      <c r="AG79" s="33" t="s">
        <v>23</v>
      </c>
      <c r="AH79" s="33" t="s">
        <v>24</v>
      </c>
      <c r="AI79" s="33" t="s">
        <v>25</v>
      </c>
      <c r="AJ79" s="33" t="s">
        <v>26</v>
      </c>
      <c r="AK79" s="33" t="s">
        <v>24</v>
      </c>
      <c r="AL79" s="27"/>
      <c r="AM79" s="34" t="s">
        <v>25</v>
      </c>
      <c r="AN79" s="35" t="str">
        <f t="shared" si="13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4"/>
        <v/>
      </c>
    </row>
    <row r="80" spans="1:49" ht="18" customHeight="1" x14ac:dyDescent="0.3">
      <c r="A80" s="39">
        <v>76</v>
      </c>
      <c r="B80" s="40" t="s">
        <v>1504</v>
      </c>
      <c r="C80" s="41" t="s">
        <v>1505</v>
      </c>
      <c r="D80" s="39" t="s">
        <v>1410</v>
      </c>
      <c r="E80" s="43">
        <v>46125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10"/>
        <v>✓ OK</v>
      </c>
      <c r="N80" s="43">
        <v>46193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11"/>
        <v>✓ OK</v>
      </c>
      <c r="W80" s="45">
        <v>46248</v>
      </c>
      <c r="X80" s="30" t="s">
        <v>23</v>
      </c>
      <c r="Y80" s="30" t="s">
        <v>24</v>
      </c>
      <c r="Z80" s="30" t="s">
        <v>25</v>
      </c>
      <c r="AA80" s="30" t="s">
        <v>26</v>
      </c>
      <c r="AB80" s="30" t="s">
        <v>24</v>
      </c>
      <c r="AC80" s="27"/>
      <c r="AD80" s="31" t="s">
        <v>25</v>
      </c>
      <c r="AE80" s="32" t="str">
        <f t="shared" si="12"/>
        <v>✓ OK</v>
      </c>
      <c r="AF80" s="33" t="s">
        <v>27</v>
      </c>
      <c r="AG80" s="33" t="s">
        <v>23</v>
      </c>
      <c r="AH80" s="33" t="s">
        <v>24</v>
      </c>
      <c r="AI80" s="33" t="s">
        <v>25</v>
      </c>
      <c r="AJ80" s="33" t="s">
        <v>26</v>
      </c>
      <c r="AK80" s="33" t="s">
        <v>24</v>
      </c>
      <c r="AL80" s="27"/>
      <c r="AM80" s="34" t="s">
        <v>25</v>
      </c>
      <c r="AN80" s="35" t="str">
        <f t="shared" si="13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4"/>
        <v/>
      </c>
    </row>
    <row r="81" spans="1:49" ht="18" customHeight="1" x14ac:dyDescent="0.3">
      <c r="A81" s="23">
        <v>77</v>
      </c>
      <c r="B81" s="24" t="s">
        <v>1506</v>
      </c>
      <c r="C81" s="25" t="s">
        <v>1507</v>
      </c>
      <c r="D81" s="23" t="s">
        <v>1410</v>
      </c>
      <c r="E81" s="43">
        <v>46125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10"/>
        <v>✓ OK</v>
      </c>
      <c r="N81" s="43">
        <v>46193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11"/>
        <v>✓ OK</v>
      </c>
      <c r="W81" s="45">
        <v>46248</v>
      </c>
      <c r="X81" s="30" t="s">
        <v>23</v>
      </c>
      <c r="Y81" s="30" t="s">
        <v>24</v>
      </c>
      <c r="Z81" s="30" t="s">
        <v>25</v>
      </c>
      <c r="AA81" s="30" t="s">
        <v>26</v>
      </c>
      <c r="AB81" s="30" t="s">
        <v>24</v>
      </c>
      <c r="AC81" s="27"/>
      <c r="AD81" s="31" t="s">
        <v>25</v>
      </c>
      <c r="AE81" s="32" t="str">
        <f t="shared" si="12"/>
        <v>✓ OK</v>
      </c>
      <c r="AF81" s="33" t="s">
        <v>27</v>
      </c>
      <c r="AG81" s="33" t="s">
        <v>23</v>
      </c>
      <c r="AH81" s="33" t="s">
        <v>24</v>
      </c>
      <c r="AI81" s="33" t="s">
        <v>25</v>
      </c>
      <c r="AJ81" s="33" t="s">
        <v>26</v>
      </c>
      <c r="AK81" s="33" t="s">
        <v>24</v>
      </c>
      <c r="AL81" s="27"/>
      <c r="AM81" s="34" t="s">
        <v>25</v>
      </c>
      <c r="AN81" s="35" t="str">
        <f t="shared" si="13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14"/>
        <v/>
      </c>
    </row>
    <row r="82" spans="1:49" ht="18" customHeight="1" x14ac:dyDescent="0.3">
      <c r="A82" s="39">
        <v>78</v>
      </c>
      <c r="B82" s="40" t="s">
        <v>1508</v>
      </c>
      <c r="C82" s="41" t="s">
        <v>1509</v>
      </c>
      <c r="D82" s="39" t="s">
        <v>1410</v>
      </c>
      <c r="E82" s="43">
        <v>46125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10"/>
        <v>✓ OK</v>
      </c>
      <c r="N82" s="43">
        <v>46193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11"/>
        <v>✓ OK</v>
      </c>
      <c r="W82" s="45">
        <v>46248</v>
      </c>
      <c r="X82" s="30" t="s">
        <v>23</v>
      </c>
      <c r="Y82" s="30" t="s">
        <v>24</v>
      </c>
      <c r="Z82" s="30" t="s">
        <v>25</v>
      </c>
      <c r="AA82" s="30" t="s">
        <v>26</v>
      </c>
      <c r="AB82" s="30" t="s">
        <v>24</v>
      </c>
      <c r="AC82" s="27"/>
      <c r="AD82" s="31" t="s">
        <v>25</v>
      </c>
      <c r="AE82" s="32" t="str">
        <f t="shared" si="12"/>
        <v>✓ OK</v>
      </c>
      <c r="AF82" s="33" t="s">
        <v>27</v>
      </c>
      <c r="AG82" s="33" t="s">
        <v>23</v>
      </c>
      <c r="AH82" s="33" t="s">
        <v>24</v>
      </c>
      <c r="AI82" s="33" t="s">
        <v>25</v>
      </c>
      <c r="AJ82" s="33" t="s">
        <v>26</v>
      </c>
      <c r="AK82" s="33" t="s">
        <v>24</v>
      </c>
      <c r="AL82" s="27"/>
      <c r="AM82" s="34" t="s">
        <v>25</v>
      </c>
      <c r="AN82" s="35" t="str">
        <f t="shared" si="13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14"/>
        <v/>
      </c>
    </row>
    <row r="83" spans="1:49" ht="18" customHeight="1" x14ac:dyDescent="0.3">
      <c r="A83" s="23">
        <v>79</v>
      </c>
      <c r="B83" s="24" t="s">
        <v>1510</v>
      </c>
      <c r="C83" s="25" t="s">
        <v>1511</v>
      </c>
      <c r="D83" s="23" t="s">
        <v>1410</v>
      </c>
      <c r="E83" s="43">
        <v>46125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10"/>
        <v>✓ OK</v>
      </c>
      <c r="N83" s="43">
        <v>46193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11"/>
        <v>✓ OK</v>
      </c>
      <c r="W83" s="45">
        <v>46248</v>
      </c>
      <c r="X83" s="30" t="s">
        <v>23</v>
      </c>
      <c r="Y83" s="30" t="s">
        <v>24</v>
      </c>
      <c r="Z83" s="30" t="s">
        <v>25</v>
      </c>
      <c r="AA83" s="30" t="s">
        <v>26</v>
      </c>
      <c r="AB83" s="30" t="s">
        <v>24</v>
      </c>
      <c r="AC83" s="27"/>
      <c r="AD83" s="31" t="s">
        <v>25</v>
      </c>
      <c r="AE83" s="32" t="str">
        <f t="shared" si="12"/>
        <v>✓ OK</v>
      </c>
      <c r="AF83" s="33" t="s">
        <v>27</v>
      </c>
      <c r="AG83" s="33" t="s">
        <v>23</v>
      </c>
      <c r="AH83" s="33" t="s">
        <v>24</v>
      </c>
      <c r="AI83" s="33" t="s">
        <v>25</v>
      </c>
      <c r="AJ83" s="33" t="s">
        <v>26</v>
      </c>
      <c r="AK83" s="33" t="s">
        <v>24</v>
      </c>
      <c r="AL83" s="27"/>
      <c r="AM83" s="34" t="s">
        <v>25</v>
      </c>
      <c r="AN83" s="35" t="str">
        <f t="shared" si="13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14"/>
        <v/>
      </c>
    </row>
    <row r="84" spans="1:49" ht="18" customHeight="1" x14ac:dyDescent="0.3">
      <c r="A84" s="39">
        <v>80</v>
      </c>
      <c r="B84" s="40" t="s">
        <v>1512</v>
      </c>
      <c r="C84" s="41" t="s">
        <v>1513</v>
      </c>
      <c r="D84" s="39" t="s">
        <v>1410</v>
      </c>
      <c r="E84" s="43">
        <v>46125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10"/>
        <v>✓ OK</v>
      </c>
      <c r="N84" s="43">
        <v>46193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11"/>
        <v>✓ OK</v>
      </c>
      <c r="W84" s="45">
        <v>46248</v>
      </c>
      <c r="X84" s="30" t="s">
        <v>23</v>
      </c>
      <c r="Y84" s="30" t="s">
        <v>24</v>
      </c>
      <c r="Z84" s="30" t="s">
        <v>25</v>
      </c>
      <c r="AA84" s="30" t="s">
        <v>26</v>
      </c>
      <c r="AB84" s="30" t="s">
        <v>24</v>
      </c>
      <c r="AC84" s="27"/>
      <c r="AD84" s="31" t="s">
        <v>25</v>
      </c>
      <c r="AE84" s="32" t="str">
        <f t="shared" si="12"/>
        <v>✓ OK</v>
      </c>
      <c r="AF84" s="33" t="s">
        <v>27</v>
      </c>
      <c r="AG84" s="33" t="s">
        <v>23</v>
      </c>
      <c r="AH84" s="33" t="s">
        <v>24</v>
      </c>
      <c r="AI84" s="33" t="s">
        <v>25</v>
      </c>
      <c r="AJ84" s="33" t="s">
        <v>26</v>
      </c>
      <c r="AK84" s="33" t="s">
        <v>24</v>
      </c>
      <c r="AL84" s="27"/>
      <c r="AM84" s="34" t="s">
        <v>25</v>
      </c>
      <c r="AN84" s="35" t="str">
        <f t="shared" si="13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14"/>
        <v/>
      </c>
    </row>
    <row r="85" spans="1:49" ht="18" customHeight="1" x14ac:dyDescent="0.3">
      <c r="A85" s="23">
        <v>81</v>
      </c>
      <c r="B85" s="24" t="s">
        <v>1514</v>
      </c>
      <c r="C85" s="25" t="s">
        <v>1515</v>
      </c>
      <c r="D85" s="23" t="s">
        <v>1410</v>
      </c>
      <c r="E85" s="43">
        <v>46125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10"/>
        <v>✓ OK</v>
      </c>
      <c r="N85" s="43">
        <v>46193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11"/>
        <v>✓ OK</v>
      </c>
      <c r="W85" s="45">
        <v>46248</v>
      </c>
      <c r="X85" s="30" t="s">
        <v>23</v>
      </c>
      <c r="Y85" s="30" t="s">
        <v>24</v>
      </c>
      <c r="Z85" s="30" t="s">
        <v>25</v>
      </c>
      <c r="AA85" s="30" t="s">
        <v>26</v>
      </c>
      <c r="AB85" s="30" t="s">
        <v>24</v>
      </c>
      <c r="AC85" s="27"/>
      <c r="AD85" s="31" t="s">
        <v>25</v>
      </c>
      <c r="AE85" s="32" t="str">
        <f t="shared" si="12"/>
        <v>✓ OK</v>
      </c>
      <c r="AF85" s="33" t="s">
        <v>27</v>
      </c>
      <c r="AG85" s="33" t="s">
        <v>23</v>
      </c>
      <c r="AH85" s="33" t="s">
        <v>24</v>
      </c>
      <c r="AI85" s="33" t="s">
        <v>25</v>
      </c>
      <c r="AJ85" s="33" t="s">
        <v>26</v>
      </c>
      <c r="AK85" s="33" t="s">
        <v>24</v>
      </c>
      <c r="AL85" s="27"/>
      <c r="AM85" s="34" t="s">
        <v>25</v>
      </c>
      <c r="AN85" s="35" t="str">
        <f t="shared" si="13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14"/>
        <v/>
      </c>
    </row>
  </sheetData>
  <autoFilter ref="A4:AW85" xr:uid="{00000000-0009-0000-0000-000003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 G7:G8 G10:G12 G14:G16 G18:G19 G21:G25 G27 G29 G31:G85">
    <cfRule type="expression" dxfId="599" priority="103">
      <formula>G5="Yes"</formula>
    </cfRule>
    <cfRule type="expression" dxfId="598" priority="104">
      <formula>G5="No"</formula>
    </cfRule>
  </conditionalFormatting>
  <conditionalFormatting sqref="G6">
    <cfRule type="expression" dxfId="597" priority="95">
      <formula>G6="No"</formula>
    </cfRule>
    <cfRule type="expression" dxfId="596" priority="96">
      <formula>MOD(ROW(),2)=0</formula>
    </cfRule>
    <cfRule type="expression" dxfId="595" priority="94">
      <formula>G6="Yes"</formula>
    </cfRule>
  </conditionalFormatting>
  <conditionalFormatting sqref="G9">
    <cfRule type="expression" dxfId="594" priority="53">
      <formula>G9="No"</formula>
    </cfRule>
    <cfRule type="expression" dxfId="593" priority="52">
      <formula>G9="Yes"</formula>
    </cfRule>
    <cfRule type="expression" dxfId="592" priority="54">
      <formula>MOD(ROW(),2)=0</formula>
    </cfRule>
  </conditionalFormatting>
  <conditionalFormatting sqref="G13">
    <cfRule type="expression" dxfId="591" priority="90">
      <formula>MOD(ROW(),2)=0</formula>
    </cfRule>
    <cfRule type="expression" dxfId="590" priority="89">
      <formula>G13="No"</formula>
    </cfRule>
    <cfRule type="expression" dxfId="589" priority="88">
      <formula>G13="Yes"</formula>
    </cfRule>
  </conditionalFormatting>
  <conditionalFormatting sqref="G17">
    <cfRule type="expression" dxfId="588" priority="83">
      <formula>G17="No"</formula>
    </cfRule>
    <cfRule type="expression" dxfId="587" priority="84">
      <formula>MOD(ROW(),2)=0</formula>
    </cfRule>
    <cfRule type="expression" dxfId="586" priority="82">
      <formula>G17="Yes"</formula>
    </cfRule>
  </conditionalFormatting>
  <conditionalFormatting sqref="G20">
    <cfRule type="expression" dxfId="585" priority="78">
      <formula>MOD(ROW(),2)=0</formula>
    </cfRule>
    <cfRule type="expression" dxfId="584" priority="76">
      <formula>G20="Yes"</formula>
    </cfRule>
    <cfRule type="expression" dxfId="583" priority="77">
      <formula>G20="No"</formula>
    </cfRule>
  </conditionalFormatting>
  <conditionalFormatting sqref="G26">
    <cfRule type="expression" dxfId="582" priority="70">
      <formula>G26="Yes"</formula>
    </cfRule>
    <cfRule type="expression" dxfId="581" priority="71">
      <formula>G26="No"</formula>
    </cfRule>
    <cfRule type="expression" dxfId="580" priority="72">
      <formula>MOD(ROW(),2)=0</formula>
    </cfRule>
  </conditionalFormatting>
  <conditionalFormatting sqref="G28">
    <cfRule type="expression" dxfId="579" priority="66">
      <formula>MOD(ROW(),2)=0</formula>
    </cfRule>
    <cfRule type="expression" dxfId="578" priority="65">
      <formula>G28="No"</formula>
    </cfRule>
    <cfRule type="expression" dxfId="577" priority="64">
      <formula>G28="Yes"</formula>
    </cfRule>
  </conditionalFormatting>
  <conditionalFormatting sqref="G30">
    <cfRule type="expression" dxfId="576" priority="60">
      <formula>MOD(ROW(),2)=0</formula>
    </cfRule>
    <cfRule type="expression" dxfId="575" priority="59">
      <formula>G30="No"</formula>
    </cfRule>
    <cfRule type="expression" dxfId="574" priority="58">
      <formula>G30="Yes"</formula>
    </cfRule>
  </conditionalFormatting>
  <conditionalFormatting sqref="H5:H85">
    <cfRule type="expression" dxfId="573" priority="55">
      <formula>H5="Yes"</formula>
    </cfRule>
  </conditionalFormatting>
  <conditionalFormatting sqref="H6">
    <cfRule type="expression" dxfId="572" priority="98">
      <formula>MOD(ROW(),2)=0</formula>
    </cfRule>
  </conditionalFormatting>
  <conditionalFormatting sqref="H9">
    <cfRule type="expression" dxfId="571" priority="56">
      <formula>MOD(ROW(),2)=0</formula>
    </cfRule>
  </conditionalFormatting>
  <conditionalFormatting sqref="H13">
    <cfRule type="expression" dxfId="570" priority="92">
      <formula>MOD(ROW(),2)=0</formula>
    </cfRule>
  </conditionalFormatting>
  <conditionalFormatting sqref="H17">
    <cfRule type="expression" dxfId="569" priority="86">
      <formula>MOD(ROW(),2)=0</formula>
    </cfRule>
  </conditionalFormatting>
  <conditionalFormatting sqref="H20">
    <cfRule type="expression" dxfId="568" priority="80">
      <formula>MOD(ROW(),2)=0</formula>
    </cfRule>
  </conditionalFormatting>
  <conditionalFormatting sqref="H26">
    <cfRule type="expression" dxfId="567" priority="74">
      <formula>MOD(ROW(),2)=0</formula>
    </cfRule>
  </conditionalFormatting>
  <conditionalFormatting sqref="H28">
    <cfRule type="expression" dxfId="566" priority="68">
      <formula>MOD(ROW(),2)=0</formula>
    </cfRule>
  </conditionalFormatting>
  <conditionalFormatting sqref="H30">
    <cfRule type="expression" dxfId="565" priority="62">
      <formula>MOD(ROW(),2)=0</formula>
    </cfRule>
  </conditionalFormatting>
  <conditionalFormatting sqref="I6">
    <cfRule type="expression" dxfId="564" priority="93">
      <formula>MOD(ROW(),2)=0</formula>
    </cfRule>
  </conditionalFormatting>
  <conditionalFormatting sqref="I9">
    <cfRule type="expression" dxfId="563" priority="51">
      <formula>MOD(ROW(),2)=0</formula>
    </cfRule>
  </conditionalFormatting>
  <conditionalFormatting sqref="I13">
    <cfRule type="expression" dxfId="562" priority="87">
      <formula>MOD(ROW(),2)=0</formula>
    </cfRule>
  </conditionalFormatting>
  <conditionalFormatting sqref="I17">
    <cfRule type="expression" dxfId="561" priority="81">
      <formula>MOD(ROW(),2)=0</formula>
    </cfRule>
  </conditionalFormatting>
  <conditionalFormatting sqref="I20">
    <cfRule type="expression" dxfId="560" priority="75">
      <formula>MOD(ROW(),2)=0</formula>
    </cfRule>
  </conditionalFormatting>
  <conditionalFormatting sqref="I26">
    <cfRule type="expression" dxfId="559" priority="69">
      <formula>MOD(ROW(),2)=0</formula>
    </cfRule>
  </conditionalFormatting>
  <conditionalFormatting sqref="I28">
    <cfRule type="expression" dxfId="558" priority="63">
      <formula>MOD(ROW(),2)=0</formula>
    </cfRule>
  </conditionalFormatting>
  <conditionalFormatting sqref="I30">
    <cfRule type="expression" dxfId="557" priority="57">
      <formula>MOD(ROW(),2)=0</formula>
    </cfRule>
  </conditionalFormatting>
  <conditionalFormatting sqref="J5:J85">
    <cfRule type="expression" dxfId="556" priority="106">
      <formula>J5="Yes"</formula>
    </cfRule>
    <cfRule type="expression" dxfId="555" priority="107">
      <formula>J5="No"</formula>
    </cfRule>
  </conditionalFormatting>
  <conditionalFormatting sqref="M5:M85">
    <cfRule type="expression" dxfId="554" priority="99">
      <formula>M5="✓ OK"</formula>
    </cfRule>
    <cfRule type="expression" dxfId="553" priority="100">
      <formula>M5="❌ Disc"</formula>
    </cfRule>
    <cfRule type="expression" dxfId="552" priority="101">
      <formula>M5="⚠ Missing"</formula>
    </cfRule>
    <cfRule type="expression" dxfId="551" priority="102">
      <formula>M5="⚠ Check"</formula>
    </cfRule>
  </conditionalFormatting>
  <conditionalFormatting sqref="N5:N85">
    <cfRule type="expression" dxfId="550" priority="1">
      <formula>MOD(ROW(),2)=0</formula>
    </cfRule>
  </conditionalFormatting>
  <conditionalFormatting sqref="P5 P7:P8 P10:P12 P14:P16 P18:P19 P21:P25 P27 P29 P31:P85">
    <cfRule type="expression" dxfId="549" priority="48">
      <formula>P5="No"</formula>
    </cfRule>
    <cfRule type="expression" dxfId="548" priority="47">
      <formula>P5="Yes"</formula>
    </cfRule>
  </conditionalFormatting>
  <conditionalFormatting sqref="P6">
    <cfRule type="expression" dxfId="547" priority="39">
      <formula>P6="Yes"</formula>
    </cfRule>
    <cfRule type="expression" dxfId="546" priority="40">
      <formula>P6="No"</formula>
    </cfRule>
    <cfRule type="expression" dxfId="545" priority="41">
      <formula>MOD(ROW(),2)=0</formula>
    </cfRule>
  </conditionalFormatting>
  <conditionalFormatting sqref="P9">
    <cfRule type="expression" dxfId="544" priority="5">
      <formula>MOD(ROW(),2)=0</formula>
    </cfRule>
    <cfRule type="expression" dxfId="543" priority="4">
      <formula>P9="No"</formula>
    </cfRule>
    <cfRule type="expression" dxfId="542" priority="3">
      <formula>P9="Yes"</formula>
    </cfRule>
  </conditionalFormatting>
  <conditionalFormatting sqref="P13">
    <cfRule type="expression" dxfId="541" priority="34">
      <formula>P13="Yes"</formula>
    </cfRule>
    <cfRule type="expression" dxfId="540" priority="35">
      <formula>P13="No"</formula>
    </cfRule>
    <cfRule type="expression" dxfId="539" priority="36">
      <formula>MOD(ROW(),2)=0</formula>
    </cfRule>
  </conditionalFormatting>
  <conditionalFormatting sqref="P17">
    <cfRule type="expression" dxfId="538" priority="29">
      <formula>P17="Yes"</formula>
    </cfRule>
    <cfRule type="expression" dxfId="537" priority="30">
      <formula>P17="No"</formula>
    </cfRule>
    <cfRule type="expression" dxfId="536" priority="31">
      <formula>MOD(ROW(),2)=0</formula>
    </cfRule>
  </conditionalFormatting>
  <conditionalFormatting sqref="P20">
    <cfRule type="expression" dxfId="535" priority="26">
      <formula>MOD(ROW(),2)=0</formula>
    </cfRule>
    <cfRule type="expression" dxfId="534" priority="25">
      <formula>P20="No"</formula>
    </cfRule>
    <cfRule type="expression" dxfId="533" priority="24">
      <formula>P20="Yes"</formula>
    </cfRule>
  </conditionalFormatting>
  <conditionalFormatting sqref="P26">
    <cfRule type="expression" dxfId="532" priority="21">
      <formula>MOD(ROW(),2)=0</formula>
    </cfRule>
    <cfRule type="expression" dxfId="531" priority="20">
      <formula>P26="No"</formula>
    </cfRule>
    <cfRule type="expression" dxfId="530" priority="19">
      <formula>P26="Yes"</formula>
    </cfRule>
  </conditionalFormatting>
  <conditionalFormatting sqref="P28">
    <cfRule type="expression" dxfId="529" priority="16">
      <formula>MOD(ROW(),2)=0</formula>
    </cfRule>
    <cfRule type="expression" dxfId="528" priority="15">
      <formula>P28="No"</formula>
    </cfRule>
    <cfRule type="expression" dxfId="527" priority="14">
      <formula>P28="Yes"</formula>
    </cfRule>
  </conditionalFormatting>
  <conditionalFormatting sqref="P30">
    <cfRule type="expression" dxfId="526" priority="10">
      <formula>P30="No"</formula>
    </cfRule>
    <cfRule type="expression" dxfId="525" priority="9">
      <formula>P30="Yes"</formula>
    </cfRule>
    <cfRule type="expression" dxfId="524" priority="11">
      <formula>MOD(ROW(),2)=0</formula>
    </cfRule>
  </conditionalFormatting>
  <conditionalFormatting sqref="Q5:Q85">
    <cfRule type="expression" dxfId="523" priority="6">
      <formula>Q5="Yes"</formula>
    </cfRule>
  </conditionalFormatting>
  <conditionalFormatting sqref="Q6">
    <cfRule type="expression" dxfId="522" priority="42">
      <formula>MOD(ROW(),2)=0</formula>
    </cfRule>
  </conditionalFormatting>
  <conditionalFormatting sqref="Q9">
    <cfRule type="expression" dxfId="521" priority="7">
      <formula>MOD(ROW(),2)=0</formula>
    </cfRule>
  </conditionalFormatting>
  <conditionalFormatting sqref="Q13">
    <cfRule type="expression" dxfId="520" priority="37">
      <formula>MOD(ROW(),2)=0</formula>
    </cfRule>
  </conditionalFormatting>
  <conditionalFormatting sqref="Q17">
    <cfRule type="expression" dxfId="519" priority="32">
      <formula>MOD(ROW(),2)=0</formula>
    </cfRule>
  </conditionalFormatting>
  <conditionalFormatting sqref="Q20">
    <cfRule type="expression" dxfId="518" priority="27">
      <formula>MOD(ROW(),2)=0</formula>
    </cfRule>
  </conditionalFormatting>
  <conditionalFormatting sqref="Q26">
    <cfRule type="expression" dxfId="517" priority="22">
      <formula>MOD(ROW(),2)=0</formula>
    </cfRule>
  </conditionalFormatting>
  <conditionalFormatting sqref="Q28">
    <cfRule type="expression" dxfId="516" priority="17">
      <formula>MOD(ROW(),2)=0</formula>
    </cfRule>
  </conditionalFormatting>
  <conditionalFormatting sqref="Q30">
    <cfRule type="expression" dxfId="515" priority="12">
      <formula>MOD(ROW(),2)=0</formula>
    </cfRule>
  </conditionalFormatting>
  <conditionalFormatting sqref="R6">
    <cfRule type="expression" dxfId="514" priority="38">
      <formula>MOD(ROW(),2)=0</formula>
    </cfRule>
  </conditionalFormatting>
  <conditionalFormatting sqref="R9">
    <cfRule type="expression" dxfId="513" priority="2">
      <formula>MOD(ROW(),2)=0</formula>
    </cfRule>
  </conditionalFormatting>
  <conditionalFormatting sqref="R13">
    <cfRule type="expression" dxfId="512" priority="33">
      <formula>MOD(ROW(),2)=0</formula>
    </cfRule>
  </conditionalFormatting>
  <conditionalFormatting sqref="R17">
    <cfRule type="expression" dxfId="511" priority="28">
      <formula>MOD(ROW(),2)=0</formula>
    </cfRule>
  </conditionalFormatting>
  <conditionalFormatting sqref="R20">
    <cfRule type="expression" dxfId="510" priority="23">
      <formula>MOD(ROW(),2)=0</formula>
    </cfRule>
  </conditionalFormatting>
  <conditionalFormatting sqref="R26">
    <cfRule type="expression" dxfId="509" priority="18">
      <formula>MOD(ROW(),2)=0</formula>
    </cfRule>
  </conditionalFormatting>
  <conditionalFormatting sqref="R28">
    <cfRule type="expression" dxfId="508" priority="13">
      <formula>MOD(ROW(),2)=0</formula>
    </cfRule>
  </conditionalFormatting>
  <conditionalFormatting sqref="R30">
    <cfRule type="expression" dxfId="507" priority="8">
      <formula>MOD(ROW(),2)=0</formula>
    </cfRule>
  </conditionalFormatting>
  <conditionalFormatting sqref="S5:S85">
    <cfRule type="expression" dxfId="506" priority="50">
      <formula>S5="No"</formula>
    </cfRule>
    <cfRule type="expression" dxfId="505" priority="49">
      <formula>S5="Yes"</formula>
    </cfRule>
  </conditionalFormatting>
  <conditionalFormatting sqref="V5:V85">
    <cfRule type="expression" dxfId="504" priority="46">
      <formula>V5="⚠ Check"</formula>
    </cfRule>
    <cfRule type="expression" dxfId="503" priority="43">
      <formula>V5="✓ OK"</formula>
    </cfRule>
    <cfRule type="expression" dxfId="502" priority="44">
      <formula>V5="❌ Disc"</formula>
    </cfRule>
    <cfRule type="expression" dxfId="501" priority="45">
      <formula>V5="⚠ Missing"</formula>
    </cfRule>
  </conditionalFormatting>
  <conditionalFormatting sqref="W5:AW85 A5:M5 J6:M6 A7:M8 J9:M9 A10:M12 J13:M13 A14:M16 J17:M17 A18:M19 J20:M20 A21:M25 J26:M26 A27:M27 J28:M28 A29:M29 J30:M30 A31:M85 O5:V5 S6:V6 O7:V8 S9:V9 O10:V12 S13:V13 O14:V16 S17:V17 O18:V19 S20:V20 O21:V25 S26:V26 O27:V27 S28:V28 O29:V29 S30:V30 O31:V85 A6:F6 O6 A9:F9 O9 A13:F13 O13 A17:F17 O17 A20:F20 O20 A26:F26 O26 A28:F28 O28 A30:F30 O30">
    <cfRule type="expression" dxfId="500" priority="144">
      <formula>MOD(ROW(),2)=0</formula>
    </cfRule>
  </conditionalFormatting>
  <conditionalFormatting sqref="Y5:Y85">
    <cfRule type="expression" dxfId="499" priority="121">
      <formula>Y5="Yes"</formula>
    </cfRule>
    <cfRule type="expression" dxfId="498" priority="122">
      <formula>Y5="No"</formula>
    </cfRule>
  </conditionalFormatting>
  <conditionalFormatting sqref="Z5:Z85">
    <cfRule type="expression" dxfId="497" priority="123">
      <formula>Z5="Yes"</formula>
    </cfRule>
  </conditionalFormatting>
  <conditionalFormatting sqref="AB5:AB85">
    <cfRule type="expression" dxfId="496" priority="124">
      <formula>AB5="Yes"</formula>
    </cfRule>
    <cfRule type="expression" dxfId="495" priority="125">
      <formula>AB5="No"</formula>
    </cfRule>
  </conditionalFormatting>
  <conditionalFormatting sqref="AE5:AE85">
    <cfRule type="expression" dxfId="494" priority="117">
      <formula>AE5="✓ OK"</formula>
    </cfRule>
    <cfRule type="expression" dxfId="493" priority="118">
      <formula>AE5="❌ Disc"</formula>
    </cfRule>
    <cfRule type="expression" dxfId="492" priority="119">
      <formula>AE5="⚠ Missing"</formula>
    </cfRule>
    <cfRule type="expression" dxfId="491" priority="120">
      <formula>AE5="⚠ Check"</formula>
    </cfRule>
  </conditionalFormatting>
  <conditionalFormatting sqref="AH5:AH85">
    <cfRule type="expression" dxfId="490" priority="130">
      <formula>AH5="Yes"</formula>
    </cfRule>
    <cfRule type="expression" dxfId="489" priority="131">
      <formula>AH5="No"</formula>
    </cfRule>
  </conditionalFormatting>
  <conditionalFormatting sqref="AI5:AI85">
    <cfRule type="expression" dxfId="488" priority="132">
      <formula>AI5="Yes"</formula>
    </cfRule>
  </conditionalFormatting>
  <conditionalFormatting sqref="AK5:AK85">
    <cfRule type="expression" dxfId="487" priority="133">
      <formula>AK5="Yes"</formula>
    </cfRule>
    <cfRule type="expression" dxfId="486" priority="134">
      <formula>AK5="No"</formula>
    </cfRule>
  </conditionalFormatting>
  <conditionalFormatting sqref="AN5:AN85">
    <cfRule type="expression" dxfId="485" priority="126">
      <formula>AN5="✓ OK"</formula>
    </cfRule>
    <cfRule type="expression" dxfId="484" priority="127">
      <formula>AN5="❌ Disc"</formula>
    </cfRule>
    <cfRule type="expression" dxfId="483" priority="128">
      <formula>AN5="⚠ Missing"</formula>
    </cfRule>
    <cfRule type="expression" dxfId="482" priority="129">
      <formula>AN5="⚠ Check"</formula>
    </cfRule>
  </conditionalFormatting>
  <conditionalFormatting sqref="AQ5:AQ85">
    <cfRule type="expression" dxfId="481" priority="139">
      <formula>AQ5="Yes"</formula>
    </cfRule>
    <cfRule type="expression" dxfId="480" priority="140">
      <formula>AQ5="No"</formula>
    </cfRule>
  </conditionalFormatting>
  <conditionalFormatting sqref="AR5:AR85">
    <cfRule type="expression" dxfId="479" priority="141">
      <formula>AR5="Yes"</formula>
    </cfRule>
  </conditionalFormatting>
  <conditionalFormatting sqref="AT5:AT85">
    <cfRule type="expression" dxfId="478" priority="142">
      <formula>AT5="Yes"</formula>
    </cfRule>
    <cfRule type="expression" dxfId="477" priority="143">
      <formula>AT5="No"</formula>
    </cfRule>
  </conditionalFormatting>
  <conditionalFormatting sqref="AW5:AW85">
    <cfRule type="expression" dxfId="476" priority="135">
      <formula>AW5="✓ OK"</formula>
    </cfRule>
    <cfRule type="expression" dxfId="475" priority="136">
      <formula>AW5="❌ Disc"</formula>
    </cfRule>
    <cfRule type="expression" dxfId="474" priority="138">
      <formula>AW5="⚠ Check"</formula>
    </cfRule>
    <cfRule type="expression" dxfId="473" priority="137">
      <formula>AW5="⚠ Missing"</formula>
    </cfRule>
  </conditionalFormatting>
  <dataValidations count="4">
    <dataValidation type="list" allowBlank="1" sqref="G5:H5 G7:H8 G10:H12 G14:H16 G18:H19 G21:H25 G27:H27 G29:H29 G31:H85 H6 H9 H13 H17 H20 H26 H28 H30 J5:J85 P5:Q5 P7:Q8 P10:Q12 P14:Q16 P18:Q19 P21:Q25 P27:Q27 P29:Q29 P31:Q85 Q6 Q9 Q13 Q17 Q20 Q26 Q28 Q30 S5:S85 Y5:Z85 AB5:AB85 AH5:AI85 AK5:AK85 AQ5:AR85 AT5:AT85" xr:uid="{00000000-0002-0000-0300-000000000000}">
      <formula1>"Yes,No"</formula1>
    </dataValidation>
    <dataValidation type="list" allowBlank="1" sqref="I5 I7:I8 I10:I12 I14:I16 I18:I19 I21:I25 I27 I29 I31:I85 R5 R7:R8 R10:R12 R14:R16 R18:R19 R21:R25 R27 R29 R31:R85 AA5:AA85 AJ5:AJ85 AS5:AS85" xr:uid="{00000000-0002-0000-0300-000001000000}">
      <formula1>"Good finish,Minor defect,Major defect,Discontinued,Not Available"</formula1>
    </dataValidation>
    <dataValidation type="list" allowBlank="1" sqref="G6 G9 G13 G17 G20 G26 G28 G30 P6 P9 P13 P17 P20 P26 P28 P30" xr:uid="{00000000-0002-0000-0300-000002000000}">
      <formula1>"Yes,No,Represented by Sample"</formula1>
    </dataValidation>
    <dataValidation type="list" allowBlank="1" sqref="I6 I9 I13 I17 I20 I26 I28 I30 R6 R9 R13 R17 R20 R26 R28 R30" xr:uid="{00000000-0002-0000-0300-000003000000}">
      <formula1>"Represented by Sample,Good finish,Minor defect,Major defect,Discontinued,Not Available"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AW168"/>
  <sheetViews>
    <sheetView workbookViewId="0">
      <pane xSplit="4" ySplit="4" topLeftCell="AJ5" activePane="bottomRight" state="frozen"/>
      <selection pane="topRight" activeCell="AU16" sqref="AU16"/>
      <selection pane="bottomLeft" activeCell="AU16" sqref="AU16"/>
      <selection pane="bottomRight" activeCell="AL4" sqref="AL4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1516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1517</v>
      </c>
      <c r="C5" s="25" t="s">
        <v>1518</v>
      </c>
      <c r="D5" s="23" t="s">
        <v>1519</v>
      </c>
      <c r="E5" s="43">
        <v>46126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43">
        <v>46193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/>
      <c r="AD5" s="31" t="s">
        <v>25</v>
      </c>
      <c r="AE5" s="32" t="str">
        <f t="shared" ref="AE5:AE36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/>
      <c r="AM5" s="34" t="s">
        <v>25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1520</v>
      </c>
      <c r="C6" s="41" t="s">
        <v>1521</v>
      </c>
      <c r="D6" s="39" t="s">
        <v>1519</v>
      </c>
      <c r="E6" s="43">
        <v>46126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46193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24</v>
      </c>
      <c r="Z6" s="30" t="s">
        <v>25</v>
      </c>
      <c r="AA6" s="30" t="s">
        <v>26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24</v>
      </c>
      <c r="AI6" s="33" t="s">
        <v>25</v>
      </c>
      <c r="AJ6" s="33" t="s">
        <v>26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1522</v>
      </c>
      <c r="C7" s="25" t="s">
        <v>1523</v>
      </c>
      <c r="D7" s="23" t="s">
        <v>1519</v>
      </c>
      <c r="E7" s="43">
        <v>46126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46193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24</v>
      </c>
      <c r="Z7" s="30" t="s">
        <v>25</v>
      </c>
      <c r="AA7" s="30" t="s">
        <v>26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24</v>
      </c>
      <c r="AI7" s="33" t="s">
        <v>25</v>
      </c>
      <c r="AJ7" s="33" t="s">
        <v>26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1524</v>
      </c>
      <c r="C8" s="41" t="s">
        <v>1525</v>
      </c>
      <c r="D8" s="39" t="s">
        <v>1519</v>
      </c>
      <c r="E8" s="43">
        <v>46126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46193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 t="s">
        <v>25</v>
      </c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 t="s">
        <v>25</v>
      </c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1526</v>
      </c>
      <c r="C9" s="25" t="s">
        <v>1527</v>
      </c>
      <c r="D9" s="23" t="s">
        <v>1519</v>
      </c>
      <c r="E9" s="43">
        <v>46126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46193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 t="s">
        <v>25</v>
      </c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 t="s">
        <v>25</v>
      </c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1528</v>
      </c>
      <c r="C10" s="41" t="s">
        <v>1529</v>
      </c>
      <c r="D10" s="39" t="s">
        <v>1519</v>
      </c>
      <c r="E10" s="43">
        <v>46126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46193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1530</v>
      </c>
      <c r="C11" s="25" t="s">
        <v>1531</v>
      </c>
      <c r="D11" s="23" t="s">
        <v>1519</v>
      </c>
      <c r="E11" s="43">
        <v>46126</v>
      </c>
      <c r="F11" s="26" t="s">
        <v>23</v>
      </c>
      <c r="G11" s="26" t="s">
        <v>25</v>
      </c>
      <c r="H11" s="26" t="s">
        <v>25</v>
      </c>
      <c r="I11" s="26" t="s">
        <v>735</v>
      </c>
      <c r="J11" s="26" t="s">
        <v>25</v>
      </c>
      <c r="K11" s="27"/>
      <c r="L11" s="28" t="s">
        <v>24</v>
      </c>
      <c r="M11" s="29" t="str">
        <f t="shared" si="0"/>
        <v>⚠ Missing</v>
      </c>
      <c r="N11" s="43">
        <v>46193</v>
      </c>
      <c r="O11" s="26" t="s">
        <v>23</v>
      </c>
      <c r="P11" s="26" t="s">
        <v>25</v>
      </c>
      <c r="Q11" s="26" t="s">
        <v>25</v>
      </c>
      <c r="R11" s="26" t="s">
        <v>735</v>
      </c>
      <c r="S11" s="26" t="s">
        <v>25</v>
      </c>
      <c r="T11" s="27"/>
      <c r="U11" s="28" t="s">
        <v>24</v>
      </c>
      <c r="V11" s="29" t="str">
        <f t="shared" si="1"/>
        <v>⚠ Missing</v>
      </c>
      <c r="W11" s="45">
        <v>46248</v>
      </c>
      <c r="X11" s="30" t="s">
        <v>23</v>
      </c>
      <c r="Y11" s="30" t="s">
        <v>25</v>
      </c>
      <c r="Z11" s="30" t="s">
        <v>25</v>
      </c>
      <c r="AA11" s="30" t="s">
        <v>735</v>
      </c>
      <c r="AB11" s="30" t="s">
        <v>25</v>
      </c>
      <c r="AC11" s="27"/>
      <c r="AD11" s="31" t="s">
        <v>24</v>
      </c>
      <c r="AE11" s="32" t="str">
        <f t="shared" si="2"/>
        <v>⚠ Missing</v>
      </c>
      <c r="AF11" s="33" t="s">
        <v>27</v>
      </c>
      <c r="AG11" s="33" t="s">
        <v>23</v>
      </c>
      <c r="AH11" s="33" t="s">
        <v>25</v>
      </c>
      <c r="AI11" s="33" t="s">
        <v>25</v>
      </c>
      <c r="AJ11" s="33" t="s">
        <v>735</v>
      </c>
      <c r="AK11" s="33" t="s">
        <v>25</v>
      </c>
      <c r="AL11" s="27"/>
      <c r="AM11" s="34" t="s">
        <v>24</v>
      </c>
      <c r="AN11" s="35" t="str">
        <f t="shared" si="3"/>
        <v>⚠ Missing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1532</v>
      </c>
      <c r="C12" s="41" t="s">
        <v>1533</v>
      </c>
      <c r="D12" s="39" t="s">
        <v>1519</v>
      </c>
      <c r="E12" s="43">
        <v>46126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46193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1534</v>
      </c>
      <c r="C13" s="25" t="s">
        <v>1535</v>
      </c>
      <c r="D13" s="23" t="s">
        <v>1519</v>
      </c>
      <c r="E13" s="43">
        <v>46126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46193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 t="s">
        <v>25</v>
      </c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 t="s">
        <v>25</v>
      </c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1536</v>
      </c>
      <c r="C14" s="41" t="s">
        <v>1537</v>
      </c>
      <c r="D14" s="39" t="s">
        <v>1519</v>
      </c>
      <c r="E14" s="43">
        <v>46126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46193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1538</v>
      </c>
      <c r="C15" s="25" t="s">
        <v>1539</v>
      </c>
      <c r="D15" s="23" t="s">
        <v>1519</v>
      </c>
      <c r="E15" s="43">
        <v>46126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46193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1540</v>
      </c>
      <c r="C16" s="41" t="s">
        <v>1541</v>
      </c>
      <c r="D16" s="39" t="s">
        <v>1519</v>
      </c>
      <c r="E16" s="43">
        <v>46126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46193</v>
      </c>
      <c r="O16" s="26" t="s">
        <v>23</v>
      </c>
      <c r="P16" s="26" t="s">
        <v>25</v>
      </c>
      <c r="Q16" s="26" t="s">
        <v>24</v>
      </c>
      <c r="R16" s="26" t="s">
        <v>135</v>
      </c>
      <c r="S16" s="26" t="s">
        <v>25</v>
      </c>
      <c r="T16" s="27"/>
      <c r="U16" s="28" t="s">
        <v>25</v>
      </c>
      <c r="V16" s="29" t="str">
        <f t="shared" si="1"/>
        <v>❌ Disc</v>
      </c>
      <c r="W16" s="45">
        <v>46248</v>
      </c>
      <c r="X16" s="30" t="s">
        <v>23</v>
      </c>
      <c r="Y16" s="30" t="s">
        <v>25</v>
      </c>
      <c r="Z16" s="30" t="s">
        <v>24</v>
      </c>
      <c r="AA16" s="30" t="s">
        <v>135</v>
      </c>
      <c r="AB16" s="30" t="s">
        <v>25</v>
      </c>
      <c r="AC16" s="27"/>
      <c r="AD16" s="31" t="s">
        <v>25</v>
      </c>
      <c r="AE16" s="32" t="str">
        <f t="shared" si="2"/>
        <v>❌ Disc</v>
      </c>
      <c r="AF16" s="33" t="s">
        <v>27</v>
      </c>
      <c r="AG16" s="33" t="s">
        <v>23</v>
      </c>
      <c r="AH16" s="33" t="s">
        <v>25</v>
      </c>
      <c r="AI16" s="33" t="s">
        <v>24</v>
      </c>
      <c r="AJ16" s="33" t="s">
        <v>135</v>
      </c>
      <c r="AK16" s="33" t="s">
        <v>25</v>
      </c>
      <c r="AL16" s="27"/>
      <c r="AM16" s="34" t="s">
        <v>25</v>
      </c>
      <c r="AN16" s="35" t="str">
        <f t="shared" si="3"/>
        <v>❌ Disc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1542</v>
      </c>
      <c r="C17" s="25" t="s">
        <v>1543</v>
      </c>
      <c r="D17" s="23" t="s">
        <v>1519</v>
      </c>
      <c r="E17" s="43">
        <v>46126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46193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24</v>
      </c>
      <c r="Z17" s="30" t="s">
        <v>25</v>
      </c>
      <c r="AA17" s="30" t="s">
        <v>26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24</v>
      </c>
      <c r="AI17" s="33" t="s">
        <v>25</v>
      </c>
      <c r="AJ17" s="33" t="s">
        <v>26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1544</v>
      </c>
      <c r="C18" s="41" t="s">
        <v>1545</v>
      </c>
      <c r="D18" s="39" t="s">
        <v>1519</v>
      </c>
      <c r="E18" s="43">
        <v>46126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46193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1546</v>
      </c>
      <c r="C19" s="25" t="s">
        <v>1547</v>
      </c>
      <c r="D19" s="23" t="s">
        <v>1519</v>
      </c>
      <c r="E19" s="43">
        <v>46126</v>
      </c>
      <c r="F19" s="26" t="s">
        <v>23</v>
      </c>
      <c r="G19" s="26" t="s">
        <v>25</v>
      </c>
      <c r="H19" s="26" t="s">
        <v>25</v>
      </c>
      <c r="I19" s="26" t="s">
        <v>735</v>
      </c>
      <c r="J19" s="26" t="s">
        <v>25</v>
      </c>
      <c r="K19" s="27"/>
      <c r="L19" s="28" t="s">
        <v>24</v>
      </c>
      <c r="M19" s="29" t="str">
        <f t="shared" si="0"/>
        <v>⚠ Missing</v>
      </c>
      <c r="N19" s="43">
        <v>46193</v>
      </c>
      <c r="O19" s="26" t="s">
        <v>23</v>
      </c>
      <c r="P19" s="26" t="s">
        <v>25</v>
      </c>
      <c r="Q19" s="26" t="s">
        <v>25</v>
      </c>
      <c r="R19" s="26" t="s">
        <v>735</v>
      </c>
      <c r="S19" s="26" t="s">
        <v>25</v>
      </c>
      <c r="T19" s="27"/>
      <c r="U19" s="28" t="s">
        <v>24</v>
      </c>
      <c r="V19" s="29" t="str">
        <f t="shared" si="1"/>
        <v>⚠ Missing</v>
      </c>
      <c r="W19" s="45">
        <v>46248</v>
      </c>
      <c r="X19" s="30" t="s">
        <v>23</v>
      </c>
      <c r="Y19" s="30" t="s">
        <v>25</v>
      </c>
      <c r="Z19" s="30" t="s">
        <v>25</v>
      </c>
      <c r="AA19" s="30" t="s">
        <v>735</v>
      </c>
      <c r="AB19" s="30" t="s">
        <v>25</v>
      </c>
      <c r="AC19" s="27"/>
      <c r="AD19" s="31" t="s">
        <v>24</v>
      </c>
      <c r="AE19" s="32" t="str">
        <f t="shared" si="2"/>
        <v>⚠ Missing</v>
      </c>
      <c r="AF19" s="33" t="s">
        <v>27</v>
      </c>
      <c r="AG19" s="33" t="s">
        <v>23</v>
      </c>
      <c r="AH19" s="33" t="s">
        <v>25</v>
      </c>
      <c r="AI19" s="33" t="s">
        <v>25</v>
      </c>
      <c r="AJ19" s="33" t="s">
        <v>735</v>
      </c>
      <c r="AK19" s="33" t="s">
        <v>25</v>
      </c>
      <c r="AL19" s="27"/>
      <c r="AM19" s="34" t="s">
        <v>24</v>
      </c>
      <c r="AN19" s="35" t="str">
        <f t="shared" si="3"/>
        <v>⚠ Missing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1548</v>
      </c>
      <c r="C20" s="41" t="s">
        <v>1549</v>
      </c>
      <c r="D20" s="39" t="s">
        <v>1519</v>
      </c>
      <c r="E20" s="43">
        <v>46126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46193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24</v>
      </c>
      <c r="Z20" s="30" t="s">
        <v>25</v>
      </c>
      <c r="AA20" s="30" t="s">
        <v>26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24</v>
      </c>
      <c r="AI20" s="33" t="s">
        <v>25</v>
      </c>
      <c r="AJ20" s="33" t="s">
        <v>26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1550</v>
      </c>
      <c r="C21" s="25" t="s">
        <v>1551</v>
      </c>
      <c r="D21" s="23" t="s">
        <v>1519</v>
      </c>
      <c r="E21" s="43">
        <v>46126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46193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1552</v>
      </c>
      <c r="C22" s="41" t="s">
        <v>1553</v>
      </c>
      <c r="D22" s="39" t="s">
        <v>1519</v>
      </c>
      <c r="E22" s="43">
        <v>46126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43">
        <v>46193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24</v>
      </c>
      <c r="Z22" s="30" t="s">
        <v>25</v>
      </c>
      <c r="AA22" s="30" t="s">
        <v>26</v>
      </c>
      <c r="AB22" s="30" t="s">
        <v>24</v>
      </c>
      <c r="AC22" s="27"/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24</v>
      </c>
      <c r="AI22" s="33" t="s">
        <v>25</v>
      </c>
      <c r="AJ22" s="33" t="s">
        <v>26</v>
      </c>
      <c r="AK22" s="33" t="s">
        <v>24</v>
      </c>
      <c r="AL22" s="27"/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1554</v>
      </c>
      <c r="C23" s="25" t="s">
        <v>1555</v>
      </c>
      <c r="D23" s="23" t="s">
        <v>1519</v>
      </c>
      <c r="E23" s="43">
        <v>46126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46193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1556</v>
      </c>
      <c r="C24" s="41" t="s">
        <v>1557</v>
      </c>
      <c r="D24" s="39" t="s">
        <v>1519</v>
      </c>
      <c r="E24" s="43">
        <v>46126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46193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24</v>
      </c>
      <c r="Z24" s="30" t="s">
        <v>25</v>
      </c>
      <c r="AA24" s="30" t="s">
        <v>26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24</v>
      </c>
      <c r="AI24" s="33" t="s">
        <v>25</v>
      </c>
      <c r="AJ24" s="33" t="s">
        <v>26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1558</v>
      </c>
      <c r="C25" s="25" t="s">
        <v>1559</v>
      </c>
      <c r="D25" s="23" t="s">
        <v>1519</v>
      </c>
      <c r="E25" s="43">
        <v>46126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46193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1560</v>
      </c>
      <c r="C26" s="41" t="s">
        <v>1561</v>
      </c>
      <c r="D26" s="39" t="s">
        <v>1519</v>
      </c>
      <c r="E26" s="43">
        <v>46126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46193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24</v>
      </c>
      <c r="Z26" s="30" t="s">
        <v>25</v>
      </c>
      <c r="AA26" s="30" t="s">
        <v>26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24</v>
      </c>
      <c r="AI26" s="33" t="s">
        <v>25</v>
      </c>
      <c r="AJ26" s="33" t="s">
        <v>26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1562</v>
      </c>
      <c r="C27" s="25" t="s">
        <v>1563</v>
      </c>
      <c r="D27" s="23" t="s">
        <v>1519</v>
      </c>
      <c r="E27" s="43">
        <v>46126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46193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1564</v>
      </c>
      <c r="C28" s="41" t="s">
        <v>1565</v>
      </c>
      <c r="D28" s="39" t="s">
        <v>1519</v>
      </c>
      <c r="E28" s="43">
        <v>46126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46193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24</v>
      </c>
      <c r="AI28" s="33" t="s">
        <v>25</v>
      </c>
      <c r="AJ28" s="33" t="s">
        <v>26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1566</v>
      </c>
      <c r="C29" s="25" t="s">
        <v>1567</v>
      </c>
      <c r="D29" s="23" t="s">
        <v>1519</v>
      </c>
      <c r="E29" s="43">
        <v>46126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46193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1568</v>
      </c>
      <c r="C30" s="41" t="s">
        <v>1569</v>
      </c>
      <c r="D30" s="39" t="s">
        <v>1519</v>
      </c>
      <c r="E30" s="43">
        <v>46126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46193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24</v>
      </c>
      <c r="Z30" s="30" t="s">
        <v>25</v>
      </c>
      <c r="AA30" s="30" t="s">
        <v>26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24</v>
      </c>
      <c r="AI30" s="33" t="s">
        <v>25</v>
      </c>
      <c r="AJ30" s="33" t="s">
        <v>26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1570</v>
      </c>
      <c r="C31" s="25" t="s">
        <v>1571</v>
      </c>
      <c r="D31" s="23" t="s">
        <v>1519</v>
      </c>
      <c r="E31" s="43">
        <v>46126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46193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24</v>
      </c>
      <c r="AI31" s="33" t="s">
        <v>25</v>
      </c>
      <c r="AJ31" s="33" t="s">
        <v>26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1572</v>
      </c>
      <c r="C32" s="41" t="s">
        <v>1573</v>
      </c>
      <c r="D32" s="39" t="s">
        <v>1519</v>
      </c>
      <c r="E32" s="43">
        <v>46126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46193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24</v>
      </c>
      <c r="Z32" s="30" t="s">
        <v>25</v>
      </c>
      <c r="AA32" s="30" t="s">
        <v>26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24</v>
      </c>
      <c r="AI32" s="33" t="s">
        <v>25</v>
      </c>
      <c r="AJ32" s="33" t="s">
        <v>26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1574</v>
      </c>
      <c r="C33" s="25" t="s">
        <v>1575</v>
      </c>
      <c r="D33" s="23" t="s">
        <v>1519</v>
      </c>
      <c r="E33" s="43">
        <v>46126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46193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24</v>
      </c>
      <c r="Z33" s="30" t="s">
        <v>25</v>
      </c>
      <c r="AA33" s="30" t="s">
        <v>26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24</v>
      </c>
      <c r="AI33" s="33" t="s">
        <v>25</v>
      </c>
      <c r="AJ33" s="33" t="s">
        <v>26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1576</v>
      </c>
      <c r="C34" s="41" t="s">
        <v>1577</v>
      </c>
      <c r="D34" s="39" t="s">
        <v>1519</v>
      </c>
      <c r="E34" s="43">
        <v>46126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46193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24</v>
      </c>
      <c r="Z34" s="30" t="s">
        <v>25</v>
      </c>
      <c r="AA34" s="30" t="s">
        <v>26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24</v>
      </c>
      <c r="AI34" s="33" t="s">
        <v>25</v>
      </c>
      <c r="AJ34" s="33" t="s">
        <v>26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1578</v>
      </c>
      <c r="C35" s="25" t="s">
        <v>1579</v>
      </c>
      <c r="D35" s="23" t="s">
        <v>1519</v>
      </c>
      <c r="E35" s="43">
        <v>46126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46193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24</v>
      </c>
      <c r="Z35" s="30" t="s">
        <v>25</v>
      </c>
      <c r="AA35" s="30" t="s">
        <v>26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24</v>
      </c>
      <c r="AI35" s="33" t="s">
        <v>25</v>
      </c>
      <c r="AJ35" s="33" t="s">
        <v>26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1580</v>
      </c>
      <c r="C36" s="41" t="s">
        <v>1581</v>
      </c>
      <c r="D36" s="39" t="s">
        <v>1519</v>
      </c>
      <c r="E36" s="43">
        <v>46126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46193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24</v>
      </c>
      <c r="Z36" s="30" t="s">
        <v>25</v>
      </c>
      <c r="AA36" s="30" t="s">
        <v>26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24</v>
      </c>
      <c r="AI36" s="33" t="s">
        <v>25</v>
      </c>
      <c r="AJ36" s="33" t="s">
        <v>26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1582</v>
      </c>
      <c r="C37" s="25" t="s">
        <v>1583</v>
      </c>
      <c r="D37" s="23" t="s">
        <v>1519</v>
      </c>
      <c r="E37" s="43">
        <v>46126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ref="M37:M68" si="5">IF(E37="","",IF(H37="Yes","❌ Disc",IF(G37="No","⚠ Missing",IF(J37="Yes","✓ OK","⚠ Check"))))</f>
        <v>✓ OK</v>
      </c>
      <c r="N37" s="43">
        <v>46193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ref="V37:V68" si="6">IF(N37="","",IF(Q37="Yes","❌ Disc",IF(P37="No","⚠ Missing",IF(S37="Yes","✓ OK","⚠ Check"))))</f>
        <v>✓ OK</v>
      </c>
      <c r="W37" s="45">
        <v>46248</v>
      </c>
      <c r="X37" s="30" t="s">
        <v>23</v>
      </c>
      <c r="Y37" s="30" t="s">
        <v>24</v>
      </c>
      <c r="Z37" s="30" t="s">
        <v>25</v>
      </c>
      <c r="AA37" s="30" t="s">
        <v>26</v>
      </c>
      <c r="AB37" s="30" t="s">
        <v>24</v>
      </c>
      <c r="AC37" s="27"/>
      <c r="AD37" s="31" t="s">
        <v>25</v>
      </c>
      <c r="AE37" s="32" t="str">
        <f t="shared" ref="AE37:AE68" si="7">IF(W37="","",IF(Z37="Yes","❌ Disc",IF(Y37="No","⚠ Missing",IF(AB37="Yes","✓ OK","⚠ Check"))))</f>
        <v>✓ OK</v>
      </c>
      <c r="AF37" s="33" t="s">
        <v>27</v>
      </c>
      <c r="AG37" s="33" t="s">
        <v>23</v>
      </c>
      <c r="AH37" s="33" t="s">
        <v>24</v>
      </c>
      <c r="AI37" s="33" t="s">
        <v>25</v>
      </c>
      <c r="AJ37" s="33" t="s">
        <v>26</v>
      </c>
      <c r="AK37" s="33" t="s">
        <v>24</v>
      </c>
      <c r="AL37" s="27"/>
      <c r="AM37" s="34" t="s">
        <v>25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1584</v>
      </c>
      <c r="C38" s="41" t="s">
        <v>1585</v>
      </c>
      <c r="D38" s="39" t="s">
        <v>1519</v>
      </c>
      <c r="E38" s="43">
        <v>46126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43">
        <v>46193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7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1586</v>
      </c>
      <c r="C39" s="25" t="s">
        <v>1587</v>
      </c>
      <c r="D39" s="23" t="s">
        <v>1519</v>
      </c>
      <c r="E39" s="43">
        <v>46126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5"/>
        <v>✓ OK</v>
      </c>
      <c r="N39" s="43">
        <v>46193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6"/>
        <v>✓ OK</v>
      </c>
      <c r="W39" s="45">
        <v>46248</v>
      </c>
      <c r="X39" s="30" t="s">
        <v>23</v>
      </c>
      <c r="Y39" s="30" t="s">
        <v>24</v>
      </c>
      <c r="Z39" s="30" t="s">
        <v>25</v>
      </c>
      <c r="AA39" s="30" t="s">
        <v>26</v>
      </c>
      <c r="AB39" s="30" t="s">
        <v>24</v>
      </c>
      <c r="AC39" s="27"/>
      <c r="AD39" s="31" t="s">
        <v>25</v>
      </c>
      <c r="AE39" s="32" t="str">
        <f t="shared" si="7"/>
        <v>✓ OK</v>
      </c>
      <c r="AF39" s="33" t="s">
        <v>27</v>
      </c>
      <c r="AG39" s="33" t="s">
        <v>23</v>
      </c>
      <c r="AH39" s="33" t="s">
        <v>24</v>
      </c>
      <c r="AI39" s="33" t="s">
        <v>25</v>
      </c>
      <c r="AJ39" s="33" t="s">
        <v>26</v>
      </c>
      <c r="AK39" s="33" t="s">
        <v>24</v>
      </c>
      <c r="AL39" s="27"/>
      <c r="AM39" s="34" t="s">
        <v>25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1588</v>
      </c>
      <c r="C40" s="41" t="s">
        <v>1589</v>
      </c>
      <c r="D40" s="39" t="s">
        <v>1519</v>
      </c>
      <c r="E40" s="43">
        <v>46126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5"/>
        <v>✓ OK</v>
      </c>
      <c r="N40" s="43">
        <v>46193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6"/>
        <v>✓ OK</v>
      </c>
      <c r="W40" s="45">
        <v>46248</v>
      </c>
      <c r="X40" s="30" t="s">
        <v>23</v>
      </c>
      <c r="Y40" s="30" t="s">
        <v>24</v>
      </c>
      <c r="Z40" s="30" t="s">
        <v>25</v>
      </c>
      <c r="AA40" s="30" t="s">
        <v>26</v>
      </c>
      <c r="AB40" s="30" t="s">
        <v>24</v>
      </c>
      <c r="AC40" s="27"/>
      <c r="AD40" s="31" t="s">
        <v>25</v>
      </c>
      <c r="AE40" s="32" t="str">
        <f t="shared" si="7"/>
        <v>✓ OK</v>
      </c>
      <c r="AF40" s="33" t="s">
        <v>27</v>
      </c>
      <c r="AG40" s="33" t="s">
        <v>23</v>
      </c>
      <c r="AH40" s="33" t="s">
        <v>24</v>
      </c>
      <c r="AI40" s="33" t="s">
        <v>25</v>
      </c>
      <c r="AJ40" s="33" t="s">
        <v>26</v>
      </c>
      <c r="AK40" s="33" t="s">
        <v>24</v>
      </c>
      <c r="AL40" s="27"/>
      <c r="AM40" s="34" t="s">
        <v>25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1590</v>
      </c>
      <c r="C41" s="25" t="s">
        <v>1591</v>
      </c>
      <c r="D41" s="23" t="s">
        <v>1519</v>
      </c>
      <c r="E41" s="43">
        <v>46126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5"/>
        <v>✓ OK</v>
      </c>
      <c r="N41" s="43">
        <v>46193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6"/>
        <v>✓ OK</v>
      </c>
      <c r="W41" s="45">
        <v>46248</v>
      </c>
      <c r="X41" s="30" t="s">
        <v>23</v>
      </c>
      <c r="Y41" s="30" t="s">
        <v>24</v>
      </c>
      <c r="Z41" s="30" t="s">
        <v>25</v>
      </c>
      <c r="AA41" s="30" t="s">
        <v>26</v>
      </c>
      <c r="AB41" s="30" t="s">
        <v>24</v>
      </c>
      <c r="AC41" s="27"/>
      <c r="AD41" s="31" t="s">
        <v>25</v>
      </c>
      <c r="AE41" s="32" t="str">
        <f t="shared" si="7"/>
        <v>✓ OK</v>
      </c>
      <c r="AF41" s="33" t="s">
        <v>27</v>
      </c>
      <c r="AG41" s="33" t="s">
        <v>23</v>
      </c>
      <c r="AH41" s="33" t="s">
        <v>24</v>
      </c>
      <c r="AI41" s="33" t="s">
        <v>25</v>
      </c>
      <c r="AJ41" s="33" t="s">
        <v>26</v>
      </c>
      <c r="AK41" s="33" t="s">
        <v>24</v>
      </c>
      <c r="AL41" s="27"/>
      <c r="AM41" s="34" t="s">
        <v>25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1592</v>
      </c>
      <c r="C42" s="41" t="s">
        <v>1593</v>
      </c>
      <c r="D42" s="39" t="s">
        <v>1519</v>
      </c>
      <c r="E42" s="43">
        <v>46126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5"/>
        <v>✓ OK</v>
      </c>
      <c r="N42" s="43">
        <v>46193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6"/>
        <v>✓ OK</v>
      </c>
      <c r="W42" s="45">
        <v>46248</v>
      </c>
      <c r="X42" s="30" t="s">
        <v>23</v>
      </c>
      <c r="Y42" s="30" t="s">
        <v>24</v>
      </c>
      <c r="Z42" s="30" t="s">
        <v>25</v>
      </c>
      <c r="AA42" s="30" t="s">
        <v>26</v>
      </c>
      <c r="AB42" s="30" t="s">
        <v>24</v>
      </c>
      <c r="AC42" s="27"/>
      <c r="AD42" s="31" t="s">
        <v>25</v>
      </c>
      <c r="AE42" s="32" t="str">
        <f t="shared" si="7"/>
        <v>✓ OK</v>
      </c>
      <c r="AF42" s="33" t="s">
        <v>27</v>
      </c>
      <c r="AG42" s="33" t="s">
        <v>23</v>
      </c>
      <c r="AH42" s="33" t="s">
        <v>24</v>
      </c>
      <c r="AI42" s="33" t="s">
        <v>25</v>
      </c>
      <c r="AJ42" s="33" t="s">
        <v>26</v>
      </c>
      <c r="AK42" s="33" t="s">
        <v>24</v>
      </c>
      <c r="AL42" s="27"/>
      <c r="AM42" s="34" t="s">
        <v>25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1594</v>
      </c>
      <c r="C43" s="25" t="s">
        <v>1595</v>
      </c>
      <c r="D43" s="23" t="s">
        <v>1519</v>
      </c>
      <c r="E43" s="43">
        <v>46126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5"/>
        <v>✓ OK</v>
      </c>
      <c r="N43" s="43">
        <v>46193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6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7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1596</v>
      </c>
      <c r="C44" s="41" t="s">
        <v>1597</v>
      </c>
      <c r="D44" s="39" t="s">
        <v>1519</v>
      </c>
      <c r="E44" s="43">
        <v>46126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5"/>
        <v>✓ OK</v>
      </c>
      <c r="N44" s="43">
        <v>46193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6"/>
        <v>✓ OK</v>
      </c>
      <c r="W44" s="45">
        <v>46248</v>
      </c>
      <c r="X44" s="30" t="s">
        <v>23</v>
      </c>
      <c r="Y44" s="30" t="s">
        <v>24</v>
      </c>
      <c r="Z44" s="30" t="s">
        <v>25</v>
      </c>
      <c r="AA44" s="30" t="s">
        <v>26</v>
      </c>
      <c r="AB44" s="30" t="s">
        <v>24</v>
      </c>
      <c r="AC44" s="27"/>
      <c r="AD44" s="31" t="s">
        <v>25</v>
      </c>
      <c r="AE44" s="32" t="str">
        <f t="shared" si="7"/>
        <v>✓ OK</v>
      </c>
      <c r="AF44" s="33" t="s">
        <v>27</v>
      </c>
      <c r="AG44" s="33" t="s">
        <v>23</v>
      </c>
      <c r="AH44" s="33" t="s">
        <v>24</v>
      </c>
      <c r="AI44" s="33" t="s">
        <v>25</v>
      </c>
      <c r="AJ44" s="33" t="s">
        <v>26</v>
      </c>
      <c r="AK44" s="33" t="s">
        <v>24</v>
      </c>
      <c r="AL44" s="27"/>
      <c r="AM44" s="34" t="s">
        <v>25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1598</v>
      </c>
      <c r="C45" s="25" t="s">
        <v>1599</v>
      </c>
      <c r="D45" s="23" t="s">
        <v>1519</v>
      </c>
      <c r="E45" s="43">
        <v>46126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5"/>
        <v>✓ OK</v>
      </c>
      <c r="N45" s="43">
        <v>46193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6"/>
        <v>✓ OK</v>
      </c>
      <c r="W45" s="45">
        <v>46248</v>
      </c>
      <c r="X45" s="30" t="s">
        <v>23</v>
      </c>
      <c r="Y45" s="30" t="s">
        <v>24</v>
      </c>
      <c r="Z45" s="30" t="s">
        <v>25</v>
      </c>
      <c r="AA45" s="30" t="s">
        <v>26</v>
      </c>
      <c r="AB45" s="30" t="s">
        <v>24</v>
      </c>
      <c r="AC45" s="27"/>
      <c r="AD45" s="31" t="s">
        <v>25</v>
      </c>
      <c r="AE45" s="32" t="str">
        <f t="shared" si="7"/>
        <v>✓ OK</v>
      </c>
      <c r="AF45" s="33" t="s">
        <v>27</v>
      </c>
      <c r="AG45" s="33" t="s">
        <v>23</v>
      </c>
      <c r="AH45" s="33" t="s">
        <v>24</v>
      </c>
      <c r="AI45" s="33" t="s">
        <v>25</v>
      </c>
      <c r="AJ45" s="33" t="s">
        <v>26</v>
      </c>
      <c r="AK45" s="33" t="s">
        <v>24</v>
      </c>
      <c r="AL45" s="27"/>
      <c r="AM45" s="34" t="s">
        <v>25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1600</v>
      </c>
      <c r="C46" s="41" t="s">
        <v>1601</v>
      </c>
      <c r="D46" s="39" t="s">
        <v>1519</v>
      </c>
      <c r="E46" s="43">
        <v>46126</v>
      </c>
      <c r="F46" s="26" t="s">
        <v>23</v>
      </c>
      <c r="G46" s="26" t="s">
        <v>25</v>
      </c>
      <c r="H46" s="26" t="s">
        <v>25</v>
      </c>
      <c r="I46" s="26" t="s">
        <v>735</v>
      </c>
      <c r="J46" s="26" t="s">
        <v>25</v>
      </c>
      <c r="K46" s="27"/>
      <c r="L46" s="28" t="s">
        <v>24</v>
      </c>
      <c r="M46" s="29" t="str">
        <f t="shared" si="5"/>
        <v>⚠ Missing</v>
      </c>
      <c r="N46" s="43">
        <v>46193</v>
      </c>
      <c r="O46" s="26" t="s">
        <v>23</v>
      </c>
      <c r="P46" s="26" t="s">
        <v>25</v>
      </c>
      <c r="Q46" s="26" t="s">
        <v>25</v>
      </c>
      <c r="R46" s="26" t="s">
        <v>735</v>
      </c>
      <c r="S46" s="26" t="s">
        <v>25</v>
      </c>
      <c r="T46" s="27"/>
      <c r="U46" s="28" t="s">
        <v>24</v>
      </c>
      <c r="V46" s="29" t="str">
        <f t="shared" si="6"/>
        <v>⚠ Missing</v>
      </c>
      <c r="W46" s="45">
        <v>46248</v>
      </c>
      <c r="X46" s="30" t="s">
        <v>23</v>
      </c>
      <c r="Y46" s="30" t="s">
        <v>25</v>
      </c>
      <c r="Z46" s="30" t="s">
        <v>25</v>
      </c>
      <c r="AA46" s="30" t="s">
        <v>735</v>
      </c>
      <c r="AB46" s="30" t="s">
        <v>25</v>
      </c>
      <c r="AC46" s="27"/>
      <c r="AD46" s="31" t="s">
        <v>24</v>
      </c>
      <c r="AE46" s="32" t="str">
        <f t="shared" si="7"/>
        <v>⚠ Missing</v>
      </c>
      <c r="AF46" s="33" t="s">
        <v>27</v>
      </c>
      <c r="AG46" s="33" t="s">
        <v>23</v>
      </c>
      <c r="AH46" s="33" t="s">
        <v>25</v>
      </c>
      <c r="AI46" s="33" t="s">
        <v>25</v>
      </c>
      <c r="AJ46" s="33" t="s">
        <v>735</v>
      </c>
      <c r="AK46" s="33" t="s">
        <v>25</v>
      </c>
      <c r="AL46" s="27"/>
      <c r="AM46" s="34" t="s">
        <v>24</v>
      </c>
      <c r="AN46" s="35" t="str">
        <f t="shared" si="8"/>
        <v>⚠ Missing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1602</v>
      </c>
      <c r="C47" s="25" t="s">
        <v>1603</v>
      </c>
      <c r="D47" s="23" t="s">
        <v>1519</v>
      </c>
      <c r="E47" s="43">
        <v>46126</v>
      </c>
      <c r="F47" s="26" t="s">
        <v>23</v>
      </c>
      <c r="G47" s="26" t="s">
        <v>25</v>
      </c>
      <c r="H47" s="26" t="s">
        <v>25</v>
      </c>
      <c r="I47" s="26" t="s">
        <v>735</v>
      </c>
      <c r="J47" s="26" t="s">
        <v>25</v>
      </c>
      <c r="K47" s="27"/>
      <c r="L47" s="28" t="s">
        <v>24</v>
      </c>
      <c r="M47" s="29" t="str">
        <f t="shared" si="5"/>
        <v>⚠ Missing</v>
      </c>
      <c r="N47" s="43">
        <v>46193</v>
      </c>
      <c r="O47" s="26" t="s">
        <v>23</v>
      </c>
      <c r="P47" s="26" t="s">
        <v>25</v>
      </c>
      <c r="Q47" s="26" t="s">
        <v>25</v>
      </c>
      <c r="R47" s="26" t="s">
        <v>735</v>
      </c>
      <c r="S47" s="26" t="s">
        <v>25</v>
      </c>
      <c r="T47" s="27"/>
      <c r="U47" s="28" t="s">
        <v>24</v>
      </c>
      <c r="V47" s="29" t="str">
        <f t="shared" si="6"/>
        <v>⚠ Missing</v>
      </c>
      <c r="W47" s="45">
        <v>46248</v>
      </c>
      <c r="X47" s="30" t="s">
        <v>23</v>
      </c>
      <c r="Y47" s="30" t="s">
        <v>25</v>
      </c>
      <c r="Z47" s="30" t="s">
        <v>25</v>
      </c>
      <c r="AA47" s="30" t="s">
        <v>735</v>
      </c>
      <c r="AB47" s="30" t="s">
        <v>25</v>
      </c>
      <c r="AC47" s="27"/>
      <c r="AD47" s="31" t="s">
        <v>24</v>
      </c>
      <c r="AE47" s="32" t="str">
        <f t="shared" si="7"/>
        <v>⚠ Missing</v>
      </c>
      <c r="AF47" s="33" t="s">
        <v>27</v>
      </c>
      <c r="AG47" s="33" t="s">
        <v>23</v>
      </c>
      <c r="AH47" s="33" t="s">
        <v>25</v>
      </c>
      <c r="AI47" s="33" t="s">
        <v>25</v>
      </c>
      <c r="AJ47" s="33" t="s">
        <v>735</v>
      </c>
      <c r="AK47" s="33" t="s">
        <v>25</v>
      </c>
      <c r="AL47" s="27"/>
      <c r="AM47" s="34" t="s">
        <v>24</v>
      </c>
      <c r="AN47" s="35" t="str">
        <f t="shared" si="8"/>
        <v>⚠ Missing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1604</v>
      </c>
      <c r="C48" s="41" t="s">
        <v>1605</v>
      </c>
      <c r="D48" s="39" t="s">
        <v>1519</v>
      </c>
      <c r="E48" s="43">
        <v>46126</v>
      </c>
      <c r="F48" s="26" t="s">
        <v>23</v>
      </c>
      <c r="G48" s="26" t="s">
        <v>25</v>
      </c>
      <c r="H48" s="26" t="s">
        <v>25</v>
      </c>
      <c r="I48" s="26" t="s">
        <v>735</v>
      </c>
      <c r="J48" s="26" t="s">
        <v>25</v>
      </c>
      <c r="K48" s="27"/>
      <c r="L48" s="28" t="s">
        <v>24</v>
      </c>
      <c r="M48" s="29" t="str">
        <f t="shared" si="5"/>
        <v>⚠ Missing</v>
      </c>
      <c r="N48" s="43">
        <v>46193</v>
      </c>
      <c r="O48" s="26" t="s">
        <v>23</v>
      </c>
      <c r="P48" s="26" t="s">
        <v>25</v>
      </c>
      <c r="Q48" s="26" t="s">
        <v>25</v>
      </c>
      <c r="R48" s="26" t="s">
        <v>735</v>
      </c>
      <c r="S48" s="26" t="s">
        <v>25</v>
      </c>
      <c r="T48" s="27"/>
      <c r="U48" s="28" t="s">
        <v>24</v>
      </c>
      <c r="V48" s="29" t="str">
        <f t="shared" si="6"/>
        <v>⚠ Missing</v>
      </c>
      <c r="W48" s="45">
        <v>46248</v>
      </c>
      <c r="X48" s="30" t="s">
        <v>23</v>
      </c>
      <c r="Y48" s="30" t="s">
        <v>25</v>
      </c>
      <c r="Z48" s="30" t="s">
        <v>25</v>
      </c>
      <c r="AA48" s="30" t="s">
        <v>735</v>
      </c>
      <c r="AB48" s="30" t="s">
        <v>25</v>
      </c>
      <c r="AC48" s="27"/>
      <c r="AD48" s="31" t="s">
        <v>24</v>
      </c>
      <c r="AE48" s="32" t="str">
        <f t="shared" si="7"/>
        <v>⚠ Missing</v>
      </c>
      <c r="AF48" s="33" t="s">
        <v>27</v>
      </c>
      <c r="AG48" s="33" t="s">
        <v>23</v>
      </c>
      <c r="AH48" s="33" t="s">
        <v>25</v>
      </c>
      <c r="AI48" s="33" t="s">
        <v>25</v>
      </c>
      <c r="AJ48" s="33" t="s">
        <v>735</v>
      </c>
      <c r="AK48" s="33" t="s">
        <v>25</v>
      </c>
      <c r="AL48" s="27"/>
      <c r="AM48" s="34" t="s">
        <v>24</v>
      </c>
      <c r="AN48" s="35" t="str">
        <f t="shared" si="8"/>
        <v>⚠ Missing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1606</v>
      </c>
      <c r="C49" s="25" t="s">
        <v>1607</v>
      </c>
      <c r="D49" s="23" t="s">
        <v>1519</v>
      </c>
      <c r="E49" s="43">
        <v>46126</v>
      </c>
      <c r="F49" s="26" t="s">
        <v>23</v>
      </c>
      <c r="G49" s="26" t="s">
        <v>25</v>
      </c>
      <c r="H49" s="26" t="s">
        <v>25</v>
      </c>
      <c r="I49" s="26" t="s">
        <v>735</v>
      </c>
      <c r="J49" s="26" t="s">
        <v>25</v>
      </c>
      <c r="K49" s="27"/>
      <c r="L49" s="28" t="s">
        <v>24</v>
      </c>
      <c r="M49" s="29" t="str">
        <f t="shared" si="5"/>
        <v>⚠ Missing</v>
      </c>
      <c r="N49" s="43">
        <v>46193</v>
      </c>
      <c r="O49" s="26" t="s">
        <v>23</v>
      </c>
      <c r="P49" s="26" t="s">
        <v>25</v>
      </c>
      <c r="Q49" s="26" t="s">
        <v>25</v>
      </c>
      <c r="R49" s="26" t="s">
        <v>735</v>
      </c>
      <c r="S49" s="26" t="s">
        <v>25</v>
      </c>
      <c r="T49" s="27"/>
      <c r="U49" s="28" t="s">
        <v>24</v>
      </c>
      <c r="V49" s="29" t="str">
        <f t="shared" si="6"/>
        <v>⚠ Missing</v>
      </c>
      <c r="W49" s="45">
        <v>46248</v>
      </c>
      <c r="X49" s="30" t="s">
        <v>23</v>
      </c>
      <c r="Y49" s="30" t="s">
        <v>25</v>
      </c>
      <c r="Z49" s="30" t="s">
        <v>25</v>
      </c>
      <c r="AA49" s="30" t="s">
        <v>735</v>
      </c>
      <c r="AB49" s="30" t="s">
        <v>25</v>
      </c>
      <c r="AC49" s="27"/>
      <c r="AD49" s="31" t="s">
        <v>24</v>
      </c>
      <c r="AE49" s="32" t="str">
        <f t="shared" si="7"/>
        <v>⚠ Missing</v>
      </c>
      <c r="AF49" s="33" t="s">
        <v>27</v>
      </c>
      <c r="AG49" s="33" t="s">
        <v>23</v>
      </c>
      <c r="AH49" s="33" t="s">
        <v>25</v>
      </c>
      <c r="AI49" s="33" t="s">
        <v>25</v>
      </c>
      <c r="AJ49" s="33" t="s">
        <v>735</v>
      </c>
      <c r="AK49" s="33" t="s">
        <v>25</v>
      </c>
      <c r="AL49" s="27"/>
      <c r="AM49" s="34" t="s">
        <v>24</v>
      </c>
      <c r="AN49" s="35" t="str">
        <f t="shared" si="8"/>
        <v>⚠ Missing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1608</v>
      </c>
      <c r="C50" s="41" t="s">
        <v>1609</v>
      </c>
      <c r="D50" s="39" t="s">
        <v>1519</v>
      </c>
      <c r="E50" s="43">
        <v>46126</v>
      </c>
      <c r="F50" s="26" t="s">
        <v>23</v>
      </c>
      <c r="G50" s="26" t="s">
        <v>25</v>
      </c>
      <c r="H50" s="26" t="s">
        <v>25</v>
      </c>
      <c r="I50" s="26" t="s">
        <v>735</v>
      </c>
      <c r="J50" s="26" t="s">
        <v>25</v>
      </c>
      <c r="K50" s="27"/>
      <c r="L50" s="28" t="s">
        <v>24</v>
      </c>
      <c r="M50" s="29" t="str">
        <f t="shared" si="5"/>
        <v>⚠ Missing</v>
      </c>
      <c r="N50" s="43">
        <v>46193</v>
      </c>
      <c r="O50" s="26" t="s">
        <v>23</v>
      </c>
      <c r="P50" s="26" t="s">
        <v>25</v>
      </c>
      <c r="Q50" s="26" t="s">
        <v>25</v>
      </c>
      <c r="R50" s="26" t="s">
        <v>735</v>
      </c>
      <c r="S50" s="26" t="s">
        <v>25</v>
      </c>
      <c r="T50" s="27"/>
      <c r="U50" s="28" t="s">
        <v>24</v>
      </c>
      <c r="V50" s="29" t="str">
        <f t="shared" si="6"/>
        <v>⚠ Missing</v>
      </c>
      <c r="W50" s="45">
        <v>46248</v>
      </c>
      <c r="X50" s="30" t="s">
        <v>23</v>
      </c>
      <c r="Y50" s="30" t="s">
        <v>25</v>
      </c>
      <c r="Z50" s="30" t="s">
        <v>25</v>
      </c>
      <c r="AA50" s="30" t="s">
        <v>735</v>
      </c>
      <c r="AB50" s="30" t="s">
        <v>25</v>
      </c>
      <c r="AC50" s="27"/>
      <c r="AD50" s="31" t="s">
        <v>24</v>
      </c>
      <c r="AE50" s="32" t="str">
        <f t="shared" si="7"/>
        <v>⚠ Missing</v>
      </c>
      <c r="AF50" s="33" t="s">
        <v>27</v>
      </c>
      <c r="AG50" s="33" t="s">
        <v>23</v>
      </c>
      <c r="AH50" s="33" t="s">
        <v>25</v>
      </c>
      <c r="AI50" s="33" t="s">
        <v>25</v>
      </c>
      <c r="AJ50" s="33" t="s">
        <v>735</v>
      </c>
      <c r="AK50" s="33" t="s">
        <v>25</v>
      </c>
      <c r="AL50" s="27"/>
      <c r="AM50" s="34" t="s">
        <v>24</v>
      </c>
      <c r="AN50" s="35" t="str">
        <f t="shared" si="8"/>
        <v>⚠ Missing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1610</v>
      </c>
      <c r="C51" s="25" t="s">
        <v>1611</v>
      </c>
      <c r="D51" s="23" t="s">
        <v>1519</v>
      </c>
      <c r="E51" s="43">
        <v>46126</v>
      </c>
      <c r="F51" s="26" t="s">
        <v>23</v>
      </c>
      <c r="G51" s="26" t="s">
        <v>25</v>
      </c>
      <c r="H51" s="26" t="s">
        <v>25</v>
      </c>
      <c r="I51" s="26" t="s">
        <v>735</v>
      </c>
      <c r="J51" s="26" t="s">
        <v>25</v>
      </c>
      <c r="K51" s="27"/>
      <c r="L51" s="28" t="s">
        <v>24</v>
      </c>
      <c r="M51" s="29" t="str">
        <f t="shared" si="5"/>
        <v>⚠ Missing</v>
      </c>
      <c r="N51" s="43">
        <v>46193</v>
      </c>
      <c r="O51" s="26" t="s">
        <v>23</v>
      </c>
      <c r="P51" s="26" t="s">
        <v>25</v>
      </c>
      <c r="Q51" s="26" t="s">
        <v>25</v>
      </c>
      <c r="R51" s="26" t="s">
        <v>735</v>
      </c>
      <c r="S51" s="26" t="s">
        <v>25</v>
      </c>
      <c r="T51" s="27"/>
      <c r="U51" s="28" t="s">
        <v>24</v>
      </c>
      <c r="V51" s="29" t="str">
        <f t="shared" si="6"/>
        <v>⚠ Missing</v>
      </c>
      <c r="W51" s="45">
        <v>46248</v>
      </c>
      <c r="X51" s="30" t="s">
        <v>23</v>
      </c>
      <c r="Y51" s="30" t="s">
        <v>25</v>
      </c>
      <c r="Z51" s="30" t="s">
        <v>25</v>
      </c>
      <c r="AA51" s="30" t="s">
        <v>735</v>
      </c>
      <c r="AB51" s="30" t="s">
        <v>25</v>
      </c>
      <c r="AC51" s="27"/>
      <c r="AD51" s="31" t="s">
        <v>24</v>
      </c>
      <c r="AE51" s="32" t="str">
        <f t="shared" si="7"/>
        <v>⚠ Missing</v>
      </c>
      <c r="AF51" s="33" t="s">
        <v>27</v>
      </c>
      <c r="AG51" s="33" t="s">
        <v>23</v>
      </c>
      <c r="AH51" s="33" t="s">
        <v>25</v>
      </c>
      <c r="AI51" s="33" t="s">
        <v>25</v>
      </c>
      <c r="AJ51" s="33" t="s">
        <v>735</v>
      </c>
      <c r="AK51" s="33" t="s">
        <v>25</v>
      </c>
      <c r="AL51" s="27"/>
      <c r="AM51" s="34" t="s">
        <v>24</v>
      </c>
      <c r="AN51" s="35" t="str">
        <f t="shared" si="8"/>
        <v>⚠ Missing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1612</v>
      </c>
      <c r="C52" s="41" t="s">
        <v>1613</v>
      </c>
      <c r="D52" s="39" t="s">
        <v>1519</v>
      </c>
      <c r="E52" s="43">
        <v>46126</v>
      </c>
      <c r="F52" s="26" t="s">
        <v>23</v>
      </c>
      <c r="G52" s="26" t="s">
        <v>25</v>
      </c>
      <c r="H52" s="26" t="s">
        <v>25</v>
      </c>
      <c r="I52" s="26" t="s">
        <v>735</v>
      </c>
      <c r="J52" s="26" t="s">
        <v>25</v>
      </c>
      <c r="K52" s="27"/>
      <c r="L52" s="28" t="s">
        <v>24</v>
      </c>
      <c r="M52" s="29" t="str">
        <f t="shared" si="5"/>
        <v>⚠ Missing</v>
      </c>
      <c r="N52" s="43">
        <v>46193</v>
      </c>
      <c r="O52" s="26" t="s">
        <v>23</v>
      </c>
      <c r="P52" s="26" t="s">
        <v>25</v>
      </c>
      <c r="Q52" s="26" t="s">
        <v>25</v>
      </c>
      <c r="R52" s="26" t="s">
        <v>735</v>
      </c>
      <c r="S52" s="26" t="s">
        <v>25</v>
      </c>
      <c r="T52" s="27"/>
      <c r="U52" s="28" t="s">
        <v>24</v>
      </c>
      <c r="V52" s="29" t="str">
        <f t="shared" si="6"/>
        <v>⚠ Missing</v>
      </c>
      <c r="W52" s="45">
        <v>46248</v>
      </c>
      <c r="X52" s="30" t="s">
        <v>23</v>
      </c>
      <c r="Y52" s="30" t="s">
        <v>25</v>
      </c>
      <c r="Z52" s="30" t="s">
        <v>25</v>
      </c>
      <c r="AA52" s="30" t="s">
        <v>735</v>
      </c>
      <c r="AB52" s="30" t="s">
        <v>25</v>
      </c>
      <c r="AC52" s="27"/>
      <c r="AD52" s="31" t="s">
        <v>24</v>
      </c>
      <c r="AE52" s="32" t="str">
        <f t="shared" si="7"/>
        <v>⚠ Missing</v>
      </c>
      <c r="AF52" s="33" t="s">
        <v>27</v>
      </c>
      <c r="AG52" s="33" t="s">
        <v>23</v>
      </c>
      <c r="AH52" s="33" t="s">
        <v>25</v>
      </c>
      <c r="AI52" s="33" t="s">
        <v>25</v>
      </c>
      <c r="AJ52" s="33" t="s">
        <v>735</v>
      </c>
      <c r="AK52" s="33" t="s">
        <v>25</v>
      </c>
      <c r="AL52" s="27"/>
      <c r="AM52" s="34" t="s">
        <v>24</v>
      </c>
      <c r="AN52" s="35" t="str">
        <f t="shared" si="8"/>
        <v>⚠ Missing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1614</v>
      </c>
      <c r="C53" s="25" t="s">
        <v>1615</v>
      </c>
      <c r="D53" s="23" t="s">
        <v>1519</v>
      </c>
      <c r="E53" s="43">
        <v>46126</v>
      </c>
      <c r="F53" s="26" t="s">
        <v>23</v>
      </c>
      <c r="G53" s="26" t="s">
        <v>25</v>
      </c>
      <c r="H53" s="26" t="s">
        <v>25</v>
      </c>
      <c r="I53" s="26" t="s">
        <v>735</v>
      </c>
      <c r="J53" s="26" t="s">
        <v>25</v>
      </c>
      <c r="K53" s="27"/>
      <c r="L53" s="28" t="s">
        <v>24</v>
      </c>
      <c r="M53" s="29" t="str">
        <f t="shared" si="5"/>
        <v>⚠ Missing</v>
      </c>
      <c r="N53" s="43">
        <v>46193</v>
      </c>
      <c r="O53" s="26" t="s">
        <v>23</v>
      </c>
      <c r="P53" s="26" t="s">
        <v>25</v>
      </c>
      <c r="Q53" s="26" t="s">
        <v>25</v>
      </c>
      <c r="R53" s="26" t="s">
        <v>735</v>
      </c>
      <c r="S53" s="26" t="s">
        <v>25</v>
      </c>
      <c r="T53" s="27"/>
      <c r="U53" s="28" t="s">
        <v>24</v>
      </c>
      <c r="V53" s="29" t="str">
        <f t="shared" si="6"/>
        <v>⚠ Missing</v>
      </c>
      <c r="W53" s="45">
        <v>46248</v>
      </c>
      <c r="X53" s="30" t="s">
        <v>23</v>
      </c>
      <c r="Y53" s="30" t="s">
        <v>25</v>
      </c>
      <c r="Z53" s="30" t="s">
        <v>25</v>
      </c>
      <c r="AA53" s="30" t="s">
        <v>735</v>
      </c>
      <c r="AB53" s="30" t="s">
        <v>25</v>
      </c>
      <c r="AC53" s="27"/>
      <c r="AD53" s="31" t="s">
        <v>24</v>
      </c>
      <c r="AE53" s="32" t="str">
        <f t="shared" si="7"/>
        <v>⚠ Missing</v>
      </c>
      <c r="AF53" s="33" t="s">
        <v>27</v>
      </c>
      <c r="AG53" s="33" t="s">
        <v>23</v>
      </c>
      <c r="AH53" s="33" t="s">
        <v>25</v>
      </c>
      <c r="AI53" s="33" t="s">
        <v>25</v>
      </c>
      <c r="AJ53" s="33" t="s">
        <v>735</v>
      </c>
      <c r="AK53" s="33" t="s">
        <v>25</v>
      </c>
      <c r="AL53" s="27"/>
      <c r="AM53" s="34" t="s">
        <v>24</v>
      </c>
      <c r="AN53" s="35" t="str">
        <f t="shared" si="8"/>
        <v>⚠ Missing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1616</v>
      </c>
      <c r="C54" s="41" t="s">
        <v>1617</v>
      </c>
      <c r="D54" s="39" t="s">
        <v>1618</v>
      </c>
      <c r="E54" s="43">
        <v>46126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5"/>
        <v>✓ OK</v>
      </c>
      <c r="N54" s="43">
        <v>46193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6"/>
        <v>✓ OK</v>
      </c>
      <c r="W54" s="45">
        <v>46248</v>
      </c>
      <c r="X54" s="30" t="s">
        <v>23</v>
      </c>
      <c r="Y54" s="30" t="s">
        <v>24</v>
      </c>
      <c r="Z54" s="30" t="s">
        <v>25</v>
      </c>
      <c r="AA54" s="30" t="s">
        <v>26</v>
      </c>
      <c r="AB54" s="30" t="s">
        <v>24</v>
      </c>
      <c r="AC54" s="27"/>
      <c r="AD54" s="31" t="s">
        <v>25</v>
      </c>
      <c r="AE54" s="32" t="str">
        <f t="shared" si="7"/>
        <v>✓ OK</v>
      </c>
      <c r="AF54" s="33" t="s">
        <v>27</v>
      </c>
      <c r="AG54" s="33" t="s">
        <v>23</v>
      </c>
      <c r="AH54" s="33" t="s">
        <v>24</v>
      </c>
      <c r="AI54" s="33" t="s">
        <v>25</v>
      </c>
      <c r="AJ54" s="33" t="s">
        <v>26</v>
      </c>
      <c r="AK54" s="33" t="s">
        <v>24</v>
      </c>
      <c r="AL54" s="27"/>
      <c r="AM54" s="34" t="s">
        <v>25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1619</v>
      </c>
      <c r="C55" s="25" t="s">
        <v>1620</v>
      </c>
      <c r="D55" s="23" t="s">
        <v>1618</v>
      </c>
      <c r="E55" s="43">
        <v>46126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5"/>
        <v>✓ OK</v>
      </c>
      <c r="N55" s="43">
        <v>46193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6"/>
        <v>✓ OK</v>
      </c>
      <c r="W55" s="45">
        <v>46248</v>
      </c>
      <c r="X55" s="30" t="s">
        <v>23</v>
      </c>
      <c r="Y55" s="30" t="s">
        <v>24</v>
      </c>
      <c r="Z55" s="30" t="s">
        <v>25</v>
      </c>
      <c r="AA55" s="30" t="s">
        <v>26</v>
      </c>
      <c r="AB55" s="30" t="s">
        <v>24</v>
      </c>
      <c r="AC55" s="27"/>
      <c r="AD55" s="31" t="s">
        <v>25</v>
      </c>
      <c r="AE55" s="32" t="str">
        <f t="shared" si="7"/>
        <v>✓ OK</v>
      </c>
      <c r="AF55" s="33" t="s">
        <v>27</v>
      </c>
      <c r="AG55" s="33" t="s">
        <v>23</v>
      </c>
      <c r="AH55" s="33" t="s">
        <v>24</v>
      </c>
      <c r="AI55" s="33" t="s">
        <v>25</v>
      </c>
      <c r="AJ55" s="33" t="s">
        <v>26</v>
      </c>
      <c r="AK55" s="33" t="s">
        <v>24</v>
      </c>
      <c r="AL55" s="27"/>
      <c r="AM55" s="34" t="s">
        <v>25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1621</v>
      </c>
      <c r="C56" s="41" t="s">
        <v>1622</v>
      </c>
      <c r="D56" s="39" t="s">
        <v>1618</v>
      </c>
      <c r="E56" s="43">
        <v>46126</v>
      </c>
      <c r="F56" s="26" t="s">
        <v>23</v>
      </c>
      <c r="G56" s="26" t="s">
        <v>25</v>
      </c>
      <c r="H56" s="26" t="s">
        <v>25</v>
      </c>
      <c r="I56" s="26" t="s">
        <v>735</v>
      </c>
      <c r="J56" s="26" t="s">
        <v>25</v>
      </c>
      <c r="K56" s="27"/>
      <c r="L56" s="28" t="s">
        <v>24</v>
      </c>
      <c r="M56" s="29" t="str">
        <f t="shared" si="5"/>
        <v>⚠ Missing</v>
      </c>
      <c r="N56" s="43">
        <v>46193</v>
      </c>
      <c r="O56" s="26" t="s">
        <v>23</v>
      </c>
      <c r="P56" s="26" t="s">
        <v>25</v>
      </c>
      <c r="Q56" s="26" t="s">
        <v>25</v>
      </c>
      <c r="R56" s="26" t="s">
        <v>735</v>
      </c>
      <c r="S56" s="26" t="s">
        <v>25</v>
      </c>
      <c r="T56" s="27"/>
      <c r="U56" s="28" t="s">
        <v>24</v>
      </c>
      <c r="V56" s="29" t="str">
        <f t="shared" si="6"/>
        <v>⚠ Missing</v>
      </c>
      <c r="W56" s="45">
        <v>46248</v>
      </c>
      <c r="X56" s="30" t="s">
        <v>23</v>
      </c>
      <c r="Y56" s="30" t="s">
        <v>25</v>
      </c>
      <c r="Z56" s="30" t="s">
        <v>25</v>
      </c>
      <c r="AA56" s="30" t="s">
        <v>735</v>
      </c>
      <c r="AB56" s="30" t="s">
        <v>25</v>
      </c>
      <c r="AC56" s="27"/>
      <c r="AD56" s="31" t="s">
        <v>24</v>
      </c>
      <c r="AE56" s="32" t="str">
        <f t="shared" si="7"/>
        <v>⚠ Missing</v>
      </c>
      <c r="AF56" s="33" t="s">
        <v>27</v>
      </c>
      <c r="AG56" s="33" t="s">
        <v>23</v>
      </c>
      <c r="AH56" s="33" t="s">
        <v>25</v>
      </c>
      <c r="AI56" s="33" t="s">
        <v>25</v>
      </c>
      <c r="AJ56" s="33" t="s">
        <v>735</v>
      </c>
      <c r="AK56" s="33" t="s">
        <v>25</v>
      </c>
      <c r="AL56" s="27"/>
      <c r="AM56" s="34" t="s">
        <v>24</v>
      </c>
      <c r="AN56" s="35" t="str">
        <f t="shared" si="8"/>
        <v>⚠ Missing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1623</v>
      </c>
      <c r="C57" s="25" t="s">
        <v>1624</v>
      </c>
      <c r="D57" s="23" t="s">
        <v>1618</v>
      </c>
      <c r="E57" s="43">
        <v>46126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5"/>
        <v>✓ OK</v>
      </c>
      <c r="N57" s="43">
        <v>46193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6"/>
        <v>✓ OK</v>
      </c>
      <c r="W57" s="45">
        <v>46248</v>
      </c>
      <c r="X57" s="30" t="s">
        <v>23</v>
      </c>
      <c r="Y57" s="30" t="s">
        <v>24</v>
      </c>
      <c r="Z57" s="30" t="s">
        <v>25</v>
      </c>
      <c r="AA57" s="30" t="s">
        <v>26</v>
      </c>
      <c r="AB57" s="30" t="s">
        <v>24</v>
      </c>
      <c r="AC57" s="27"/>
      <c r="AD57" s="31" t="s">
        <v>25</v>
      </c>
      <c r="AE57" s="32" t="str">
        <f t="shared" si="7"/>
        <v>✓ OK</v>
      </c>
      <c r="AF57" s="33" t="s">
        <v>27</v>
      </c>
      <c r="AG57" s="33" t="s">
        <v>23</v>
      </c>
      <c r="AH57" s="33" t="s">
        <v>24</v>
      </c>
      <c r="AI57" s="33" t="s">
        <v>25</v>
      </c>
      <c r="AJ57" s="33" t="s">
        <v>26</v>
      </c>
      <c r="AK57" s="33" t="s">
        <v>24</v>
      </c>
      <c r="AL57" s="27"/>
      <c r="AM57" s="34" t="s">
        <v>25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1625</v>
      </c>
      <c r="C58" s="41" t="s">
        <v>1626</v>
      </c>
      <c r="D58" s="39" t="s">
        <v>1618</v>
      </c>
      <c r="E58" s="43">
        <v>46126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5"/>
        <v>✓ OK</v>
      </c>
      <c r="N58" s="43">
        <v>46193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6"/>
        <v>✓ OK</v>
      </c>
      <c r="W58" s="45">
        <v>46248</v>
      </c>
      <c r="X58" s="30" t="s">
        <v>23</v>
      </c>
      <c r="Y58" s="30" t="s">
        <v>24</v>
      </c>
      <c r="Z58" s="30" t="s">
        <v>25</v>
      </c>
      <c r="AA58" s="30" t="s">
        <v>26</v>
      </c>
      <c r="AB58" s="30" t="s">
        <v>24</v>
      </c>
      <c r="AC58" s="27"/>
      <c r="AD58" s="31" t="s">
        <v>25</v>
      </c>
      <c r="AE58" s="32" t="str">
        <f t="shared" si="7"/>
        <v>✓ OK</v>
      </c>
      <c r="AF58" s="33" t="s">
        <v>27</v>
      </c>
      <c r="AG58" s="33" t="s">
        <v>23</v>
      </c>
      <c r="AH58" s="33" t="s">
        <v>24</v>
      </c>
      <c r="AI58" s="33" t="s">
        <v>25</v>
      </c>
      <c r="AJ58" s="33" t="s">
        <v>26</v>
      </c>
      <c r="AK58" s="33" t="s">
        <v>24</v>
      </c>
      <c r="AL58" s="27"/>
      <c r="AM58" s="34" t="s">
        <v>25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1627</v>
      </c>
      <c r="C59" s="25" t="s">
        <v>1628</v>
      </c>
      <c r="D59" s="23" t="s">
        <v>1618</v>
      </c>
      <c r="E59" s="43">
        <v>46126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43">
        <v>46193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45">
        <v>46248</v>
      </c>
      <c r="X59" s="30" t="s">
        <v>23</v>
      </c>
      <c r="Y59" s="30" t="s">
        <v>24</v>
      </c>
      <c r="Z59" s="30" t="s">
        <v>25</v>
      </c>
      <c r="AA59" s="30" t="s">
        <v>26</v>
      </c>
      <c r="AB59" s="30" t="s">
        <v>24</v>
      </c>
      <c r="AC59" s="27"/>
      <c r="AD59" s="31" t="s">
        <v>25</v>
      </c>
      <c r="AE59" s="32" t="str">
        <f t="shared" si="7"/>
        <v>✓ OK</v>
      </c>
      <c r="AF59" s="33" t="s">
        <v>27</v>
      </c>
      <c r="AG59" s="33" t="s">
        <v>23</v>
      </c>
      <c r="AH59" s="33" t="s">
        <v>24</v>
      </c>
      <c r="AI59" s="33" t="s">
        <v>25</v>
      </c>
      <c r="AJ59" s="33" t="s">
        <v>26</v>
      </c>
      <c r="AK59" s="33" t="s">
        <v>24</v>
      </c>
      <c r="AL59" s="27"/>
      <c r="AM59" s="34" t="s">
        <v>25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1629</v>
      </c>
      <c r="C60" s="41" t="s">
        <v>1630</v>
      </c>
      <c r="D60" s="39" t="s">
        <v>1618</v>
      </c>
      <c r="E60" s="43">
        <v>46126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5"/>
        <v>✓ OK</v>
      </c>
      <c r="N60" s="43">
        <v>46193</v>
      </c>
      <c r="O60" s="26" t="s">
        <v>23</v>
      </c>
      <c r="P60" s="26" t="s">
        <v>25</v>
      </c>
      <c r="Q60" s="26" t="s">
        <v>24</v>
      </c>
      <c r="R60" s="26" t="s">
        <v>135</v>
      </c>
      <c r="S60" s="26" t="s">
        <v>25</v>
      </c>
      <c r="T60" s="27"/>
      <c r="U60" s="28" t="s">
        <v>25</v>
      </c>
      <c r="V60" s="29" t="str">
        <f t="shared" si="6"/>
        <v>❌ Disc</v>
      </c>
      <c r="W60" s="45">
        <v>46248</v>
      </c>
      <c r="X60" s="30" t="s">
        <v>23</v>
      </c>
      <c r="Y60" s="30" t="s">
        <v>25</v>
      </c>
      <c r="Z60" s="30" t="s">
        <v>24</v>
      </c>
      <c r="AA60" s="30" t="s">
        <v>135</v>
      </c>
      <c r="AB60" s="30" t="s">
        <v>25</v>
      </c>
      <c r="AC60" s="27"/>
      <c r="AD60" s="31" t="s">
        <v>25</v>
      </c>
      <c r="AE60" s="32" t="str">
        <f t="shared" si="7"/>
        <v>❌ Disc</v>
      </c>
      <c r="AF60" s="33" t="s">
        <v>27</v>
      </c>
      <c r="AG60" s="33" t="s">
        <v>23</v>
      </c>
      <c r="AH60" s="33" t="s">
        <v>25</v>
      </c>
      <c r="AI60" s="33" t="s">
        <v>24</v>
      </c>
      <c r="AJ60" s="33" t="s">
        <v>135</v>
      </c>
      <c r="AK60" s="33" t="s">
        <v>25</v>
      </c>
      <c r="AL60" s="27"/>
      <c r="AM60" s="34" t="s">
        <v>25</v>
      </c>
      <c r="AN60" s="35" t="str">
        <f t="shared" si="8"/>
        <v>❌ Disc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1631</v>
      </c>
      <c r="C61" s="25" t="s">
        <v>1632</v>
      </c>
      <c r="D61" s="23" t="s">
        <v>1618</v>
      </c>
      <c r="E61" s="43">
        <v>46126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5"/>
        <v>✓ OK</v>
      </c>
      <c r="N61" s="43">
        <v>46193</v>
      </c>
      <c r="O61" s="26" t="s">
        <v>23</v>
      </c>
      <c r="P61" s="26" t="s">
        <v>25</v>
      </c>
      <c r="Q61" s="26" t="s">
        <v>24</v>
      </c>
      <c r="R61" s="26" t="s">
        <v>135</v>
      </c>
      <c r="S61" s="26" t="s">
        <v>25</v>
      </c>
      <c r="T61" s="27"/>
      <c r="U61" s="28" t="s">
        <v>25</v>
      </c>
      <c r="V61" s="29" t="str">
        <f t="shared" si="6"/>
        <v>❌ Disc</v>
      </c>
      <c r="W61" s="45">
        <v>46248</v>
      </c>
      <c r="X61" s="30" t="s">
        <v>23</v>
      </c>
      <c r="Y61" s="30" t="s">
        <v>25</v>
      </c>
      <c r="Z61" s="30" t="s">
        <v>24</v>
      </c>
      <c r="AA61" s="30" t="s">
        <v>135</v>
      </c>
      <c r="AB61" s="30" t="s">
        <v>25</v>
      </c>
      <c r="AC61" s="27"/>
      <c r="AD61" s="31" t="s">
        <v>25</v>
      </c>
      <c r="AE61" s="32" t="str">
        <f t="shared" si="7"/>
        <v>❌ Disc</v>
      </c>
      <c r="AF61" s="33" t="s">
        <v>27</v>
      </c>
      <c r="AG61" s="33" t="s">
        <v>23</v>
      </c>
      <c r="AH61" s="33" t="s">
        <v>25</v>
      </c>
      <c r="AI61" s="33" t="s">
        <v>24</v>
      </c>
      <c r="AJ61" s="33" t="s">
        <v>135</v>
      </c>
      <c r="AK61" s="33" t="s">
        <v>25</v>
      </c>
      <c r="AL61" s="27"/>
      <c r="AM61" s="34" t="s">
        <v>25</v>
      </c>
      <c r="AN61" s="35" t="str">
        <f t="shared" si="8"/>
        <v>❌ Disc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1633</v>
      </c>
      <c r="C62" s="41" t="s">
        <v>1634</v>
      </c>
      <c r="D62" s="39" t="s">
        <v>1618</v>
      </c>
      <c r="E62" s="43">
        <v>46126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5"/>
        <v>✓ OK</v>
      </c>
      <c r="N62" s="43">
        <v>46193</v>
      </c>
      <c r="O62" s="26" t="s">
        <v>23</v>
      </c>
      <c r="P62" s="26" t="s">
        <v>25</v>
      </c>
      <c r="Q62" s="26" t="s">
        <v>24</v>
      </c>
      <c r="R62" s="26" t="s">
        <v>135</v>
      </c>
      <c r="S62" s="26" t="s">
        <v>25</v>
      </c>
      <c r="T62" s="27"/>
      <c r="U62" s="28" t="s">
        <v>25</v>
      </c>
      <c r="V62" s="29" t="str">
        <f t="shared" si="6"/>
        <v>❌ Disc</v>
      </c>
      <c r="W62" s="45">
        <v>46248</v>
      </c>
      <c r="X62" s="30" t="s">
        <v>23</v>
      </c>
      <c r="Y62" s="30" t="s">
        <v>25</v>
      </c>
      <c r="Z62" s="30" t="s">
        <v>24</v>
      </c>
      <c r="AA62" s="30" t="s">
        <v>135</v>
      </c>
      <c r="AB62" s="30" t="s">
        <v>25</v>
      </c>
      <c r="AC62" s="27"/>
      <c r="AD62" s="31" t="s">
        <v>25</v>
      </c>
      <c r="AE62" s="32" t="str">
        <f t="shared" si="7"/>
        <v>❌ Disc</v>
      </c>
      <c r="AF62" s="33" t="s">
        <v>27</v>
      </c>
      <c r="AG62" s="33" t="s">
        <v>23</v>
      </c>
      <c r="AH62" s="33" t="s">
        <v>25</v>
      </c>
      <c r="AI62" s="33" t="s">
        <v>24</v>
      </c>
      <c r="AJ62" s="33" t="s">
        <v>135</v>
      </c>
      <c r="AK62" s="33" t="s">
        <v>25</v>
      </c>
      <c r="AL62" s="27"/>
      <c r="AM62" s="34" t="s">
        <v>25</v>
      </c>
      <c r="AN62" s="35" t="str">
        <f t="shared" si="8"/>
        <v>❌ Disc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1635</v>
      </c>
      <c r="C63" s="25" t="s">
        <v>1636</v>
      </c>
      <c r="D63" s="23" t="s">
        <v>1618</v>
      </c>
      <c r="E63" s="43">
        <v>46126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5"/>
        <v>✓ OK</v>
      </c>
      <c r="N63" s="43">
        <v>46193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6"/>
        <v>✓ OK</v>
      </c>
      <c r="W63" s="45">
        <v>46248</v>
      </c>
      <c r="X63" s="30" t="s">
        <v>23</v>
      </c>
      <c r="Y63" s="30" t="s">
        <v>24</v>
      </c>
      <c r="Z63" s="30" t="s">
        <v>25</v>
      </c>
      <c r="AA63" s="30" t="s">
        <v>26</v>
      </c>
      <c r="AB63" s="30" t="s">
        <v>24</v>
      </c>
      <c r="AC63" s="27"/>
      <c r="AD63" s="31" t="s">
        <v>25</v>
      </c>
      <c r="AE63" s="32" t="str">
        <f t="shared" si="7"/>
        <v>✓ OK</v>
      </c>
      <c r="AF63" s="33" t="s">
        <v>27</v>
      </c>
      <c r="AG63" s="33" t="s">
        <v>23</v>
      </c>
      <c r="AH63" s="33" t="s">
        <v>25</v>
      </c>
      <c r="AI63" s="33" t="s">
        <v>24</v>
      </c>
      <c r="AJ63" s="33" t="s">
        <v>135</v>
      </c>
      <c r="AK63" s="33" t="s">
        <v>25</v>
      </c>
      <c r="AL63" s="27"/>
      <c r="AM63" s="34" t="s">
        <v>25</v>
      </c>
      <c r="AN63" s="35" t="str">
        <f t="shared" si="8"/>
        <v>❌ Disc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1637</v>
      </c>
      <c r="C64" s="41" t="s">
        <v>1638</v>
      </c>
      <c r="D64" s="39" t="s">
        <v>1618</v>
      </c>
      <c r="E64" s="43">
        <v>46126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5"/>
        <v>✓ OK</v>
      </c>
      <c r="N64" s="43">
        <v>46193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6"/>
        <v>✓ OK</v>
      </c>
      <c r="W64" s="45">
        <v>46248</v>
      </c>
      <c r="X64" s="30" t="s">
        <v>23</v>
      </c>
      <c r="Y64" s="30" t="s">
        <v>24</v>
      </c>
      <c r="Z64" s="30" t="s">
        <v>25</v>
      </c>
      <c r="AA64" s="30" t="s">
        <v>26</v>
      </c>
      <c r="AB64" s="30" t="s">
        <v>24</v>
      </c>
      <c r="AC64" s="27"/>
      <c r="AD64" s="31" t="s">
        <v>25</v>
      </c>
      <c r="AE64" s="32" t="str">
        <f t="shared" si="7"/>
        <v>✓ OK</v>
      </c>
      <c r="AF64" s="33" t="s">
        <v>27</v>
      </c>
      <c r="AG64" s="33" t="s">
        <v>23</v>
      </c>
      <c r="AH64" s="33" t="s">
        <v>24</v>
      </c>
      <c r="AI64" s="33" t="s">
        <v>25</v>
      </c>
      <c r="AJ64" s="33" t="s">
        <v>26</v>
      </c>
      <c r="AK64" s="33" t="s">
        <v>24</v>
      </c>
      <c r="AL64" s="27"/>
      <c r="AM64" s="34" t="s">
        <v>25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1639</v>
      </c>
      <c r="C65" s="25" t="s">
        <v>1640</v>
      </c>
      <c r="D65" s="23" t="s">
        <v>1618</v>
      </c>
      <c r="E65" s="43">
        <v>46126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5"/>
        <v>✓ OK</v>
      </c>
      <c r="N65" s="43">
        <v>46193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6"/>
        <v>✓ OK</v>
      </c>
      <c r="W65" s="45">
        <v>46248</v>
      </c>
      <c r="X65" s="30" t="s">
        <v>23</v>
      </c>
      <c r="Y65" s="30" t="s">
        <v>24</v>
      </c>
      <c r="Z65" s="30" t="s">
        <v>25</v>
      </c>
      <c r="AA65" s="30" t="s">
        <v>26</v>
      </c>
      <c r="AB65" s="30" t="s">
        <v>24</v>
      </c>
      <c r="AC65" s="27"/>
      <c r="AD65" s="31" t="s">
        <v>25</v>
      </c>
      <c r="AE65" s="32" t="str">
        <f t="shared" si="7"/>
        <v>✓ OK</v>
      </c>
      <c r="AF65" s="33" t="s">
        <v>27</v>
      </c>
      <c r="AG65" s="33" t="s">
        <v>23</v>
      </c>
      <c r="AH65" s="33" t="s">
        <v>24</v>
      </c>
      <c r="AI65" s="33" t="s">
        <v>25</v>
      </c>
      <c r="AJ65" s="33" t="s">
        <v>26</v>
      </c>
      <c r="AK65" s="33" t="s">
        <v>24</v>
      </c>
      <c r="AL65" s="27"/>
      <c r="AM65" s="34" t="s">
        <v>25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1641</v>
      </c>
      <c r="C66" s="41" t="s">
        <v>1642</v>
      </c>
      <c r="D66" s="39" t="s">
        <v>1618</v>
      </c>
      <c r="E66" s="43">
        <v>46126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5"/>
        <v>✓ OK</v>
      </c>
      <c r="N66" s="43">
        <v>46193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6"/>
        <v>✓ OK</v>
      </c>
      <c r="W66" s="45">
        <v>46248</v>
      </c>
      <c r="X66" s="30" t="s">
        <v>23</v>
      </c>
      <c r="Y66" s="30" t="s">
        <v>24</v>
      </c>
      <c r="Z66" s="30" t="s">
        <v>25</v>
      </c>
      <c r="AA66" s="30" t="s">
        <v>26</v>
      </c>
      <c r="AB66" s="30" t="s">
        <v>24</v>
      </c>
      <c r="AC66" s="27"/>
      <c r="AD66" s="31" t="s">
        <v>25</v>
      </c>
      <c r="AE66" s="32" t="str">
        <f t="shared" si="7"/>
        <v>✓ OK</v>
      </c>
      <c r="AF66" s="33" t="s">
        <v>27</v>
      </c>
      <c r="AG66" s="33" t="s">
        <v>23</v>
      </c>
      <c r="AH66" s="33" t="s">
        <v>24</v>
      </c>
      <c r="AI66" s="33" t="s">
        <v>25</v>
      </c>
      <c r="AJ66" s="33" t="s">
        <v>26</v>
      </c>
      <c r="AK66" s="33" t="s">
        <v>24</v>
      </c>
      <c r="AL66" s="27"/>
      <c r="AM66" s="34" t="s">
        <v>25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1643</v>
      </c>
      <c r="C67" s="25" t="s">
        <v>1644</v>
      </c>
      <c r="D67" s="23" t="s">
        <v>1618</v>
      </c>
      <c r="E67" s="43">
        <v>46126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5"/>
        <v>✓ OK</v>
      </c>
      <c r="N67" s="43">
        <v>46193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6"/>
        <v>✓ OK</v>
      </c>
      <c r="W67" s="45">
        <v>46248</v>
      </c>
      <c r="X67" s="30" t="s">
        <v>23</v>
      </c>
      <c r="Y67" s="30" t="s">
        <v>24</v>
      </c>
      <c r="Z67" s="30" t="s">
        <v>25</v>
      </c>
      <c r="AA67" s="30" t="s">
        <v>26</v>
      </c>
      <c r="AB67" s="30" t="s">
        <v>24</v>
      </c>
      <c r="AC67" s="27"/>
      <c r="AD67" s="31" t="s">
        <v>25</v>
      </c>
      <c r="AE67" s="32" t="str">
        <f t="shared" si="7"/>
        <v>✓ OK</v>
      </c>
      <c r="AF67" s="33" t="s">
        <v>27</v>
      </c>
      <c r="AG67" s="33" t="s">
        <v>23</v>
      </c>
      <c r="AH67" s="33" t="s">
        <v>24</v>
      </c>
      <c r="AI67" s="33" t="s">
        <v>25</v>
      </c>
      <c r="AJ67" s="33" t="s">
        <v>26</v>
      </c>
      <c r="AK67" s="33" t="s">
        <v>24</v>
      </c>
      <c r="AL67" s="27"/>
      <c r="AM67" s="34" t="s">
        <v>25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8" customHeight="1" x14ac:dyDescent="0.3">
      <c r="A68" s="39">
        <v>64</v>
      </c>
      <c r="B68" s="40" t="s">
        <v>1645</v>
      </c>
      <c r="C68" s="41" t="s">
        <v>1646</v>
      </c>
      <c r="D68" s="39" t="s">
        <v>1618</v>
      </c>
      <c r="E68" s="43">
        <v>46126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5"/>
        <v>✓ OK</v>
      </c>
      <c r="N68" s="43">
        <v>46193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6"/>
        <v>✓ OK</v>
      </c>
      <c r="W68" s="45">
        <v>46248</v>
      </c>
      <c r="X68" s="30" t="s">
        <v>23</v>
      </c>
      <c r="Y68" s="30" t="s">
        <v>24</v>
      </c>
      <c r="Z68" s="30" t="s">
        <v>25</v>
      </c>
      <c r="AA68" s="30" t="s">
        <v>26</v>
      </c>
      <c r="AB68" s="30" t="s">
        <v>24</v>
      </c>
      <c r="AC68" s="27"/>
      <c r="AD68" s="31" t="s">
        <v>25</v>
      </c>
      <c r="AE68" s="32" t="str">
        <f t="shared" si="7"/>
        <v>✓ OK</v>
      </c>
      <c r="AF68" s="33" t="s">
        <v>27</v>
      </c>
      <c r="AG68" s="33" t="s">
        <v>23</v>
      </c>
      <c r="AH68" s="33" t="s">
        <v>24</v>
      </c>
      <c r="AI68" s="33" t="s">
        <v>25</v>
      </c>
      <c r="AJ68" s="33" t="s">
        <v>26</v>
      </c>
      <c r="AK68" s="33" t="s">
        <v>24</v>
      </c>
      <c r="AL68" s="27"/>
      <c r="AM68" s="34" t="s">
        <v>25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8" customHeight="1" x14ac:dyDescent="0.3">
      <c r="A69" s="23">
        <v>65</v>
      </c>
      <c r="B69" s="24" t="s">
        <v>1647</v>
      </c>
      <c r="C69" s="25" t="s">
        <v>1648</v>
      </c>
      <c r="D69" s="23" t="s">
        <v>1618</v>
      </c>
      <c r="E69" s="43">
        <v>46126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00" si="10">IF(E69="","",IF(H69="Yes","❌ Disc",IF(G69="No","⚠ Missing",IF(J69="Yes","✓ OK","⚠ Check"))))</f>
        <v>✓ OK</v>
      </c>
      <c r="N69" s="43">
        <v>46193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100" si="11">IF(N69="","",IF(Q69="Yes","❌ Disc",IF(P69="No","⚠ Missing",IF(S69="Yes","✓ OK","⚠ Check"))))</f>
        <v>✓ OK</v>
      </c>
      <c r="W69" s="45">
        <v>46248</v>
      </c>
      <c r="X69" s="30" t="s">
        <v>23</v>
      </c>
      <c r="Y69" s="30" t="s">
        <v>24</v>
      </c>
      <c r="Z69" s="30" t="s">
        <v>25</v>
      </c>
      <c r="AA69" s="30" t="s">
        <v>26</v>
      </c>
      <c r="AB69" s="30" t="s">
        <v>24</v>
      </c>
      <c r="AC69" s="27"/>
      <c r="AD69" s="31" t="s">
        <v>25</v>
      </c>
      <c r="AE69" s="32" t="str">
        <f t="shared" ref="AE69:AE100" si="12">IF(W69="","",IF(Z69="Yes","❌ Disc",IF(Y69="No","⚠ Missing",IF(AB69="Yes","✓ OK","⚠ Check"))))</f>
        <v>✓ OK</v>
      </c>
      <c r="AF69" s="33" t="s">
        <v>27</v>
      </c>
      <c r="AG69" s="33" t="s">
        <v>23</v>
      </c>
      <c r="AH69" s="33" t="s">
        <v>24</v>
      </c>
      <c r="AI69" s="33" t="s">
        <v>25</v>
      </c>
      <c r="AJ69" s="33" t="s">
        <v>26</v>
      </c>
      <c r="AK69" s="33" t="s">
        <v>24</v>
      </c>
      <c r="AL69" s="27"/>
      <c r="AM69" s="34" t="s">
        <v>25</v>
      </c>
      <c r="AN69" s="35" t="str">
        <f t="shared" ref="AN69:AN100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00" si="14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1649</v>
      </c>
      <c r="C70" s="41" t="s">
        <v>1650</v>
      </c>
      <c r="D70" s="39" t="s">
        <v>1618</v>
      </c>
      <c r="E70" s="43">
        <v>46126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10"/>
        <v>✓ OK</v>
      </c>
      <c r="N70" s="43">
        <v>46193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11"/>
        <v>✓ OK</v>
      </c>
      <c r="W70" s="45">
        <v>46248</v>
      </c>
      <c r="X70" s="30" t="s">
        <v>23</v>
      </c>
      <c r="Y70" s="30" t="s">
        <v>24</v>
      </c>
      <c r="Z70" s="30" t="s">
        <v>25</v>
      </c>
      <c r="AA70" s="30" t="s">
        <v>26</v>
      </c>
      <c r="AB70" s="30" t="s">
        <v>24</v>
      </c>
      <c r="AC70" s="27"/>
      <c r="AD70" s="31" t="s">
        <v>25</v>
      </c>
      <c r="AE70" s="32" t="str">
        <f t="shared" si="12"/>
        <v>✓ OK</v>
      </c>
      <c r="AF70" s="33" t="s">
        <v>27</v>
      </c>
      <c r="AG70" s="33" t="s">
        <v>23</v>
      </c>
      <c r="AH70" s="33" t="s">
        <v>24</v>
      </c>
      <c r="AI70" s="33" t="s">
        <v>25</v>
      </c>
      <c r="AJ70" s="33" t="s">
        <v>26</v>
      </c>
      <c r="AK70" s="33" t="s">
        <v>24</v>
      </c>
      <c r="AL70" s="27"/>
      <c r="AM70" s="34" t="s">
        <v>25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8" customHeight="1" x14ac:dyDescent="0.3">
      <c r="A71" s="23">
        <v>67</v>
      </c>
      <c r="B71" s="24" t="s">
        <v>1651</v>
      </c>
      <c r="C71" s="25" t="s">
        <v>1652</v>
      </c>
      <c r="D71" s="23" t="s">
        <v>1618</v>
      </c>
      <c r="E71" s="43">
        <v>46126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10"/>
        <v>✓ OK</v>
      </c>
      <c r="N71" s="43">
        <v>46193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11"/>
        <v>✓ OK</v>
      </c>
      <c r="W71" s="45">
        <v>46248</v>
      </c>
      <c r="X71" s="30" t="s">
        <v>23</v>
      </c>
      <c r="Y71" s="30" t="s">
        <v>24</v>
      </c>
      <c r="Z71" s="30" t="s">
        <v>25</v>
      </c>
      <c r="AA71" s="30" t="s">
        <v>26</v>
      </c>
      <c r="AB71" s="30" t="s">
        <v>24</v>
      </c>
      <c r="AC71" s="27"/>
      <c r="AD71" s="31" t="s">
        <v>25</v>
      </c>
      <c r="AE71" s="32" t="str">
        <f t="shared" si="12"/>
        <v>✓ OK</v>
      </c>
      <c r="AF71" s="33" t="s">
        <v>27</v>
      </c>
      <c r="AG71" s="33" t="s">
        <v>23</v>
      </c>
      <c r="AH71" s="33" t="s">
        <v>24</v>
      </c>
      <c r="AI71" s="33" t="s">
        <v>25</v>
      </c>
      <c r="AJ71" s="33" t="s">
        <v>26</v>
      </c>
      <c r="AK71" s="33" t="s">
        <v>24</v>
      </c>
      <c r="AL71" s="27"/>
      <c r="AM71" s="34" t="s">
        <v>25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8" customHeight="1" x14ac:dyDescent="0.3">
      <c r="A72" s="39">
        <v>68</v>
      </c>
      <c r="B72" s="40" t="s">
        <v>1653</v>
      </c>
      <c r="C72" s="41" t="s">
        <v>1654</v>
      </c>
      <c r="D72" s="39" t="s">
        <v>1618</v>
      </c>
      <c r="E72" s="43">
        <v>46126</v>
      </c>
      <c r="F72" s="26" t="s">
        <v>23</v>
      </c>
      <c r="G72" s="26" t="s">
        <v>25</v>
      </c>
      <c r="H72" s="26" t="s">
        <v>25</v>
      </c>
      <c r="I72" s="26" t="s">
        <v>735</v>
      </c>
      <c r="J72" s="26" t="s">
        <v>25</v>
      </c>
      <c r="K72" s="27"/>
      <c r="L72" s="28" t="s">
        <v>24</v>
      </c>
      <c r="M72" s="29" t="str">
        <f t="shared" si="10"/>
        <v>⚠ Missing</v>
      </c>
      <c r="N72" s="43">
        <v>46193</v>
      </c>
      <c r="O72" s="26" t="s">
        <v>23</v>
      </c>
      <c r="P72" s="26" t="s">
        <v>25</v>
      </c>
      <c r="Q72" s="26" t="s">
        <v>25</v>
      </c>
      <c r="R72" s="26" t="s">
        <v>735</v>
      </c>
      <c r="S72" s="26" t="s">
        <v>25</v>
      </c>
      <c r="T72" s="27"/>
      <c r="U72" s="28" t="s">
        <v>24</v>
      </c>
      <c r="V72" s="29" t="str">
        <f t="shared" si="11"/>
        <v>⚠ Missing</v>
      </c>
      <c r="W72" s="45">
        <v>46248</v>
      </c>
      <c r="X72" s="30" t="s">
        <v>23</v>
      </c>
      <c r="Y72" s="30" t="s">
        <v>25</v>
      </c>
      <c r="Z72" s="30" t="s">
        <v>25</v>
      </c>
      <c r="AA72" s="30" t="s">
        <v>735</v>
      </c>
      <c r="AB72" s="30" t="s">
        <v>25</v>
      </c>
      <c r="AC72" s="27"/>
      <c r="AD72" s="31" t="s">
        <v>24</v>
      </c>
      <c r="AE72" s="32" t="str">
        <f t="shared" si="12"/>
        <v>⚠ Missing</v>
      </c>
      <c r="AF72" s="33" t="s">
        <v>27</v>
      </c>
      <c r="AG72" s="33" t="s">
        <v>23</v>
      </c>
      <c r="AH72" s="33" t="s">
        <v>25</v>
      </c>
      <c r="AI72" s="33" t="s">
        <v>25</v>
      </c>
      <c r="AJ72" s="33" t="s">
        <v>735</v>
      </c>
      <c r="AK72" s="33" t="s">
        <v>25</v>
      </c>
      <c r="AL72" s="27"/>
      <c r="AM72" s="34" t="s">
        <v>24</v>
      </c>
      <c r="AN72" s="35" t="str">
        <f t="shared" si="13"/>
        <v>⚠ Missing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8" customHeight="1" x14ac:dyDescent="0.3">
      <c r="A73" s="23">
        <v>69</v>
      </c>
      <c r="B73" s="24" t="s">
        <v>1655</v>
      </c>
      <c r="C73" s="25" t="s">
        <v>1656</v>
      </c>
      <c r="D73" s="23" t="s">
        <v>1618</v>
      </c>
      <c r="E73" s="43">
        <v>46126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10"/>
        <v>✓ OK</v>
      </c>
      <c r="N73" s="43">
        <v>46193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25</v>
      </c>
      <c r="V73" s="29" t="str">
        <f t="shared" si="11"/>
        <v>✓ OK</v>
      </c>
      <c r="W73" s="45">
        <v>46248</v>
      </c>
      <c r="X73" s="30" t="s">
        <v>23</v>
      </c>
      <c r="Y73" s="30" t="s">
        <v>24</v>
      </c>
      <c r="Z73" s="30" t="s">
        <v>25</v>
      </c>
      <c r="AA73" s="30" t="s">
        <v>26</v>
      </c>
      <c r="AB73" s="30" t="s">
        <v>24</v>
      </c>
      <c r="AC73" s="27"/>
      <c r="AD73" s="31" t="s">
        <v>25</v>
      </c>
      <c r="AE73" s="32" t="str">
        <f t="shared" si="12"/>
        <v>✓ OK</v>
      </c>
      <c r="AF73" s="33" t="s">
        <v>27</v>
      </c>
      <c r="AG73" s="33" t="s">
        <v>23</v>
      </c>
      <c r="AH73" s="33" t="s">
        <v>24</v>
      </c>
      <c r="AI73" s="33" t="s">
        <v>25</v>
      </c>
      <c r="AJ73" s="33" t="s">
        <v>26</v>
      </c>
      <c r="AK73" s="33" t="s">
        <v>24</v>
      </c>
      <c r="AL73" s="27"/>
      <c r="AM73" s="34" t="s">
        <v>25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8" customHeight="1" x14ac:dyDescent="0.3">
      <c r="A74" s="39">
        <v>70</v>
      </c>
      <c r="B74" s="40" t="s">
        <v>1657</v>
      </c>
      <c r="C74" s="41" t="s">
        <v>1658</v>
      </c>
      <c r="D74" s="39" t="s">
        <v>1618</v>
      </c>
      <c r="E74" s="43">
        <v>46126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10"/>
        <v>✓ OK</v>
      </c>
      <c r="N74" s="43">
        <v>46193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11"/>
        <v>✓ OK</v>
      </c>
      <c r="W74" s="45">
        <v>46248</v>
      </c>
      <c r="X74" s="30" t="s">
        <v>23</v>
      </c>
      <c r="Y74" s="30" t="s">
        <v>24</v>
      </c>
      <c r="Z74" s="30" t="s">
        <v>25</v>
      </c>
      <c r="AA74" s="30" t="s">
        <v>26</v>
      </c>
      <c r="AB74" s="30" t="s">
        <v>24</v>
      </c>
      <c r="AC74" s="27"/>
      <c r="AD74" s="31" t="s">
        <v>25</v>
      </c>
      <c r="AE74" s="32" t="str">
        <f t="shared" si="12"/>
        <v>✓ OK</v>
      </c>
      <c r="AF74" s="33" t="s">
        <v>27</v>
      </c>
      <c r="AG74" s="33" t="s">
        <v>23</v>
      </c>
      <c r="AH74" s="33" t="s">
        <v>24</v>
      </c>
      <c r="AI74" s="33" t="s">
        <v>25</v>
      </c>
      <c r="AJ74" s="33" t="s">
        <v>26</v>
      </c>
      <c r="AK74" s="33" t="s">
        <v>24</v>
      </c>
      <c r="AL74" s="27"/>
      <c r="AM74" s="34" t="s">
        <v>25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8" customHeight="1" x14ac:dyDescent="0.3">
      <c r="A75" s="23">
        <v>71</v>
      </c>
      <c r="B75" s="24" t="s">
        <v>1659</v>
      </c>
      <c r="C75" s="25" t="s">
        <v>1660</v>
      </c>
      <c r="D75" s="23" t="s">
        <v>1618</v>
      </c>
      <c r="E75" s="43">
        <v>46126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10"/>
        <v>✓ OK</v>
      </c>
      <c r="N75" s="43">
        <v>46193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11"/>
        <v>✓ OK</v>
      </c>
      <c r="W75" s="45">
        <v>46248</v>
      </c>
      <c r="X75" s="30" t="s">
        <v>23</v>
      </c>
      <c r="Y75" s="30" t="s">
        <v>24</v>
      </c>
      <c r="Z75" s="30" t="s">
        <v>25</v>
      </c>
      <c r="AA75" s="30" t="s">
        <v>26</v>
      </c>
      <c r="AB75" s="30" t="s">
        <v>24</v>
      </c>
      <c r="AC75" s="27"/>
      <c r="AD75" s="31" t="s">
        <v>25</v>
      </c>
      <c r="AE75" s="32" t="str">
        <f t="shared" si="12"/>
        <v>✓ OK</v>
      </c>
      <c r="AF75" s="33" t="s">
        <v>27</v>
      </c>
      <c r="AG75" s="33" t="s">
        <v>23</v>
      </c>
      <c r="AH75" s="33" t="s">
        <v>24</v>
      </c>
      <c r="AI75" s="33" t="s">
        <v>25</v>
      </c>
      <c r="AJ75" s="33" t="s">
        <v>26</v>
      </c>
      <c r="AK75" s="33" t="s">
        <v>24</v>
      </c>
      <c r="AL75" s="27"/>
      <c r="AM75" s="34" t="s">
        <v>25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8" customHeight="1" x14ac:dyDescent="0.3">
      <c r="A76" s="39">
        <v>72</v>
      </c>
      <c r="B76" s="40" t="s">
        <v>1661</v>
      </c>
      <c r="C76" s="41" t="s">
        <v>1662</v>
      </c>
      <c r="D76" s="39" t="s">
        <v>1618</v>
      </c>
      <c r="E76" s="43">
        <v>46126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10"/>
        <v>✓ OK</v>
      </c>
      <c r="N76" s="43">
        <v>46193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11"/>
        <v>✓ OK</v>
      </c>
      <c r="W76" s="45">
        <v>46248</v>
      </c>
      <c r="X76" s="30" t="s">
        <v>23</v>
      </c>
      <c r="Y76" s="30" t="s">
        <v>24</v>
      </c>
      <c r="Z76" s="30" t="s">
        <v>25</v>
      </c>
      <c r="AA76" s="30" t="s">
        <v>26</v>
      </c>
      <c r="AB76" s="30" t="s">
        <v>24</v>
      </c>
      <c r="AC76" s="27"/>
      <c r="AD76" s="31" t="s">
        <v>25</v>
      </c>
      <c r="AE76" s="32" t="str">
        <f t="shared" si="12"/>
        <v>✓ OK</v>
      </c>
      <c r="AF76" s="33" t="s">
        <v>27</v>
      </c>
      <c r="AG76" s="33" t="s">
        <v>23</v>
      </c>
      <c r="AH76" s="33" t="s">
        <v>24</v>
      </c>
      <c r="AI76" s="33" t="s">
        <v>25</v>
      </c>
      <c r="AJ76" s="33" t="s">
        <v>26</v>
      </c>
      <c r="AK76" s="33" t="s">
        <v>24</v>
      </c>
      <c r="AL76" s="27"/>
      <c r="AM76" s="34" t="s">
        <v>25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8" customHeight="1" x14ac:dyDescent="0.3">
      <c r="A77" s="23">
        <v>73</v>
      </c>
      <c r="B77" s="24" t="s">
        <v>1663</v>
      </c>
      <c r="C77" s="25" t="s">
        <v>1664</v>
      </c>
      <c r="D77" s="23" t="s">
        <v>1618</v>
      </c>
      <c r="E77" s="43">
        <v>46126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10"/>
        <v>✓ OK</v>
      </c>
      <c r="N77" s="43">
        <v>46193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11"/>
        <v>✓ OK</v>
      </c>
      <c r="W77" s="45">
        <v>46248</v>
      </c>
      <c r="X77" s="30" t="s">
        <v>23</v>
      </c>
      <c r="Y77" s="30" t="s">
        <v>24</v>
      </c>
      <c r="Z77" s="30" t="s">
        <v>25</v>
      </c>
      <c r="AA77" s="30" t="s">
        <v>26</v>
      </c>
      <c r="AB77" s="30" t="s">
        <v>24</v>
      </c>
      <c r="AC77" s="27"/>
      <c r="AD77" s="31" t="s">
        <v>25</v>
      </c>
      <c r="AE77" s="32" t="str">
        <f t="shared" si="12"/>
        <v>✓ OK</v>
      </c>
      <c r="AF77" s="33" t="s">
        <v>27</v>
      </c>
      <c r="AG77" s="33" t="s">
        <v>23</v>
      </c>
      <c r="AH77" s="33" t="s">
        <v>24</v>
      </c>
      <c r="AI77" s="33" t="s">
        <v>25</v>
      </c>
      <c r="AJ77" s="33" t="s">
        <v>26</v>
      </c>
      <c r="AK77" s="33" t="s">
        <v>24</v>
      </c>
      <c r="AL77" s="27"/>
      <c r="AM77" s="34" t="s">
        <v>25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  <row r="78" spans="1:49" ht="18" customHeight="1" x14ac:dyDescent="0.3">
      <c r="A78" s="39">
        <v>74</v>
      </c>
      <c r="B78" s="40" t="s">
        <v>1665</v>
      </c>
      <c r="C78" s="41" t="s">
        <v>1666</v>
      </c>
      <c r="D78" s="39" t="s">
        <v>1618</v>
      </c>
      <c r="E78" s="43">
        <v>46126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10"/>
        <v>✓ OK</v>
      </c>
      <c r="N78" s="43">
        <v>46193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11"/>
        <v>✓ OK</v>
      </c>
      <c r="W78" s="45">
        <v>46248</v>
      </c>
      <c r="X78" s="30" t="s">
        <v>23</v>
      </c>
      <c r="Y78" s="30" t="s">
        <v>24</v>
      </c>
      <c r="Z78" s="30" t="s">
        <v>25</v>
      </c>
      <c r="AA78" s="30" t="s">
        <v>26</v>
      </c>
      <c r="AB78" s="30" t="s">
        <v>24</v>
      </c>
      <c r="AC78" s="27"/>
      <c r="AD78" s="31" t="s">
        <v>25</v>
      </c>
      <c r="AE78" s="32" t="str">
        <f t="shared" si="12"/>
        <v>✓ OK</v>
      </c>
      <c r="AF78" s="33" t="s">
        <v>27</v>
      </c>
      <c r="AG78" s="33" t="s">
        <v>23</v>
      </c>
      <c r="AH78" s="33" t="s">
        <v>24</v>
      </c>
      <c r="AI78" s="33" t="s">
        <v>25</v>
      </c>
      <c r="AJ78" s="33" t="s">
        <v>26</v>
      </c>
      <c r="AK78" s="33" t="s">
        <v>24</v>
      </c>
      <c r="AL78" s="27"/>
      <c r="AM78" s="34" t="s">
        <v>25</v>
      </c>
      <c r="AN78" s="35" t="str">
        <f t="shared" si="13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4"/>
        <v/>
      </c>
    </row>
    <row r="79" spans="1:49" ht="18" customHeight="1" x14ac:dyDescent="0.3">
      <c r="A79" s="23">
        <v>75</v>
      </c>
      <c r="B79" s="24" t="s">
        <v>1667</v>
      </c>
      <c r="C79" s="25" t="s">
        <v>1668</v>
      </c>
      <c r="D79" s="23" t="s">
        <v>1618</v>
      </c>
      <c r="E79" s="43">
        <v>46126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10"/>
        <v>✓ OK</v>
      </c>
      <c r="N79" s="43">
        <v>46193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11"/>
        <v>✓ OK</v>
      </c>
      <c r="W79" s="45">
        <v>46248</v>
      </c>
      <c r="X79" s="30" t="s">
        <v>23</v>
      </c>
      <c r="Y79" s="30" t="s">
        <v>24</v>
      </c>
      <c r="Z79" s="30" t="s">
        <v>25</v>
      </c>
      <c r="AA79" s="30" t="s">
        <v>26</v>
      </c>
      <c r="AB79" s="30" t="s">
        <v>24</v>
      </c>
      <c r="AC79" s="27"/>
      <c r="AD79" s="31" t="s">
        <v>25</v>
      </c>
      <c r="AE79" s="32" t="str">
        <f t="shared" si="12"/>
        <v>✓ OK</v>
      </c>
      <c r="AF79" s="33" t="s">
        <v>27</v>
      </c>
      <c r="AG79" s="33" t="s">
        <v>23</v>
      </c>
      <c r="AH79" s="33" t="s">
        <v>24</v>
      </c>
      <c r="AI79" s="33" t="s">
        <v>25</v>
      </c>
      <c r="AJ79" s="33" t="s">
        <v>26</v>
      </c>
      <c r="AK79" s="33" t="s">
        <v>24</v>
      </c>
      <c r="AL79" s="27"/>
      <c r="AM79" s="34" t="s">
        <v>25</v>
      </c>
      <c r="AN79" s="35" t="str">
        <f t="shared" si="13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4"/>
        <v/>
      </c>
    </row>
    <row r="80" spans="1:49" ht="18" customHeight="1" x14ac:dyDescent="0.3">
      <c r="A80" s="39">
        <v>76</v>
      </c>
      <c r="B80" s="40" t="s">
        <v>1669</v>
      </c>
      <c r="C80" s="41" t="s">
        <v>1670</v>
      </c>
      <c r="D80" s="39" t="s">
        <v>1618</v>
      </c>
      <c r="E80" s="43">
        <v>46126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10"/>
        <v>✓ OK</v>
      </c>
      <c r="N80" s="43">
        <v>46193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11"/>
        <v>✓ OK</v>
      </c>
      <c r="W80" s="45">
        <v>46248</v>
      </c>
      <c r="X80" s="30" t="s">
        <v>23</v>
      </c>
      <c r="Y80" s="30" t="s">
        <v>24</v>
      </c>
      <c r="Z80" s="30" t="s">
        <v>25</v>
      </c>
      <c r="AA80" s="30" t="s">
        <v>26</v>
      </c>
      <c r="AB80" s="30" t="s">
        <v>24</v>
      </c>
      <c r="AC80" s="27"/>
      <c r="AD80" s="31" t="s">
        <v>25</v>
      </c>
      <c r="AE80" s="32" t="str">
        <f t="shared" si="12"/>
        <v>✓ OK</v>
      </c>
      <c r="AF80" s="33" t="s">
        <v>27</v>
      </c>
      <c r="AG80" s="33" t="s">
        <v>23</v>
      </c>
      <c r="AH80" s="33" t="s">
        <v>24</v>
      </c>
      <c r="AI80" s="33" t="s">
        <v>25</v>
      </c>
      <c r="AJ80" s="33" t="s">
        <v>26</v>
      </c>
      <c r="AK80" s="33" t="s">
        <v>24</v>
      </c>
      <c r="AL80" s="27"/>
      <c r="AM80" s="34" t="s">
        <v>25</v>
      </c>
      <c r="AN80" s="35" t="str">
        <f t="shared" si="13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4"/>
        <v/>
      </c>
    </row>
    <row r="81" spans="1:49" ht="18" customHeight="1" x14ac:dyDescent="0.3">
      <c r="A81" s="23">
        <v>77</v>
      </c>
      <c r="B81" s="24" t="s">
        <v>1671</v>
      </c>
      <c r="C81" s="25" t="s">
        <v>1672</v>
      </c>
      <c r="D81" s="23" t="s">
        <v>1618</v>
      </c>
      <c r="E81" s="43">
        <v>46126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10"/>
        <v>✓ OK</v>
      </c>
      <c r="N81" s="43">
        <v>46193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11"/>
        <v>✓ OK</v>
      </c>
      <c r="W81" s="45">
        <v>46248</v>
      </c>
      <c r="X81" s="30" t="s">
        <v>23</v>
      </c>
      <c r="Y81" s="30" t="s">
        <v>24</v>
      </c>
      <c r="Z81" s="30" t="s">
        <v>25</v>
      </c>
      <c r="AA81" s="30" t="s">
        <v>26</v>
      </c>
      <c r="AB81" s="30" t="s">
        <v>24</v>
      </c>
      <c r="AC81" s="27"/>
      <c r="AD81" s="31" t="s">
        <v>25</v>
      </c>
      <c r="AE81" s="32" t="str">
        <f t="shared" si="12"/>
        <v>✓ OK</v>
      </c>
      <c r="AF81" s="33" t="s">
        <v>27</v>
      </c>
      <c r="AG81" s="33" t="s">
        <v>23</v>
      </c>
      <c r="AH81" s="33" t="s">
        <v>24</v>
      </c>
      <c r="AI81" s="33" t="s">
        <v>25</v>
      </c>
      <c r="AJ81" s="33" t="s">
        <v>26</v>
      </c>
      <c r="AK81" s="33" t="s">
        <v>24</v>
      </c>
      <c r="AL81" s="27"/>
      <c r="AM81" s="34" t="s">
        <v>25</v>
      </c>
      <c r="AN81" s="35" t="str">
        <f t="shared" si="13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14"/>
        <v/>
      </c>
    </row>
    <row r="82" spans="1:49" ht="18" customHeight="1" x14ac:dyDescent="0.3">
      <c r="A82" s="39">
        <v>78</v>
      </c>
      <c r="B82" s="40" t="s">
        <v>1673</v>
      </c>
      <c r="C82" s="41" t="s">
        <v>1674</v>
      </c>
      <c r="D82" s="39" t="s">
        <v>1618</v>
      </c>
      <c r="E82" s="43">
        <v>46126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10"/>
        <v>✓ OK</v>
      </c>
      <c r="N82" s="43">
        <v>46193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11"/>
        <v>✓ OK</v>
      </c>
      <c r="W82" s="45">
        <v>46248</v>
      </c>
      <c r="X82" s="30" t="s">
        <v>23</v>
      </c>
      <c r="Y82" s="30" t="s">
        <v>24</v>
      </c>
      <c r="Z82" s="30" t="s">
        <v>25</v>
      </c>
      <c r="AA82" s="30" t="s">
        <v>26</v>
      </c>
      <c r="AB82" s="30" t="s">
        <v>24</v>
      </c>
      <c r="AC82" s="27"/>
      <c r="AD82" s="31" t="s">
        <v>25</v>
      </c>
      <c r="AE82" s="32" t="str">
        <f t="shared" si="12"/>
        <v>✓ OK</v>
      </c>
      <c r="AF82" s="33" t="s">
        <v>27</v>
      </c>
      <c r="AG82" s="33" t="s">
        <v>23</v>
      </c>
      <c r="AH82" s="33" t="s">
        <v>24</v>
      </c>
      <c r="AI82" s="33" t="s">
        <v>25</v>
      </c>
      <c r="AJ82" s="33" t="s">
        <v>26</v>
      </c>
      <c r="AK82" s="33" t="s">
        <v>24</v>
      </c>
      <c r="AL82" s="27"/>
      <c r="AM82" s="34" t="s">
        <v>25</v>
      </c>
      <c r="AN82" s="35" t="str">
        <f t="shared" si="13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14"/>
        <v/>
      </c>
    </row>
    <row r="83" spans="1:49" ht="18" customHeight="1" x14ac:dyDescent="0.3">
      <c r="A83" s="23">
        <v>79</v>
      </c>
      <c r="B83" s="24" t="s">
        <v>1675</v>
      </c>
      <c r="C83" s="25" t="s">
        <v>1676</v>
      </c>
      <c r="D83" s="23" t="s">
        <v>1618</v>
      </c>
      <c r="E83" s="43">
        <v>46126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10"/>
        <v>✓ OK</v>
      </c>
      <c r="N83" s="43">
        <v>46193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11"/>
        <v>✓ OK</v>
      </c>
      <c r="W83" s="45">
        <v>46248</v>
      </c>
      <c r="X83" s="30" t="s">
        <v>23</v>
      </c>
      <c r="Y83" s="30" t="s">
        <v>24</v>
      </c>
      <c r="Z83" s="30" t="s">
        <v>25</v>
      </c>
      <c r="AA83" s="30" t="s">
        <v>26</v>
      </c>
      <c r="AB83" s="30" t="s">
        <v>24</v>
      </c>
      <c r="AC83" s="27"/>
      <c r="AD83" s="31" t="s">
        <v>25</v>
      </c>
      <c r="AE83" s="32" t="str">
        <f t="shared" si="12"/>
        <v>✓ OK</v>
      </c>
      <c r="AF83" s="33" t="s">
        <v>27</v>
      </c>
      <c r="AG83" s="33" t="s">
        <v>23</v>
      </c>
      <c r="AH83" s="33" t="s">
        <v>24</v>
      </c>
      <c r="AI83" s="33" t="s">
        <v>25</v>
      </c>
      <c r="AJ83" s="33" t="s">
        <v>26</v>
      </c>
      <c r="AK83" s="33" t="s">
        <v>24</v>
      </c>
      <c r="AL83" s="27"/>
      <c r="AM83" s="34" t="s">
        <v>25</v>
      </c>
      <c r="AN83" s="35" t="str">
        <f t="shared" si="13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14"/>
        <v/>
      </c>
    </row>
    <row r="84" spans="1:49" ht="18" customHeight="1" x14ac:dyDescent="0.3">
      <c r="A84" s="39">
        <v>80</v>
      </c>
      <c r="B84" s="40" t="s">
        <v>1677</v>
      </c>
      <c r="C84" s="41" t="s">
        <v>1678</v>
      </c>
      <c r="D84" s="39" t="s">
        <v>1618</v>
      </c>
      <c r="E84" s="43">
        <v>46126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10"/>
        <v>✓ OK</v>
      </c>
      <c r="N84" s="43">
        <v>46193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11"/>
        <v>✓ OK</v>
      </c>
      <c r="W84" s="45">
        <v>46248</v>
      </c>
      <c r="X84" s="30" t="s">
        <v>23</v>
      </c>
      <c r="Y84" s="30" t="s">
        <v>24</v>
      </c>
      <c r="Z84" s="30" t="s">
        <v>25</v>
      </c>
      <c r="AA84" s="30" t="s">
        <v>26</v>
      </c>
      <c r="AB84" s="30" t="s">
        <v>24</v>
      </c>
      <c r="AC84" s="27"/>
      <c r="AD84" s="31" t="s">
        <v>25</v>
      </c>
      <c r="AE84" s="32" t="str">
        <f t="shared" si="12"/>
        <v>✓ OK</v>
      </c>
      <c r="AF84" s="33" t="s">
        <v>27</v>
      </c>
      <c r="AG84" s="33" t="s">
        <v>23</v>
      </c>
      <c r="AH84" s="33" t="s">
        <v>24</v>
      </c>
      <c r="AI84" s="33" t="s">
        <v>25</v>
      </c>
      <c r="AJ84" s="33" t="s">
        <v>26</v>
      </c>
      <c r="AK84" s="33" t="s">
        <v>24</v>
      </c>
      <c r="AL84" s="27"/>
      <c r="AM84" s="34" t="s">
        <v>25</v>
      </c>
      <c r="AN84" s="35" t="str">
        <f t="shared" si="13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14"/>
        <v/>
      </c>
    </row>
    <row r="85" spans="1:49" ht="18" customHeight="1" x14ac:dyDescent="0.3">
      <c r="A85" s="23">
        <v>81</v>
      </c>
      <c r="B85" s="24" t="s">
        <v>1679</v>
      </c>
      <c r="C85" s="25" t="s">
        <v>1680</v>
      </c>
      <c r="D85" s="23" t="s">
        <v>1618</v>
      </c>
      <c r="E85" s="43">
        <v>46126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10"/>
        <v>✓ OK</v>
      </c>
      <c r="N85" s="43">
        <v>46193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11"/>
        <v>✓ OK</v>
      </c>
      <c r="W85" s="45">
        <v>46248</v>
      </c>
      <c r="X85" s="30" t="s">
        <v>23</v>
      </c>
      <c r="Y85" s="30" t="s">
        <v>24</v>
      </c>
      <c r="Z85" s="30" t="s">
        <v>25</v>
      </c>
      <c r="AA85" s="30" t="s">
        <v>26</v>
      </c>
      <c r="AB85" s="30" t="s">
        <v>24</v>
      </c>
      <c r="AC85" s="27"/>
      <c r="AD85" s="31" t="s">
        <v>25</v>
      </c>
      <c r="AE85" s="32" t="str">
        <f t="shared" si="12"/>
        <v>✓ OK</v>
      </c>
      <c r="AF85" s="33" t="s">
        <v>27</v>
      </c>
      <c r="AG85" s="33" t="s">
        <v>23</v>
      </c>
      <c r="AH85" s="33" t="s">
        <v>24</v>
      </c>
      <c r="AI85" s="33" t="s">
        <v>25</v>
      </c>
      <c r="AJ85" s="33" t="s">
        <v>26</v>
      </c>
      <c r="AK85" s="33" t="s">
        <v>24</v>
      </c>
      <c r="AL85" s="27"/>
      <c r="AM85" s="34" t="s">
        <v>25</v>
      </c>
      <c r="AN85" s="35" t="str">
        <f t="shared" si="13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14"/>
        <v/>
      </c>
    </row>
    <row r="86" spans="1:49" ht="18" customHeight="1" x14ac:dyDescent="0.3">
      <c r="A86" s="39">
        <v>82</v>
      </c>
      <c r="B86" s="40" t="s">
        <v>1681</v>
      </c>
      <c r="C86" s="41" t="s">
        <v>1682</v>
      </c>
      <c r="D86" s="39" t="s">
        <v>1618</v>
      </c>
      <c r="E86" s="43">
        <v>46126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10"/>
        <v>✓ OK</v>
      </c>
      <c r="N86" s="43">
        <v>46193</v>
      </c>
      <c r="O86" s="26" t="s">
        <v>23</v>
      </c>
      <c r="P86" s="26" t="s">
        <v>24</v>
      </c>
      <c r="Q86" s="26" t="s">
        <v>25</v>
      </c>
      <c r="R86" s="26" t="s">
        <v>26</v>
      </c>
      <c r="S86" s="26" t="s">
        <v>24</v>
      </c>
      <c r="T86" s="27"/>
      <c r="U86" s="28" t="s">
        <v>25</v>
      </c>
      <c r="V86" s="29" t="str">
        <f t="shared" si="11"/>
        <v>✓ OK</v>
      </c>
      <c r="W86" s="45">
        <v>46248</v>
      </c>
      <c r="X86" s="30" t="s">
        <v>23</v>
      </c>
      <c r="Y86" s="30" t="s">
        <v>24</v>
      </c>
      <c r="Z86" s="30" t="s">
        <v>25</v>
      </c>
      <c r="AA86" s="30" t="s">
        <v>26</v>
      </c>
      <c r="AB86" s="30" t="s">
        <v>24</v>
      </c>
      <c r="AC86" s="27"/>
      <c r="AD86" s="31" t="s">
        <v>25</v>
      </c>
      <c r="AE86" s="32" t="str">
        <f t="shared" si="12"/>
        <v>✓ OK</v>
      </c>
      <c r="AF86" s="33" t="s">
        <v>27</v>
      </c>
      <c r="AG86" s="33" t="s">
        <v>23</v>
      </c>
      <c r="AH86" s="33" t="s">
        <v>24</v>
      </c>
      <c r="AI86" s="33" t="s">
        <v>25</v>
      </c>
      <c r="AJ86" s="33" t="s">
        <v>26</v>
      </c>
      <c r="AK86" s="33" t="s">
        <v>24</v>
      </c>
      <c r="AL86" s="27"/>
      <c r="AM86" s="34" t="s">
        <v>25</v>
      </c>
      <c r="AN86" s="35" t="str">
        <f t="shared" si="13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14"/>
        <v/>
      </c>
    </row>
    <row r="87" spans="1:49" ht="18" customHeight="1" x14ac:dyDescent="0.3">
      <c r="A87" s="23">
        <v>83</v>
      </c>
      <c r="B87" s="24" t="s">
        <v>1683</v>
      </c>
      <c r="C87" s="25" t="s">
        <v>1684</v>
      </c>
      <c r="D87" s="23" t="s">
        <v>1618</v>
      </c>
      <c r="E87" s="43">
        <v>46126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10"/>
        <v>✓ OK</v>
      </c>
      <c r="N87" s="43">
        <v>46193</v>
      </c>
      <c r="O87" s="26" t="s">
        <v>23</v>
      </c>
      <c r="P87" s="26" t="s">
        <v>24</v>
      </c>
      <c r="Q87" s="26" t="s">
        <v>25</v>
      </c>
      <c r="R87" s="26" t="s">
        <v>26</v>
      </c>
      <c r="S87" s="26" t="s">
        <v>24</v>
      </c>
      <c r="T87" s="27"/>
      <c r="U87" s="28" t="s">
        <v>25</v>
      </c>
      <c r="V87" s="29" t="str">
        <f t="shared" si="11"/>
        <v>✓ OK</v>
      </c>
      <c r="W87" s="45">
        <v>46248</v>
      </c>
      <c r="X87" s="30" t="s">
        <v>23</v>
      </c>
      <c r="Y87" s="30" t="s">
        <v>24</v>
      </c>
      <c r="Z87" s="30" t="s">
        <v>25</v>
      </c>
      <c r="AA87" s="30" t="s">
        <v>26</v>
      </c>
      <c r="AB87" s="30" t="s">
        <v>24</v>
      </c>
      <c r="AC87" s="27"/>
      <c r="AD87" s="31" t="s">
        <v>25</v>
      </c>
      <c r="AE87" s="32" t="str">
        <f t="shared" si="12"/>
        <v>✓ OK</v>
      </c>
      <c r="AF87" s="33" t="s">
        <v>27</v>
      </c>
      <c r="AG87" s="33" t="s">
        <v>23</v>
      </c>
      <c r="AH87" s="33" t="s">
        <v>24</v>
      </c>
      <c r="AI87" s="33" t="s">
        <v>25</v>
      </c>
      <c r="AJ87" s="33" t="s">
        <v>26</v>
      </c>
      <c r="AK87" s="33" t="s">
        <v>24</v>
      </c>
      <c r="AL87" s="27"/>
      <c r="AM87" s="34" t="s">
        <v>25</v>
      </c>
      <c r="AN87" s="35" t="str">
        <f t="shared" si="13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14"/>
        <v/>
      </c>
    </row>
    <row r="88" spans="1:49" ht="18" customHeight="1" x14ac:dyDescent="0.3">
      <c r="A88" s="39">
        <v>84</v>
      </c>
      <c r="B88" s="40" t="s">
        <v>1685</v>
      </c>
      <c r="C88" s="41" t="s">
        <v>1686</v>
      </c>
      <c r="D88" s="39" t="s">
        <v>1618</v>
      </c>
      <c r="E88" s="43">
        <v>46126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10"/>
        <v>✓ OK</v>
      </c>
      <c r="N88" s="43">
        <v>46193</v>
      </c>
      <c r="O88" s="26" t="s">
        <v>23</v>
      </c>
      <c r="P88" s="26" t="s">
        <v>24</v>
      </c>
      <c r="Q88" s="26" t="s">
        <v>25</v>
      </c>
      <c r="R88" s="26" t="s">
        <v>26</v>
      </c>
      <c r="S88" s="26" t="s">
        <v>24</v>
      </c>
      <c r="T88" s="27"/>
      <c r="U88" s="28" t="s">
        <v>25</v>
      </c>
      <c r="V88" s="29" t="str">
        <f t="shared" si="11"/>
        <v>✓ OK</v>
      </c>
      <c r="W88" s="45">
        <v>46248</v>
      </c>
      <c r="X88" s="30" t="s">
        <v>23</v>
      </c>
      <c r="Y88" s="30" t="s">
        <v>24</v>
      </c>
      <c r="Z88" s="30" t="s">
        <v>25</v>
      </c>
      <c r="AA88" s="30" t="s">
        <v>26</v>
      </c>
      <c r="AB88" s="30" t="s">
        <v>24</v>
      </c>
      <c r="AC88" s="27"/>
      <c r="AD88" s="31" t="s">
        <v>25</v>
      </c>
      <c r="AE88" s="32" t="str">
        <f t="shared" si="12"/>
        <v>✓ OK</v>
      </c>
      <c r="AF88" s="33" t="s">
        <v>27</v>
      </c>
      <c r="AG88" s="33" t="s">
        <v>23</v>
      </c>
      <c r="AH88" s="33" t="s">
        <v>24</v>
      </c>
      <c r="AI88" s="33" t="s">
        <v>25</v>
      </c>
      <c r="AJ88" s="33" t="s">
        <v>26</v>
      </c>
      <c r="AK88" s="33" t="s">
        <v>24</v>
      </c>
      <c r="AL88" s="27"/>
      <c r="AM88" s="34" t="s">
        <v>25</v>
      </c>
      <c r="AN88" s="35" t="str">
        <f t="shared" si="13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14"/>
        <v/>
      </c>
    </row>
    <row r="89" spans="1:49" ht="18" customHeight="1" x14ac:dyDescent="0.3">
      <c r="A89" s="23">
        <v>85</v>
      </c>
      <c r="B89" s="24" t="s">
        <v>1687</v>
      </c>
      <c r="C89" s="25" t="s">
        <v>1688</v>
      </c>
      <c r="D89" s="23" t="s">
        <v>1618</v>
      </c>
      <c r="E89" s="43">
        <v>46126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10"/>
        <v>✓ OK</v>
      </c>
      <c r="N89" s="43">
        <v>46193</v>
      </c>
      <c r="O89" s="26" t="s">
        <v>23</v>
      </c>
      <c r="P89" s="26" t="s">
        <v>24</v>
      </c>
      <c r="Q89" s="26" t="s">
        <v>25</v>
      </c>
      <c r="R89" s="26" t="s">
        <v>26</v>
      </c>
      <c r="S89" s="26" t="s">
        <v>24</v>
      </c>
      <c r="T89" s="27"/>
      <c r="U89" s="28" t="s">
        <v>25</v>
      </c>
      <c r="V89" s="29" t="str">
        <f t="shared" si="11"/>
        <v>✓ OK</v>
      </c>
      <c r="W89" s="45">
        <v>46248</v>
      </c>
      <c r="X89" s="30" t="s">
        <v>23</v>
      </c>
      <c r="Y89" s="30" t="s">
        <v>24</v>
      </c>
      <c r="Z89" s="30" t="s">
        <v>25</v>
      </c>
      <c r="AA89" s="30" t="s">
        <v>26</v>
      </c>
      <c r="AB89" s="30" t="s">
        <v>24</v>
      </c>
      <c r="AC89" s="27"/>
      <c r="AD89" s="31" t="s">
        <v>25</v>
      </c>
      <c r="AE89" s="32" t="str">
        <f t="shared" si="12"/>
        <v>✓ OK</v>
      </c>
      <c r="AF89" s="33" t="s">
        <v>27</v>
      </c>
      <c r="AG89" s="33" t="s">
        <v>23</v>
      </c>
      <c r="AH89" s="33" t="s">
        <v>24</v>
      </c>
      <c r="AI89" s="33" t="s">
        <v>25</v>
      </c>
      <c r="AJ89" s="33" t="s">
        <v>26</v>
      </c>
      <c r="AK89" s="33" t="s">
        <v>24</v>
      </c>
      <c r="AL89" s="27"/>
      <c r="AM89" s="34" t="s">
        <v>25</v>
      </c>
      <c r="AN89" s="35" t="str">
        <f t="shared" si="13"/>
        <v>✓ OK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14"/>
        <v/>
      </c>
    </row>
    <row r="90" spans="1:49" ht="18" customHeight="1" x14ac:dyDescent="0.3">
      <c r="A90" s="39">
        <v>86</v>
      </c>
      <c r="B90" s="40" t="s">
        <v>1689</v>
      </c>
      <c r="C90" s="41" t="s">
        <v>1690</v>
      </c>
      <c r="D90" s="39" t="s">
        <v>1618</v>
      </c>
      <c r="E90" s="43">
        <v>46126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10"/>
        <v>✓ OK</v>
      </c>
      <c r="N90" s="43">
        <v>46193</v>
      </c>
      <c r="O90" s="26" t="s">
        <v>23</v>
      </c>
      <c r="P90" s="26" t="s">
        <v>24</v>
      </c>
      <c r="Q90" s="26" t="s">
        <v>25</v>
      </c>
      <c r="R90" s="26" t="s">
        <v>26</v>
      </c>
      <c r="S90" s="26" t="s">
        <v>24</v>
      </c>
      <c r="T90" s="27"/>
      <c r="U90" s="28" t="s">
        <v>25</v>
      </c>
      <c r="V90" s="29" t="str">
        <f t="shared" si="11"/>
        <v>✓ OK</v>
      </c>
      <c r="W90" s="45">
        <v>46248</v>
      </c>
      <c r="X90" s="30" t="s">
        <v>23</v>
      </c>
      <c r="Y90" s="30" t="s">
        <v>24</v>
      </c>
      <c r="Z90" s="30" t="s">
        <v>25</v>
      </c>
      <c r="AA90" s="30" t="s">
        <v>26</v>
      </c>
      <c r="AB90" s="30" t="s">
        <v>24</v>
      </c>
      <c r="AC90" s="27"/>
      <c r="AD90" s="31" t="s">
        <v>25</v>
      </c>
      <c r="AE90" s="32" t="str">
        <f t="shared" si="12"/>
        <v>✓ OK</v>
      </c>
      <c r="AF90" s="33" t="s">
        <v>27</v>
      </c>
      <c r="AG90" s="33" t="s">
        <v>23</v>
      </c>
      <c r="AH90" s="33" t="s">
        <v>24</v>
      </c>
      <c r="AI90" s="33" t="s">
        <v>25</v>
      </c>
      <c r="AJ90" s="33" t="s">
        <v>26</v>
      </c>
      <c r="AK90" s="33" t="s">
        <v>24</v>
      </c>
      <c r="AL90" s="27"/>
      <c r="AM90" s="34" t="s">
        <v>25</v>
      </c>
      <c r="AN90" s="35" t="str">
        <f t="shared" si="13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14"/>
        <v/>
      </c>
    </row>
    <row r="91" spans="1:49" ht="18" customHeight="1" x14ac:dyDescent="0.3">
      <c r="A91" s="23">
        <v>87</v>
      </c>
      <c r="B91" s="24" t="s">
        <v>1691</v>
      </c>
      <c r="C91" s="25" t="s">
        <v>1692</v>
      </c>
      <c r="D91" s="23" t="s">
        <v>1618</v>
      </c>
      <c r="E91" s="43">
        <v>46126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10"/>
        <v>✓ OK</v>
      </c>
      <c r="N91" s="43">
        <v>46193</v>
      </c>
      <c r="O91" s="26" t="s">
        <v>23</v>
      </c>
      <c r="P91" s="26" t="s">
        <v>24</v>
      </c>
      <c r="Q91" s="26" t="s">
        <v>25</v>
      </c>
      <c r="R91" s="26" t="s">
        <v>26</v>
      </c>
      <c r="S91" s="26" t="s">
        <v>24</v>
      </c>
      <c r="T91" s="27"/>
      <c r="U91" s="28" t="s">
        <v>25</v>
      </c>
      <c r="V91" s="29" t="str">
        <f t="shared" si="11"/>
        <v>✓ OK</v>
      </c>
      <c r="W91" s="45">
        <v>46248</v>
      </c>
      <c r="X91" s="30" t="s">
        <v>23</v>
      </c>
      <c r="Y91" s="30" t="s">
        <v>24</v>
      </c>
      <c r="Z91" s="30" t="s">
        <v>25</v>
      </c>
      <c r="AA91" s="30" t="s">
        <v>26</v>
      </c>
      <c r="AB91" s="30" t="s">
        <v>24</v>
      </c>
      <c r="AC91" s="27"/>
      <c r="AD91" s="31" t="s">
        <v>25</v>
      </c>
      <c r="AE91" s="32" t="str">
        <f t="shared" si="12"/>
        <v>✓ OK</v>
      </c>
      <c r="AF91" s="33" t="s">
        <v>27</v>
      </c>
      <c r="AG91" s="33" t="s">
        <v>23</v>
      </c>
      <c r="AH91" s="33" t="s">
        <v>24</v>
      </c>
      <c r="AI91" s="33" t="s">
        <v>25</v>
      </c>
      <c r="AJ91" s="33" t="s">
        <v>26</v>
      </c>
      <c r="AK91" s="33" t="s">
        <v>24</v>
      </c>
      <c r="AL91" s="27"/>
      <c r="AM91" s="34" t="s">
        <v>25</v>
      </c>
      <c r="AN91" s="35" t="str">
        <f t="shared" si="13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14"/>
        <v/>
      </c>
    </row>
    <row r="92" spans="1:49" ht="18" customHeight="1" x14ac:dyDescent="0.3">
      <c r="A92" s="39">
        <v>88</v>
      </c>
      <c r="B92" s="40" t="s">
        <v>1693</v>
      </c>
      <c r="C92" s="41" t="s">
        <v>1694</v>
      </c>
      <c r="D92" s="39" t="s">
        <v>1618</v>
      </c>
      <c r="E92" s="43">
        <v>46126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/>
      <c r="L92" s="28" t="s">
        <v>25</v>
      </c>
      <c r="M92" s="29" t="str">
        <f t="shared" si="10"/>
        <v>✓ OK</v>
      </c>
      <c r="N92" s="43">
        <v>46193</v>
      </c>
      <c r="O92" s="26" t="s">
        <v>23</v>
      </c>
      <c r="P92" s="26" t="s">
        <v>24</v>
      </c>
      <c r="Q92" s="26" t="s">
        <v>25</v>
      </c>
      <c r="R92" s="26" t="s">
        <v>26</v>
      </c>
      <c r="S92" s="26" t="s">
        <v>24</v>
      </c>
      <c r="T92" s="27"/>
      <c r="U92" s="28" t="s">
        <v>25</v>
      </c>
      <c r="V92" s="29" t="str">
        <f t="shared" si="11"/>
        <v>✓ OK</v>
      </c>
      <c r="W92" s="45">
        <v>46248</v>
      </c>
      <c r="X92" s="30" t="s">
        <v>23</v>
      </c>
      <c r="Y92" s="30" t="s">
        <v>24</v>
      </c>
      <c r="Z92" s="30" t="s">
        <v>25</v>
      </c>
      <c r="AA92" s="30" t="s">
        <v>26</v>
      </c>
      <c r="AB92" s="30" t="s">
        <v>24</v>
      </c>
      <c r="AC92" s="27"/>
      <c r="AD92" s="31" t="s">
        <v>25</v>
      </c>
      <c r="AE92" s="32" t="str">
        <f t="shared" si="12"/>
        <v>✓ OK</v>
      </c>
      <c r="AF92" s="33" t="s">
        <v>27</v>
      </c>
      <c r="AG92" s="33" t="s">
        <v>23</v>
      </c>
      <c r="AH92" s="33" t="s">
        <v>24</v>
      </c>
      <c r="AI92" s="33" t="s">
        <v>25</v>
      </c>
      <c r="AJ92" s="33" t="s">
        <v>26</v>
      </c>
      <c r="AK92" s="33" t="s">
        <v>24</v>
      </c>
      <c r="AL92" s="27"/>
      <c r="AM92" s="34" t="s">
        <v>25</v>
      </c>
      <c r="AN92" s="35" t="str">
        <f t="shared" si="13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14"/>
        <v/>
      </c>
    </row>
    <row r="93" spans="1:49" ht="18" customHeight="1" x14ac:dyDescent="0.3">
      <c r="A93" s="23">
        <v>89</v>
      </c>
      <c r="B93" s="24" t="s">
        <v>1695</v>
      </c>
      <c r="C93" s="25" t="s">
        <v>1696</v>
      </c>
      <c r="D93" s="23" t="s">
        <v>1618</v>
      </c>
      <c r="E93" s="43">
        <v>46126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/>
      <c r="L93" s="28" t="s">
        <v>25</v>
      </c>
      <c r="M93" s="29" t="str">
        <f t="shared" si="10"/>
        <v>✓ OK</v>
      </c>
      <c r="N93" s="43">
        <v>46193</v>
      </c>
      <c r="O93" s="26" t="s">
        <v>23</v>
      </c>
      <c r="P93" s="26" t="s">
        <v>24</v>
      </c>
      <c r="Q93" s="26" t="s">
        <v>25</v>
      </c>
      <c r="R93" s="26" t="s">
        <v>26</v>
      </c>
      <c r="S93" s="26" t="s">
        <v>24</v>
      </c>
      <c r="T93" s="27"/>
      <c r="U93" s="28" t="s">
        <v>25</v>
      </c>
      <c r="V93" s="29" t="str">
        <f t="shared" si="11"/>
        <v>✓ OK</v>
      </c>
      <c r="W93" s="45">
        <v>46248</v>
      </c>
      <c r="X93" s="30" t="s">
        <v>23</v>
      </c>
      <c r="Y93" s="30" t="s">
        <v>24</v>
      </c>
      <c r="Z93" s="30" t="s">
        <v>25</v>
      </c>
      <c r="AA93" s="30" t="s">
        <v>26</v>
      </c>
      <c r="AB93" s="30" t="s">
        <v>24</v>
      </c>
      <c r="AC93" s="27"/>
      <c r="AD93" s="31" t="s">
        <v>25</v>
      </c>
      <c r="AE93" s="32" t="str">
        <f t="shared" si="12"/>
        <v>✓ OK</v>
      </c>
      <c r="AF93" s="33" t="s">
        <v>27</v>
      </c>
      <c r="AG93" s="33" t="s">
        <v>23</v>
      </c>
      <c r="AH93" s="33" t="s">
        <v>24</v>
      </c>
      <c r="AI93" s="33" t="s">
        <v>25</v>
      </c>
      <c r="AJ93" s="33" t="s">
        <v>26</v>
      </c>
      <c r="AK93" s="33" t="s">
        <v>24</v>
      </c>
      <c r="AL93" s="27"/>
      <c r="AM93" s="34" t="s">
        <v>25</v>
      </c>
      <c r="AN93" s="35" t="str">
        <f t="shared" si="13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14"/>
        <v/>
      </c>
    </row>
    <row r="94" spans="1:49" ht="18" customHeight="1" x14ac:dyDescent="0.3">
      <c r="A94" s="39">
        <v>90</v>
      </c>
      <c r="B94" s="40" t="s">
        <v>1697</v>
      </c>
      <c r="C94" s="41" t="s">
        <v>1698</v>
      </c>
      <c r="D94" s="39" t="s">
        <v>1618</v>
      </c>
      <c r="E94" s="43">
        <v>46126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/>
      <c r="L94" s="28" t="s">
        <v>25</v>
      </c>
      <c r="M94" s="29" t="str">
        <f t="shared" si="10"/>
        <v>✓ OK</v>
      </c>
      <c r="N94" s="43">
        <v>46193</v>
      </c>
      <c r="O94" s="26" t="s">
        <v>23</v>
      </c>
      <c r="P94" s="26" t="s">
        <v>24</v>
      </c>
      <c r="Q94" s="26" t="s">
        <v>25</v>
      </c>
      <c r="R94" s="26" t="s">
        <v>26</v>
      </c>
      <c r="S94" s="26" t="s">
        <v>24</v>
      </c>
      <c r="T94" s="27"/>
      <c r="U94" s="28" t="s">
        <v>25</v>
      </c>
      <c r="V94" s="29" t="str">
        <f t="shared" si="11"/>
        <v>✓ OK</v>
      </c>
      <c r="W94" s="45">
        <v>46248</v>
      </c>
      <c r="X94" s="30" t="s">
        <v>23</v>
      </c>
      <c r="Y94" s="30" t="s">
        <v>24</v>
      </c>
      <c r="Z94" s="30" t="s">
        <v>25</v>
      </c>
      <c r="AA94" s="30" t="s">
        <v>26</v>
      </c>
      <c r="AB94" s="30" t="s">
        <v>24</v>
      </c>
      <c r="AC94" s="27"/>
      <c r="AD94" s="31" t="s">
        <v>25</v>
      </c>
      <c r="AE94" s="32" t="str">
        <f t="shared" si="12"/>
        <v>✓ OK</v>
      </c>
      <c r="AF94" s="33" t="s">
        <v>27</v>
      </c>
      <c r="AG94" s="33" t="s">
        <v>23</v>
      </c>
      <c r="AH94" s="33" t="s">
        <v>24</v>
      </c>
      <c r="AI94" s="33" t="s">
        <v>25</v>
      </c>
      <c r="AJ94" s="33" t="s">
        <v>26</v>
      </c>
      <c r="AK94" s="33" t="s">
        <v>24</v>
      </c>
      <c r="AL94" s="27"/>
      <c r="AM94" s="34" t="s">
        <v>25</v>
      </c>
      <c r="AN94" s="35" t="str">
        <f t="shared" si="13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14"/>
        <v/>
      </c>
    </row>
    <row r="95" spans="1:49" ht="18" customHeight="1" x14ac:dyDescent="0.3">
      <c r="A95" s="23">
        <v>91</v>
      </c>
      <c r="B95" s="24" t="s">
        <v>1699</v>
      </c>
      <c r="C95" s="25" t="s">
        <v>1700</v>
      </c>
      <c r="D95" s="23" t="s">
        <v>1618</v>
      </c>
      <c r="E95" s="43">
        <v>46126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10"/>
        <v>✓ OK</v>
      </c>
      <c r="N95" s="43">
        <v>46193</v>
      </c>
      <c r="O95" s="26" t="s">
        <v>23</v>
      </c>
      <c r="P95" s="26" t="s">
        <v>24</v>
      </c>
      <c r="Q95" s="26" t="s">
        <v>25</v>
      </c>
      <c r="R95" s="26" t="s">
        <v>26</v>
      </c>
      <c r="S95" s="26" t="s">
        <v>24</v>
      </c>
      <c r="T95" s="27"/>
      <c r="U95" s="28" t="s">
        <v>25</v>
      </c>
      <c r="V95" s="29" t="str">
        <f t="shared" si="11"/>
        <v>✓ OK</v>
      </c>
      <c r="W95" s="45">
        <v>46248</v>
      </c>
      <c r="X95" s="30" t="s">
        <v>23</v>
      </c>
      <c r="Y95" s="30" t="s">
        <v>24</v>
      </c>
      <c r="Z95" s="30" t="s">
        <v>25</v>
      </c>
      <c r="AA95" s="30" t="s">
        <v>26</v>
      </c>
      <c r="AB95" s="30" t="s">
        <v>24</v>
      </c>
      <c r="AC95" s="27"/>
      <c r="AD95" s="31" t="s">
        <v>25</v>
      </c>
      <c r="AE95" s="32" t="str">
        <f t="shared" si="12"/>
        <v>✓ OK</v>
      </c>
      <c r="AF95" s="33" t="s">
        <v>27</v>
      </c>
      <c r="AG95" s="33" t="s">
        <v>23</v>
      </c>
      <c r="AH95" s="33" t="s">
        <v>24</v>
      </c>
      <c r="AI95" s="33" t="s">
        <v>25</v>
      </c>
      <c r="AJ95" s="33" t="s">
        <v>26</v>
      </c>
      <c r="AK95" s="33" t="s">
        <v>24</v>
      </c>
      <c r="AL95" s="27"/>
      <c r="AM95" s="34" t="s">
        <v>25</v>
      </c>
      <c r="AN95" s="35" t="str">
        <f t="shared" si="13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14"/>
        <v/>
      </c>
    </row>
    <row r="96" spans="1:49" ht="18" customHeight="1" x14ac:dyDescent="0.3">
      <c r="A96" s="39">
        <v>92</v>
      </c>
      <c r="B96" s="40" t="s">
        <v>1701</v>
      </c>
      <c r="C96" s="41" t="s">
        <v>1702</v>
      </c>
      <c r="D96" s="39" t="s">
        <v>1618</v>
      </c>
      <c r="E96" s="43">
        <v>46126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10"/>
        <v>✓ OK</v>
      </c>
      <c r="N96" s="43">
        <v>46193</v>
      </c>
      <c r="O96" s="26" t="s">
        <v>23</v>
      </c>
      <c r="P96" s="26" t="s">
        <v>24</v>
      </c>
      <c r="Q96" s="26" t="s">
        <v>25</v>
      </c>
      <c r="R96" s="26" t="s">
        <v>26</v>
      </c>
      <c r="S96" s="26" t="s">
        <v>24</v>
      </c>
      <c r="T96" s="27"/>
      <c r="U96" s="28" t="s">
        <v>25</v>
      </c>
      <c r="V96" s="29" t="str">
        <f t="shared" si="11"/>
        <v>✓ OK</v>
      </c>
      <c r="W96" s="45">
        <v>46248</v>
      </c>
      <c r="X96" s="30" t="s">
        <v>23</v>
      </c>
      <c r="Y96" s="30" t="s">
        <v>24</v>
      </c>
      <c r="Z96" s="30" t="s">
        <v>25</v>
      </c>
      <c r="AA96" s="30" t="s">
        <v>26</v>
      </c>
      <c r="AB96" s="30" t="s">
        <v>24</v>
      </c>
      <c r="AC96" s="27"/>
      <c r="AD96" s="31" t="s">
        <v>25</v>
      </c>
      <c r="AE96" s="32" t="str">
        <f t="shared" si="12"/>
        <v>✓ OK</v>
      </c>
      <c r="AF96" s="33" t="s">
        <v>27</v>
      </c>
      <c r="AG96" s="33" t="s">
        <v>23</v>
      </c>
      <c r="AH96" s="33" t="s">
        <v>24</v>
      </c>
      <c r="AI96" s="33" t="s">
        <v>25</v>
      </c>
      <c r="AJ96" s="33" t="s">
        <v>26</v>
      </c>
      <c r="AK96" s="33" t="s">
        <v>24</v>
      </c>
      <c r="AL96" s="27"/>
      <c r="AM96" s="34" t="s">
        <v>25</v>
      </c>
      <c r="AN96" s="35" t="str">
        <f t="shared" si="13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14"/>
        <v/>
      </c>
    </row>
    <row r="97" spans="1:49" ht="18" customHeight="1" x14ac:dyDescent="0.3">
      <c r="A97" s="23">
        <v>93</v>
      </c>
      <c r="B97" s="24" t="s">
        <v>1703</v>
      </c>
      <c r="C97" s="25" t="s">
        <v>1704</v>
      </c>
      <c r="D97" s="23" t="s">
        <v>1618</v>
      </c>
      <c r="E97" s="43">
        <v>46126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10"/>
        <v>✓ OK</v>
      </c>
      <c r="N97" s="43">
        <v>46193</v>
      </c>
      <c r="O97" s="26" t="s">
        <v>23</v>
      </c>
      <c r="P97" s="26" t="s">
        <v>24</v>
      </c>
      <c r="Q97" s="26" t="s">
        <v>25</v>
      </c>
      <c r="R97" s="26" t="s">
        <v>26</v>
      </c>
      <c r="S97" s="26" t="s">
        <v>24</v>
      </c>
      <c r="T97" s="27"/>
      <c r="U97" s="28" t="s">
        <v>25</v>
      </c>
      <c r="V97" s="29" t="str">
        <f t="shared" si="11"/>
        <v>✓ OK</v>
      </c>
      <c r="W97" s="45">
        <v>46248</v>
      </c>
      <c r="X97" s="30" t="s">
        <v>23</v>
      </c>
      <c r="Y97" s="30" t="s">
        <v>24</v>
      </c>
      <c r="Z97" s="30" t="s">
        <v>25</v>
      </c>
      <c r="AA97" s="30" t="s">
        <v>26</v>
      </c>
      <c r="AB97" s="30" t="s">
        <v>24</v>
      </c>
      <c r="AC97" s="27"/>
      <c r="AD97" s="31" t="s">
        <v>25</v>
      </c>
      <c r="AE97" s="32" t="str">
        <f t="shared" si="12"/>
        <v>✓ OK</v>
      </c>
      <c r="AF97" s="33" t="s">
        <v>27</v>
      </c>
      <c r="AG97" s="33" t="s">
        <v>23</v>
      </c>
      <c r="AH97" s="33" t="s">
        <v>24</v>
      </c>
      <c r="AI97" s="33" t="s">
        <v>25</v>
      </c>
      <c r="AJ97" s="33" t="s">
        <v>26</v>
      </c>
      <c r="AK97" s="33" t="s">
        <v>24</v>
      </c>
      <c r="AL97" s="27"/>
      <c r="AM97" s="34" t="s">
        <v>25</v>
      </c>
      <c r="AN97" s="35" t="str">
        <f t="shared" si="13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14"/>
        <v/>
      </c>
    </row>
    <row r="98" spans="1:49" ht="18" customHeight="1" x14ac:dyDescent="0.3">
      <c r="A98" s="39">
        <v>94</v>
      </c>
      <c r="B98" s="40" t="s">
        <v>1705</v>
      </c>
      <c r="C98" s="41" t="s">
        <v>1706</v>
      </c>
      <c r="D98" s="39" t="s">
        <v>1618</v>
      </c>
      <c r="E98" s="43">
        <v>46126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10"/>
        <v>✓ OK</v>
      </c>
      <c r="N98" s="43">
        <v>46193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11"/>
        <v>✓ OK</v>
      </c>
      <c r="W98" s="45">
        <v>46248</v>
      </c>
      <c r="X98" s="30" t="s">
        <v>23</v>
      </c>
      <c r="Y98" s="30" t="s">
        <v>24</v>
      </c>
      <c r="Z98" s="30" t="s">
        <v>25</v>
      </c>
      <c r="AA98" s="30" t="s">
        <v>26</v>
      </c>
      <c r="AB98" s="30" t="s">
        <v>24</v>
      </c>
      <c r="AC98" s="27"/>
      <c r="AD98" s="31" t="s">
        <v>25</v>
      </c>
      <c r="AE98" s="32" t="str">
        <f t="shared" si="12"/>
        <v>✓ OK</v>
      </c>
      <c r="AF98" s="33" t="s">
        <v>27</v>
      </c>
      <c r="AG98" s="33" t="s">
        <v>23</v>
      </c>
      <c r="AH98" s="33" t="s">
        <v>24</v>
      </c>
      <c r="AI98" s="33" t="s">
        <v>25</v>
      </c>
      <c r="AJ98" s="33" t="s">
        <v>26</v>
      </c>
      <c r="AK98" s="33" t="s">
        <v>24</v>
      </c>
      <c r="AL98" s="27"/>
      <c r="AM98" s="34" t="s">
        <v>25</v>
      </c>
      <c r="AN98" s="35" t="str">
        <f t="shared" si="13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14"/>
        <v/>
      </c>
    </row>
    <row r="99" spans="1:49" ht="18" customHeight="1" x14ac:dyDescent="0.3">
      <c r="A99" s="23">
        <v>95</v>
      </c>
      <c r="B99" s="24" t="s">
        <v>1707</v>
      </c>
      <c r="C99" s="25" t="s">
        <v>1708</v>
      </c>
      <c r="D99" s="23" t="s">
        <v>1618</v>
      </c>
      <c r="E99" s="43">
        <v>46126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10"/>
        <v>✓ OK</v>
      </c>
      <c r="N99" s="43">
        <v>46193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11"/>
        <v>✓ OK</v>
      </c>
      <c r="W99" s="45">
        <v>46248</v>
      </c>
      <c r="X99" s="30" t="s">
        <v>23</v>
      </c>
      <c r="Y99" s="30" t="s">
        <v>24</v>
      </c>
      <c r="Z99" s="30" t="s">
        <v>25</v>
      </c>
      <c r="AA99" s="30" t="s">
        <v>26</v>
      </c>
      <c r="AB99" s="30" t="s">
        <v>24</v>
      </c>
      <c r="AC99" s="27"/>
      <c r="AD99" s="31" t="s">
        <v>25</v>
      </c>
      <c r="AE99" s="32" t="str">
        <f t="shared" si="12"/>
        <v>✓ OK</v>
      </c>
      <c r="AF99" s="33" t="s">
        <v>27</v>
      </c>
      <c r="AG99" s="33" t="s">
        <v>23</v>
      </c>
      <c r="AH99" s="33" t="s">
        <v>24</v>
      </c>
      <c r="AI99" s="33" t="s">
        <v>25</v>
      </c>
      <c r="AJ99" s="33" t="s">
        <v>26</v>
      </c>
      <c r="AK99" s="33" t="s">
        <v>24</v>
      </c>
      <c r="AL99" s="27"/>
      <c r="AM99" s="34" t="s">
        <v>25</v>
      </c>
      <c r="AN99" s="35" t="str">
        <f t="shared" si="13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14"/>
        <v/>
      </c>
    </row>
    <row r="100" spans="1:49" ht="18" customHeight="1" x14ac:dyDescent="0.3">
      <c r="A100" s="39">
        <v>96</v>
      </c>
      <c r="B100" s="40" t="s">
        <v>1709</v>
      </c>
      <c r="C100" s="41" t="s">
        <v>1710</v>
      </c>
      <c r="D100" s="39" t="s">
        <v>1618</v>
      </c>
      <c r="E100" s="43">
        <v>46126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10"/>
        <v>✓ OK</v>
      </c>
      <c r="N100" s="43">
        <v>46193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11"/>
        <v>✓ OK</v>
      </c>
      <c r="W100" s="45">
        <v>46248</v>
      </c>
      <c r="X100" s="30" t="s">
        <v>23</v>
      </c>
      <c r="Y100" s="30" t="s">
        <v>24</v>
      </c>
      <c r="Z100" s="30" t="s">
        <v>25</v>
      </c>
      <c r="AA100" s="30" t="s">
        <v>26</v>
      </c>
      <c r="AB100" s="30" t="s">
        <v>24</v>
      </c>
      <c r="AC100" s="27"/>
      <c r="AD100" s="31" t="s">
        <v>25</v>
      </c>
      <c r="AE100" s="32" t="str">
        <f t="shared" si="12"/>
        <v>✓ OK</v>
      </c>
      <c r="AF100" s="33" t="s">
        <v>27</v>
      </c>
      <c r="AG100" s="33" t="s">
        <v>23</v>
      </c>
      <c r="AH100" s="33" t="s">
        <v>24</v>
      </c>
      <c r="AI100" s="33" t="s">
        <v>25</v>
      </c>
      <c r="AJ100" s="33" t="s">
        <v>26</v>
      </c>
      <c r="AK100" s="33" t="s">
        <v>24</v>
      </c>
      <c r="AL100" s="27"/>
      <c r="AM100" s="34" t="s">
        <v>25</v>
      </c>
      <c r="AN100" s="35" t="str">
        <f t="shared" si="13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14"/>
        <v/>
      </c>
    </row>
    <row r="101" spans="1:49" ht="18" customHeight="1" x14ac:dyDescent="0.3">
      <c r="A101" s="23">
        <v>97</v>
      </c>
      <c r="B101" s="24" t="s">
        <v>1711</v>
      </c>
      <c r="C101" s="25" t="s">
        <v>1712</v>
      </c>
      <c r="D101" s="23" t="s">
        <v>1618</v>
      </c>
      <c r="E101" s="43">
        <v>46126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ref="M101:M132" si="15">IF(E101="","",IF(H101="Yes","❌ Disc",IF(G101="No","⚠ Missing",IF(J101="Yes","✓ OK","⚠ Check"))))</f>
        <v>✓ OK</v>
      </c>
      <c r="N101" s="43">
        <v>46193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ref="V101:V132" si="16">IF(N101="","",IF(Q101="Yes","❌ Disc",IF(P101="No","⚠ Missing",IF(S101="Yes","✓ OK","⚠ Check"))))</f>
        <v>✓ OK</v>
      </c>
      <c r="W101" s="45">
        <v>46248</v>
      </c>
      <c r="X101" s="30" t="s">
        <v>23</v>
      </c>
      <c r="Y101" s="30" t="s">
        <v>24</v>
      </c>
      <c r="Z101" s="30" t="s">
        <v>25</v>
      </c>
      <c r="AA101" s="30" t="s">
        <v>26</v>
      </c>
      <c r="AB101" s="30" t="s">
        <v>24</v>
      </c>
      <c r="AC101" s="27"/>
      <c r="AD101" s="31" t="s">
        <v>25</v>
      </c>
      <c r="AE101" s="32" t="str">
        <f t="shared" ref="AE101:AE132" si="17">IF(W101="","",IF(Z101="Yes","❌ Disc",IF(Y101="No","⚠ Missing",IF(AB101="Yes","✓ OK","⚠ Check"))))</f>
        <v>✓ OK</v>
      </c>
      <c r="AF101" s="33" t="s">
        <v>27</v>
      </c>
      <c r="AG101" s="33" t="s">
        <v>23</v>
      </c>
      <c r="AH101" s="33" t="s">
        <v>24</v>
      </c>
      <c r="AI101" s="33" t="s">
        <v>25</v>
      </c>
      <c r="AJ101" s="33" t="s">
        <v>26</v>
      </c>
      <c r="AK101" s="33" t="s">
        <v>24</v>
      </c>
      <c r="AL101" s="27"/>
      <c r="AM101" s="34" t="s">
        <v>25</v>
      </c>
      <c r="AN101" s="35" t="str">
        <f t="shared" ref="AN101:AN132" si="18">IF(AF101="","",IF(AI101="Yes","❌ Disc",IF(AH101="No","⚠ Missing",IF(AK101="Yes","✓ OK","⚠ Check"))))</f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ref="AW101:AW132" si="19">IF(AO101="","",IF(AR101="Yes","❌ Disc",IF(AQ101="No","⚠ Missing",IF(AT101="Yes","✓ OK","⚠ Check"))))</f>
        <v/>
      </c>
    </row>
    <row r="102" spans="1:49" ht="18" customHeight="1" x14ac:dyDescent="0.3">
      <c r="A102" s="39">
        <v>98</v>
      </c>
      <c r="B102" s="40" t="s">
        <v>1713</v>
      </c>
      <c r="C102" s="41" t="s">
        <v>1714</v>
      </c>
      <c r="D102" s="39" t="s">
        <v>1618</v>
      </c>
      <c r="E102" s="43">
        <v>46126</v>
      </c>
      <c r="F102" s="26" t="s">
        <v>23</v>
      </c>
      <c r="G102" s="26" t="s">
        <v>25</v>
      </c>
      <c r="H102" s="26" t="s">
        <v>25</v>
      </c>
      <c r="I102" s="26" t="s">
        <v>735</v>
      </c>
      <c r="J102" s="26" t="s">
        <v>25</v>
      </c>
      <c r="K102" s="27"/>
      <c r="L102" s="28" t="s">
        <v>24</v>
      </c>
      <c r="M102" s="29" t="str">
        <f t="shared" si="15"/>
        <v>⚠ Missing</v>
      </c>
      <c r="N102" s="43">
        <v>46193</v>
      </c>
      <c r="O102" s="26" t="s">
        <v>23</v>
      </c>
      <c r="P102" s="26" t="s">
        <v>25</v>
      </c>
      <c r="Q102" s="26" t="s">
        <v>25</v>
      </c>
      <c r="R102" s="26" t="s">
        <v>735</v>
      </c>
      <c r="S102" s="26" t="s">
        <v>25</v>
      </c>
      <c r="T102" s="27"/>
      <c r="U102" s="28" t="s">
        <v>24</v>
      </c>
      <c r="V102" s="29" t="str">
        <f t="shared" si="16"/>
        <v>⚠ Missing</v>
      </c>
      <c r="W102" s="45">
        <v>46248</v>
      </c>
      <c r="X102" s="30" t="s">
        <v>23</v>
      </c>
      <c r="Y102" s="30" t="s">
        <v>25</v>
      </c>
      <c r="Z102" s="30" t="s">
        <v>25</v>
      </c>
      <c r="AA102" s="30" t="s">
        <v>735</v>
      </c>
      <c r="AB102" s="30" t="s">
        <v>25</v>
      </c>
      <c r="AC102" s="27"/>
      <c r="AD102" s="31" t="s">
        <v>24</v>
      </c>
      <c r="AE102" s="32" t="str">
        <f t="shared" si="17"/>
        <v>⚠ Missing</v>
      </c>
      <c r="AF102" s="33" t="s">
        <v>27</v>
      </c>
      <c r="AG102" s="33" t="s">
        <v>23</v>
      </c>
      <c r="AH102" s="33" t="s">
        <v>25</v>
      </c>
      <c r="AI102" s="33" t="s">
        <v>25</v>
      </c>
      <c r="AJ102" s="33" t="s">
        <v>735</v>
      </c>
      <c r="AK102" s="33" t="s">
        <v>25</v>
      </c>
      <c r="AL102" s="27"/>
      <c r="AM102" s="34" t="s">
        <v>24</v>
      </c>
      <c r="AN102" s="35" t="str">
        <f t="shared" si="18"/>
        <v>⚠ Missing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19"/>
        <v/>
      </c>
    </row>
    <row r="103" spans="1:49" ht="18" customHeight="1" x14ac:dyDescent="0.3">
      <c r="A103" s="23">
        <v>99</v>
      </c>
      <c r="B103" s="24" t="s">
        <v>1715</v>
      </c>
      <c r="C103" s="25" t="s">
        <v>1716</v>
      </c>
      <c r="D103" s="23" t="s">
        <v>1618</v>
      </c>
      <c r="E103" s="43">
        <v>46126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15"/>
        <v>✓ OK</v>
      </c>
      <c r="N103" s="43">
        <v>46193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16"/>
        <v>✓ OK</v>
      </c>
      <c r="W103" s="45">
        <v>46248</v>
      </c>
      <c r="X103" s="30" t="s">
        <v>23</v>
      </c>
      <c r="Y103" s="30" t="s">
        <v>24</v>
      </c>
      <c r="Z103" s="30" t="s">
        <v>25</v>
      </c>
      <c r="AA103" s="30" t="s">
        <v>26</v>
      </c>
      <c r="AB103" s="30" t="s">
        <v>24</v>
      </c>
      <c r="AC103" s="27"/>
      <c r="AD103" s="31" t="s">
        <v>25</v>
      </c>
      <c r="AE103" s="32" t="str">
        <f t="shared" si="17"/>
        <v>✓ OK</v>
      </c>
      <c r="AF103" s="33" t="s">
        <v>27</v>
      </c>
      <c r="AG103" s="33" t="s">
        <v>23</v>
      </c>
      <c r="AH103" s="33" t="s">
        <v>24</v>
      </c>
      <c r="AI103" s="33" t="s">
        <v>25</v>
      </c>
      <c r="AJ103" s="33" t="s">
        <v>26</v>
      </c>
      <c r="AK103" s="33" t="s">
        <v>24</v>
      </c>
      <c r="AL103" s="27"/>
      <c r="AM103" s="34" t="s">
        <v>25</v>
      </c>
      <c r="AN103" s="35" t="str">
        <f t="shared" si="1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19"/>
        <v/>
      </c>
    </row>
    <row r="104" spans="1:49" ht="18" customHeight="1" x14ac:dyDescent="0.3">
      <c r="A104" s="39">
        <v>100</v>
      </c>
      <c r="B104" s="40" t="s">
        <v>1717</v>
      </c>
      <c r="C104" s="41" t="s">
        <v>1718</v>
      </c>
      <c r="D104" s="39" t="s">
        <v>1618</v>
      </c>
      <c r="E104" s="43">
        <v>46126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15"/>
        <v>✓ OK</v>
      </c>
      <c r="N104" s="43">
        <v>46193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16"/>
        <v>✓ OK</v>
      </c>
      <c r="W104" s="45">
        <v>46248</v>
      </c>
      <c r="X104" s="30" t="s">
        <v>23</v>
      </c>
      <c r="Y104" s="30" t="s">
        <v>24</v>
      </c>
      <c r="Z104" s="30" t="s">
        <v>25</v>
      </c>
      <c r="AA104" s="30" t="s">
        <v>26</v>
      </c>
      <c r="AB104" s="30" t="s">
        <v>24</v>
      </c>
      <c r="AC104" s="27"/>
      <c r="AD104" s="31" t="s">
        <v>25</v>
      </c>
      <c r="AE104" s="32" t="str">
        <f t="shared" si="17"/>
        <v>✓ OK</v>
      </c>
      <c r="AF104" s="33" t="s">
        <v>27</v>
      </c>
      <c r="AG104" s="33" t="s">
        <v>23</v>
      </c>
      <c r="AH104" s="33" t="s">
        <v>24</v>
      </c>
      <c r="AI104" s="33" t="s">
        <v>25</v>
      </c>
      <c r="AJ104" s="33" t="s">
        <v>26</v>
      </c>
      <c r="AK104" s="33" t="s">
        <v>24</v>
      </c>
      <c r="AL104" s="27"/>
      <c r="AM104" s="34" t="s">
        <v>25</v>
      </c>
      <c r="AN104" s="35" t="str">
        <f t="shared" si="1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19"/>
        <v/>
      </c>
    </row>
    <row r="105" spans="1:49" ht="18" customHeight="1" x14ac:dyDescent="0.3">
      <c r="A105" s="23">
        <v>101</v>
      </c>
      <c r="B105" s="24" t="s">
        <v>1719</v>
      </c>
      <c r="C105" s="25" t="s">
        <v>1720</v>
      </c>
      <c r="D105" s="23" t="s">
        <v>1618</v>
      </c>
      <c r="E105" s="43">
        <v>46126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15"/>
        <v>✓ OK</v>
      </c>
      <c r="N105" s="43">
        <v>46193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16"/>
        <v>✓ OK</v>
      </c>
      <c r="W105" s="45">
        <v>46248</v>
      </c>
      <c r="X105" s="30" t="s">
        <v>23</v>
      </c>
      <c r="Y105" s="30" t="s">
        <v>24</v>
      </c>
      <c r="Z105" s="30" t="s">
        <v>25</v>
      </c>
      <c r="AA105" s="30" t="s">
        <v>26</v>
      </c>
      <c r="AB105" s="30" t="s">
        <v>24</v>
      </c>
      <c r="AC105" s="27"/>
      <c r="AD105" s="31" t="s">
        <v>25</v>
      </c>
      <c r="AE105" s="32" t="str">
        <f t="shared" si="17"/>
        <v>✓ OK</v>
      </c>
      <c r="AF105" s="33" t="s">
        <v>27</v>
      </c>
      <c r="AG105" s="33" t="s">
        <v>23</v>
      </c>
      <c r="AH105" s="33" t="s">
        <v>24</v>
      </c>
      <c r="AI105" s="33" t="s">
        <v>25</v>
      </c>
      <c r="AJ105" s="33" t="s">
        <v>26</v>
      </c>
      <c r="AK105" s="33" t="s">
        <v>24</v>
      </c>
      <c r="AL105" s="27"/>
      <c r="AM105" s="34" t="s">
        <v>25</v>
      </c>
      <c r="AN105" s="35" t="str">
        <f t="shared" si="1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19"/>
        <v/>
      </c>
    </row>
    <row r="106" spans="1:49" ht="18" customHeight="1" x14ac:dyDescent="0.3">
      <c r="A106" s="39">
        <v>102</v>
      </c>
      <c r="B106" s="40" t="s">
        <v>1721</v>
      </c>
      <c r="C106" s="41" t="s">
        <v>1722</v>
      </c>
      <c r="D106" s="39" t="s">
        <v>1618</v>
      </c>
      <c r="E106" s="43">
        <v>46126</v>
      </c>
      <c r="F106" s="26" t="s">
        <v>23</v>
      </c>
      <c r="G106" s="26" t="s">
        <v>25</v>
      </c>
      <c r="H106" s="26" t="s">
        <v>25</v>
      </c>
      <c r="I106" s="26" t="s">
        <v>735</v>
      </c>
      <c r="J106" s="26" t="s">
        <v>25</v>
      </c>
      <c r="K106" s="27"/>
      <c r="L106" s="28" t="s">
        <v>24</v>
      </c>
      <c r="M106" s="29" t="str">
        <f t="shared" si="15"/>
        <v>⚠ Missing</v>
      </c>
      <c r="N106" s="43">
        <v>46193</v>
      </c>
      <c r="O106" s="26" t="s">
        <v>23</v>
      </c>
      <c r="P106" s="26" t="s">
        <v>25</v>
      </c>
      <c r="Q106" s="26" t="s">
        <v>25</v>
      </c>
      <c r="R106" s="26" t="s">
        <v>735</v>
      </c>
      <c r="S106" s="26" t="s">
        <v>25</v>
      </c>
      <c r="T106" s="27"/>
      <c r="U106" s="28" t="s">
        <v>24</v>
      </c>
      <c r="V106" s="29" t="str">
        <f t="shared" si="16"/>
        <v>⚠ Missing</v>
      </c>
      <c r="W106" s="45">
        <v>46248</v>
      </c>
      <c r="X106" s="30" t="s">
        <v>23</v>
      </c>
      <c r="Y106" s="30" t="s">
        <v>25</v>
      </c>
      <c r="Z106" s="30" t="s">
        <v>25</v>
      </c>
      <c r="AA106" s="30" t="s">
        <v>735</v>
      </c>
      <c r="AB106" s="30" t="s">
        <v>25</v>
      </c>
      <c r="AC106" s="27"/>
      <c r="AD106" s="31" t="s">
        <v>24</v>
      </c>
      <c r="AE106" s="32" t="str">
        <f t="shared" si="17"/>
        <v>⚠ Missing</v>
      </c>
      <c r="AF106" s="33" t="s">
        <v>27</v>
      </c>
      <c r="AG106" s="33" t="s">
        <v>23</v>
      </c>
      <c r="AH106" s="33" t="s">
        <v>25</v>
      </c>
      <c r="AI106" s="33" t="s">
        <v>25</v>
      </c>
      <c r="AJ106" s="33" t="s">
        <v>735</v>
      </c>
      <c r="AK106" s="33" t="s">
        <v>25</v>
      </c>
      <c r="AL106" s="27"/>
      <c r="AM106" s="34" t="s">
        <v>24</v>
      </c>
      <c r="AN106" s="35" t="str">
        <f t="shared" si="18"/>
        <v>⚠ Missing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19"/>
        <v/>
      </c>
    </row>
    <row r="107" spans="1:49" ht="18" customHeight="1" x14ac:dyDescent="0.3">
      <c r="A107" s="23">
        <v>103</v>
      </c>
      <c r="B107" s="24" t="s">
        <v>1723</v>
      </c>
      <c r="C107" s="25" t="s">
        <v>1724</v>
      </c>
      <c r="D107" s="23" t="s">
        <v>1618</v>
      </c>
      <c r="E107" s="43">
        <v>46126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15"/>
        <v>✓ OK</v>
      </c>
      <c r="N107" s="43">
        <v>46193</v>
      </c>
      <c r="O107" s="26" t="s">
        <v>23</v>
      </c>
      <c r="P107" s="26" t="s">
        <v>24</v>
      </c>
      <c r="Q107" s="26" t="s">
        <v>25</v>
      </c>
      <c r="R107" s="26" t="s">
        <v>26</v>
      </c>
      <c r="S107" s="26" t="s">
        <v>24</v>
      </c>
      <c r="T107" s="27"/>
      <c r="U107" s="28" t="s">
        <v>25</v>
      </c>
      <c r="V107" s="29" t="str">
        <f t="shared" si="16"/>
        <v>✓ OK</v>
      </c>
      <c r="W107" s="45">
        <v>46248</v>
      </c>
      <c r="X107" s="30" t="s">
        <v>23</v>
      </c>
      <c r="Y107" s="30" t="s">
        <v>24</v>
      </c>
      <c r="Z107" s="30" t="s">
        <v>25</v>
      </c>
      <c r="AA107" s="30" t="s">
        <v>26</v>
      </c>
      <c r="AB107" s="30" t="s">
        <v>24</v>
      </c>
      <c r="AC107" s="27"/>
      <c r="AD107" s="31" t="s">
        <v>25</v>
      </c>
      <c r="AE107" s="32" t="str">
        <f t="shared" si="17"/>
        <v>✓ OK</v>
      </c>
      <c r="AF107" s="33" t="s">
        <v>27</v>
      </c>
      <c r="AG107" s="33" t="s">
        <v>23</v>
      </c>
      <c r="AH107" s="33" t="s">
        <v>24</v>
      </c>
      <c r="AI107" s="33" t="s">
        <v>25</v>
      </c>
      <c r="AJ107" s="33" t="s">
        <v>26</v>
      </c>
      <c r="AK107" s="33" t="s">
        <v>24</v>
      </c>
      <c r="AL107" s="27"/>
      <c r="AM107" s="34" t="s">
        <v>25</v>
      </c>
      <c r="AN107" s="35" t="str">
        <f t="shared" si="1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19"/>
        <v/>
      </c>
    </row>
    <row r="108" spans="1:49" ht="18" customHeight="1" x14ac:dyDescent="0.3">
      <c r="A108" s="39">
        <v>104</v>
      </c>
      <c r="B108" s="40" t="s">
        <v>1725</v>
      </c>
      <c r="C108" s="41" t="s">
        <v>1726</v>
      </c>
      <c r="D108" s="39" t="s">
        <v>1618</v>
      </c>
      <c r="E108" s="43">
        <v>46126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15"/>
        <v>✓ OK</v>
      </c>
      <c r="N108" s="43">
        <v>46193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16"/>
        <v>✓ OK</v>
      </c>
      <c r="W108" s="45">
        <v>46248</v>
      </c>
      <c r="X108" s="30" t="s">
        <v>23</v>
      </c>
      <c r="Y108" s="30" t="s">
        <v>24</v>
      </c>
      <c r="Z108" s="30" t="s">
        <v>25</v>
      </c>
      <c r="AA108" s="30" t="s">
        <v>26</v>
      </c>
      <c r="AB108" s="30" t="s">
        <v>24</v>
      </c>
      <c r="AC108" s="27"/>
      <c r="AD108" s="31" t="s">
        <v>25</v>
      </c>
      <c r="AE108" s="32" t="str">
        <f t="shared" si="17"/>
        <v>✓ OK</v>
      </c>
      <c r="AF108" s="33" t="s">
        <v>27</v>
      </c>
      <c r="AG108" s="33" t="s">
        <v>23</v>
      </c>
      <c r="AH108" s="33" t="s">
        <v>24</v>
      </c>
      <c r="AI108" s="33" t="s">
        <v>25</v>
      </c>
      <c r="AJ108" s="33" t="s">
        <v>26</v>
      </c>
      <c r="AK108" s="33" t="s">
        <v>24</v>
      </c>
      <c r="AL108" s="27"/>
      <c r="AM108" s="34" t="s">
        <v>25</v>
      </c>
      <c r="AN108" s="35" t="str">
        <f t="shared" si="1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19"/>
        <v/>
      </c>
    </row>
    <row r="109" spans="1:49" ht="18" customHeight="1" x14ac:dyDescent="0.3">
      <c r="A109" s="23">
        <v>105</v>
      </c>
      <c r="B109" s="24" t="s">
        <v>1727</v>
      </c>
      <c r="C109" s="25" t="s">
        <v>1728</v>
      </c>
      <c r="D109" s="23" t="s">
        <v>1618</v>
      </c>
      <c r="E109" s="43">
        <v>46126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15"/>
        <v>✓ OK</v>
      </c>
      <c r="N109" s="43">
        <v>46193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16"/>
        <v>✓ OK</v>
      </c>
      <c r="W109" s="45">
        <v>46248</v>
      </c>
      <c r="X109" s="30" t="s">
        <v>23</v>
      </c>
      <c r="Y109" s="30" t="s">
        <v>24</v>
      </c>
      <c r="Z109" s="30" t="s">
        <v>25</v>
      </c>
      <c r="AA109" s="30" t="s">
        <v>26</v>
      </c>
      <c r="AB109" s="30" t="s">
        <v>24</v>
      </c>
      <c r="AC109" s="27"/>
      <c r="AD109" s="31" t="s">
        <v>25</v>
      </c>
      <c r="AE109" s="32" t="str">
        <f t="shared" si="17"/>
        <v>✓ OK</v>
      </c>
      <c r="AF109" s="33" t="s">
        <v>27</v>
      </c>
      <c r="AG109" s="33" t="s">
        <v>23</v>
      </c>
      <c r="AH109" s="33" t="s">
        <v>24</v>
      </c>
      <c r="AI109" s="33" t="s">
        <v>25</v>
      </c>
      <c r="AJ109" s="33" t="s">
        <v>26</v>
      </c>
      <c r="AK109" s="33" t="s">
        <v>24</v>
      </c>
      <c r="AL109" s="27"/>
      <c r="AM109" s="34" t="s">
        <v>25</v>
      </c>
      <c r="AN109" s="35" t="str">
        <f t="shared" si="1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19"/>
        <v/>
      </c>
    </row>
    <row r="110" spans="1:49" ht="18" customHeight="1" x14ac:dyDescent="0.3">
      <c r="A110" s="39">
        <v>106</v>
      </c>
      <c r="B110" s="40" t="s">
        <v>1729</v>
      </c>
      <c r="C110" s="41" t="s">
        <v>1730</v>
      </c>
      <c r="D110" s="39" t="s">
        <v>1618</v>
      </c>
      <c r="E110" s="43">
        <v>46126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15"/>
        <v>✓ OK</v>
      </c>
      <c r="N110" s="43">
        <v>46193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16"/>
        <v>✓ OK</v>
      </c>
      <c r="W110" s="45">
        <v>46248</v>
      </c>
      <c r="X110" s="30" t="s">
        <v>23</v>
      </c>
      <c r="Y110" s="30" t="s">
        <v>24</v>
      </c>
      <c r="Z110" s="30" t="s">
        <v>25</v>
      </c>
      <c r="AA110" s="30" t="s">
        <v>26</v>
      </c>
      <c r="AB110" s="30" t="s">
        <v>24</v>
      </c>
      <c r="AC110" s="27"/>
      <c r="AD110" s="31" t="s">
        <v>25</v>
      </c>
      <c r="AE110" s="32" t="str">
        <f t="shared" si="17"/>
        <v>✓ OK</v>
      </c>
      <c r="AF110" s="33" t="s">
        <v>27</v>
      </c>
      <c r="AG110" s="33" t="s">
        <v>23</v>
      </c>
      <c r="AH110" s="33" t="s">
        <v>24</v>
      </c>
      <c r="AI110" s="33" t="s">
        <v>25</v>
      </c>
      <c r="AJ110" s="33" t="s">
        <v>26</v>
      </c>
      <c r="AK110" s="33" t="s">
        <v>24</v>
      </c>
      <c r="AL110" s="27"/>
      <c r="AM110" s="34" t="s">
        <v>25</v>
      </c>
      <c r="AN110" s="35" t="str">
        <f t="shared" si="1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19"/>
        <v/>
      </c>
    </row>
    <row r="111" spans="1:49" ht="18" customHeight="1" x14ac:dyDescent="0.3">
      <c r="A111" s="23">
        <v>107</v>
      </c>
      <c r="B111" s="24" t="s">
        <v>1731</v>
      </c>
      <c r="C111" s="25" t="s">
        <v>1732</v>
      </c>
      <c r="D111" s="23" t="s">
        <v>1618</v>
      </c>
      <c r="E111" s="43">
        <v>46126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15"/>
        <v>✓ OK</v>
      </c>
      <c r="N111" s="43">
        <v>46193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16"/>
        <v>✓ OK</v>
      </c>
      <c r="W111" s="45">
        <v>46248</v>
      </c>
      <c r="X111" s="30" t="s">
        <v>23</v>
      </c>
      <c r="Y111" s="30" t="s">
        <v>24</v>
      </c>
      <c r="Z111" s="30" t="s">
        <v>25</v>
      </c>
      <c r="AA111" s="30" t="s">
        <v>26</v>
      </c>
      <c r="AB111" s="30" t="s">
        <v>24</v>
      </c>
      <c r="AC111" s="27"/>
      <c r="AD111" s="31" t="s">
        <v>25</v>
      </c>
      <c r="AE111" s="32" t="str">
        <f t="shared" si="17"/>
        <v>✓ OK</v>
      </c>
      <c r="AF111" s="33" t="s">
        <v>27</v>
      </c>
      <c r="AG111" s="33" t="s">
        <v>23</v>
      </c>
      <c r="AH111" s="33" t="s">
        <v>24</v>
      </c>
      <c r="AI111" s="33" t="s">
        <v>25</v>
      </c>
      <c r="AJ111" s="33" t="s">
        <v>26</v>
      </c>
      <c r="AK111" s="33" t="s">
        <v>24</v>
      </c>
      <c r="AL111" s="27"/>
      <c r="AM111" s="34" t="s">
        <v>25</v>
      </c>
      <c r="AN111" s="35" t="str">
        <f t="shared" si="1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19"/>
        <v/>
      </c>
    </row>
    <row r="112" spans="1:49" ht="18" customHeight="1" x14ac:dyDescent="0.3">
      <c r="A112" s="39">
        <v>108</v>
      </c>
      <c r="B112" s="40" t="s">
        <v>1733</v>
      </c>
      <c r="C112" s="41" t="s">
        <v>1734</v>
      </c>
      <c r="D112" s="39" t="s">
        <v>1618</v>
      </c>
      <c r="E112" s="43">
        <v>46126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15"/>
        <v>✓ OK</v>
      </c>
      <c r="N112" s="43">
        <v>46193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16"/>
        <v>✓ OK</v>
      </c>
      <c r="W112" s="45">
        <v>46248</v>
      </c>
      <c r="X112" s="30" t="s">
        <v>23</v>
      </c>
      <c r="Y112" s="30" t="s">
        <v>24</v>
      </c>
      <c r="Z112" s="30" t="s">
        <v>25</v>
      </c>
      <c r="AA112" s="30" t="s">
        <v>26</v>
      </c>
      <c r="AB112" s="30" t="s">
        <v>24</v>
      </c>
      <c r="AC112" s="27"/>
      <c r="AD112" s="31" t="s">
        <v>25</v>
      </c>
      <c r="AE112" s="32" t="str">
        <f t="shared" si="17"/>
        <v>✓ OK</v>
      </c>
      <c r="AF112" s="33" t="s">
        <v>27</v>
      </c>
      <c r="AG112" s="33" t="s">
        <v>23</v>
      </c>
      <c r="AH112" s="33" t="s">
        <v>24</v>
      </c>
      <c r="AI112" s="33" t="s">
        <v>25</v>
      </c>
      <c r="AJ112" s="33" t="s">
        <v>26</v>
      </c>
      <c r="AK112" s="33" t="s">
        <v>24</v>
      </c>
      <c r="AL112" s="27"/>
      <c r="AM112" s="34" t="s">
        <v>25</v>
      </c>
      <c r="AN112" s="35" t="str">
        <f t="shared" si="1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19"/>
        <v/>
      </c>
    </row>
    <row r="113" spans="1:49" ht="18" customHeight="1" x14ac:dyDescent="0.3">
      <c r="A113" s="23">
        <v>109</v>
      </c>
      <c r="B113" s="24" t="s">
        <v>1735</v>
      </c>
      <c r="C113" s="25" t="s">
        <v>1736</v>
      </c>
      <c r="D113" s="23" t="s">
        <v>1618</v>
      </c>
      <c r="E113" s="43">
        <v>46126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/>
      <c r="L113" s="28" t="s">
        <v>25</v>
      </c>
      <c r="M113" s="29" t="str">
        <f t="shared" si="15"/>
        <v>✓ OK</v>
      </c>
      <c r="N113" s="43">
        <v>46193</v>
      </c>
      <c r="O113" s="26" t="s">
        <v>23</v>
      </c>
      <c r="P113" s="26" t="s">
        <v>24</v>
      </c>
      <c r="Q113" s="26" t="s">
        <v>25</v>
      </c>
      <c r="R113" s="26" t="s">
        <v>26</v>
      </c>
      <c r="S113" s="26" t="s">
        <v>24</v>
      </c>
      <c r="T113" s="27"/>
      <c r="U113" s="28" t="s">
        <v>25</v>
      </c>
      <c r="V113" s="29" t="str">
        <f t="shared" si="16"/>
        <v>✓ OK</v>
      </c>
      <c r="W113" s="45">
        <v>46248</v>
      </c>
      <c r="X113" s="30" t="s">
        <v>23</v>
      </c>
      <c r="Y113" s="30" t="s">
        <v>24</v>
      </c>
      <c r="Z113" s="30" t="s">
        <v>25</v>
      </c>
      <c r="AA113" s="30" t="s">
        <v>26</v>
      </c>
      <c r="AB113" s="30" t="s">
        <v>24</v>
      </c>
      <c r="AC113" s="27"/>
      <c r="AD113" s="31" t="s">
        <v>25</v>
      </c>
      <c r="AE113" s="32" t="str">
        <f t="shared" si="17"/>
        <v>✓ OK</v>
      </c>
      <c r="AF113" s="33" t="s">
        <v>27</v>
      </c>
      <c r="AG113" s="33" t="s">
        <v>23</v>
      </c>
      <c r="AH113" s="33" t="s">
        <v>24</v>
      </c>
      <c r="AI113" s="33" t="s">
        <v>25</v>
      </c>
      <c r="AJ113" s="33" t="s">
        <v>26</v>
      </c>
      <c r="AK113" s="33" t="s">
        <v>24</v>
      </c>
      <c r="AL113" s="27"/>
      <c r="AM113" s="34" t="s">
        <v>25</v>
      </c>
      <c r="AN113" s="35" t="str">
        <f t="shared" si="1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19"/>
        <v/>
      </c>
    </row>
    <row r="114" spans="1:49" ht="18" customHeight="1" x14ac:dyDescent="0.3">
      <c r="A114" s="39">
        <v>110</v>
      </c>
      <c r="B114" s="40" t="s">
        <v>1737</v>
      </c>
      <c r="C114" s="41" t="s">
        <v>1738</v>
      </c>
      <c r="D114" s="39" t="s">
        <v>1618</v>
      </c>
      <c r="E114" s="43">
        <v>46126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15"/>
        <v>✓ OK</v>
      </c>
      <c r="N114" s="43">
        <v>46193</v>
      </c>
      <c r="O114" s="26" t="s">
        <v>23</v>
      </c>
      <c r="P114" s="26" t="s">
        <v>24</v>
      </c>
      <c r="Q114" s="26" t="s">
        <v>25</v>
      </c>
      <c r="R114" s="26" t="s">
        <v>26</v>
      </c>
      <c r="S114" s="26" t="s">
        <v>24</v>
      </c>
      <c r="T114" s="27"/>
      <c r="U114" s="28" t="s">
        <v>25</v>
      </c>
      <c r="V114" s="29" t="str">
        <f t="shared" si="16"/>
        <v>✓ OK</v>
      </c>
      <c r="W114" s="45">
        <v>46248</v>
      </c>
      <c r="X114" s="30" t="s">
        <v>23</v>
      </c>
      <c r="Y114" s="30" t="s">
        <v>24</v>
      </c>
      <c r="Z114" s="30" t="s">
        <v>25</v>
      </c>
      <c r="AA114" s="30" t="s">
        <v>26</v>
      </c>
      <c r="AB114" s="30" t="s">
        <v>24</v>
      </c>
      <c r="AC114" s="27"/>
      <c r="AD114" s="31" t="s">
        <v>25</v>
      </c>
      <c r="AE114" s="32" t="str">
        <f t="shared" si="17"/>
        <v>✓ OK</v>
      </c>
      <c r="AF114" s="33" t="s">
        <v>27</v>
      </c>
      <c r="AG114" s="33" t="s">
        <v>23</v>
      </c>
      <c r="AH114" s="33" t="s">
        <v>24</v>
      </c>
      <c r="AI114" s="33" t="s">
        <v>25</v>
      </c>
      <c r="AJ114" s="33" t="s">
        <v>26</v>
      </c>
      <c r="AK114" s="33" t="s">
        <v>24</v>
      </c>
      <c r="AL114" s="27"/>
      <c r="AM114" s="34" t="s">
        <v>25</v>
      </c>
      <c r="AN114" s="35" t="str">
        <f t="shared" si="1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19"/>
        <v/>
      </c>
    </row>
    <row r="115" spans="1:49" ht="18" customHeight="1" x14ac:dyDescent="0.3">
      <c r="A115" s="23">
        <v>111</v>
      </c>
      <c r="B115" s="24" t="s">
        <v>1739</v>
      </c>
      <c r="C115" s="25" t="s">
        <v>1740</v>
      </c>
      <c r="D115" s="23" t="s">
        <v>1618</v>
      </c>
      <c r="E115" s="43">
        <v>46126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15"/>
        <v>✓ OK</v>
      </c>
      <c r="N115" s="43">
        <v>46193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16"/>
        <v>✓ OK</v>
      </c>
      <c r="W115" s="45">
        <v>46248</v>
      </c>
      <c r="X115" s="30" t="s">
        <v>23</v>
      </c>
      <c r="Y115" s="30" t="s">
        <v>24</v>
      </c>
      <c r="Z115" s="30" t="s">
        <v>25</v>
      </c>
      <c r="AA115" s="30" t="s">
        <v>26</v>
      </c>
      <c r="AB115" s="30" t="s">
        <v>24</v>
      </c>
      <c r="AC115" s="27"/>
      <c r="AD115" s="31" t="s">
        <v>25</v>
      </c>
      <c r="AE115" s="32" t="str">
        <f t="shared" si="17"/>
        <v>✓ OK</v>
      </c>
      <c r="AF115" s="33" t="s">
        <v>27</v>
      </c>
      <c r="AG115" s="33" t="s">
        <v>23</v>
      </c>
      <c r="AH115" s="33" t="s">
        <v>24</v>
      </c>
      <c r="AI115" s="33" t="s">
        <v>25</v>
      </c>
      <c r="AJ115" s="33" t="s">
        <v>26</v>
      </c>
      <c r="AK115" s="33" t="s">
        <v>24</v>
      </c>
      <c r="AL115" s="27"/>
      <c r="AM115" s="34" t="s">
        <v>25</v>
      </c>
      <c r="AN115" s="35" t="str">
        <f t="shared" si="1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19"/>
        <v/>
      </c>
    </row>
    <row r="116" spans="1:49" ht="18" customHeight="1" x14ac:dyDescent="0.3">
      <c r="A116" s="39">
        <v>112</v>
      </c>
      <c r="B116" s="40" t="s">
        <v>1741</v>
      </c>
      <c r="C116" s="41" t="s">
        <v>1742</v>
      </c>
      <c r="D116" s="39" t="s">
        <v>1618</v>
      </c>
      <c r="E116" s="43">
        <v>46126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15"/>
        <v>✓ OK</v>
      </c>
      <c r="N116" s="43">
        <v>46193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16"/>
        <v>✓ OK</v>
      </c>
      <c r="W116" s="45">
        <v>46248</v>
      </c>
      <c r="X116" s="30" t="s">
        <v>23</v>
      </c>
      <c r="Y116" s="30" t="s">
        <v>24</v>
      </c>
      <c r="Z116" s="30" t="s">
        <v>25</v>
      </c>
      <c r="AA116" s="30" t="s">
        <v>26</v>
      </c>
      <c r="AB116" s="30" t="s">
        <v>24</v>
      </c>
      <c r="AC116" s="27"/>
      <c r="AD116" s="31" t="s">
        <v>25</v>
      </c>
      <c r="AE116" s="32" t="str">
        <f t="shared" si="17"/>
        <v>✓ OK</v>
      </c>
      <c r="AF116" s="33" t="s">
        <v>27</v>
      </c>
      <c r="AG116" s="33" t="s">
        <v>23</v>
      </c>
      <c r="AH116" s="33" t="s">
        <v>24</v>
      </c>
      <c r="AI116" s="33" t="s">
        <v>25</v>
      </c>
      <c r="AJ116" s="33" t="s">
        <v>26</v>
      </c>
      <c r="AK116" s="33" t="s">
        <v>24</v>
      </c>
      <c r="AL116" s="27"/>
      <c r="AM116" s="34" t="s">
        <v>25</v>
      </c>
      <c r="AN116" s="35" t="str">
        <f t="shared" si="1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19"/>
        <v/>
      </c>
    </row>
    <row r="117" spans="1:49" ht="18" customHeight="1" x14ac:dyDescent="0.3">
      <c r="A117" s="23">
        <v>113</v>
      </c>
      <c r="B117" s="24" t="s">
        <v>1743</v>
      </c>
      <c r="C117" s="25" t="s">
        <v>1744</v>
      </c>
      <c r="D117" s="23" t="s">
        <v>1618</v>
      </c>
      <c r="E117" s="43">
        <v>46126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15"/>
        <v>✓ OK</v>
      </c>
      <c r="N117" s="43">
        <v>46193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16"/>
        <v>✓ OK</v>
      </c>
      <c r="W117" s="45">
        <v>46248</v>
      </c>
      <c r="X117" s="30" t="s">
        <v>23</v>
      </c>
      <c r="Y117" s="30" t="s">
        <v>24</v>
      </c>
      <c r="Z117" s="30" t="s">
        <v>25</v>
      </c>
      <c r="AA117" s="30" t="s">
        <v>26</v>
      </c>
      <c r="AB117" s="30" t="s">
        <v>24</v>
      </c>
      <c r="AC117" s="27"/>
      <c r="AD117" s="31" t="s">
        <v>25</v>
      </c>
      <c r="AE117" s="32" t="str">
        <f t="shared" si="17"/>
        <v>✓ OK</v>
      </c>
      <c r="AF117" s="33" t="s">
        <v>27</v>
      </c>
      <c r="AG117" s="33" t="s">
        <v>23</v>
      </c>
      <c r="AH117" s="33" t="s">
        <v>24</v>
      </c>
      <c r="AI117" s="33" t="s">
        <v>25</v>
      </c>
      <c r="AJ117" s="33" t="s">
        <v>26</v>
      </c>
      <c r="AK117" s="33" t="s">
        <v>24</v>
      </c>
      <c r="AL117" s="27"/>
      <c r="AM117" s="34" t="s">
        <v>25</v>
      </c>
      <c r="AN117" s="35" t="str">
        <f t="shared" si="1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19"/>
        <v/>
      </c>
    </row>
    <row r="118" spans="1:49" ht="18" customHeight="1" x14ac:dyDescent="0.3">
      <c r="A118" s="39">
        <v>114</v>
      </c>
      <c r="B118" s="40" t="s">
        <v>1745</v>
      </c>
      <c r="C118" s="41" t="s">
        <v>1746</v>
      </c>
      <c r="D118" s="39" t="s">
        <v>1618</v>
      </c>
      <c r="E118" s="43">
        <v>46126</v>
      </c>
      <c r="F118" s="26" t="s">
        <v>23</v>
      </c>
      <c r="G118" s="26" t="s">
        <v>24</v>
      </c>
      <c r="H118" s="26" t="s">
        <v>25</v>
      </c>
      <c r="I118" s="26" t="s">
        <v>26</v>
      </c>
      <c r="J118" s="26" t="s">
        <v>24</v>
      </c>
      <c r="K118" s="27"/>
      <c r="L118" s="28" t="s">
        <v>25</v>
      </c>
      <c r="M118" s="29" t="str">
        <f t="shared" si="15"/>
        <v>✓ OK</v>
      </c>
      <c r="N118" s="43">
        <v>46193</v>
      </c>
      <c r="O118" s="26" t="s">
        <v>23</v>
      </c>
      <c r="P118" s="26" t="s">
        <v>24</v>
      </c>
      <c r="Q118" s="26" t="s">
        <v>25</v>
      </c>
      <c r="R118" s="26" t="s">
        <v>26</v>
      </c>
      <c r="S118" s="26" t="s">
        <v>24</v>
      </c>
      <c r="T118" s="27"/>
      <c r="U118" s="28" t="s">
        <v>25</v>
      </c>
      <c r="V118" s="29" t="str">
        <f t="shared" si="16"/>
        <v>✓ OK</v>
      </c>
      <c r="W118" s="45">
        <v>46248</v>
      </c>
      <c r="X118" s="30" t="s">
        <v>23</v>
      </c>
      <c r="Y118" s="30" t="s">
        <v>24</v>
      </c>
      <c r="Z118" s="30" t="s">
        <v>25</v>
      </c>
      <c r="AA118" s="30" t="s">
        <v>26</v>
      </c>
      <c r="AB118" s="30" t="s">
        <v>24</v>
      </c>
      <c r="AC118" s="27"/>
      <c r="AD118" s="31" t="s">
        <v>25</v>
      </c>
      <c r="AE118" s="32" t="str">
        <f t="shared" si="17"/>
        <v>✓ OK</v>
      </c>
      <c r="AF118" s="33" t="s">
        <v>27</v>
      </c>
      <c r="AG118" s="33" t="s">
        <v>23</v>
      </c>
      <c r="AH118" s="33" t="s">
        <v>24</v>
      </c>
      <c r="AI118" s="33" t="s">
        <v>25</v>
      </c>
      <c r="AJ118" s="33" t="s">
        <v>26</v>
      </c>
      <c r="AK118" s="33" t="s">
        <v>24</v>
      </c>
      <c r="AL118" s="27"/>
      <c r="AM118" s="34" t="s">
        <v>25</v>
      </c>
      <c r="AN118" s="35" t="str">
        <f t="shared" si="1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19"/>
        <v/>
      </c>
    </row>
    <row r="119" spans="1:49" ht="18" customHeight="1" x14ac:dyDescent="0.3">
      <c r="A119" s="23">
        <v>115</v>
      </c>
      <c r="B119" s="24" t="s">
        <v>1747</v>
      </c>
      <c r="C119" s="25" t="s">
        <v>1748</v>
      </c>
      <c r="D119" s="23" t="s">
        <v>1618</v>
      </c>
      <c r="E119" s="43">
        <v>46126</v>
      </c>
      <c r="F119" s="26" t="s">
        <v>23</v>
      </c>
      <c r="G119" s="26" t="s">
        <v>24</v>
      </c>
      <c r="H119" s="26" t="s">
        <v>25</v>
      </c>
      <c r="I119" s="26" t="s">
        <v>26</v>
      </c>
      <c r="J119" s="26" t="s">
        <v>24</v>
      </c>
      <c r="K119" s="27"/>
      <c r="L119" s="28" t="s">
        <v>25</v>
      </c>
      <c r="M119" s="29" t="str">
        <f t="shared" si="15"/>
        <v>✓ OK</v>
      </c>
      <c r="N119" s="43">
        <v>46193</v>
      </c>
      <c r="O119" s="26" t="s">
        <v>23</v>
      </c>
      <c r="P119" s="26" t="s">
        <v>24</v>
      </c>
      <c r="Q119" s="26" t="s">
        <v>25</v>
      </c>
      <c r="R119" s="26" t="s">
        <v>26</v>
      </c>
      <c r="S119" s="26" t="s">
        <v>24</v>
      </c>
      <c r="T119" s="27"/>
      <c r="U119" s="28" t="s">
        <v>25</v>
      </c>
      <c r="V119" s="29" t="str">
        <f t="shared" si="16"/>
        <v>✓ OK</v>
      </c>
      <c r="W119" s="45">
        <v>46248</v>
      </c>
      <c r="X119" s="30" t="s">
        <v>23</v>
      </c>
      <c r="Y119" s="30" t="s">
        <v>24</v>
      </c>
      <c r="Z119" s="30" t="s">
        <v>25</v>
      </c>
      <c r="AA119" s="30" t="s">
        <v>26</v>
      </c>
      <c r="AB119" s="30" t="s">
        <v>24</v>
      </c>
      <c r="AC119" s="27"/>
      <c r="AD119" s="31" t="s">
        <v>25</v>
      </c>
      <c r="AE119" s="32" t="str">
        <f t="shared" si="17"/>
        <v>✓ OK</v>
      </c>
      <c r="AF119" s="33" t="s">
        <v>27</v>
      </c>
      <c r="AG119" s="33" t="s">
        <v>23</v>
      </c>
      <c r="AH119" s="33" t="s">
        <v>24</v>
      </c>
      <c r="AI119" s="33" t="s">
        <v>25</v>
      </c>
      <c r="AJ119" s="33" t="s">
        <v>26</v>
      </c>
      <c r="AK119" s="33" t="s">
        <v>24</v>
      </c>
      <c r="AL119" s="27"/>
      <c r="AM119" s="34" t="s">
        <v>25</v>
      </c>
      <c r="AN119" s="35" t="str">
        <f t="shared" si="1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19"/>
        <v/>
      </c>
    </row>
    <row r="120" spans="1:49" ht="18" customHeight="1" x14ac:dyDescent="0.3">
      <c r="A120" s="39">
        <v>116</v>
      </c>
      <c r="B120" s="40" t="s">
        <v>1749</v>
      </c>
      <c r="C120" s="41" t="s">
        <v>1750</v>
      </c>
      <c r="D120" s="39" t="s">
        <v>1618</v>
      </c>
      <c r="E120" s="43">
        <v>46126</v>
      </c>
      <c r="F120" s="26" t="s">
        <v>23</v>
      </c>
      <c r="G120" s="26" t="s">
        <v>24</v>
      </c>
      <c r="H120" s="26" t="s">
        <v>25</v>
      </c>
      <c r="I120" s="26" t="s">
        <v>26</v>
      </c>
      <c r="J120" s="26" t="s">
        <v>24</v>
      </c>
      <c r="K120" s="27"/>
      <c r="L120" s="28" t="s">
        <v>25</v>
      </c>
      <c r="M120" s="29" t="str">
        <f t="shared" si="15"/>
        <v>✓ OK</v>
      </c>
      <c r="N120" s="43">
        <v>46193</v>
      </c>
      <c r="O120" s="26" t="s">
        <v>23</v>
      </c>
      <c r="P120" s="26" t="s">
        <v>24</v>
      </c>
      <c r="Q120" s="26" t="s">
        <v>25</v>
      </c>
      <c r="R120" s="26" t="s">
        <v>26</v>
      </c>
      <c r="S120" s="26" t="s">
        <v>24</v>
      </c>
      <c r="T120" s="27"/>
      <c r="U120" s="28" t="s">
        <v>25</v>
      </c>
      <c r="V120" s="29" t="str">
        <f t="shared" si="16"/>
        <v>✓ OK</v>
      </c>
      <c r="W120" s="45">
        <v>46248</v>
      </c>
      <c r="X120" s="30" t="s">
        <v>23</v>
      </c>
      <c r="Y120" s="30" t="s">
        <v>24</v>
      </c>
      <c r="Z120" s="30" t="s">
        <v>25</v>
      </c>
      <c r="AA120" s="30" t="s">
        <v>26</v>
      </c>
      <c r="AB120" s="30" t="s">
        <v>24</v>
      </c>
      <c r="AC120" s="27"/>
      <c r="AD120" s="31" t="s">
        <v>25</v>
      </c>
      <c r="AE120" s="32" t="str">
        <f t="shared" si="17"/>
        <v>✓ OK</v>
      </c>
      <c r="AF120" s="33" t="s">
        <v>27</v>
      </c>
      <c r="AG120" s="33" t="s">
        <v>23</v>
      </c>
      <c r="AH120" s="33" t="s">
        <v>24</v>
      </c>
      <c r="AI120" s="33" t="s">
        <v>25</v>
      </c>
      <c r="AJ120" s="33" t="s">
        <v>26</v>
      </c>
      <c r="AK120" s="33" t="s">
        <v>24</v>
      </c>
      <c r="AL120" s="27"/>
      <c r="AM120" s="34" t="s">
        <v>25</v>
      </c>
      <c r="AN120" s="35" t="str">
        <f t="shared" si="1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19"/>
        <v/>
      </c>
    </row>
    <row r="121" spans="1:49" ht="18" customHeight="1" x14ac:dyDescent="0.3">
      <c r="A121" s="23">
        <v>117</v>
      </c>
      <c r="B121" s="24" t="s">
        <v>1751</v>
      </c>
      <c r="C121" s="25" t="s">
        <v>1752</v>
      </c>
      <c r="D121" s="23" t="s">
        <v>1618</v>
      </c>
      <c r="E121" s="43">
        <v>46126</v>
      </c>
      <c r="F121" s="26" t="s">
        <v>23</v>
      </c>
      <c r="G121" s="26" t="s">
        <v>24</v>
      </c>
      <c r="H121" s="26" t="s">
        <v>25</v>
      </c>
      <c r="I121" s="26" t="s">
        <v>26</v>
      </c>
      <c r="J121" s="26" t="s">
        <v>24</v>
      </c>
      <c r="K121" s="27"/>
      <c r="L121" s="28" t="s">
        <v>25</v>
      </c>
      <c r="M121" s="29" t="str">
        <f t="shared" si="15"/>
        <v>✓ OK</v>
      </c>
      <c r="N121" s="43">
        <v>46193</v>
      </c>
      <c r="O121" s="26" t="s">
        <v>23</v>
      </c>
      <c r="P121" s="26" t="s">
        <v>24</v>
      </c>
      <c r="Q121" s="26" t="s">
        <v>25</v>
      </c>
      <c r="R121" s="26" t="s">
        <v>26</v>
      </c>
      <c r="S121" s="26" t="s">
        <v>24</v>
      </c>
      <c r="T121" s="27"/>
      <c r="U121" s="28" t="s">
        <v>25</v>
      </c>
      <c r="V121" s="29" t="str">
        <f t="shared" si="16"/>
        <v>✓ OK</v>
      </c>
      <c r="W121" s="45">
        <v>46248</v>
      </c>
      <c r="X121" s="30" t="s">
        <v>23</v>
      </c>
      <c r="Y121" s="30" t="s">
        <v>24</v>
      </c>
      <c r="Z121" s="30" t="s">
        <v>25</v>
      </c>
      <c r="AA121" s="30" t="s">
        <v>26</v>
      </c>
      <c r="AB121" s="30" t="s">
        <v>24</v>
      </c>
      <c r="AC121" s="27"/>
      <c r="AD121" s="31" t="s">
        <v>25</v>
      </c>
      <c r="AE121" s="32" t="str">
        <f t="shared" si="17"/>
        <v>✓ OK</v>
      </c>
      <c r="AF121" s="33" t="s">
        <v>27</v>
      </c>
      <c r="AG121" s="33" t="s">
        <v>23</v>
      </c>
      <c r="AH121" s="33" t="s">
        <v>24</v>
      </c>
      <c r="AI121" s="33" t="s">
        <v>25</v>
      </c>
      <c r="AJ121" s="33" t="s">
        <v>26</v>
      </c>
      <c r="AK121" s="33" t="s">
        <v>24</v>
      </c>
      <c r="AL121" s="27"/>
      <c r="AM121" s="34" t="s">
        <v>25</v>
      </c>
      <c r="AN121" s="35" t="str">
        <f t="shared" si="1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19"/>
        <v/>
      </c>
    </row>
    <row r="122" spans="1:49" ht="18" customHeight="1" x14ac:dyDescent="0.3">
      <c r="A122" s="39">
        <v>118</v>
      </c>
      <c r="B122" s="40" t="s">
        <v>1753</v>
      </c>
      <c r="C122" s="41" t="s">
        <v>1754</v>
      </c>
      <c r="D122" s="39" t="s">
        <v>1618</v>
      </c>
      <c r="E122" s="43">
        <v>46126</v>
      </c>
      <c r="F122" s="26" t="s">
        <v>23</v>
      </c>
      <c r="G122" s="26" t="s">
        <v>24</v>
      </c>
      <c r="H122" s="26" t="s">
        <v>25</v>
      </c>
      <c r="I122" s="26" t="s">
        <v>26</v>
      </c>
      <c r="J122" s="26" t="s">
        <v>24</v>
      </c>
      <c r="K122" s="27"/>
      <c r="L122" s="28" t="s">
        <v>25</v>
      </c>
      <c r="M122" s="29" t="str">
        <f t="shared" si="15"/>
        <v>✓ OK</v>
      </c>
      <c r="N122" s="43">
        <v>46193</v>
      </c>
      <c r="O122" s="26" t="s">
        <v>23</v>
      </c>
      <c r="P122" s="26" t="s">
        <v>24</v>
      </c>
      <c r="Q122" s="26" t="s">
        <v>25</v>
      </c>
      <c r="R122" s="26" t="s">
        <v>26</v>
      </c>
      <c r="S122" s="26" t="s">
        <v>24</v>
      </c>
      <c r="T122" s="27"/>
      <c r="U122" s="28" t="s">
        <v>25</v>
      </c>
      <c r="V122" s="29" t="str">
        <f t="shared" si="16"/>
        <v>✓ OK</v>
      </c>
      <c r="W122" s="45">
        <v>46248</v>
      </c>
      <c r="X122" s="30" t="s">
        <v>23</v>
      </c>
      <c r="Y122" s="30" t="s">
        <v>24</v>
      </c>
      <c r="Z122" s="30" t="s">
        <v>25</v>
      </c>
      <c r="AA122" s="30" t="s">
        <v>26</v>
      </c>
      <c r="AB122" s="30" t="s">
        <v>24</v>
      </c>
      <c r="AC122" s="27"/>
      <c r="AD122" s="31" t="s">
        <v>25</v>
      </c>
      <c r="AE122" s="32" t="str">
        <f t="shared" si="17"/>
        <v>✓ OK</v>
      </c>
      <c r="AF122" s="33" t="s">
        <v>27</v>
      </c>
      <c r="AG122" s="33" t="s">
        <v>23</v>
      </c>
      <c r="AH122" s="33" t="s">
        <v>24</v>
      </c>
      <c r="AI122" s="33" t="s">
        <v>25</v>
      </c>
      <c r="AJ122" s="33" t="s">
        <v>26</v>
      </c>
      <c r="AK122" s="33" t="s">
        <v>24</v>
      </c>
      <c r="AL122" s="27"/>
      <c r="AM122" s="34" t="s">
        <v>25</v>
      </c>
      <c r="AN122" s="35" t="str">
        <f t="shared" si="1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19"/>
        <v/>
      </c>
    </row>
    <row r="123" spans="1:49" ht="18" customHeight="1" x14ac:dyDescent="0.3">
      <c r="A123" s="23">
        <v>119</v>
      </c>
      <c r="B123" s="24" t="s">
        <v>1755</v>
      </c>
      <c r="C123" s="25" t="s">
        <v>1756</v>
      </c>
      <c r="D123" s="23" t="s">
        <v>1618</v>
      </c>
      <c r="E123" s="43">
        <v>46126</v>
      </c>
      <c r="F123" s="26" t="s">
        <v>23</v>
      </c>
      <c r="G123" s="26" t="s">
        <v>24</v>
      </c>
      <c r="H123" s="26" t="s">
        <v>25</v>
      </c>
      <c r="I123" s="26" t="s">
        <v>26</v>
      </c>
      <c r="J123" s="26" t="s">
        <v>24</v>
      </c>
      <c r="K123" s="27"/>
      <c r="L123" s="28" t="s">
        <v>25</v>
      </c>
      <c r="M123" s="29" t="str">
        <f t="shared" si="15"/>
        <v>✓ OK</v>
      </c>
      <c r="N123" s="43">
        <v>46193</v>
      </c>
      <c r="O123" s="26" t="s">
        <v>23</v>
      </c>
      <c r="P123" s="26" t="s">
        <v>24</v>
      </c>
      <c r="Q123" s="26" t="s">
        <v>25</v>
      </c>
      <c r="R123" s="26" t="s">
        <v>26</v>
      </c>
      <c r="S123" s="26" t="s">
        <v>24</v>
      </c>
      <c r="T123" s="27"/>
      <c r="U123" s="28" t="s">
        <v>25</v>
      </c>
      <c r="V123" s="29" t="str">
        <f t="shared" si="16"/>
        <v>✓ OK</v>
      </c>
      <c r="W123" s="45">
        <v>46248</v>
      </c>
      <c r="X123" s="30" t="s">
        <v>23</v>
      </c>
      <c r="Y123" s="30" t="s">
        <v>24</v>
      </c>
      <c r="Z123" s="30" t="s">
        <v>25</v>
      </c>
      <c r="AA123" s="30" t="s">
        <v>26</v>
      </c>
      <c r="AB123" s="30" t="s">
        <v>24</v>
      </c>
      <c r="AC123" s="27"/>
      <c r="AD123" s="31" t="s">
        <v>25</v>
      </c>
      <c r="AE123" s="32" t="str">
        <f t="shared" si="17"/>
        <v>✓ OK</v>
      </c>
      <c r="AF123" s="33" t="s">
        <v>27</v>
      </c>
      <c r="AG123" s="33" t="s">
        <v>23</v>
      </c>
      <c r="AH123" s="33" t="s">
        <v>24</v>
      </c>
      <c r="AI123" s="33" t="s">
        <v>25</v>
      </c>
      <c r="AJ123" s="33" t="s">
        <v>26</v>
      </c>
      <c r="AK123" s="33" t="s">
        <v>24</v>
      </c>
      <c r="AL123" s="27"/>
      <c r="AM123" s="34" t="s">
        <v>25</v>
      </c>
      <c r="AN123" s="35" t="str">
        <f t="shared" si="1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19"/>
        <v/>
      </c>
    </row>
    <row r="124" spans="1:49" ht="18" customHeight="1" x14ac:dyDescent="0.3">
      <c r="A124" s="39">
        <v>120</v>
      </c>
      <c r="B124" s="40" t="s">
        <v>1757</v>
      </c>
      <c r="C124" s="41" t="s">
        <v>1758</v>
      </c>
      <c r="D124" s="39" t="s">
        <v>1618</v>
      </c>
      <c r="E124" s="43">
        <v>46126</v>
      </c>
      <c r="F124" s="26" t="s">
        <v>23</v>
      </c>
      <c r="G124" s="26" t="s">
        <v>24</v>
      </c>
      <c r="H124" s="26" t="s">
        <v>25</v>
      </c>
      <c r="I124" s="26" t="s">
        <v>26</v>
      </c>
      <c r="J124" s="26" t="s">
        <v>24</v>
      </c>
      <c r="K124" s="27"/>
      <c r="L124" s="28" t="s">
        <v>25</v>
      </c>
      <c r="M124" s="29" t="str">
        <f t="shared" si="15"/>
        <v>✓ OK</v>
      </c>
      <c r="N124" s="43">
        <v>46193</v>
      </c>
      <c r="O124" s="26" t="s">
        <v>23</v>
      </c>
      <c r="P124" s="26" t="s">
        <v>24</v>
      </c>
      <c r="Q124" s="26" t="s">
        <v>25</v>
      </c>
      <c r="R124" s="26" t="s">
        <v>26</v>
      </c>
      <c r="S124" s="26" t="s">
        <v>24</v>
      </c>
      <c r="T124" s="27"/>
      <c r="U124" s="28" t="s">
        <v>25</v>
      </c>
      <c r="V124" s="29" t="str">
        <f t="shared" si="16"/>
        <v>✓ OK</v>
      </c>
      <c r="W124" s="45">
        <v>46248</v>
      </c>
      <c r="X124" s="30" t="s">
        <v>23</v>
      </c>
      <c r="Y124" s="30" t="s">
        <v>24</v>
      </c>
      <c r="Z124" s="30" t="s">
        <v>25</v>
      </c>
      <c r="AA124" s="30" t="s">
        <v>26</v>
      </c>
      <c r="AB124" s="30" t="s">
        <v>24</v>
      </c>
      <c r="AC124" s="27"/>
      <c r="AD124" s="31" t="s">
        <v>25</v>
      </c>
      <c r="AE124" s="32" t="str">
        <f t="shared" si="17"/>
        <v>✓ OK</v>
      </c>
      <c r="AF124" s="33" t="s">
        <v>27</v>
      </c>
      <c r="AG124" s="33" t="s">
        <v>23</v>
      </c>
      <c r="AH124" s="33" t="s">
        <v>24</v>
      </c>
      <c r="AI124" s="33" t="s">
        <v>25</v>
      </c>
      <c r="AJ124" s="33" t="s">
        <v>26</v>
      </c>
      <c r="AK124" s="33" t="s">
        <v>24</v>
      </c>
      <c r="AL124" s="27"/>
      <c r="AM124" s="34" t="s">
        <v>25</v>
      </c>
      <c r="AN124" s="35" t="str">
        <f t="shared" si="1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19"/>
        <v/>
      </c>
    </row>
    <row r="125" spans="1:49" ht="18" customHeight="1" x14ac:dyDescent="0.3">
      <c r="A125" s="23">
        <v>121</v>
      </c>
      <c r="B125" s="24" t="s">
        <v>1759</v>
      </c>
      <c r="C125" s="25" t="s">
        <v>1760</v>
      </c>
      <c r="D125" s="23" t="s">
        <v>1618</v>
      </c>
      <c r="E125" s="43">
        <v>46126</v>
      </c>
      <c r="F125" s="26" t="s">
        <v>23</v>
      </c>
      <c r="G125" s="26" t="s">
        <v>24</v>
      </c>
      <c r="H125" s="26" t="s">
        <v>25</v>
      </c>
      <c r="I125" s="26" t="s">
        <v>26</v>
      </c>
      <c r="J125" s="26" t="s">
        <v>24</v>
      </c>
      <c r="K125" s="27"/>
      <c r="L125" s="28" t="s">
        <v>25</v>
      </c>
      <c r="M125" s="29" t="str">
        <f t="shared" si="15"/>
        <v>✓ OK</v>
      </c>
      <c r="N125" s="43">
        <v>46193</v>
      </c>
      <c r="O125" s="26" t="s">
        <v>23</v>
      </c>
      <c r="P125" s="26" t="s">
        <v>24</v>
      </c>
      <c r="Q125" s="26" t="s">
        <v>25</v>
      </c>
      <c r="R125" s="26" t="s">
        <v>26</v>
      </c>
      <c r="S125" s="26" t="s">
        <v>24</v>
      </c>
      <c r="T125" s="27"/>
      <c r="U125" s="28" t="s">
        <v>25</v>
      </c>
      <c r="V125" s="29" t="str">
        <f t="shared" si="16"/>
        <v>✓ OK</v>
      </c>
      <c r="W125" s="45">
        <v>46248</v>
      </c>
      <c r="X125" s="30" t="s">
        <v>23</v>
      </c>
      <c r="Y125" s="30" t="s">
        <v>24</v>
      </c>
      <c r="Z125" s="30" t="s">
        <v>25</v>
      </c>
      <c r="AA125" s="30" t="s">
        <v>26</v>
      </c>
      <c r="AB125" s="30" t="s">
        <v>24</v>
      </c>
      <c r="AC125" s="27"/>
      <c r="AD125" s="31" t="s">
        <v>25</v>
      </c>
      <c r="AE125" s="32" t="str">
        <f t="shared" si="17"/>
        <v>✓ OK</v>
      </c>
      <c r="AF125" s="33" t="s">
        <v>27</v>
      </c>
      <c r="AG125" s="33" t="s">
        <v>23</v>
      </c>
      <c r="AH125" s="33" t="s">
        <v>24</v>
      </c>
      <c r="AI125" s="33" t="s">
        <v>25</v>
      </c>
      <c r="AJ125" s="33" t="s">
        <v>26</v>
      </c>
      <c r="AK125" s="33" t="s">
        <v>24</v>
      </c>
      <c r="AL125" s="27"/>
      <c r="AM125" s="34" t="s">
        <v>25</v>
      </c>
      <c r="AN125" s="35" t="str">
        <f t="shared" si="1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19"/>
        <v/>
      </c>
    </row>
    <row r="126" spans="1:49" ht="18" customHeight="1" x14ac:dyDescent="0.3">
      <c r="A126" s="39">
        <v>122</v>
      </c>
      <c r="B126" s="40" t="s">
        <v>1761</v>
      </c>
      <c r="C126" s="41" t="s">
        <v>1762</v>
      </c>
      <c r="D126" s="39" t="s">
        <v>1618</v>
      </c>
      <c r="E126" s="43">
        <v>46126</v>
      </c>
      <c r="F126" s="26" t="s">
        <v>23</v>
      </c>
      <c r="G126" s="26" t="s">
        <v>24</v>
      </c>
      <c r="H126" s="26" t="s">
        <v>25</v>
      </c>
      <c r="I126" s="26" t="s">
        <v>26</v>
      </c>
      <c r="J126" s="26" t="s">
        <v>24</v>
      </c>
      <c r="K126" s="27"/>
      <c r="L126" s="28" t="s">
        <v>25</v>
      </c>
      <c r="M126" s="29" t="str">
        <f t="shared" si="15"/>
        <v>✓ OK</v>
      </c>
      <c r="N126" s="43">
        <v>46193</v>
      </c>
      <c r="O126" s="26" t="s">
        <v>23</v>
      </c>
      <c r="P126" s="26" t="s">
        <v>24</v>
      </c>
      <c r="Q126" s="26" t="s">
        <v>25</v>
      </c>
      <c r="R126" s="26" t="s">
        <v>26</v>
      </c>
      <c r="S126" s="26" t="s">
        <v>24</v>
      </c>
      <c r="T126" s="27"/>
      <c r="U126" s="28" t="s">
        <v>25</v>
      </c>
      <c r="V126" s="29" t="str">
        <f t="shared" si="16"/>
        <v>✓ OK</v>
      </c>
      <c r="W126" s="45">
        <v>46248</v>
      </c>
      <c r="X126" s="30" t="s">
        <v>23</v>
      </c>
      <c r="Y126" s="30" t="s">
        <v>24</v>
      </c>
      <c r="Z126" s="30" t="s">
        <v>25</v>
      </c>
      <c r="AA126" s="30" t="s">
        <v>26</v>
      </c>
      <c r="AB126" s="30" t="s">
        <v>24</v>
      </c>
      <c r="AC126" s="27"/>
      <c r="AD126" s="31" t="s">
        <v>25</v>
      </c>
      <c r="AE126" s="32" t="str">
        <f t="shared" si="17"/>
        <v>✓ OK</v>
      </c>
      <c r="AF126" s="33" t="s">
        <v>27</v>
      </c>
      <c r="AG126" s="33" t="s">
        <v>23</v>
      </c>
      <c r="AH126" s="33" t="s">
        <v>24</v>
      </c>
      <c r="AI126" s="33" t="s">
        <v>25</v>
      </c>
      <c r="AJ126" s="33" t="s">
        <v>26</v>
      </c>
      <c r="AK126" s="33" t="s">
        <v>24</v>
      </c>
      <c r="AL126" s="27"/>
      <c r="AM126" s="34" t="s">
        <v>25</v>
      </c>
      <c r="AN126" s="35" t="str">
        <f t="shared" si="1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19"/>
        <v/>
      </c>
    </row>
    <row r="127" spans="1:49" ht="18" customHeight="1" x14ac:dyDescent="0.3">
      <c r="A127" s="23">
        <v>123</v>
      </c>
      <c r="B127" s="24" t="s">
        <v>1763</v>
      </c>
      <c r="C127" s="25" t="s">
        <v>1764</v>
      </c>
      <c r="D127" s="23" t="s">
        <v>1618</v>
      </c>
      <c r="E127" s="43">
        <v>46126</v>
      </c>
      <c r="F127" s="26" t="s">
        <v>23</v>
      </c>
      <c r="G127" s="26" t="s">
        <v>24</v>
      </c>
      <c r="H127" s="26" t="s">
        <v>25</v>
      </c>
      <c r="I127" s="26" t="s">
        <v>26</v>
      </c>
      <c r="J127" s="26" t="s">
        <v>24</v>
      </c>
      <c r="K127" s="27"/>
      <c r="L127" s="28" t="s">
        <v>25</v>
      </c>
      <c r="M127" s="29" t="str">
        <f t="shared" si="15"/>
        <v>✓ OK</v>
      </c>
      <c r="N127" s="43">
        <v>46193</v>
      </c>
      <c r="O127" s="26" t="s">
        <v>23</v>
      </c>
      <c r="P127" s="26" t="s">
        <v>24</v>
      </c>
      <c r="Q127" s="26" t="s">
        <v>25</v>
      </c>
      <c r="R127" s="26" t="s">
        <v>26</v>
      </c>
      <c r="S127" s="26" t="s">
        <v>24</v>
      </c>
      <c r="T127" s="27"/>
      <c r="U127" s="28" t="s">
        <v>25</v>
      </c>
      <c r="V127" s="29" t="str">
        <f t="shared" si="16"/>
        <v>✓ OK</v>
      </c>
      <c r="W127" s="45">
        <v>46248</v>
      </c>
      <c r="X127" s="30" t="s">
        <v>23</v>
      </c>
      <c r="Y127" s="30" t="s">
        <v>24</v>
      </c>
      <c r="Z127" s="30" t="s">
        <v>25</v>
      </c>
      <c r="AA127" s="30" t="s">
        <v>26</v>
      </c>
      <c r="AB127" s="30" t="s">
        <v>24</v>
      </c>
      <c r="AC127" s="27"/>
      <c r="AD127" s="31" t="s">
        <v>25</v>
      </c>
      <c r="AE127" s="32" t="str">
        <f t="shared" si="17"/>
        <v>✓ OK</v>
      </c>
      <c r="AF127" s="33" t="s">
        <v>27</v>
      </c>
      <c r="AG127" s="33" t="s">
        <v>23</v>
      </c>
      <c r="AH127" s="33" t="s">
        <v>24</v>
      </c>
      <c r="AI127" s="33" t="s">
        <v>25</v>
      </c>
      <c r="AJ127" s="33" t="s">
        <v>26</v>
      </c>
      <c r="AK127" s="33" t="s">
        <v>24</v>
      </c>
      <c r="AL127" s="27"/>
      <c r="AM127" s="34" t="s">
        <v>25</v>
      </c>
      <c r="AN127" s="35" t="str">
        <f t="shared" si="1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19"/>
        <v/>
      </c>
    </row>
    <row r="128" spans="1:49" ht="18" customHeight="1" x14ac:dyDescent="0.3">
      <c r="A128" s="39">
        <v>124</v>
      </c>
      <c r="B128" s="40" t="s">
        <v>1765</v>
      </c>
      <c r="C128" s="41" t="s">
        <v>1766</v>
      </c>
      <c r="D128" s="39" t="s">
        <v>1618</v>
      </c>
      <c r="E128" s="43">
        <v>46126</v>
      </c>
      <c r="F128" s="26" t="s">
        <v>23</v>
      </c>
      <c r="G128" s="26" t="s">
        <v>24</v>
      </c>
      <c r="H128" s="26" t="s">
        <v>25</v>
      </c>
      <c r="I128" s="26" t="s">
        <v>26</v>
      </c>
      <c r="J128" s="26" t="s">
        <v>24</v>
      </c>
      <c r="K128" s="27"/>
      <c r="L128" s="28" t="s">
        <v>25</v>
      </c>
      <c r="M128" s="29" t="str">
        <f t="shared" si="15"/>
        <v>✓ OK</v>
      </c>
      <c r="N128" s="43">
        <v>46193</v>
      </c>
      <c r="O128" s="26" t="s">
        <v>23</v>
      </c>
      <c r="P128" s="26" t="s">
        <v>24</v>
      </c>
      <c r="Q128" s="26" t="s">
        <v>25</v>
      </c>
      <c r="R128" s="26" t="s">
        <v>26</v>
      </c>
      <c r="S128" s="26" t="s">
        <v>24</v>
      </c>
      <c r="T128" s="27"/>
      <c r="U128" s="28" t="s">
        <v>25</v>
      </c>
      <c r="V128" s="29" t="str">
        <f t="shared" si="16"/>
        <v>✓ OK</v>
      </c>
      <c r="W128" s="45">
        <v>46248</v>
      </c>
      <c r="X128" s="30" t="s">
        <v>23</v>
      </c>
      <c r="Y128" s="30" t="s">
        <v>24</v>
      </c>
      <c r="Z128" s="30" t="s">
        <v>25</v>
      </c>
      <c r="AA128" s="30" t="s">
        <v>26</v>
      </c>
      <c r="AB128" s="30" t="s">
        <v>24</v>
      </c>
      <c r="AC128" s="27"/>
      <c r="AD128" s="31" t="s">
        <v>25</v>
      </c>
      <c r="AE128" s="32" t="str">
        <f t="shared" si="17"/>
        <v>✓ OK</v>
      </c>
      <c r="AF128" s="33" t="s">
        <v>27</v>
      </c>
      <c r="AG128" s="33" t="s">
        <v>23</v>
      </c>
      <c r="AH128" s="33" t="s">
        <v>24</v>
      </c>
      <c r="AI128" s="33" t="s">
        <v>25</v>
      </c>
      <c r="AJ128" s="33" t="s">
        <v>26</v>
      </c>
      <c r="AK128" s="33" t="s">
        <v>24</v>
      </c>
      <c r="AL128" s="27"/>
      <c r="AM128" s="34" t="s">
        <v>25</v>
      </c>
      <c r="AN128" s="35" t="str">
        <f t="shared" si="1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19"/>
        <v/>
      </c>
    </row>
    <row r="129" spans="1:49" ht="18" customHeight="1" x14ac:dyDescent="0.3">
      <c r="A129" s="23">
        <v>125</v>
      </c>
      <c r="B129" s="24" t="s">
        <v>1767</v>
      </c>
      <c r="C129" s="25" t="s">
        <v>1768</v>
      </c>
      <c r="D129" s="23" t="s">
        <v>1618</v>
      </c>
      <c r="E129" s="43">
        <v>46126</v>
      </c>
      <c r="F129" s="26" t="s">
        <v>23</v>
      </c>
      <c r="G129" s="26" t="s">
        <v>24</v>
      </c>
      <c r="H129" s="26" t="s">
        <v>25</v>
      </c>
      <c r="I129" s="26" t="s">
        <v>26</v>
      </c>
      <c r="J129" s="26" t="s">
        <v>24</v>
      </c>
      <c r="K129" s="27"/>
      <c r="L129" s="28" t="s">
        <v>25</v>
      </c>
      <c r="M129" s="29" t="str">
        <f t="shared" si="15"/>
        <v>✓ OK</v>
      </c>
      <c r="N129" s="43">
        <v>46193</v>
      </c>
      <c r="O129" s="26" t="s">
        <v>23</v>
      </c>
      <c r="P129" s="26" t="s">
        <v>24</v>
      </c>
      <c r="Q129" s="26" t="s">
        <v>25</v>
      </c>
      <c r="R129" s="26" t="s">
        <v>26</v>
      </c>
      <c r="S129" s="26" t="s">
        <v>24</v>
      </c>
      <c r="T129" s="27"/>
      <c r="U129" s="28" t="s">
        <v>25</v>
      </c>
      <c r="V129" s="29" t="str">
        <f t="shared" si="16"/>
        <v>✓ OK</v>
      </c>
      <c r="W129" s="45">
        <v>46248</v>
      </c>
      <c r="X129" s="30" t="s">
        <v>23</v>
      </c>
      <c r="Y129" s="30" t="s">
        <v>24</v>
      </c>
      <c r="Z129" s="30" t="s">
        <v>25</v>
      </c>
      <c r="AA129" s="30" t="s">
        <v>26</v>
      </c>
      <c r="AB129" s="30" t="s">
        <v>24</v>
      </c>
      <c r="AC129" s="27"/>
      <c r="AD129" s="31" t="s">
        <v>25</v>
      </c>
      <c r="AE129" s="32" t="str">
        <f t="shared" si="17"/>
        <v>✓ OK</v>
      </c>
      <c r="AF129" s="33" t="s">
        <v>27</v>
      </c>
      <c r="AG129" s="33" t="s">
        <v>23</v>
      </c>
      <c r="AH129" s="33" t="s">
        <v>24</v>
      </c>
      <c r="AI129" s="33" t="s">
        <v>25</v>
      </c>
      <c r="AJ129" s="33" t="s">
        <v>26</v>
      </c>
      <c r="AK129" s="33" t="s">
        <v>24</v>
      </c>
      <c r="AL129" s="27"/>
      <c r="AM129" s="34" t="s">
        <v>25</v>
      </c>
      <c r="AN129" s="35" t="str">
        <f t="shared" si="1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19"/>
        <v/>
      </c>
    </row>
    <row r="130" spans="1:49" ht="18" customHeight="1" x14ac:dyDescent="0.3">
      <c r="A130" s="39">
        <v>126</v>
      </c>
      <c r="B130" s="40" t="s">
        <v>1769</v>
      </c>
      <c r="C130" s="41" t="s">
        <v>1770</v>
      </c>
      <c r="D130" s="39" t="s">
        <v>1618</v>
      </c>
      <c r="E130" s="43">
        <v>46126</v>
      </c>
      <c r="F130" s="26" t="s">
        <v>23</v>
      </c>
      <c r="G130" s="26" t="s">
        <v>24</v>
      </c>
      <c r="H130" s="26" t="s">
        <v>25</v>
      </c>
      <c r="I130" s="26" t="s">
        <v>26</v>
      </c>
      <c r="J130" s="26" t="s">
        <v>24</v>
      </c>
      <c r="K130" s="27"/>
      <c r="L130" s="28" t="s">
        <v>25</v>
      </c>
      <c r="M130" s="29" t="str">
        <f t="shared" si="15"/>
        <v>✓ OK</v>
      </c>
      <c r="N130" s="43">
        <v>46193</v>
      </c>
      <c r="O130" s="26" t="s">
        <v>23</v>
      </c>
      <c r="P130" s="26" t="s">
        <v>24</v>
      </c>
      <c r="Q130" s="26" t="s">
        <v>25</v>
      </c>
      <c r="R130" s="26" t="s">
        <v>26</v>
      </c>
      <c r="S130" s="26" t="s">
        <v>24</v>
      </c>
      <c r="T130" s="27"/>
      <c r="U130" s="28" t="s">
        <v>25</v>
      </c>
      <c r="V130" s="29" t="str">
        <f t="shared" si="16"/>
        <v>✓ OK</v>
      </c>
      <c r="W130" s="45">
        <v>46248</v>
      </c>
      <c r="X130" s="30" t="s">
        <v>23</v>
      </c>
      <c r="Y130" s="30" t="s">
        <v>24</v>
      </c>
      <c r="Z130" s="30" t="s">
        <v>25</v>
      </c>
      <c r="AA130" s="30" t="s">
        <v>26</v>
      </c>
      <c r="AB130" s="30" t="s">
        <v>24</v>
      </c>
      <c r="AC130" s="27"/>
      <c r="AD130" s="31" t="s">
        <v>25</v>
      </c>
      <c r="AE130" s="32" t="str">
        <f t="shared" si="17"/>
        <v>✓ OK</v>
      </c>
      <c r="AF130" s="33" t="s">
        <v>27</v>
      </c>
      <c r="AG130" s="33" t="s">
        <v>23</v>
      </c>
      <c r="AH130" s="33" t="s">
        <v>24</v>
      </c>
      <c r="AI130" s="33" t="s">
        <v>25</v>
      </c>
      <c r="AJ130" s="33" t="s">
        <v>26</v>
      </c>
      <c r="AK130" s="33" t="s">
        <v>24</v>
      </c>
      <c r="AL130" s="27"/>
      <c r="AM130" s="34" t="s">
        <v>25</v>
      </c>
      <c r="AN130" s="35" t="str">
        <f t="shared" si="1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19"/>
        <v/>
      </c>
    </row>
    <row r="131" spans="1:49" ht="18" customHeight="1" x14ac:dyDescent="0.3">
      <c r="A131" s="23">
        <v>127</v>
      </c>
      <c r="B131" s="24" t="s">
        <v>1771</v>
      </c>
      <c r="C131" s="25" t="s">
        <v>1772</v>
      </c>
      <c r="D131" s="23" t="s">
        <v>1618</v>
      </c>
      <c r="E131" s="43">
        <v>46126</v>
      </c>
      <c r="F131" s="26" t="s">
        <v>23</v>
      </c>
      <c r="G131" s="26" t="s">
        <v>24</v>
      </c>
      <c r="H131" s="26" t="s">
        <v>25</v>
      </c>
      <c r="I131" s="26" t="s">
        <v>26</v>
      </c>
      <c r="J131" s="26" t="s">
        <v>24</v>
      </c>
      <c r="K131" s="27"/>
      <c r="L131" s="28" t="s">
        <v>25</v>
      </c>
      <c r="M131" s="29" t="str">
        <f t="shared" si="15"/>
        <v>✓ OK</v>
      </c>
      <c r="N131" s="43">
        <v>46193</v>
      </c>
      <c r="O131" s="26" t="s">
        <v>23</v>
      </c>
      <c r="P131" s="26" t="s">
        <v>24</v>
      </c>
      <c r="Q131" s="26" t="s">
        <v>25</v>
      </c>
      <c r="R131" s="26" t="s">
        <v>26</v>
      </c>
      <c r="S131" s="26" t="s">
        <v>24</v>
      </c>
      <c r="T131" s="27"/>
      <c r="U131" s="28" t="s">
        <v>25</v>
      </c>
      <c r="V131" s="29" t="str">
        <f t="shared" si="16"/>
        <v>✓ OK</v>
      </c>
      <c r="W131" s="45">
        <v>46248</v>
      </c>
      <c r="X131" s="30" t="s">
        <v>23</v>
      </c>
      <c r="Y131" s="30" t="s">
        <v>24</v>
      </c>
      <c r="Z131" s="30" t="s">
        <v>25</v>
      </c>
      <c r="AA131" s="30" t="s">
        <v>26</v>
      </c>
      <c r="AB131" s="30" t="s">
        <v>24</v>
      </c>
      <c r="AC131" s="27"/>
      <c r="AD131" s="31" t="s">
        <v>25</v>
      </c>
      <c r="AE131" s="32" t="str">
        <f t="shared" si="17"/>
        <v>✓ OK</v>
      </c>
      <c r="AF131" s="33" t="s">
        <v>27</v>
      </c>
      <c r="AG131" s="33" t="s">
        <v>23</v>
      </c>
      <c r="AH131" s="33" t="s">
        <v>24</v>
      </c>
      <c r="AI131" s="33" t="s">
        <v>25</v>
      </c>
      <c r="AJ131" s="33" t="s">
        <v>26</v>
      </c>
      <c r="AK131" s="33" t="s">
        <v>24</v>
      </c>
      <c r="AL131" s="27"/>
      <c r="AM131" s="34" t="s">
        <v>25</v>
      </c>
      <c r="AN131" s="35" t="str">
        <f t="shared" si="1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19"/>
        <v/>
      </c>
    </row>
    <row r="132" spans="1:49" ht="18" customHeight="1" x14ac:dyDescent="0.3">
      <c r="A132" s="39">
        <v>128</v>
      </c>
      <c r="B132" s="40" t="s">
        <v>1773</v>
      </c>
      <c r="C132" s="41" t="s">
        <v>1774</v>
      </c>
      <c r="D132" s="39" t="s">
        <v>1618</v>
      </c>
      <c r="E132" s="43">
        <v>46126</v>
      </c>
      <c r="F132" s="26" t="s">
        <v>23</v>
      </c>
      <c r="G132" s="26" t="s">
        <v>24</v>
      </c>
      <c r="H132" s="26" t="s">
        <v>25</v>
      </c>
      <c r="I132" s="26" t="s">
        <v>26</v>
      </c>
      <c r="J132" s="26" t="s">
        <v>24</v>
      </c>
      <c r="K132" s="27"/>
      <c r="L132" s="28" t="s">
        <v>25</v>
      </c>
      <c r="M132" s="29" t="str">
        <f t="shared" si="15"/>
        <v>✓ OK</v>
      </c>
      <c r="N132" s="43">
        <v>46193</v>
      </c>
      <c r="O132" s="26" t="s">
        <v>23</v>
      </c>
      <c r="P132" s="26" t="s">
        <v>24</v>
      </c>
      <c r="Q132" s="26" t="s">
        <v>25</v>
      </c>
      <c r="R132" s="26" t="s">
        <v>26</v>
      </c>
      <c r="S132" s="26" t="s">
        <v>24</v>
      </c>
      <c r="T132" s="27"/>
      <c r="U132" s="28" t="s">
        <v>25</v>
      </c>
      <c r="V132" s="29" t="str">
        <f t="shared" si="16"/>
        <v>✓ OK</v>
      </c>
      <c r="W132" s="45">
        <v>46248</v>
      </c>
      <c r="X132" s="30" t="s">
        <v>23</v>
      </c>
      <c r="Y132" s="30" t="s">
        <v>24</v>
      </c>
      <c r="Z132" s="30" t="s">
        <v>25</v>
      </c>
      <c r="AA132" s="30" t="s">
        <v>26</v>
      </c>
      <c r="AB132" s="30" t="s">
        <v>24</v>
      </c>
      <c r="AC132" s="27"/>
      <c r="AD132" s="31" t="s">
        <v>25</v>
      </c>
      <c r="AE132" s="32" t="str">
        <f t="shared" si="17"/>
        <v>✓ OK</v>
      </c>
      <c r="AF132" s="33" t="s">
        <v>27</v>
      </c>
      <c r="AG132" s="33" t="s">
        <v>23</v>
      </c>
      <c r="AH132" s="33" t="s">
        <v>24</v>
      </c>
      <c r="AI132" s="33" t="s">
        <v>25</v>
      </c>
      <c r="AJ132" s="33" t="s">
        <v>26</v>
      </c>
      <c r="AK132" s="33" t="s">
        <v>24</v>
      </c>
      <c r="AL132" s="27"/>
      <c r="AM132" s="34" t="s">
        <v>25</v>
      </c>
      <c r="AN132" s="35" t="str">
        <f t="shared" si="1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19"/>
        <v/>
      </c>
    </row>
    <row r="133" spans="1:49" ht="18" customHeight="1" x14ac:dyDescent="0.3">
      <c r="A133" s="23">
        <v>129</v>
      </c>
      <c r="B133" s="24" t="s">
        <v>1775</v>
      </c>
      <c r="C133" s="25" t="s">
        <v>1776</v>
      </c>
      <c r="D133" s="23" t="s">
        <v>1618</v>
      </c>
      <c r="E133" s="43">
        <v>46126</v>
      </c>
      <c r="F133" s="26" t="s">
        <v>23</v>
      </c>
      <c r="G133" s="26" t="s">
        <v>24</v>
      </c>
      <c r="H133" s="26" t="s">
        <v>25</v>
      </c>
      <c r="I133" s="26" t="s">
        <v>26</v>
      </c>
      <c r="J133" s="26" t="s">
        <v>24</v>
      </c>
      <c r="K133" s="27"/>
      <c r="L133" s="28" t="s">
        <v>25</v>
      </c>
      <c r="M133" s="29" t="str">
        <f t="shared" ref="M133:M168" si="20">IF(E133="","",IF(H133="Yes","❌ Disc",IF(G133="No","⚠ Missing",IF(J133="Yes","✓ OK","⚠ Check"))))</f>
        <v>✓ OK</v>
      </c>
      <c r="N133" s="43">
        <v>46193</v>
      </c>
      <c r="O133" s="26" t="s">
        <v>23</v>
      </c>
      <c r="P133" s="26" t="s">
        <v>24</v>
      </c>
      <c r="Q133" s="26" t="s">
        <v>25</v>
      </c>
      <c r="R133" s="26" t="s">
        <v>26</v>
      </c>
      <c r="S133" s="26" t="s">
        <v>24</v>
      </c>
      <c r="T133" s="27"/>
      <c r="U133" s="28" t="s">
        <v>25</v>
      </c>
      <c r="V133" s="29" t="str">
        <f t="shared" ref="V133:V168" si="21">IF(N133="","",IF(Q133="Yes","❌ Disc",IF(P133="No","⚠ Missing",IF(S133="Yes","✓ OK","⚠ Check"))))</f>
        <v>✓ OK</v>
      </c>
      <c r="W133" s="45">
        <v>46248</v>
      </c>
      <c r="X133" s="30" t="s">
        <v>23</v>
      </c>
      <c r="Y133" s="30" t="s">
        <v>24</v>
      </c>
      <c r="Z133" s="30" t="s">
        <v>25</v>
      </c>
      <c r="AA133" s="30" t="s">
        <v>26</v>
      </c>
      <c r="AB133" s="30" t="s">
        <v>24</v>
      </c>
      <c r="AC133" s="27"/>
      <c r="AD133" s="31" t="s">
        <v>25</v>
      </c>
      <c r="AE133" s="32" t="str">
        <f t="shared" ref="AE133:AE168" si="22">IF(W133="","",IF(Z133="Yes","❌ Disc",IF(Y133="No","⚠ Missing",IF(AB133="Yes","✓ OK","⚠ Check"))))</f>
        <v>✓ OK</v>
      </c>
      <c r="AF133" s="33" t="s">
        <v>27</v>
      </c>
      <c r="AG133" s="33" t="s">
        <v>23</v>
      </c>
      <c r="AH133" s="33" t="s">
        <v>24</v>
      </c>
      <c r="AI133" s="33" t="s">
        <v>25</v>
      </c>
      <c r="AJ133" s="33" t="s">
        <v>26</v>
      </c>
      <c r="AK133" s="33" t="s">
        <v>24</v>
      </c>
      <c r="AL133" s="27"/>
      <c r="AM133" s="34" t="s">
        <v>25</v>
      </c>
      <c r="AN133" s="35" t="str">
        <f t="shared" ref="AN133:AN168" si="2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68" si="24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1777</v>
      </c>
      <c r="C134" s="41" t="s">
        <v>1778</v>
      </c>
      <c r="D134" s="39" t="s">
        <v>1618</v>
      </c>
      <c r="E134" s="43">
        <v>46126</v>
      </c>
      <c r="F134" s="26" t="s">
        <v>23</v>
      </c>
      <c r="G134" s="26" t="s">
        <v>24</v>
      </c>
      <c r="H134" s="26" t="s">
        <v>25</v>
      </c>
      <c r="I134" s="26" t="s">
        <v>26</v>
      </c>
      <c r="J134" s="26" t="s">
        <v>24</v>
      </c>
      <c r="K134" s="27"/>
      <c r="L134" s="28" t="s">
        <v>25</v>
      </c>
      <c r="M134" s="29" t="str">
        <f t="shared" si="20"/>
        <v>✓ OK</v>
      </c>
      <c r="N134" s="43">
        <v>46193</v>
      </c>
      <c r="O134" s="26" t="s">
        <v>23</v>
      </c>
      <c r="P134" s="26" t="s">
        <v>24</v>
      </c>
      <c r="Q134" s="26" t="s">
        <v>25</v>
      </c>
      <c r="R134" s="26" t="s">
        <v>26</v>
      </c>
      <c r="S134" s="26" t="s">
        <v>24</v>
      </c>
      <c r="T134" s="27"/>
      <c r="U134" s="28" t="s">
        <v>25</v>
      </c>
      <c r="V134" s="29" t="str">
        <f t="shared" si="21"/>
        <v>✓ OK</v>
      </c>
      <c r="W134" s="45">
        <v>46248</v>
      </c>
      <c r="X134" s="30" t="s">
        <v>23</v>
      </c>
      <c r="Y134" s="30" t="s">
        <v>24</v>
      </c>
      <c r="Z134" s="30" t="s">
        <v>25</v>
      </c>
      <c r="AA134" s="30" t="s">
        <v>26</v>
      </c>
      <c r="AB134" s="30" t="s">
        <v>24</v>
      </c>
      <c r="AC134" s="27"/>
      <c r="AD134" s="31" t="s">
        <v>25</v>
      </c>
      <c r="AE134" s="32" t="str">
        <f t="shared" si="22"/>
        <v>✓ OK</v>
      </c>
      <c r="AF134" s="33" t="s">
        <v>27</v>
      </c>
      <c r="AG134" s="33" t="s">
        <v>23</v>
      </c>
      <c r="AH134" s="33" t="s">
        <v>24</v>
      </c>
      <c r="AI134" s="33" t="s">
        <v>25</v>
      </c>
      <c r="AJ134" s="33" t="s">
        <v>26</v>
      </c>
      <c r="AK134" s="33" t="s">
        <v>24</v>
      </c>
      <c r="AL134" s="27"/>
      <c r="AM134" s="34" t="s">
        <v>25</v>
      </c>
      <c r="AN134" s="35" t="str">
        <f t="shared" si="2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24"/>
        <v/>
      </c>
    </row>
    <row r="135" spans="1:49" ht="18" customHeight="1" x14ac:dyDescent="0.3">
      <c r="A135" s="23">
        <v>131</v>
      </c>
      <c r="B135" s="24" t="s">
        <v>1779</v>
      </c>
      <c r="C135" s="25" t="s">
        <v>1780</v>
      </c>
      <c r="D135" s="23" t="s">
        <v>1618</v>
      </c>
      <c r="E135" s="43">
        <v>46126</v>
      </c>
      <c r="F135" s="26" t="s">
        <v>23</v>
      </c>
      <c r="G135" s="26" t="s">
        <v>24</v>
      </c>
      <c r="H135" s="26" t="s">
        <v>25</v>
      </c>
      <c r="I135" s="26" t="s">
        <v>26</v>
      </c>
      <c r="J135" s="26" t="s">
        <v>24</v>
      </c>
      <c r="K135" s="27"/>
      <c r="L135" s="28" t="s">
        <v>25</v>
      </c>
      <c r="M135" s="29" t="str">
        <f t="shared" si="20"/>
        <v>✓ OK</v>
      </c>
      <c r="N135" s="43">
        <v>46193</v>
      </c>
      <c r="O135" s="26" t="s">
        <v>23</v>
      </c>
      <c r="P135" s="26" t="s">
        <v>24</v>
      </c>
      <c r="Q135" s="26" t="s">
        <v>25</v>
      </c>
      <c r="R135" s="26" t="s">
        <v>26</v>
      </c>
      <c r="S135" s="26" t="s">
        <v>24</v>
      </c>
      <c r="T135" s="27"/>
      <c r="U135" s="28" t="s">
        <v>25</v>
      </c>
      <c r="V135" s="29" t="str">
        <f t="shared" si="21"/>
        <v>✓ OK</v>
      </c>
      <c r="W135" s="45">
        <v>46248</v>
      </c>
      <c r="X135" s="30" t="s">
        <v>23</v>
      </c>
      <c r="Y135" s="30" t="s">
        <v>24</v>
      </c>
      <c r="Z135" s="30" t="s">
        <v>25</v>
      </c>
      <c r="AA135" s="30" t="s">
        <v>26</v>
      </c>
      <c r="AB135" s="30" t="s">
        <v>24</v>
      </c>
      <c r="AC135" s="27"/>
      <c r="AD135" s="31" t="s">
        <v>25</v>
      </c>
      <c r="AE135" s="32" t="str">
        <f t="shared" si="22"/>
        <v>✓ OK</v>
      </c>
      <c r="AF135" s="33" t="s">
        <v>27</v>
      </c>
      <c r="AG135" s="33" t="s">
        <v>23</v>
      </c>
      <c r="AH135" s="33" t="s">
        <v>24</v>
      </c>
      <c r="AI135" s="33" t="s">
        <v>25</v>
      </c>
      <c r="AJ135" s="33" t="s">
        <v>26</v>
      </c>
      <c r="AK135" s="33" t="s">
        <v>24</v>
      </c>
      <c r="AL135" s="27"/>
      <c r="AM135" s="34" t="s">
        <v>25</v>
      </c>
      <c r="AN135" s="35" t="str">
        <f t="shared" si="2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24"/>
        <v/>
      </c>
    </row>
    <row r="136" spans="1:49" ht="18" customHeight="1" x14ac:dyDescent="0.3">
      <c r="A136" s="39">
        <v>132</v>
      </c>
      <c r="B136" s="40" t="s">
        <v>1781</v>
      </c>
      <c r="C136" s="41" t="s">
        <v>1782</v>
      </c>
      <c r="D136" s="39" t="s">
        <v>1618</v>
      </c>
      <c r="E136" s="43">
        <v>46126</v>
      </c>
      <c r="F136" s="26" t="s">
        <v>23</v>
      </c>
      <c r="G136" s="26" t="s">
        <v>24</v>
      </c>
      <c r="H136" s="26" t="s">
        <v>25</v>
      </c>
      <c r="I136" s="26" t="s">
        <v>26</v>
      </c>
      <c r="J136" s="26" t="s">
        <v>24</v>
      </c>
      <c r="K136" s="27"/>
      <c r="L136" s="28" t="s">
        <v>25</v>
      </c>
      <c r="M136" s="29" t="str">
        <f t="shared" si="20"/>
        <v>✓ OK</v>
      </c>
      <c r="N136" s="43">
        <v>46193</v>
      </c>
      <c r="O136" s="26" t="s">
        <v>23</v>
      </c>
      <c r="P136" s="26" t="s">
        <v>24</v>
      </c>
      <c r="Q136" s="26" t="s">
        <v>25</v>
      </c>
      <c r="R136" s="26" t="s">
        <v>26</v>
      </c>
      <c r="S136" s="26" t="s">
        <v>24</v>
      </c>
      <c r="T136" s="27"/>
      <c r="U136" s="28" t="s">
        <v>25</v>
      </c>
      <c r="V136" s="29" t="str">
        <f t="shared" si="21"/>
        <v>✓ OK</v>
      </c>
      <c r="W136" s="45">
        <v>46248</v>
      </c>
      <c r="X136" s="30" t="s">
        <v>23</v>
      </c>
      <c r="Y136" s="30" t="s">
        <v>24</v>
      </c>
      <c r="Z136" s="30" t="s">
        <v>25</v>
      </c>
      <c r="AA136" s="30" t="s">
        <v>26</v>
      </c>
      <c r="AB136" s="30" t="s">
        <v>24</v>
      </c>
      <c r="AC136" s="27"/>
      <c r="AD136" s="31" t="s">
        <v>25</v>
      </c>
      <c r="AE136" s="32" t="str">
        <f t="shared" si="22"/>
        <v>✓ OK</v>
      </c>
      <c r="AF136" s="33" t="s">
        <v>27</v>
      </c>
      <c r="AG136" s="33" t="s">
        <v>23</v>
      </c>
      <c r="AH136" s="33" t="s">
        <v>24</v>
      </c>
      <c r="AI136" s="33" t="s">
        <v>25</v>
      </c>
      <c r="AJ136" s="33" t="s">
        <v>26</v>
      </c>
      <c r="AK136" s="33" t="s">
        <v>24</v>
      </c>
      <c r="AL136" s="27"/>
      <c r="AM136" s="34" t="s">
        <v>25</v>
      </c>
      <c r="AN136" s="35" t="str">
        <f t="shared" si="2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24"/>
        <v/>
      </c>
    </row>
    <row r="137" spans="1:49" ht="18" customHeight="1" x14ac:dyDescent="0.3">
      <c r="A137" s="23">
        <v>133</v>
      </c>
      <c r="B137" s="24" t="s">
        <v>1783</v>
      </c>
      <c r="C137" s="25" t="s">
        <v>1784</v>
      </c>
      <c r="D137" s="23" t="s">
        <v>1618</v>
      </c>
      <c r="E137" s="43">
        <v>46126</v>
      </c>
      <c r="F137" s="26" t="s">
        <v>23</v>
      </c>
      <c r="G137" s="26" t="s">
        <v>24</v>
      </c>
      <c r="H137" s="26" t="s">
        <v>25</v>
      </c>
      <c r="I137" s="26" t="s">
        <v>26</v>
      </c>
      <c r="J137" s="26" t="s">
        <v>24</v>
      </c>
      <c r="K137" s="27"/>
      <c r="L137" s="28" t="s">
        <v>25</v>
      </c>
      <c r="M137" s="29" t="str">
        <f t="shared" si="20"/>
        <v>✓ OK</v>
      </c>
      <c r="N137" s="43">
        <v>46193</v>
      </c>
      <c r="O137" s="26" t="s">
        <v>23</v>
      </c>
      <c r="P137" s="26" t="s">
        <v>24</v>
      </c>
      <c r="Q137" s="26" t="s">
        <v>25</v>
      </c>
      <c r="R137" s="26" t="s">
        <v>26</v>
      </c>
      <c r="S137" s="26" t="s">
        <v>24</v>
      </c>
      <c r="T137" s="27"/>
      <c r="U137" s="28" t="s">
        <v>25</v>
      </c>
      <c r="V137" s="29" t="str">
        <f t="shared" si="21"/>
        <v>✓ OK</v>
      </c>
      <c r="W137" s="45">
        <v>46248</v>
      </c>
      <c r="X137" s="30" t="s">
        <v>23</v>
      </c>
      <c r="Y137" s="30" t="s">
        <v>24</v>
      </c>
      <c r="Z137" s="30" t="s">
        <v>25</v>
      </c>
      <c r="AA137" s="30" t="s">
        <v>26</v>
      </c>
      <c r="AB137" s="30" t="s">
        <v>24</v>
      </c>
      <c r="AC137" s="27"/>
      <c r="AD137" s="31" t="s">
        <v>25</v>
      </c>
      <c r="AE137" s="32" t="str">
        <f t="shared" si="22"/>
        <v>✓ OK</v>
      </c>
      <c r="AF137" s="33" t="s">
        <v>27</v>
      </c>
      <c r="AG137" s="33" t="s">
        <v>23</v>
      </c>
      <c r="AH137" s="33" t="s">
        <v>24</v>
      </c>
      <c r="AI137" s="33" t="s">
        <v>25</v>
      </c>
      <c r="AJ137" s="33" t="s">
        <v>26</v>
      </c>
      <c r="AK137" s="33" t="s">
        <v>24</v>
      </c>
      <c r="AL137" s="27"/>
      <c r="AM137" s="34" t="s">
        <v>25</v>
      </c>
      <c r="AN137" s="35" t="str">
        <f t="shared" si="2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24"/>
        <v/>
      </c>
    </row>
    <row r="138" spans="1:49" ht="18" customHeight="1" x14ac:dyDescent="0.3">
      <c r="A138" s="39">
        <v>134</v>
      </c>
      <c r="B138" s="40" t="s">
        <v>1785</v>
      </c>
      <c r="C138" s="41" t="s">
        <v>1786</v>
      </c>
      <c r="D138" s="39" t="s">
        <v>1618</v>
      </c>
      <c r="E138" s="43">
        <v>46126</v>
      </c>
      <c r="F138" s="26" t="s">
        <v>23</v>
      </c>
      <c r="G138" s="26" t="s">
        <v>24</v>
      </c>
      <c r="H138" s="26" t="s">
        <v>25</v>
      </c>
      <c r="I138" s="26" t="s">
        <v>26</v>
      </c>
      <c r="J138" s="26" t="s">
        <v>24</v>
      </c>
      <c r="K138" s="27"/>
      <c r="L138" s="28" t="s">
        <v>25</v>
      </c>
      <c r="M138" s="29" t="str">
        <f t="shared" si="20"/>
        <v>✓ OK</v>
      </c>
      <c r="N138" s="43">
        <v>46193</v>
      </c>
      <c r="O138" s="26" t="s">
        <v>23</v>
      </c>
      <c r="P138" s="26" t="s">
        <v>24</v>
      </c>
      <c r="Q138" s="26" t="s">
        <v>25</v>
      </c>
      <c r="R138" s="26" t="s">
        <v>26</v>
      </c>
      <c r="S138" s="26" t="s">
        <v>24</v>
      </c>
      <c r="T138" s="27"/>
      <c r="U138" s="28" t="s">
        <v>25</v>
      </c>
      <c r="V138" s="29" t="str">
        <f t="shared" si="21"/>
        <v>✓ OK</v>
      </c>
      <c r="W138" s="45">
        <v>46248</v>
      </c>
      <c r="X138" s="30" t="s">
        <v>23</v>
      </c>
      <c r="Y138" s="30" t="s">
        <v>24</v>
      </c>
      <c r="Z138" s="30" t="s">
        <v>25</v>
      </c>
      <c r="AA138" s="30" t="s">
        <v>26</v>
      </c>
      <c r="AB138" s="30" t="s">
        <v>24</v>
      </c>
      <c r="AC138" s="27"/>
      <c r="AD138" s="31" t="s">
        <v>25</v>
      </c>
      <c r="AE138" s="32" t="str">
        <f t="shared" si="22"/>
        <v>✓ OK</v>
      </c>
      <c r="AF138" s="33" t="s">
        <v>27</v>
      </c>
      <c r="AG138" s="33" t="s">
        <v>23</v>
      </c>
      <c r="AH138" s="33" t="s">
        <v>24</v>
      </c>
      <c r="AI138" s="33" t="s">
        <v>25</v>
      </c>
      <c r="AJ138" s="33" t="s">
        <v>26</v>
      </c>
      <c r="AK138" s="33" t="s">
        <v>24</v>
      </c>
      <c r="AL138" s="27"/>
      <c r="AM138" s="34" t="s">
        <v>25</v>
      </c>
      <c r="AN138" s="35" t="str">
        <f t="shared" si="2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24"/>
        <v/>
      </c>
    </row>
    <row r="139" spans="1:49" ht="18" customHeight="1" x14ac:dyDescent="0.3">
      <c r="A139" s="23">
        <v>135</v>
      </c>
      <c r="B139" s="24" t="s">
        <v>1787</v>
      </c>
      <c r="C139" s="25" t="s">
        <v>1788</v>
      </c>
      <c r="D139" s="23" t="s">
        <v>1618</v>
      </c>
      <c r="E139" s="43">
        <v>46126</v>
      </c>
      <c r="F139" s="26" t="s">
        <v>23</v>
      </c>
      <c r="G139" s="26" t="s">
        <v>24</v>
      </c>
      <c r="H139" s="26" t="s">
        <v>25</v>
      </c>
      <c r="I139" s="26" t="s">
        <v>26</v>
      </c>
      <c r="J139" s="26" t="s">
        <v>24</v>
      </c>
      <c r="K139" s="27"/>
      <c r="L139" s="28" t="s">
        <v>25</v>
      </c>
      <c r="M139" s="29" t="str">
        <f t="shared" si="20"/>
        <v>✓ OK</v>
      </c>
      <c r="N139" s="43">
        <v>46193</v>
      </c>
      <c r="O139" s="26" t="s">
        <v>23</v>
      </c>
      <c r="P139" s="26" t="s">
        <v>24</v>
      </c>
      <c r="Q139" s="26" t="s">
        <v>25</v>
      </c>
      <c r="R139" s="26" t="s">
        <v>26</v>
      </c>
      <c r="S139" s="26" t="s">
        <v>24</v>
      </c>
      <c r="T139" s="27"/>
      <c r="U139" s="28" t="s">
        <v>25</v>
      </c>
      <c r="V139" s="29" t="str">
        <f t="shared" si="21"/>
        <v>✓ OK</v>
      </c>
      <c r="W139" s="45">
        <v>46248</v>
      </c>
      <c r="X139" s="30" t="s">
        <v>23</v>
      </c>
      <c r="Y139" s="30" t="s">
        <v>24</v>
      </c>
      <c r="Z139" s="30" t="s">
        <v>25</v>
      </c>
      <c r="AA139" s="30" t="s">
        <v>26</v>
      </c>
      <c r="AB139" s="30" t="s">
        <v>24</v>
      </c>
      <c r="AC139" s="27"/>
      <c r="AD139" s="31" t="s">
        <v>25</v>
      </c>
      <c r="AE139" s="32" t="str">
        <f t="shared" si="22"/>
        <v>✓ OK</v>
      </c>
      <c r="AF139" s="33" t="s">
        <v>27</v>
      </c>
      <c r="AG139" s="33" t="s">
        <v>23</v>
      </c>
      <c r="AH139" s="33" t="s">
        <v>24</v>
      </c>
      <c r="AI139" s="33" t="s">
        <v>25</v>
      </c>
      <c r="AJ139" s="33" t="s">
        <v>26</v>
      </c>
      <c r="AK139" s="33" t="s">
        <v>24</v>
      </c>
      <c r="AL139" s="27"/>
      <c r="AM139" s="34" t="s">
        <v>25</v>
      </c>
      <c r="AN139" s="35" t="str">
        <f t="shared" si="2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24"/>
        <v/>
      </c>
    </row>
    <row r="140" spans="1:49" ht="18" customHeight="1" x14ac:dyDescent="0.3">
      <c r="A140" s="39">
        <v>136</v>
      </c>
      <c r="B140" s="40" t="s">
        <v>1789</v>
      </c>
      <c r="C140" s="41" t="s">
        <v>1790</v>
      </c>
      <c r="D140" s="39" t="s">
        <v>1618</v>
      </c>
      <c r="E140" s="43">
        <v>46126</v>
      </c>
      <c r="F140" s="26" t="s">
        <v>23</v>
      </c>
      <c r="G140" s="26" t="s">
        <v>24</v>
      </c>
      <c r="H140" s="26" t="s">
        <v>25</v>
      </c>
      <c r="I140" s="26" t="s">
        <v>26</v>
      </c>
      <c r="J140" s="26" t="s">
        <v>24</v>
      </c>
      <c r="K140" s="27"/>
      <c r="L140" s="28" t="s">
        <v>25</v>
      </c>
      <c r="M140" s="29" t="str">
        <f t="shared" si="20"/>
        <v>✓ OK</v>
      </c>
      <c r="N140" s="43">
        <v>46193</v>
      </c>
      <c r="O140" s="26" t="s">
        <v>23</v>
      </c>
      <c r="P140" s="26" t="s">
        <v>24</v>
      </c>
      <c r="Q140" s="26" t="s">
        <v>25</v>
      </c>
      <c r="R140" s="26" t="s">
        <v>26</v>
      </c>
      <c r="S140" s="26" t="s">
        <v>24</v>
      </c>
      <c r="T140" s="27"/>
      <c r="U140" s="28" t="s">
        <v>25</v>
      </c>
      <c r="V140" s="29" t="str">
        <f t="shared" si="21"/>
        <v>✓ OK</v>
      </c>
      <c r="W140" s="45">
        <v>46248</v>
      </c>
      <c r="X140" s="30" t="s">
        <v>23</v>
      </c>
      <c r="Y140" s="30" t="s">
        <v>24</v>
      </c>
      <c r="Z140" s="30" t="s">
        <v>25</v>
      </c>
      <c r="AA140" s="30" t="s">
        <v>26</v>
      </c>
      <c r="AB140" s="30" t="s">
        <v>24</v>
      </c>
      <c r="AC140" s="27"/>
      <c r="AD140" s="31" t="s">
        <v>25</v>
      </c>
      <c r="AE140" s="32" t="str">
        <f t="shared" si="22"/>
        <v>✓ OK</v>
      </c>
      <c r="AF140" s="33" t="s">
        <v>27</v>
      </c>
      <c r="AG140" s="33" t="s">
        <v>23</v>
      </c>
      <c r="AH140" s="33" t="s">
        <v>24</v>
      </c>
      <c r="AI140" s="33" t="s">
        <v>25</v>
      </c>
      <c r="AJ140" s="33" t="s">
        <v>26</v>
      </c>
      <c r="AK140" s="33" t="s">
        <v>24</v>
      </c>
      <c r="AL140" s="27"/>
      <c r="AM140" s="34" t="s">
        <v>25</v>
      </c>
      <c r="AN140" s="35" t="str">
        <f t="shared" si="2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24"/>
        <v/>
      </c>
    </row>
    <row r="141" spans="1:49" ht="18" customHeight="1" x14ac:dyDescent="0.3">
      <c r="A141" s="23">
        <v>137</v>
      </c>
      <c r="B141" s="24" t="s">
        <v>1791</v>
      </c>
      <c r="C141" s="25" t="s">
        <v>1792</v>
      </c>
      <c r="D141" s="23" t="s">
        <v>1618</v>
      </c>
      <c r="E141" s="43">
        <v>46126</v>
      </c>
      <c r="F141" s="26" t="s">
        <v>23</v>
      </c>
      <c r="G141" s="26" t="s">
        <v>24</v>
      </c>
      <c r="H141" s="26" t="s">
        <v>25</v>
      </c>
      <c r="I141" s="26" t="s">
        <v>26</v>
      </c>
      <c r="J141" s="26" t="s">
        <v>24</v>
      </c>
      <c r="K141" s="27"/>
      <c r="L141" s="28" t="s">
        <v>25</v>
      </c>
      <c r="M141" s="29" t="str">
        <f t="shared" si="20"/>
        <v>✓ OK</v>
      </c>
      <c r="N141" s="43">
        <v>46193</v>
      </c>
      <c r="O141" s="26" t="s">
        <v>23</v>
      </c>
      <c r="P141" s="26" t="s">
        <v>24</v>
      </c>
      <c r="Q141" s="26" t="s">
        <v>25</v>
      </c>
      <c r="R141" s="26" t="s">
        <v>26</v>
      </c>
      <c r="S141" s="26" t="s">
        <v>24</v>
      </c>
      <c r="T141" s="27"/>
      <c r="U141" s="28" t="s">
        <v>25</v>
      </c>
      <c r="V141" s="29" t="str">
        <f t="shared" si="21"/>
        <v>✓ OK</v>
      </c>
      <c r="W141" s="45">
        <v>46248</v>
      </c>
      <c r="X141" s="30" t="s">
        <v>23</v>
      </c>
      <c r="Y141" s="30" t="s">
        <v>24</v>
      </c>
      <c r="Z141" s="30" t="s">
        <v>25</v>
      </c>
      <c r="AA141" s="30" t="s">
        <v>26</v>
      </c>
      <c r="AB141" s="30" t="s">
        <v>24</v>
      </c>
      <c r="AC141" s="27"/>
      <c r="AD141" s="31" t="s">
        <v>25</v>
      </c>
      <c r="AE141" s="32" t="str">
        <f t="shared" si="22"/>
        <v>✓ OK</v>
      </c>
      <c r="AF141" s="33" t="s">
        <v>27</v>
      </c>
      <c r="AG141" s="33" t="s">
        <v>23</v>
      </c>
      <c r="AH141" s="33" t="s">
        <v>24</v>
      </c>
      <c r="AI141" s="33" t="s">
        <v>25</v>
      </c>
      <c r="AJ141" s="33" t="s">
        <v>26</v>
      </c>
      <c r="AK141" s="33" t="s">
        <v>24</v>
      </c>
      <c r="AL141" s="27"/>
      <c r="AM141" s="34" t="s">
        <v>25</v>
      </c>
      <c r="AN141" s="35" t="str">
        <f t="shared" si="2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24"/>
        <v/>
      </c>
    </row>
    <row r="142" spans="1:49" ht="18" customHeight="1" x14ac:dyDescent="0.3">
      <c r="A142" s="39">
        <v>138</v>
      </c>
      <c r="B142" s="40" t="s">
        <v>1793</v>
      </c>
      <c r="C142" s="41" t="s">
        <v>1794</v>
      </c>
      <c r="D142" s="39" t="s">
        <v>1618</v>
      </c>
      <c r="E142" s="43">
        <v>46126</v>
      </c>
      <c r="F142" s="26" t="s">
        <v>23</v>
      </c>
      <c r="G142" s="26" t="s">
        <v>24</v>
      </c>
      <c r="H142" s="26" t="s">
        <v>25</v>
      </c>
      <c r="I142" s="26" t="s">
        <v>26</v>
      </c>
      <c r="J142" s="26" t="s">
        <v>24</v>
      </c>
      <c r="K142" s="27"/>
      <c r="L142" s="28" t="s">
        <v>25</v>
      </c>
      <c r="M142" s="29" t="str">
        <f t="shared" si="20"/>
        <v>✓ OK</v>
      </c>
      <c r="N142" s="43">
        <v>46193</v>
      </c>
      <c r="O142" s="26" t="s">
        <v>23</v>
      </c>
      <c r="P142" s="26" t="s">
        <v>24</v>
      </c>
      <c r="Q142" s="26" t="s">
        <v>25</v>
      </c>
      <c r="R142" s="26" t="s">
        <v>26</v>
      </c>
      <c r="S142" s="26" t="s">
        <v>24</v>
      </c>
      <c r="T142" s="27"/>
      <c r="U142" s="28" t="s">
        <v>25</v>
      </c>
      <c r="V142" s="29" t="str">
        <f t="shared" si="21"/>
        <v>✓ OK</v>
      </c>
      <c r="W142" s="45">
        <v>46248</v>
      </c>
      <c r="X142" s="30" t="s">
        <v>23</v>
      </c>
      <c r="Y142" s="30" t="s">
        <v>24</v>
      </c>
      <c r="Z142" s="30" t="s">
        <v>25</v>
      </c>
      <c r="AA142" s="30" t="s">
        <v>26</v>
      </c>
      <c r="AB142" s="30" t="s">
        <v>24</v>
      </c>
      <c r="AC142" s="27"/>
      <c r="AD142" s="31" t="s">
        <v>25</v>
      </c>
      <c r="AE142" s="32" t="str">
        <f t="shared" si="22"/>
        <v>✓ OK</v>
      </c>
      <c r="AF142" s="33" t="s">
        <v>27</v>
      </c>
      <c r="AG142" s="33" t="s">
        <v>23</v>
      </c>
      <c r="AH142" s="33" t="s">
        <v>24</v>
      </c>
      <c r="AI142" s="33" t="s">
        <v>25</v>
      </c>
      <c r="AJ142" s="33" t="s">
        <v>26</v>
      </c>
      <c r="AK142" s="33" t="s">
        <v>24</v>
      </c>
      <c r="AL142" s="27"/>
      <c r="AM142" s="34" t="s">
        <v>25</v>
      </c>
      <c r="AN142" s="35" t="str">
        <f t="shared" si="2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24"/>
        <v/>
      </c>
    </row>
    <row r="143" spans="1:49" ht="18" customHeight="1" x14ac:dyDescent="0.3">
      <c r="A143" s="23">
        <v>139</v>
      </c>
      <c r="B143" s="24" t="s">
        <v>1795</v>
      </c>
      <c r="C143" s="25" t="s">
        <v>1796</v>
      </c>
      <c r="D143" s="23" t="s">
        <v>1618</v>
      </c>
      <c r="E143" s="43">
        <v>46126</v>
      </c>
      <c r="F143" s="26" t="s">
        <v>23</v>
      </c>
      <c r="G143" s="26" t="s">
        <v>24</v>
      </c>
      <c r="H143" s="26" t="s">
        <v>25</v>
      </c>
      <c r="I143" s="26" t="s">
        <v>26</v>
      </c>
      <c r="J143" s="26" t="s">
        <v>24</v>
      </c>
      <c r="K143" s="27"/>
      <c r="L143" s="28" t="s">
        <v>25</v>
      </c>
      <c r="M143" s="29" t="str">
        <f t="shared" si="20"/>
        <v>✓ OK</v>
      </c>
      <c r="N143" s="43">
        <v>46193</v>
      </c>
      <c r="O143" s="26" t="s">
        <v>23</v>
      </c>
      <c r="P143" s="26" t="s">
        <v>24</v>
      </c>
      <c r="Q143" s="26" t="s">
        <v>25</v>
      </c>
      <c r="R143" s="26" t="s">
        <v>26</v>
      </c>
      <c r="S143" s="26" t="s">
        <v>24</v>
      </c>
      <c r="T143" s="27"/>
      <c r="U143" s="28" t="s">
        <v>25</v>
      </c>
      <c r="V143" s="29" t="str">
        <f t="shared" si="21"/>
        <v>✓ OK</v>
      </c>
      <c r="W143" s="45">
        <v>46248</v>
      </c>
      <c r="X143" s="30" t="s">
        <v>23</v>
      </c>
      <c r="Y143" s="30" t="s">
        <v>24</v>
      </c>
      <c r="Z143" s="30" t="s">
        <v>25</v>
      </c>
      <c r="AA143" s="30" t="s">
        <v>26</v>
      </c>
      <c r="AB143" s="30" t="s">
        <v>24</v>
      </c>
      <c r="AC143" s="27"/>
      <c r="AD143" s="31" t="s">
        <v>25</v>
      </c>
      <c r="AE143" s="32" t="str">
        <f t="shared" si="22"/>
        <v>✓ OK</v>
      </c>
      <c r="AF143" s="33" t="s">
        <v>27</v>
      </c>
      <c r="AG143" s="33" t="s">
        <v>23</v>
      </c>
      <c r="AH143" s="33" t="s">
        <v>24</v>
      </c>
      <c r="AI143" s="33" t="s">
        <v>25</v>
      </c>
      <c r="AJ143" s="33" t="s">
        <v>26</v>
      </c>
      <c r="AK143" s="33" t="s">
        <v>24</v>
      </c>
      <c r="AL143" s="27"/>
      <c r="AM143" s="34" t="s">
        <v>25</v>
      </c>
      <c r="AN143" s="35" t="str">
        <f t="shared" si="2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24"/>
        <v/>
      </c>
    </row>
    <row r="144" spans="1:49" ht="18" customHeight="1" x14ac:dyDescent="0.3">
      <c r="A144" s="39">
        <v>140</v>
      </c>
      <c r="B144" s="40" t="s">
        <v>1797</v>
      </c>
      <c r="C144" s="41" t="s">
        <v>1798</v>
      </c>
      <c r="D144" s="39" t="s">
        <v>1618</v>
      </c>
      <c r="E144" s="43">
        <v>46126</v>
      </c>
      <c r="F144" s="26" t="s">
        <v>23</v>
      </c>
      <c r="G144" s="26" t="s">
        <v>24</v>
      </c>
      <c r="H144" s="26" t="s">
        <v>25</v>
      </c>
      <c r="I144" s="26" t="s">
        <v>26</v>
      </c>
      <c r="J144" s="26" t="s">
        <v>24</v>
      </c>
      <c r="K144" s="27"/>
      <c r="L144" s="28" t="s">
        <v>25</v>
      </c>
      <c r="M144" s="29" t="str">
        <f t="shared" si="20"/>
        <v>✓ OK</v>
      </c>
      <c r="N144" s="43">
        <v>46193</v>
      </c>
      <c r="O144" s="26" t="s">
        <v>23</v>
      </c>
      <c r="P144" s="26" t="s">
        <v>24</v>
      </c>
      <c r="Q144" s="26" t="s">
        <v>25</v>
      </c>
      <c r="R144" s="26" t="s">
        <v>26</v>
      </c>
      <c r="S144" s="26" t="s">
        <v>24</v>
      </c>
      <c r="T144" s="27"/>
      <c r="U144" s="28" t="s">
        <v>25</v>
      </c>
      <c r="V144" s="29" t="str">
        <f t="shared" si="21"/>
        <v>✓ OK</v>
      </c>
      <c r="W144" s="45">
        <v>46248</v>
      </c>
      <c r="X144" s="30" t="s">
        <v>23</v>
      </c>
      <c r="Y144" s="30" t="s">
        <v>24</v>
      </c>
      <c r="Z144" s="30" t="s">
        <v>25</v>
      </c>
      <c r="AA144" s="30" t="s">
        <v>26</v>
      </c>
      <c r="AB144" s="30" t="s">
        <v>24</v>
      </c>
      <c r="AC144" s="27"/>
      <c r="AD144" s="31" t="s">
        <v>25</v>
      </c>
      <c r="AE144" s="32" t="str">
        <f t="shared" si="22"/>
        <v>✓ OK</v>
      </c>
      <c r="AF144" s="33" t="s">
        <v>27</v>
      </c>
      <c r="AG144" s="33" t="s">
        <v>23</v>
      </c>
      <c r="AH144" s="33" t="s">
        <v>24</v>
      </c>
      <c r="AI144" s="33" t="s">
        <v>25</v>
      </c>
      <c r="AJ144" s="33" t="s">
        <v>26</v>
      </c>
      <c r="AK144" s="33" t="s">
        <v>24</v>
      </c>
      <c r="AL144" s="27"/>
      <c r="AM144" s="34" t="s">
        <v>25</v>
      </c>
      <c r="AN144" s="35" t="str">
        <f t="shared" si="2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24"/>
        <v/>
      </c>
    </row>
    <row r="145" spans="1:49" ht="18" customHeight="1" x14ac:dyDescent="0.3">
      <c r="A145" s="23">
        <v>141</v>
      </c>
      <c r="B145" s="24" t="s">
        <v>1799</v>
      </c>
      <c r="C145" s="25" t="s">
        <v>1800</v>
      </c>
      <c r="D145" s="23" t="s">
        <v>1618</v>
      </c>
      <c r="E145" s="43">
        <v>46126</v>
      </c>
      <c r="F145" s="26" t="s">
        <v>23</v>
      </c>
      <c r="G145" s="26" t="s">
        <v>24</v>
      </c>
      <c r="H145" s="26" t="s">
        <v>25</v>
      </c>
      <c r="I145" s="26" t="s">
        <v>26</v>
      </c>
      <c r="J145" s="26" t="s">
        <v>24</v>
      </c>
      <c r="K145" s="27"/>
      <c r="L145" s="28" t="s">
        <v>25</v>
      </c>
      <c r="M145" s="29" t="str">
        <f t="shared" si="20"/>
        <v>✓ OK</v>
      </c>
      <c r="N145" s="43">
        <v>46193</v>
      </c>
      <c r="O145" s="26" t="s">
        <v>23</v>
      </c>
      <c r="P145" s="26" t="s">
        <v>24</v>
      </c>
      <c r="Q145" s="26" t="s">
        <v>25</v>
      </c>
      <c r="R145" s="26" t="s">
        <v>26</v>
      </c>
      <c r="S145" s="26" t="s">
        <v>24</v>
      </c>
      <c r="T145" s="27"/>
      <c r="U145" s="28" t="s">
        <v>25</v>
      </c>
      <c r="V145" s="29" t="str">
        <f t="shared" si="21"/>
        <v>✓ OK</v>
      </c>
      <c r="W145" s="45">
        <v>46248</v>
      </c>
      <c r="X145" s="30" t="s">
        <v>23</v>
      </c>
      <c r="Y145" s="30" t="s">
        <v>24</v>
      </c>
      <c r="Z145" s="30" t="s">
        <v>25</v>
      </c>
      <c r="AA145" s="30" t="s">
        <v>26</v>
      </c>
      <c r="AB145" s="30" t="s">
        <v>24</v>
      </c>
      <c r="AC145" s="27"/>
      <c r="AD145" s="31" t="s">
        <v>25</v>
      </c>
      <c r="AE145" s="32" t="str">
        <f t="shared" si="22"/>
        <v>✓ OK</v>
      </c>
      <c r="AF145" s="33" t="s">
        <v>27</v>
      </c>
      <c r="AG145" s="33" t="s">
        <v>23</v>
      </c>
      <c r="AH145" s="33" t="s">
        <v>24</v>
      </c>
      <c r="AI145" s="33" t="s">
        <v>25</v>
      </c>
      <c r="AJ145" s="33" t="s">
        <v>26</v>
      </c>
      <c r="AK145" s="33" t="s">
        <v>24</v>
      </c>
      <c r="AL145" s="27"/>
      <c r="AM145" s="34" t="s">
        <v>25</v>
      </c>
      <c r="AN145" s="35" t="str">
        <f t="shared" si="2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24"/>
        <v/>
      </c>
    </row>
    <row r="146" spans="1:49" ht="18" customHeight="1" x14ac:dyDescent="0.3">
      <c r="A146" s="39">
        <v>142</v>
      </c>
      <c r="B146" s="40" t="s">
        <v>1801</v>
      </c>
      <c r="C146" s="41" t="s">
        <v>1802</v>
      </c>
      <c r="D146" s="39" t="s">
        <v>1618</v>
      </c>
      <c r="E146" s="43">
        <v>46126</v>
      </c>
      <c r="F146" s="26" t="s">
        <v>23</v>
      </c>
      <c r="G146" s="26" t="s">
        <v>24</v>
      </c>
      <c r="H146" s="26" t="s">
        <v>25</v>
      </c>
      <c r="I146" s="26" t="s">
        <v>26</v>
      </c>
      <c r="J146" s="26" t="s">
        <v>24</v>
      </c>
      <c r="K146" s="27"/>
      <c r="L146" s="28" t="s">
        <v>25</v>
      </c>
      <c r="M146" s="29" t="str">
        <f t="shared" si="20"/>
        <v>✓ OK</v>
      </c>
      <c r="N146" s="43">
        <v>46193</v>
      </c>
      <c r="O146" s="26" t="s">
        <v>23</v>
      </c>
      <c r="P146" s="26" t="s">
        <v>24</v>
      </c>
      <c r="Q146" s="26" t="s">
        <v>25</v>
      </c>
      <c r="R146" s="26" t="s">
        <v>26</v>
      </c>
      <c r="S146" s="26" t="s">
        <v>24</v>
      </c>
      <c r="T146" s="27"/>
      <c r="U146" s="28" t="s">
        <v>25</v>
      </c>
      <c r="V146" s="29" t="str">
        <f t="shared" si="21"/>
        <v>✓ OK</v>
      </c>
      <c r="W146" s="45">
        <v>46248</v>
      </c>
      <c r="X146" s="30" t="s">
        <v>23</v>
      </c>
      <c r="Y146" s="30" t="s">
        <v>24</v>
      </c>
      <c r="Z146" s="30" t="s">
        <v>25</v>
      </c>
      <c r="AA146" s="30" t="s">
        <v>26</v>
      </c>
      <c r="AB146" s="30" t="s">
        <v>24</v>
      </c>
      <c r="AC146" s="27"/>
      <c r="AD146" s="31" t="s">
        <v>25</v>
      </c>
      <c r="AE146" s="32" t="str">
        <f t="shared" si="22"/>
        <v>✓ OK</v>
      </c>
      <c r="AF146" s="33" t="s">
        <v>27</v>
      </c>
      <c r="AG146" s="33" t="s">
        <v>23</v>
      </c>
      <c r="AH146" s="33" t="s">
        <v>24</v>
      </c>
      <c r="AI146" s="33" t="s">
        <v>25</v>
      </c>
      <c r="AJ146" s="33" t="s">
        <v>26</v>
      </c>
      <c r="AK146" s="33" t="s">
        <v>24</v>
      </c>
      <c r="AL146" s="27"/>
      <c r="AM146" s="34" t="s">
        <v>25</v>
      </c>
      <c r="AN146" s="35" t="str">
        <f t="shared" si="2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24"/>
        <v/>
      </c>
    </row>
    <row r="147" spans="1:49" ht="18" customHeight="1" x14ac:dyDescent="0.3">
      <c r="A147" s="23">
        <v>143</v>
      </c>
      <c r="B147" s="24" t="s">
        <v>1803</v>
      </c>
      <c r="C147" s="25" t="s">
        <v>1804</v>
      </c>
      <c r="D147" s="23" t="s">
        <v>1618</v>
      </c>
      <c r="E147" s="43">
        <v>46126</v>
      </c>
      <c r="F147" s="26" t="s">
        <v>23</v>
      </c>
      <c r="G147" s="26" t="s">
        <v>24</v>
      </c>
      <c r="H147" s="26" t="s">
        <v>25</v>
      </c>
      <c r="I147" s="26" t="s">
        <v>26</v>
      </c>
      <c r="J147" s="26" t="s">
        <v>24</v>
      </c>
      <c r="K147" s="27"/>
      <c r="L147" s="28" t="s">
        <v>25</v>
      </c>
      <c r="M147" s="29" t="str">
        <f t="shared" si="20"/>
        <v>✓ OK</v>
      </c>
      <c r="N147" s="43">
        <v>46193</v>
      </c>
      <c r="O147" s="26" t="s">
        <v>23</v>
      </c>
      <c r="P147" s="26" t="s">
        <v>24</v>
      </c>
      <c r="Q147" s="26" t="s">
        <v>25</v>
      </c>
      <c r="R147" s="26" t="s">
        <v>26</v>
      </c>
      <c r="S147" s="26" t="s">
        <v>24</v>
      </c>
      <c r="T147" s="27"/>
      <c r="U147" s="28" t="s">
        <v>25</v>
      </c>
      <c r="V147" s="29" t="str">
        <f t="shared" si="21"/>
        <v>✓ OK</v>
      </c>
      <c r="W147" s="45">
        <v>46248</v>
      </c>
      <c r="X147" s="30" t="s">
        <v>23</v>
      </c>
      <c r="Y147" s="30" t="s">
        <v>24</v>
      </c>
      <c r="Z147" s="30" t="s">
        <v>25</v>
      </c>
      <c r="AA147" s="30" t="s">
        <v>26</v>
      </c>
      <c r="AB147" s="30" t="s">
        <v>24</v>
      </c>
      <c r="AC147" s="27"/>
      <c r="AD147" s="31" t="s">
        <v>25</v>
      </c>
      <c r="AE147" s="32" t="str">
        <f t="shared" si="22"/>
        <v>✓ OK</v>
      </c>
      <c r="AF147" s="33" t="s">
        <v>27</v>
      </c>
      <c r="AG147" s="33" t="s">
        <v>23</v>
      </c>
      <c r="AH147" s="33" t="s">
        <v>24</v>
      </c>
      <c r="AI147" s="33" t="s">
        <v>25</v>
      </c>
      <c r="AJ147" s="33" t="s">
        <v>26</v>
      </c>
      <c r="AK147" s="33" t="s">
        <v>24</v>
      </c>
      <c r="AL147" s="27"/>
      <c r="AM147" s="34" t="s">
        <v>25</v>
      </c>
      <c r="AN147" s="35" t="str">
        <f t="shared" si="2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24"/>
        <v/>
      </c>
    </row>
    <row r="148" spans="1:49" ht="18" customHeight="1" x14ac:dyDescent="0.3">
      <c r="A148" s="39">
        <v>144</v>
      </c>
      <c r="B148" s="40" t="s">
        <v>1805</v>
      </c>
      <c r="C148" s="41" t="s">
        <v>1806</v>
      </c>
      <c r="D148" s="39" t="s">
        <v>1618</v>
      </c>
      <c r="E148" s="43">
        <v>46126</v>
      </c>
      <c r="F148" s="26" t="s">
        <v>23</v>
      </c>
      <c r="G148" s="26" t="s">
        <v>24</v>
      </c>
      <c r="H148" s="26" t="s">
        <v>25</v>
      </c>
      <c r="I148" s="26" t="s">
        <v>26</v>
      </c>
      <c r="J148" s="26" t="s">
        <v>24</v>
      </c>
      <c r="K148" s="27"/>
      <c r="L148" s="28" t="s">
        <v>25</v>
      </c>
      <c r="M148" s="29" t="str">
        <f t="shared" si="20"/>
        <v>✓ OK</v>
      </c>
      <c r="N148" s="43">
        <v>46193</v>
      </c>
      <c r="O148" s="26" t="s">
        <v>23</v>
      </c>
      <c r="P148" s="26" t="s">
        <v>24</v>
      </c>
      <c r="Q148" s="26" t="s">
        <v>25</v>
      </c>
      <c r="R148" s="26" t="s">
        <v>26</v>
      </c>
      <c r="S148" s="26" t="s">
        <v>24</v>
      </c>
      <c r="T148" s="27"/>
      <c r="U148" s="28" t="s">
        <v>25</v>
      </c>
      <c r="V148" s="29" t="str">
        <f t="shared" si="21"/>
        <v>✓ OK</v>
      </c>
      <c r="W148" s="45">
        <v>46248</v>
      </c>
      <c r="X148" s="30" t="s">
        <v>23</v>
      </c>
      <c r="Y148" s="30" t="s">
        <v>24</v>
      </c>
      <c r="Z148" s="30" t="s">
        <v>25</v>
      </c>
      <c r="AA148" s="30" t="s">
        <v>26</v>
      </c>
      <c r="AB148" s="30" t="s">
        <v>24</v>
      </c>
      <c r="AC148" s="27"/>
      <c r="AD148" s="31" t="s">
        <v>25</v>
      </c>
      <c r="AE148" s="32" t="str">
        <f t="shared" si="22"/>
        <v>✓ OK</v>
      </c>
      <c r="AF148" s="33" t="s">
        <v>27</v>
      </c>
      <c r="AG148" s="33" t="s">
        <v>23</v>
      </c>
      <c r="AH148" s="33" t="s">
        <v>24</v>
      </c>
      <c r="AI148" s="33" t="s">
        <v>25</v>
      </c>
      <c r="AJ148" s="33" t="s">
        <v>26</v>
      </c>
      <c r="AK148" s="33" t="s">
        <v>24</v>
      </c>
      <c r="AL148" s="27"/>
      <c r="AM148" s="34" t="s">
        <v>25</v>
      </c>
      <c r="AN148" s="35" t="str">
        <f t="shared" si="2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24"/>
        <v/>
      </c>
    </row>
    <row r="149" spans="1:49" ht="18" customHeight="1" x14ac:dyDescent="0.3">
      <c r="A149" s="23">
        <v>145</v>
      </c>
      <c r="B149" s="24" t="s">
        <v>1807</v>
      </c>
      <c r="C149" s="25" t="s">
        <v>1808</v>
      </c>
      <c r="D149" s="23" t="s">
        <v>1618</v>
      </c>
      <c r="E149" s="43">
        <v>46126</v>
      </c>
      <c r="F149" s="26" t="s">
        <v>23</v>
      </c>
      <c r="G149" s="26" t="s">
        <v>24</v>
      </c>
      <c r="H149" s="26" t="s">
        <v>25</v>
      </c>
      <c r="I149" s="26" t="s">
        <v>26</v>
      </c>
      <c r="J149" s="26" t="s">
        <v>24</v>
      </c>
      <c r="K149" s="27"/>
      <c r="L149" s="28" t="s">
        <v>25</v>
      </c>
      <c r="M149" s="29" t="str">
        <f t="shared" si="20"/>
        <v>✓ OK</v>
      </c>
      <c r="N149" s="43">
        <v>46193</v>
      </c>
      <c r="O149" s="26" t="s">
        <v>23</v>
      </c>
      <c r="P149" s="26" t="s">
        <v>25</v>
      </c>
      <c r="Q149" s="26" t="s">
        <v>24</v>
      </c>
      <c r="R149" s="26" t="s">
        <v>135</v>
      </c>
      <c r="S149" s="26" t="s">
        <v>25</v>
      </c>
      <c r="T149" s="27"/>
      <c r="U149" s="28" t="s">
        <v>25</v>
      </c>
      <c r="V149" s="29" t="str">
        <f t="shared" si="21"/>
        <v>❌ Disc</v>
      </c>
      <c r="W149" s="45">
        <v>46248</v>
      </c>
      <c r="X149" s="30" t="s">
        <v>23</v>
      </c>
      <c r="Y149" s="30" t="s">
        <v>25</v>
      </c>
      <c r="Z149" s="30" t="s">
        <v>24</v>
      </c>
      <c r="AA149" s="30" t="s">
        <v>135</v>
      </c>
      <c r="AB149" s="30" t="s">
        <v>25</v>
      </c>
      <c r="AC149" s="27"/>
      <c r="AD149" s="31" t="s">
        <v>25</v>
      </c>
      <c r="AE149" s="32" t="str">
        <f t="shared" si="22"/>
        <v>❌ Disc</v>
      </c>
      <c r="AF149" s="33" t="s">
        <v>27</v>
      </c>
      <c r="AG149" s="33" t="s">
        <v>23</v>
      </c>
      <c r="AH149" s="33" t="s">
        <v>25</v>
      </c>
      <c r="AI149" s="33" t="s">
        <v>24</v>
      </c>
      <c r="AJ149" s="33" t="s">
        <v>135</v>
      </c>
      <c r="AK149" s="33" t="s">
        <v>25</v>
      </c>
      <c r="AL149" s="27"/>
      <c r="AM149" s="34" t="s">
        <v>25</v>
      </c>
      <c r="AN149" s="35" t="str">
        <f t="shared" si="23"/>
        <v>❌ Disc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24"/>
        <v/>
      </c>
    </row>
    <row r="150" spans="1:49" ht="18" customHeight="1" x14ac:dyDescent="0.3">
      <c r="A150" s="39">
        <v>146</v>
      </c>
      <c r="B150" s="40" t="s">
        <v>1809</v>
      </c>
      <c r="C150" s="41" t="s">
        <v>1810</v>
      </c>
      <c r="D150" s="39" t="s">
        <v>1618</v>
      </c>
      <c r="E150" s="43">
        <v>46126</v>
      </c>
      <c r="F150" s="26" t="s">
        <v>23</v>
      </c>
      <c r="G150" s="26" t="s">
        <v>24</v>
      </c>
      <c r="H150" s="26" t="s">
        <v>25</v>
      </c>
      <c r="I150" s="26" t="s">
        <v>26</v>
      </c>
      <c r="J150" s="26" t="s">
        <v>24</v>
      </c>
      <c r="K150" s="27"/>
      <c r="L150" s="28" t="s">
        <v>25</v>
      </c>
      <c r="M150" s="29" t="str">
        <f t="shared" si="20"/>
        <v>✓ OK</v>
      </c>
      <c r="N150" s="43">
        <v>46193</v>
      </c>
      <c r="O150" s="26" t="s">
        <v>23</v>
      </c>
      <c r="P150" s="26" t="s">
        <v>24</v>
      </c>
      <c r="Q150" s="26" t="s">
        <v>25</v>
      </c>
      <c r="R150" s="26" t="s">
        <v>26</v>
      </c>
      <c r="S150" s="26" t="s">
        <v>24</v>
      </c>
      <c r="T150" s="27"/>
      <c r="U150" s="28" t="s">
        <v>25</v>
      </c>
      <c r="V150" s="29" t="str">
        <f t="shared" si="21"/>
        <v>✓ OK</v>
      </c>
      <c r="W150" s="45">
        <v>46248</v>
      </c>
      <c r="X150" s="30" t="s">
        <v>23</v>
      </c>
      <c r="Y150" s="30" t="s">
        <v>24</v>
      </c>
      <c r="Z150" s="30" t="s">
        <v>25</v>
      </c>
      <c r="AA150" s="30" t="s">
        <v>26</v>
      </c>
      <c r="AB150" s="30" t="s">
        <v>24</v>
      </c>
      <c r="AC150" s="27"/>
      <c r="AD150" s="31" t="s">
        <v>25</v>
      </c>
      <c r="AE150" s="32" t="str">
        <f t="shared" si="22"/>
        <v>✓ OK</v>
      </c>
      <c r="AF150" s="33" t="s">
        <v>27</v>
      </c>
      <c r="AG150" s="33" t="s">
        <v>23</v>
      </c>
      <c r="AH150" s="33" t="s">
        <v>25</v>
      </c>
      <c r="AI150" s="33" t="s">
        <v>24</v>
      </c>
      <c r="AJ150" s="33" t="s">
        <v>135</v>
      </c>
      <c r="AK150" s="33" t="s">
        <v>25</v>
      </c>
      <c r="AL150" s="27"/>
      <c r="AM150" s="34" t="s">
        <v>25</v>
      </c>
      <c r="AN150" s="35" t="str">
        <f t="shared" si="23"/>
        <v>❌ Disc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24"/>
        <v/>
      </c>
    </row>
    <row r="151" spans="1:49" ht="18" customHeight="1" x14ac:dyDescent="0.3">
      <c r="A151" s="23">
        <v>147</v>
      </c>
      <c r="B151" s="24" t="s">
        <v>1811</v>
      </c>
      <c r="C151" s="25" t="s">
        <v>1812</v>
      </c>
      <c r="D151" s="23" t="s">
        <v>1618</v>
      </c>
      <c r="E151" s="43">
        <v>46126</v>
      </c>
      <c r="F151" s="26" t="s">
        <v>23</v>
      </c>
      <c r="G151" s="26" t="s">
        <v>24</v>
      </c>
      <c r="H151" s="26" t="s">
        <v>25</v>
      </c>
      <c r="I151" s="26" t="s">
        <v>26</v>
      </c>
      <c r="J151" s="26" t="s">
        <v>24</v>
      </c>
      <c r="K151" s="27"/>
      <c r="L151" s="28" t="s">
        <v>25</v>
      </c>
      <c r="M151" s="29" t="str">
        <f t="shared" si="20"/>
        <v>✓ OK</v>
      </c>
      <c r="N151" s="43">
        <v>46193</v>
      </c>
      <c r="O151" s="26" t="s">
        <v>23</v>
      </c>
      <c r="P151" s="26" t="s">
        <v>25</v>
      </c>
      <c r="Q151" s="26" t="s">
        <v>24</v>
      </c>
      <c r="R151" s="26" t="s">
        <v>135</v>
      </c>
      <c r="S151" s="26" t="s">
        <v>25</v>
      </c>
      <c r="T151" s="27"/>
      <c r="U151" s="28" t="s">
        <v>25</v>
      </c>
      <c r="V151" s="29" t="str">
        <f t="shared" si="21"/>
        <v>❌ Disc</v>
      </c>
      <c r="W151" s="45">
        <v>46248</v>
      </c>
      <c r="X151" s="30" t="s">
        <v>23</v>
      </c>
      <c r="Y151" s="30" t="s">
        <v>25</v>
      </c>
      <c r="Z151" s="30" t="s">
        <v>24</v>
      </c>
      <c r="AA151" s="30" t="s">
        <v>135</v>
      </c>
      <c r="AB151" s="30" t="s">
        <v>25</v>
      </c>
      <c r="AC151" s="27"/>
      <c r="AD151" s="31" t="s">
        <v>25</v>
      </c>
      <c r="AE151" s="32" t="str">
        <f t="shared" si="22"/>
        <v>❌ Disc</v>
      </c>
      <c r="AF151" s="33" t="s">
        <v>27</v>
      </c>
      <c r="AG151" s="33" t="s">
        <v>23</v>
      </c>
      <c r="AH151" s="33" t="s">
        <v>25</v>
      </c>
      <c r="AI151" s="33" t="s">
        <v>24</v>
      </c>
      <c r="AJ151" s="33" t="s">
        <v>135</v>
      </c>
      <c r="AK151" s="33" t="s">
        <v>25</v>
      </c>
      <c r="AL151" s="27"/>
      <c r="AM151" s="34" t="s">
        <v>25</v>
      </c>
      <c r="AN151" s="35" t="str">
        <f t="shared" si="23"/>
        <v>❌ Disc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24"/>
        <v/>
      </c>
    </row>
    <row r="152" spans="1:49" ht="18" customHeight="1" x14ac:dyDescent="0.3">
      <c r="A152" s="39">
        <v>148</v>
      </c>
      <c r="B152" s="40" t="s">
        <v>1813</v>
      </c>
      <c r="C152" s="41" t="s">
        <v>1814</v>
      </c>
      <c r="D152" s="39" t="s">
        <v>1618</v>
      </c>
      <c r="E152" s="43">
        <v>46126</v>
      </c>
      <c r="F152" s="26" t="s">
        <v>23</v>
      </c>
      <c r="G152" s="26" t="s">
        <v>24</v>
      </c>
      <c r="H152" s="26" t="s">
        <v>25</v>
      </c>
      <c r="I152" s="26" t="s">
        <v>26</v>
      </c>
      <c r="J152" s="26" t="s">
        <v>24</v>
      </c>
      <c r="K152" s="27"/>
      <c r="L152" s="28" t="s">
        <v>25</v>
      </c>
      <c r="M152" s="29" t="str">
        <f t="shared" si="20"/>
        <v>✓ OK</v>
      </c>
      <c r="N152" s="43">
        <v>46193</v>
      </c>
      <c r="O152" s="26" t="s">
        <v>23</v>
      </c>
      <c r="P152" s="26" t="s">
        <v>24</v>
      </c>
      <c r="Q152" s="26" t="s">
        <v>25</v>
      </c>
      <c r="R152" s="26" t="s">
        <v>26</v>
      </c>
      <c r="S152" s="26" t="s">
        <v>24</v>
      </c>
      <c r="T152" s="27"/>
      <c r="U152" s="28" t="s">
        <v>25</v>
      </c>
      <c r="V152" s="29" t="str">
        <f t="shared" si="21"/>
        <v>✓ OK</v>
      </c>
      <c r="W152" s="45">
        <v>46248</v>
      </c>
      <c r="X152" s="30" t="s">
        <v>23</v>
      </c>
      <c r="Y152" s="30" t="s">
        <v>24</v>
      </c>
      <c r="Z152" s="30" t="s">
        <v>25</v>
      </c>
      <c r="AA152" s="30" t="s">
        <v>26</v>
      </c>
      <c r="AB152" s="30" t="s">
        <v>24</v>
      </c>
      <c r="AC152" s="27"/>
      <c r="AD152" s="31" t="s">
        <v>25</v>
      </c>
      <c r="AE152" s="32" t="str">
        <f t="shared" si="22"/>
        <v>✓ OK</v>
      </c>
      <c r="AF152" s="33" t="s">
        <v>27</v>
      </c>
      <c r="AG152" s="33" t="s">
        <v>23</v>
      </c>
      <c r="AH152" s="33" t="s">
        <v>24</v>
      </c>
      <c r="AI152" s="33" t="s">
        <v>25</v>
      </c>
      <c r="AJ152" s="33" t="s">
        <v>26</v>
      </c>
      <c r="AK152" s="33" t="s">
        <v>24</v>
      </c>
      <c r="AL152" s="27"/>
      <c r="AM152" s="34" t="s">
        <v>25</v>
      </c>
      <c r="AN152" s="35" t="str">
        <f t="shared" si="2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24"/>
        <v/>
      </c>
    </row>
    <row r="153" spans="1:49" ht="18" customHeight="1" x14ac:dyDescent="0.3">
      <c r="A153" s="23">
        <v>149</v>
      </c>
      <c r="B153" s="24" t="s">
        <v>1815</v>
      </c>
      <c r="C153" s="25" t="s">
        <v>1816</v>
      </c>
      <c r="D153" s="23" t="s">
        <v>1618</v>
      </c>
      <c r="E153" s="43">
        <v>46126</v>
      </c>
      <c r="F153" s="26" t="s">
        <v>23</v>
      </c>
      <c r="G153" s="26" t="s">
        <v>24</v>
      </c>
      <c r="H153" s="26" t="s">
        <v>25</v>
      </c>
      <c r="I153" s="26" t="s">
        <v>26</v>
      </c>
      <c r="J153" s="26" t="s">
        <v>24</v>
      </c>
      <c r="K153" s="27"/>
      <c r="L153" s="28" t="s">
        <v>25</v>
      </c>
      <c r="M153" s="29" t="str">
        <f t="shared" si="20"/>
        <v>✓ OK</v>
      </c>
      <c r="N153" s="43">
        <v>46193</v>
      </c>
      <c r="O153" s="26" t="s">
        <v>23</v>
      </c>
      <c r="P153" s="26" t="s">
        <v>24</v>
      </c>
      <c r="Q153" s="26" t="s">
        <v>25</v>
      </c>
      <c r="R153" s="26" t="s">
        <v>26</v>
      </c>
      <c r="S153" s="26" t="s">
        <v>24</v>
      </c>
      <c r="T153" s="27"/>
      <c r="U153" s="28" t="s">
        <v>25</v>
      </c>
      <c r="V153" s="29" t="str">
        <f t="shared" si="21"/>
        <v>✓ OK</v>
      </c>
      <c r="W153" s="45">
        <v>46248</v>
      </c>
      <c r="X153" s="30" t="s">
        <v>23</v>
      </c>
      <c r="Y153" s="30" t="s">
        <v>24</v>
      </c>
      <c r="Z153" s="30" t="s">
        <v>25</v>
      </c>
      <c r="AA153" s="30" t="s">
        <v>26</v>
      </c>
      <c r="AB153" s="30" t="s">
        <v>24</v>
      </c>
      <c r="AC153" s="27"/>
      <c r="AD153" s="31" t="s">
        <v>25</v>
      </c>
      <c r="AE153" s="32" t="str">
        <f t="shared" si="22"/>
        <v>✓ OK</v>
      </c>
      <c r="AF153" s="33" t="s">
        <v>27</v>
      </c>
      <c r="AG153" s="33" t="s">
        <v>23</v>
      </c>
      <c r="AH153" s="33" t="s">
        <v>24</v>
      </c>
      <c r="AI153" s="33" t="s">
        <v>25</v>
      </c>
      <c r="AJ153" s="33" t="s">
        <v>26</v>
      </c>
      <c r="AK153" s="33" t="s">
        <v>24</v>
      </c>
      <c r="AL153" s="27"/>
      <c r="AM153" s="34" t="s">
        <v>25</v>
      </c>
      <c r="AN153" s="35" t="str">
        <f t="shared" si="2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24"/>
        <v/>
      </c>
    </row>
    <row r="154" spans="1:49" ht="18" customHeight="1" x14ac:dyDescent="0.3">
      <c r="A154" s="39">
        <v>150</v>
      </c>
      <c r="B154" s="40" t="s">
        <v>1817</v>
      </c>
      <c r="C154" s="41" t="s">
        <v>1818</v>
      </c>
      <c r="D154" s="39" t="s">
        <v>1618</v>
      </c>
      <c r="E154" s="43">
        <v>46126</v>
      </c>
      <c r="F154" s="26" t="s">
        <v>23</v>
      </c>
      <c r="G154" s="26" t="s">
        <v>24</v>
      </c>
      <c r="H154" s="26" t="s">
        <v>25</v>
      </c>
      <c r="I154" s="26" t="s">
        <v>26</v>
      </c>
      <c r="J154" s="26" t="s">
        <v>24</v>
      </c>
      <c r="K154" s="27"/>
      <c r="L154" s="28" t="s">
        <v>25</v>
      </c>
      <c r="M154" s="29" t="str">
        <f t="shared" si="20"/>
        <v>✓ OK</v>
      </c>
      <c r="N154" s="43">
        <v>46193</v>
      </c>
      <c r="O154" s="26" t="s">
        <v>23</v>
      </c>
      <c r="P154" s="26" t="s">
        <v>24</v>
      </c>
      <c r="Q154" s="26" t="s">
        <v>25</v>
      </c>
      <c r="R154" s="26" t="s">
        <v>26</v>
      </c>
      <c r="S154" s="26" t="s">
        <v>24</v>
      </c>
      <c r="T154" s="27"/>
      <c r="U154" s="28" t="s">
        <v>25</v>
      </c>
      <c r="V154" s="29" t="str">
        <f t="shared" si="21"/>
        <v>✓ OK</v>
      </c>
      <c r="W154" s="45">
        <v>46248</v>
      </c>
      <c r="X154" s="30" t="s">
        <v>23</v>
      </c>
      <c r="Y154" s="30" t="s">
        <v>24</v>
      </c>
      <c r="Z154" s="30" t="s">
        <v>25</v>
      </c>
      <c r="AA154" s="30" t="s">
        <v>26</v>
      </c>
      <c r="AB154" s="30" t="s">
        <v>24</v>
      </c>
      <c r="AC154" s="27"/>
      <c r="AD154" s="31" t="s">
        <v>25</v>
      </c>
      <c r="AE154" s="32" t="str">
        <f t="shared" si="22"/>
        <v>✓ OK</v>
      </c>
      <c r="AF154" s="33" t="s">
        <v>27</v>
      </c>
      <c r="AG154" s="33" t="s">
        <v>23</v>
      </c>
      <c r="AH154" s="33" t="s">
        <v>24</v>
      </c>
      <c r="AI154" s="33" t="s">
        <v>25</v>
      </c>
      <c r="AJ154" s="33" t="s">
        <v>26</v>
      </c>
      <c r="AK154" s="33" t="s">
        <v>24</v>
      </c>
      <c r="AL154" s="27"/>
      <c r="AM154" s="34" t="s">
        <v>25</v>
      </c>
      <c r="AN154" s="35" t="str">
        <f t="shared" si="23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24"/>
        <v/>
      </c>
    </row>
    <row r="155" spans="1:49" ht="18" customHeight="1" x14ac:dyDescent="0.3">
      <c r="A155" s="23">
        <v>151</v>
      </c>
      <c r="B155" s="24" t="s">
        <v>1819</v>
      </c>
      <c r="C155" s="25" t="s">
        <v>1820</v>
      </c>
      <c r="D155" s="23" t="s">
        <v>1618</v>
      </c>
      <c r="E155" s="43">
        <v>46126</v>
      </c>
      <c r="F155" s="26" t="s">
        <v>23</v>
      </c>
      <c r="G155" s="26" t="s">
        <v>24</v>
      </c>
      <c r="H155" s="26" t="s">
        <v>25</v>
      </c>
      <c r="I155" s="26" t="s">
        <v>26</v>
      </c>
      <c r="J155" s="26" t="s">
        <v>24</v>
      </c>
      <c r="K155" s="27"/>
      <c r="L155" s="28" t="s">
        <v>25</v>
      </c>
      <c r="M155" s="29" t="str">
        <f t="shared" si="20"/>
        <v>✓ OK</v>
      </c>
      <c r="N155" s="43">
        <v>46193</v>
      </c>
      <c r="O155" s="26" t="s">
        <v>23</v>
      </c>
      <c r="P155" s="26" t="s">
        <v>24</v>
      </c>
      <c r="Q155" s="26" t="s">
        <v>25</v>
      </c>
      <c r="R155" s="26" t="s">
        <v>26</v>
      </c>
      <c r="S155" s="26" t="s">
        <v>24</v>
      </c>
      <c r="T155" s="27"/>
      <c r="U155" s="28" t="s">
        <v>25</v>
      </c>
      <c r="V155" s="29" t="str">
        <f t="shared" si="21"/>
        <v>✓ OK</v>
      </c>
      <c r="W155" s="45">
        <v>46248</v>
      </c>
      <c r="X155" s="30" t="s">
        <v>23</v>
      </c>
      <c r="Y155" s="30" t="s">
        <v>24</v>
      </c>
      <c r="Z155" s="30" t="s">
        <v>25</v>
      </c>
      <c r="AA155" s="30" t="s">
        <v>26</v>
      </c>
      <c r="AB155" s="30" t="s">
        <v>24</v>
      </c>
      <c r="AC155" s="27"/>
      <c r="AD155" s="31" t="s">
        <v>25</v>
      </c>
      <c r="AE155" s="32" t="str">
        <f t="shared" si="22"/>
        <v>✓ OK</v>
      </c>
      <c r="AF155" s="33" t="s">
        <v>27</v>
      </c>
      <c r="AG155" s="33" t="s">
        <v>23</v>
      </c>
      <c r="AH155" s="33" t="s">
        <v>24</v>
      </c>
      <c r="AI155" s="33" t="s">
        <v>25</v>
      </c>
      <c r="AJ155" s="33" t="s">
        <v>26</v>
      </c>
      <c r="AK155" s="33" t="s">
        <v>24</v>
      </c>
      <c r="AL155" s="27"/>
      <c r="AM155" s="34" t="s">
        <v>25</v>
      </c>
      <c r="AN155" s="35" t="str">
        <f t="shared" si="23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24"/>
        <v/>
      </c>
    </row>
    <row r="156" spans="1:49" ht="18" customHeight="1" x14ac:dyDescent="0.3">
      <c r="A156" s="39">
        <v>152</v>
      </c>
      <c r="B156" s="40" t="s">
        <v>1821</v>
      </c>
      <c r="C156" s="41" t="s">
        <v>1822</v>
      </c>
      <c r="D156" s="39" t="s">
        <v>1618</v>
      </c>
      <c r="E156" s="43">
        <v>46126</v>
      </c>
      <c r="F156" s="26" t="s">
        <v>23</v>
      </c>
      <c r="G156" s="26" t="s">
        <v>24</v>
      </c>
      <c r="H156" s="26" t="s">
        <v>25</v>
      </c>
      <c r="I156" s="26" t="s">
        <v>26</v>
      </c>
      <c r="J156" s="26" t="s">
        <v>24</v>
      </c>
      <c r="K156" s="27"/>
      <c r="L156" s="28" t="s">
        <v>25</v>
      </c>
      <c r="M156" s="29" t="str">
        <f t="shared" si="20"/>
        <v>✓ OK</v>
      </c>
      <c r="N156" s="43">
        <v>46193</v>
      </c>
      <c r="O156" s="26" t="s">
        <v>23</v>
      </c>
      <c r="P156" s="26" t="s">
        <v>24</v>
      </c>
      <c r="Q156" s="26" t="s">
        <v>25</v>
      </c>
      <c r="R156" s="26" t="s">
        <v>26</v>
      </c>
      <c r="S156" s="26" t="s">
        <v>24</v>
      </c>
      <c r="T156" s="27"/>
      <c r="U156" s="28" t="s">
        <v>25</v>
      </c>
      <c r="V156" s="29" t="str">
        <f t="shared" si="21"/>
        <v>✓ OK</v>
      </c>
      <c r="W156" s="45">
        <v>46248</v>
      </c>
      <c r="X156" s="30" t="s">
        <v>23</v>
      </c>
      <c r="Y156" s="30" t="s">
        <v>24</v>
      </c>
      <c r="Z156" s="30" t="s">
        <v>25</v>
      </c>
      <c r="AA156" s="30" t="s">
        <v>26</v>
      </c>
      <c r="AB156" s="30" t="s">
        <v>24</v>
      </c>
      <c r="AC156" s="27"/>
      <c r="AD156" s="31" t="s">
        <v>25</v>
      </c>
      <c r="AE156" s="32" t="str">
        <f t="shared" si="22"/>
        <v>✓ OK</v>
      </c>
      <c r="AF156" s="33" t="s">
        <v>27</v>
      </c>
      <c r="AG156" s="33" t="s">
        <v>23</v>
      </c>
      <c r="AH156" s="33" t="s">
        <v>24</v>
      </c>
      <c r="AI156" s="33" t="s">
        <v>25</v>
      </c>
      <c r="AJ156" s="33" t="s">
        <v>26</v>
      </c>
      <c r="AK156" s="33" t="s">
        <v>24</v>
      </c>
      <c r="AL156" s="27"/>
      <c r="AM156" s="34" t="s">
        <v>25</v>
      </c>
      <c r="AN156" s="35" t="str">
        <f t="shared" si="23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24"/>
        <v/>
      </c>
    </row>
    <row r="157" spans="1:49" ht="18" customHeight="1" x14ac:dyDescent="0.3">
      <c r="A157" s="23">
        <v>153</v>
      </c>
      <c r="B157" s="24" t="s">
        <v>1823</v>
      </c>
      <c r="C157" s="25" t="s">
        <v>1824</v>
      </c>
      <c r="D157" s="23" t="s">
        <v>1618</v>
      </c>
      <c r="E157" s="43">
        <v>46126</v>
      </c>
      <c r="F157" s="26" t="s">
        <v>23</v>
      </c>
      <c r="G157" s="26" t="s">
        <v>24</v>
      </c>
      <c r="H157" s="26" t="s">
        <v>25</v>
      </c>
      <c r="I157" s="26" t="s">
        <v>26</v>
      </c>
      <c r="J157" s="26" t="s">
        <v>24</v>
      </c>
      <c r="K157" s="27"/>
      <c r="L157" s="28" t="s">
        <v>25</v>
      </c>
      <c r="M157" s="29" t="str">
        <f t="shared" si="20"/>
        <v>✓ OK</v>
      </c>
      <c r="N157" s="43">
        <v>46193</v>
      </c>
      <c r="O157" s="26" t="s">
        <v>23</v>
      </c>
      <c r="P157" s="26" t="s">
        <v>24</v>
      </c>
      <c r="Q157" s="26" t="s">
        <v>25</v>
      </c>
      <c r="R157" s="26" t="s">
        <v>26</v>
      </c>
      <c r="S157" s="26" t="s">
        <v>24</v>
      </c>
      <c r="T157" s="27"/>
      <c r="U157" s="28" t="s">
        <v>25</v>
      </c>
      <c r="V157" s="29" t="str">
        <f t="shared" si="21"/>
        <v>✓ OK</v>
      </c>
      <c r="W157" s="45">
        <v>46248</v>
      </c>
      <c r="X157" s="30" t="s">
        <v>23</v>
      </c>
      <c r="Y157" s="30" t="s">
        <v>24</v>
      </c>
      <c r="Z157" s="30" t="s">
        <v>25</v>
      </c>
      <c r="AA157" s="30" t="s">
        <v>26</v>
      </c>
      <c r="AB157" s="30" t="s">
        <v>24</v>
      </c>
      <c r="AC157" s="27"/>
      <c r="AD157" s="31" t="s">
        <v>25</v>
      </c>
      <c r="AE157" s="32" t="str">
        <f t="shared" si="22"/>
        <v>✓ OK</v>
      </c>
      <c r="AF157" s="33" t="s">
        <v>27</v>
      </c>
      <c r="AG157" s="33" t="s">
        <v>23</v>
      </c>
      <c r="AH157" s="33" t="s">
        <v>24</v>
      </c>
      <c r="AI157" s="33" t="s">
        <v>25</v>
      </c>
      <c r="AJ157" s="33" t="s">
        <v>26</v>
      </c>
      <c r="AK157" s="33" t="s">
        <v>24</v>
      </c>
      <c r="AL157" s="27"/>
      <c r="AM157" s="34" t="s">
        <v>25</v>
      </c>
      <c r="AN157" s="35" t="str">
        <f t="shared" si="23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24"/>
        <v/>
      </c>
    </row>
    <row r="158" spans="1:49" ht="18" customHeight="1" x14ac:dyDescent="0.3">
      <c r="A158" s="39">
        <v>154</v>
      </c>
      <c r="B158" s="40" t="s">
        <v>1825</v>
      </c>
      <c r="C158" s="41" t="s">
        <v>1826</v>
      </c>
      <c r="D158" s="39" t="s">
        <v>1618</v>
      </c>
      <c r="E158" s="43">
        <v>46126</v>
      </c>
      <c r="F158" s="26" t="s">
        <v>23</v>
      </c>
      <c r="G158" s="26" t="s">
        <v>24</v>
      </c>
      <c r="H158" s="26" t="s">
        <v>25</v>
      </c>
      <c r="I158" s="26" t="s">
        <v>26</v>
      </c>
      <c r="J158" s="26" t="s">
        <v>24</v>
      </c>
      <c r="K158" s="27"/>
      <c r="L158" s="28" t="s">
        <v>25</v>
      </c>
      <c r="M158" s="29" t="str">
        <f t="shared" si="20"/>
        <v>✓ OK</v>
      </c>
      <c r="N158" s="43">
        <v>46193</v>
      </c>
      <c r="O158" s="26" t="s">
        <v>23</v>
      </c>
      <c r="P158" s="26" t="s">
        <v>24</v>
      </c>
      <c r="Q158" s="26" t="s">
        <v>25</v>
      </c>
      <c r="R158" s="26" t="s">
        <v>26</v>
      </c>
      <c r="S158" s="26" t="s">
        <v>24</v>
      </c>
      <c r="T158" s="27"/>
      <c r="U158" s="28" t="s">
        <v>25</v>
      </c>
      <c r="V158" s="29" t="str">
        <f t="shared" si="21"/>
        <v>✓ OK</v>
      </c>
      <c r="W158" s="45">
        <v>46248</v>
      </c>
      <c r="X158" s="30" t="s">
        <v>23</v>
      </c>
      <c r="Y158" s="30" t="s">
        <v>24</v>
      </c>
      <c r="Z158" s="30" t="s">
        <v>25</v>
      </c>
      <c r="AA158" s="30" t="s">
        <v>26</v>
      </c>
      <c r="AB158" s="30" t="s">
        <v>24</v>
      </c>
      <c r="AC158" s="27"/>
      <c r="AD158" s="31" t="s">
        <v>25</v>
      </c>
      <c r="AE158" s="32" t="str">
        <f t="shared" si="22"/>
        <v>✓ OK</v>
      </c>
      <c r="AF158" s="33" t="s">
        <v>27</v>
      </c>
      <c r="AG158" s="33" t="s">
        <v>23</v>
      </c>
      <c r="AH158" s="33" t="s">
        <v>24</v>
      </c>
      <c r="AI158" s="33" t="s">
        <v>25</v>
      </c>
      <c r="AJ158" s="33" t="s">
        <v>26</v>
      </c>
      <c r="AK158" s="33" t="s">
        <v>24</v>
      </c>
      <c r="AL158" s="27"/>
      <c r="AM158" s="34" t="s">
        <v>25</v>
      </c>
      <c r="AN158" s="35" t="str">
        <f t="shared" si="23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24"/>
        <v/>
      </c>
    </row>
    <row r="159" spans="1:49" ht="18" customHeight="1" x14ac:dyDescent="0.3">
      <c r="A159" s="23">
        <v>155</v>
      </c>
      <c r="B159" s="24" t="s">
        <v>1827</v>
      </c>
      <c r="C159" s="25" t="s">
        <v>1828</v>
      </c>
      <c r="D159" s="23" t="s">
        <v>1618</v>
      </c>
      <c r="E159" s="43">
        <v>46126</v>
      </c>
      <c r="F159" s="26" t="s">
        <v>23</v>
      </c>
      <c r="G159" s="26" t="s">
        <v>24</v>
      </c>
      <c r="H159" s="26" t="s">
        <v>25</v>
      </c>
      <c r="I159" s="26" t="s">
        <v>26</v>
      </c>
      <c r="J159" s="26" t="s">
        <v>24</v>
      </c>
      <c r="K159" s="27"/>
      <c r="L159" s="28" t="s">
        <v>25</v>
      </c>
      <c r="M159" s="29" t="str">
        <f t="shared" si="20"/>
        <v>✓ OK</v>
      </c>
      <c r="N159" s="43">
        <v>46193</v>
      </c>
      <c r="O159" s="26" t="s">
        <v>23</v>
      </c>
      <c r="P159" s="26" t="s">
        <v>24</v>
      </c>
      <c r="Q159" s="26" t="s">
        <v>25</v>
      </c>
      <c r="R159" s="26" t="s">
        <v>26</v>
      </c>
      <c r="S159" s="26" t="s">
        <v>24</v>
      </c>
      <c r="T159" s="27"/>
      <c r="U159" s="28" t="s">
        <v>25</v>
      </c>
      <c r="V159" s="29" t="str">
        <f t="shared" si="21"/>
        <v>✓ OK</v>
      </c>
      <c r="W159" s="45">
        <v>46248</v>
      </c>
      <c r="X159" s="30" t="s">
        <v>23</v>
      </c>
      <c r="Y159" s="30" t="s">
        <v>24</v>
      </c>
      <c r="Z159" s="30" t="s">
        <v>25</v>
      </c>
      <c r="AA159" s="30" t="s">
        <v>26</v>
      </c>
      <c r="AB159" s="30" t="s">
        <v>24</v>
      </c>
      <c r="AC159" s="27"/>
      <c r="AD159" s="31" t="s">
        <v>25</v>
      </c>
      <c r="AE159" s="32" t="str">
        <f t="shared" si="22"/>
        <v>✓ OK</v>
      </c>
      <c r="AF159" s="33" t="s">
        <v>27</v>
      </c>
      <c r="AG159" s="33" t="s">
        <v>23</v>
      </c>
      <c r="AH159" s="33" t="s">
        <v>25</v>
      </c>
      <c r="AI159" s="33" t="s">
        <v>24</v>
      </c>
      <c r="AJ159" s="33" t="s">
        <v>135</v>
      </c>
      <c r="AK159" s="33" t="s">
        <v>25</v>
      </c>
      <c r="AL159" s="27"/>
      <c r="AM159" s="34" t="s">
        <v>25</v>
      </c>
      <c r="AN159" s="35" t="str">
        <f t="shared" si="23"/>
        <v>❌ Disc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24"/>
        <v/>
      </c>
    </row>
    <row r="160" spans="1:49" ht="18" customHeight="1" x14ac:dyDescent="0.3">
      <c r="A160" s="39">
        <v>156</v>
      </c>
      <c r="B160" s="40" t="s">
        <v>1829</v>
      </c>
      <c r="C160" s="41" t="s">
        <v>1830</v>
      </c>
      <c r="D160" s="39" t="s">
        <v>1618</v>
      </c>
      <c r="E160" s="43">
        <v>46126</v>
      </c>
      <c r="F160" s="26" t="s">
        <v>23</v>
      </c>
      <c r="G160" s="26" t="s">
        <v>24</v>
      </c>
      <c r="H160" s="26" t="s">
        <v>25</v>
      </c>
      <c r="I160" s="26" t="s">
        <v>26</v>
      </c>
      <c r="J160" s="26" t="s">
        <v>24</v>
      </c>
      <c r="K160" s="27"/>
      <c r="L160" s="28" t="s">
        <v>25</v>
      </c>
      <c r="M160" s="29" t="str">
        <f t="shared" si="20"/>
        <v>✓ OK</v>
      </c>
      <c r="N160" s="43">
        <v>46193</v>
      </c>
      <c r="O160" s="26" t="s">
        <v>23</v>
      </c>
      <c r="P160" s="26" t="s">
        <v>24</v>
      </c>
      <c r="Q160" s="26" t="s">
        <v>25</v>
      </c>
      <c r="R160" s="26" t="s">
        <v>26</v>
      </c>
      <c r="S160" s="26" t="s">
        <v>24</v>
      </c>
      <c r="T160" s="27"/>
      <c r="U160" s="28" t="s">
        <v>25</v>
      </c>
      <c r="V160" s="29" t="str">
        <f t="shared" si="21"/>
        <v>✓ OK</v>
      </c>
      <c r="W160" s="45">
        <v>46248</v>
      </c>
      <c r="X160" s="30" t="s">
        <v>23</v>
      </c>
      <c r="Y160" s="30" t="s">
        <v>24</v>
      </c>
      <c r="Z160" s="30" t="s">
        <v>25</v>
      </c>
      <c r="AA160" s="30" t="s">
        <v>26</v>
      </c>
      <c r="AB160" s="30" t="s">
        <v>24</v>
      </c>
      <c r="AC160" s="27"/>
      <c r="AD160" s="31" t="s">
        <v>25</v>
      </c>
      <c r="AE160" s="32" t="str">
        <f t="shared" si="22"/>
        <v>✓ OK</v>
      </c>
      <c r="AF160" s="33" t="s">
        <v>27</v>
      </c>
      <c r="AG160" s="33" t="s">
        <v>23</v>
      </c>
      <c r="AH160" s="33" t="s">
        <v>24</v>
      </c>
      <c r="AI160" s="33" t="s">
        <v>25</v>
      </c>
      <c r="AJ160" s="33" t="s">
        <v>26</v>
      </c>
      <c r="AK160" s="33" t="s">
        <v>24</v>
      </c>
      <c r="AL160" s="27"/>
      <c r="AM160" s="34" t="s">
        <v>25</v>
      </c>
      <c r="AN160" s="35" t="str">
        <f t="shared" si="2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24"/>
        <v/>
      </c>
    </row>
    <row r="161" spans="1:49" ht="18" customHeight="1" x14ac:dyDescent="0.3">
      <c r="A161" s="23">
        <v>157</v>
      </c>
      <c r="B161" s="24" t="s">
        <v>1831</v>
      </c>
      <c r="C161" s="25" t="s">
        <v>1832</v>
      </c>
      <c r="D161" s="23" t="s">
        <v>1618</v>
      </c>
      <c r="E161" s="43">
        <v>46126</v>
      </c>
      <c r="F161" s="26" t="s">
        <v>23</v>
      </c>
      <c r="G161" s="26" t="s">
        <v>24</v>
      </c>
      <c r="H161" s="26" t="s">
        <v>25</v>
      </c>
      <c r="I161" s="26" t="s">
        <v>26</v>
      </c>
      <c r="J161" s="26" t="s">
        <v>24</v>
      </c>
      <c r="K161" s="27"/>
      <c r="L161" s="28" t="s">
        <v>25</v>
      </c>
      <c r="M161" s="29" t="str">
        <f t="shared" si="20"/>
        <v>✓ OK</v>
      </c>
      <c r="N161" s="43">
        <v>46193</v>
      </c>
      <c r="O161" s="26" t="s">
        <v>23</v>
      </c>
      <c r="P161" s="26" t="s">
        <v>24</v>
      </c>
      <c r="Q161" s="26" t="s">
        <v>25</v>
      </c>
      <c r="R161" s="26" t="s">
        <v>26</v>
      </c>
      <c r="S161" s="26" t="s">
        <v>24</v>
      </c>
      <c r="T161" s="27"/>
      <c r="U161" s="28" t="s">
        <v>25</v>
      </c>
      <c r="V161" s="29" t="str">
        <f t="shared" si="21"/>
        <v>✓ OK</v>
      </c>
      <c r="W161" s="45">
        <v>46248</v>
      </c>
      <c r="X161" s="30" t="s">
        <v>23</v>
      </c>
      <c r="Y161" s="30" t="s">
        <v>24</v>
      </c>
      <c r="Z161" s="30" t="s">
        <v>25</v>
      </c>
      <c r="AA161" s="30" t="s">
        <v>26</v>
      </c>
      <c r="AB161" s="30" t="s">
        <v>24</v>
      </c>
      <c r="AC161" s="27"/>
      <c r="AD161" s="31" t="s">
        <v>25</v>
      </c>
      <c r="AE161" s="32" t="str">
        <f t="shared" si="22"/>
        <v>✓ OK</v>
      </c>
      <c r="AF161" s="33" t="s">
        <v>27</v>
      </c>
      <c r="AG161" s="33" t="s">
        <v>23</v>
      </c>
      <c r="AH161" s="33" t="s">
        <v>24</v>
      </c>
      <c r="AI161" s="33" t="s">
        <v>25</v>
      </c>
      <c r="AJ161" s="33" t="s">
        <v>26</v>
      </c>
      <c r="AK161" s="33" t="s">
        <v>24</v>
      </c>
      <c r="AL161" s="27"/>
      <c r="AM161" s="34" t="s">
        <v>25</v>
      </c>
      <c r="AN161" s="35" t="str">
        <f t="shared" si="2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24"/>
        <v/>
      </c>
    </row>
    <row r="162" spans="1:49" ht="18" customHeight="1" x14ac:dyDescent="0.3">
      <c r="A162" s="39">
        <v>158</v>
      </c>
      <c r="B162" s="40" t="s">
        <v>1833</v>
      </c>
      <c r="C162" s="41" t="s">
        <v>1834</v>
      </c>
      <c r="D162" s="39" t="s">
        <v>1618</v>
      </c>
      <c r="E162" s="43">
        <v>46126</v>
      </c>
      <c r="F162" s="26" t="s">
        <v>23</v>
      </c>
      <c r="G162" s="26" t="s">
        <v>24</v>
      </c>
      <c r="H162" s="26" t="s">
        <v>25</v>
      </c>
      <c r="I162" s="26" t="s">
        <v>26</v>
      </c>
      <c r="J162" s="26" t="s">
        <v>24</v>
      </c>
      <c r="K162" s="27"/>
      <c r="L162" s="28" t="s">
        <v>25</v>
      </c>
      <c r="M162" s="29" t="str">
        <f t="shared" si="20"/>
        <v>✓ OK</v>
      </c>
      <c r="N162" s="43">
        <v>46193</v>
      </c>
      <c r="O162" s="26" t="s">
        <v>23</v>
      </c>
      <c r="P162" s="26" t="s">
        <v>24</v>
      </c>
      <c r="Q162" s="26" t="s">
        <v>25</v>
      </c>
      <c r="R162" s="26" t="s">
        <v>26</v>
      </c>
      <c r="S162" s="26" t="s">
        <v>24</v>
      </c>
      <c r="T162" s="27"/>
      <c r="U162" s="28" t="s">
        <v>25</v>
      </c>
      <c r="V162" s="29" t="str">
        <f t="shared" si="21"/>
        <v>✓ OK</v>
      </c>
      <c r="W162" s="45">
        <v>46248</v>
      </c>
      <c r="X162" s="30" t="s">
        <v>23</v>
      </c>
      <c r="Y162" s="30" t="s">
        <v>24</v>
      </c>
      <c r="Z162" s="30" t="s">
        <v>25</v>
      </c>
      <c r="AA162" s="30" t="s">
        <v>26</v>
      </c>
      <c r="AB162" s="30" t="s">
        <v>24</v>
      </c>
      <c r="AC162" s="27"/>
      <c r="AD162" s="31" t="s">
        <v>25</v>
      </c>
      <c r="AE162" s="32" t="str">
        <f t="shared" si="22"/>
        <v>✓ OK</v>
      </c>
      <c r="AF162" s="33" t="s">
        <v>27</v>
      </c>
      <c r="AG162" s="33" t="s">
        <v>23</v>
      </c>
      <c r="AH162" s="33" t="s">
        <v>24</v>
      </c>
      <c r="AI162" s="33" t="s">
        <v>25</v>
      </c>
      <c r="AJ162" s="33" t="s">
        <v>26</v>
      </c>
      <c r="AK162" s="33" t="s">
        <v>24</v>
      </c>
      <c r="AL162" s="27"/>
      <c r="AM162" s="34" t="s">
        <v>25</v>
      </c>
      <c r="AN162" s="35" t="str">
        <f t="shared" si="2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24"/>
        <v/>
      </c>
    </row>
    <row r="163" spans="1:49" ht="18" customHeight="1" x14ac:dyDescent="0.3">
      <c r="A163" s="23">
        <v>159</v>
      </c>
      <c r="B163" s="24" t="s">
        <v>1835</v>
      </c>
      <c r="C163" s="25" t="s">
        <v>1836</v>
      </c>
      <c r="D163" s="23" t="s">
        <v>1618</v>
      </c>
      <c r="E163" s="43">
        <v>46126</v>
      </c>
      <c r="F163" s="26" t="s">
        <v>23</v>
      </c>
      <c r="G163" s="26" t="s">
        <v>24</v>
      </c>
      <c r="H163" s="26" t="s">
        <v>25</v>
      </c>
      <c r="I163" s="26" t="s">
        <v>26</v>
      </c>
      <c r="J163" s="26" t="s">
        <v>24</v>
      </c>
      <c r="K163" s="27"/>
      <c r="L163" s="28" t="s">
        <v>25</v>
      </c>
      <c r="M163" s="29" t="str">
        <f t="shared" si="20"/>
        <v>✓ OK</v>
      </c>
      <c r="N163" s="43">
        <v>46193</v>
      </c>
      <c r="O163" s="26" t="s">
        <v>23</v>
      </c>
      <c r="P163" s="26" t="s">
        <v>24</v>
      </c>
      <c r="Q163" s="26" t="s">
        <v>25</v>
      </c>
      <c r="R163" s="26" t="s">
        <v>26</v>
      </c>
      <c r="S163" s="26" t="s">
        <v>24</v>
      </c>
      <c r="T163" s="27"/>
      <c r="U163" s="28" t="s">
        <v>25</v>
      </c>
      <c r="V163" s="29" t="str">
        <f t="shared" si="21"/>
        <v>✓ OK</v>
      </c>
      <c r="W163" s="45">
        <v>46248</v>
      </c>
      <c r="X163" s="30" t="s">
        <v>23</v>
      </c>
      <c r="Y163" s="30" t="s">
        <v>24</v>
      </c>
      <c r="Z163" s="30" t="s">
        <v>25</v>
      </c>
      <c r="AA163" s="30" t="s">
        <v>26</v>
      </c>
      <c r="AB163" s="30" t="s">
        <v>24</v>
      </c>
      <c r="AC163" s="27"/>
      <c r="AD163" s="31" t="s">
        <v>25</v>
      </c>
      <c r="AE163" s="32" t="str">
        <f t="shared" si="22"/>
        <v>✓ OK</v>
      </c>
      <c r="AF163" s="33" t="s">
        <v>27</v>
      </c>
      <c r="AG163" s="33" t="s">
        <v>23</v>
      </c>
      <c r="AH163" s="33" t="s">
        <v>24</v>
      </c>
      <c r="AI163" s="33" t="s">
        <v>25</v>
      </c>
      <c r="AJ163" s="33" t="s">
        <v>26</v>
      </c>
      <c r="AK163" s="33" t="s">
        <v>24</v>
      </c>
      <c r="AL163" s="27"/>
      <c r="AM163" s="34" t="s">
        <v>25</v>
      </c>
      <c r="AN163" s="35" t="str">
        <f t="shared" si="2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24"/>
        <v/>
      </c>
    </row>
    <row r="164" spans="1:49" ht="18" customHeight="1" x14ac:dyDescent="0.3">
      <c r="A164" s="39">
        <v>160</v>
      </c>
      <c r="B164" s="40" t="s">
        <v>1837</v>
      </c>
      <c r="C164" s="41" t="s">
        <v>1838</v>
      </c>
      <c r="D164" s="39" t="s">
        <v>1618</v>
      </c>
      <c r="E164" s="43">
        <v>46126</v>
      </c>
      <c r="F164" s="26" t="s">
        <v>23</v>
      </c>
      <c r="G164" s="26" t="s">
        <v>24</v>
      </c>
      <c r="H164" s="26" t="s">
        <v>25</v>
      </c>
      <c r="I164" s="26" t="s">
        <v>26</v>
      </c>
      <c r="J164" s="26" t="s">
        <v>24</v>
      </c>
      <c r="K164" s="27"/>
      <c r="L164" s="28" t="s">
        <v>25</v>
      </c>
      <c r="M164" s="29" t="str">
        <f t="shared" si="20"/>
        <v>✓ OK</v>
      </c>
      <c r="N164" s="43">
        <v>46193</v>
      </c>
      <c r="O164" s="26" t="s">
        <v>23</v>
      </c>
      <c r="P164" s="26" t="s">
        <v>24</v>
      </c>
      <c r="Q164" s="26" t="s">
        <v>25</v>
      </c>
      <c r="R164" s="26" t="s">
        <v>26</v>
      </c>
      <c r="S164" s="26" t="s">
        <v>24</v>
      </c>
      <c r="T164" s="27"/>
      <c r="U164" s="28" t="s">
        <v>25</v>
      </c>
      <c r="V164" s="29" t="str">
        <f t="shared" si="21"/>
        <v>✓ OK</v>
      </c>
      <c r="W164" s="45">
        <v>46248</v>
      </c>
      <c r="X164" s="30" t="s">
        <v>23</v>
      </c>
      <c r="Y164" s="30" t="s">
        <v>24</v>
      </c>
      <c r="Z164" s="30" t="s">
        <v>25</v>
      </c>
      <c r="AA164" s="30" t="s">
        <v>26</v>
      </c>
      <c r="AB164" s="30" t="s">
        <v>24</v>
      </c>
      <c r="AC164" s="27"/>
      <c r="AD164" s="31" t="s">
        <v>25</v>
      </c>
      <c r="AE164" s="32" t="str">
        <f t="shared" si="22"/>
        <v>✓ OK</v>
      </c>
      <c r="AF164" s="33" t="s">
        <v>27</v>
      </c>
      <c r="AG164" s="33" t="s">
        <v>23</v>
      </c>
      <c r="AH164" s="33" t="s">
        <v>24</v>
      </c>
      <c r="AI164" s="33" t="s">
        <v>25</v>
      </c>
      <c r="AJ164" s="33" t="s">
        <v>26</v>
      </c>
      <c r="AK164" s="33" t="s">
        <v>24</v>
      </c>
      <c r="AL164" s="27"/>
      <c r="AM164" s="34" t="s">
        <v>25</v>
      </c>
      <c r="AN164" s="35" t="str">
        <f t="shared" si="2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24"/>
        <v/>
      </c>
    </row>
    <row r="165" spans="1:49" ht="18" customHeight="1" x14ac:dyDescent="0.3">
      <c r="A165" s="23">
        <v>161</v>
      </c>
      <c r="B165" s="24" t="s">
        <v>1839</v>
      </c>
      <c r="C165" s="25" t="s">
        <v>1840</v>
      </c>
      <c r="D165" s="23" t="s">
        <v>1618</v>
      </c>
      <c r="E165" s="43">
        <v>46126</v>
      </c>
      <c r="F165" s="26" t="s">
        <v>23</v>
      </c>
      <c r="G165" s="26" t="s">
        <v>24</v>
      </c>
      <c r="H165" s="26" t="s">
        <v>25</v>
      </c>
      <c r="I165" s="26" t="s">
        <v>26</v>
      </c>
      <c r="J165" s="26" t="s">
        <v>24</v>
      </c>
      <c r="K165" s="27"/>
      <c r="L165" s="28" t="s">
        <v>25</v>
      </c>
      <c r="M165" s="29" t="str">
        <f t="shared" si="20"/>
        <v>✓ OK</v>
      </c>
      <c r="N165" s="43">
        <v>46193</v>
      </c>
      <c r="O165" s="26" t="s">
        <v>23</v>
      </c>
      <c r="P165" s="26" t="s">
        <v>24</v>
      </c>
      <c r="Q165" s="26" t="s">
        <v>25</v>
      </c>
      <c r="R165" s="26" t="s">
        <v>26</v>
      </c>
      <c r="S165" s="26" t="s">
        <v>24</v>
      </c>
      <c r="T165" s="27"/>
      <c r="U165" s="28" t="s">
        <v>25</v>
      </c>
      <c r="V165" s="29" t="str">
        <f t="shared" si="21"/>
        <v>✓ OK</v>
      </c>
      <c r="W165" s="45">
        <v>46248</v>
      </c>
      <c r="X165" s="30" t="s">
        <v>23</v>
      </c>
      <c r="Y165" s="30" t="s">
        <v>24</v>
      </c>
      <c r="Z165" s="30" t="s">
        <v>25</v>
      </c>
      <c r="AA165" s="30" t="s">
        <v>26</v>
      </c>
      <c r="AB165" s="30" t="s">
        <v>24</v>
      </c>
      <c r="AC165" s="27"/>
      <c r="AD165" s="31" t="s">
        <v>25</v>
      </c>
      <c r="AE165" s="32" t="str">
        <f t="shared" si="22"/>
        <v>✓ OK</v>
      </c>
      <c r="AF165" s="33" t="s">
        <v>27</v>
      </c>
      <c r="AG165" s="33" t="s">
        <v>23</v>
      </c>
      <c r="AH165" s="33" t="s">
        <v>24</v>
      </c>
      <c r="AI165" s="33" t="s">
        <v>25</v>
      </c>
      <c r="AJ165" s="33" t="s">
        <v>26</v>
      </c>
      <c r="AK165" s="33" t="s">
        <v>24</v>
      </c>
      <c r="AL165" s="27"/>
      <c r="AM165" s="34" t="s">
        <v>25</v>
      </c>
      <c r="AN165" s="35" t="str">
        <f t="shared" si="2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24"/>
        <v/>
      </c>
    </row>
    <row r="166" spans="1:49" ht="18" customHeight="1" x14ac:dyDescent="0.3">
      <c r="A166" s="39">
        <v>162</v>
      </c>
      <c r="B166" s="40" t="s">
        <v>1841</v>
      </c>
      <c r="C166" s="41" t="s">
        <v>1842</v>
      </c>
      <c r="D166" s="39" t="s">
        <v>1618</v>
      </c>
      <c r="E166" s="43">
        <v>46126</v>
      </c>
      <c r="F166" s="26" t="s">
        <v>23</v>
      </c>
      <c r="G166" s="26" t="s">
        <v>24</v>
      </c>
      <c r="H166" s="26" t="s">
        <v>25</v>
      </c>
      <c r="I166" s="26" t="s">
        <v>26</v>
      </c>
      <c r="J166" s="26" t="s">
        <v>24</v>
      </c>
      <c r="K166" s="27"/>
      <c r="L166" s="28" t="s">
        <v>25</v>
      </c>
      <c r="M166" s="29" t="str">
        <f t="shared" si="20"/>
        <v>✓ OK</v>
      </c>
      <c r="N166" s="43">
        <v>46193</v>
      </c>
      <c r="O166" s="26" t="s">
        <v>23</v>
      </c>
      <c r="P166" s="26" t="s">
        <v>24</v>
      </c>
      <c r="Q166" s="26" t="s">
        <v>25</v>
      </c>
      <c r="R166" s="26" t="s">
        <v>26</v>
      </c>
      <c r="S166" s="26" t="s">
        <v>24</v>
      </c>
      <c r="T166" s="27"/>
      <c r="U166" s="28" t="s">
        <v>25</v>
      </c>
      <c r="V166" s="29" t="str">
        <f t="shared" si="21"/>
        <v>✓ OK</v>
      </c>
      <c r="W166" s="45">
        <v>46248</v>
      </c>
      <c r="X166" s="30" t="s">
        <v>23</v>
      </c>
      <c r="Y166" s="30" t="s">
        <v>24</v>
      </c>
      <c r="Z166" s="30" t="s">
        <v>25</v>
      </c>
      <c r="AA166" s="30" t="s">
        <v>26</v>
      </c>
      <c r="AB166" s="30" t="s">
        <v>24</v>
      </c>
      <c r="AC166" s="27"/>
      <c r="AD166" s="31" t="s">
        <v>25</v>
      </c>
      <c r="AE166" s="32" t="str">
        <f t="shared" si="22"/>
        <v>✓ OK</v>
      </c>
      <c r="AF166" s="33" t="s">
        <v>27</v>
      </c>
      <c r="AG166" s="33" t="s">
        <v>23</v>
      </c>
      <c r="AH166" s="33" t="s">
        <v>24</v>
      </c>
      <c r="AI166" s="33" t="s">
        <v>25</v>
      </c>
      <c r="AJ166" s="33" t="s">
        <v>26</v>
      </c>
      <c r="AK166" s="33" t="s">
        <v>24</v>
      </c>
      <c r="AL166" s="27"/>
      <c r="AM166" s="34" t="s">
        <v>25</v>
      </c>
      <c r="AN166" s="35" t="str">
        <f t="shared" si="2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24"/>
        <v/>
      </c>
    </row>
    <row r="167" spans="1:49" ht="18" customHeight="1" x14ac:dyDescent="0.3">
      <c r="A167" s="23">
        <v>163</v>
      </c>
      <c r="B167" s="24" t="s">
        <v>1843</v>
      </c>
      <c r="C167" s="25" t="s">
        <v>1844</v>
      </c>
      <c r="D167" s="23" t="s">
        <v>1618</v>
      </c>
      <c r="E167" s="43">
        <v>46126</v>
      </c>
      <c r="F167" s="26" t="s">
        <v>23</v>
      </c>
      <c r="G167" s="26" t="s">
        <v>24</v>
      </c>
      <c r="H167" s="26" t="s">
        <v>25</v>
      </c>
      <c r="I167" s="26" t="s">
        <v>26</v>
      </c>
      <c r="J167" s="26" t="s">
        <v>24</v>
      </c>
      <c r="K167" s="27"/>
      <c r="L167" s="28" t="s">
        <v>25</v>
      </c>
      <c r="M167" s="29" t="str">
        <f t="shared" si="20"/>
        <v>✓ OK</v>
      </c>
      <c r="N167" s="43">
        <v>46193</v>
      </c>
      <c r="O167" s="26" t="s">
        <v>23</v>
      </c>
      <c r="P167" s="26" t="s">
        <v>24</v>
      </c>
      <c r="Q167" s="26" t="s">
        <v>25</v>
      </c>
      <c r="R167" s="26" t="s">
        <v>26</v>
      </c>
      <c r="S167" s="26" t="s">
        <v>24</v>
      </c>
      <c r="T167" s="27"/>
      <c r="U167" s="28" t="s">
        <v>25</v>
      </c>
      <c r="V167" s="29" t="str">
        <f t="shared" si="21"/>
        <v>✓ OK</v>
      </c>
      <c r="W167" s="45">
        <v>46248</v>
      </c>
      <c r="X167" s="30" t="s">
        <v>23</v>
      </c>
      <c r="Y167" s="30" t="s">
        <v>24</v>
      </c>
      <c r="Z167" s="30" t="s">
        <v>25</v>
      </c>
      <c r="AA167" s="30" t="s">
        <v>26</v>
      </c>
      <c r="AB167" s="30" t="s">
        <v>24</v>
      </c>
      <c r="AC167" s="27"/>
      <c r="AD167" s="31" t="s">
        <v>25</v>
      </c>
      <c r="AE167" s="32" t="str">
        <f t="shared" si="22"/>
        <v>✓ OK</v>
      </c>
      <c r="AF167" s="33" t="s">
        <v>27</v>
      </c>
      <c r="AG167" s="33" t="s">
        <v>23</v>
      </c>
      <c r="AH167" s="33" t="s">
        <v>24</v>
      </c>
      <c r="AI167" s="33" t="s">
        <v>25</v>
      </c>
      <c r="AJ167" s="33" t="s">
        <v>26</v>
      </c>
      <c r="AK167" s="33" t="s">
        <v>24</v>
      </c>
      <c r="AL167" s="27"/>
      <c r="AM167" s="34" t="s">
        <v>25</v>
      </c>
      <c r="AN167" s="35" t="str">
        <f t="shared" si="2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24"/>
        <v/>
      </c>
    </row>
    <row r="168" spans="1:49" ht="18" customHeight="1" x14ac:dyDescent="0.3">
      <c r="A168" s="39">
        <v>164</v>
      </c>
      <c r="B168" s="40" t="s">
        <v>1845</v>
      </c>
      <c r="C168" s="41" t="s">
        <v>1846</v>
      </c>
      <c r="D168" s="39" t="s">
        <v>1618</v>
      </c>
      <c r="E168" s="43">
        <v>46126</v>
      </c>
      <c r="F168" s="26" t="s">
        <v>23</v>
      </c>
      <c r="G168" s="26" t="s">
        <v>24</v>
      </c>
      <c r="H168" s="26" t="s">
        <v>25</v>
      </c>
      <c r="I168" s="26" t="s">
        <v>26</v>
      </c>
      <c r="J168" s="26" t="s">
        <v>24</v>
      </c>
      <c r="K168" s="27"/>
      <c r="L168" s="28" t="s">
        <v>25</v>
      </c>
      <c r="M168" s="29" t="str">
        <f t="shared" si="20"/>
        <v>✓ OK</v>
      </c>
      <c r="N168" s="43">
        <v>46193</v>
      </c>
      <c r="O168" s="26" t="s">
        <v>23</v>
      </c>
      <c r="P168" s="26" t="s">
        <v>24</v>
      </c>
      <c r="Q168" s="26" t="s">
        <v>25</v>
      </c>
      <c r="R168" s="26" t="s">
        <v>26</v>
      </c>
      <c r="S168" s="26" t="s">
        <v>24</v>
      </c>
      <c r="T168" s="27"/>
      <c r="U168" s="28" t="s">
        <v>25</v>
      </c>
      <c r="V168" s="29" t="str">
        <f t="shared" si="21"/>
        <v>✓ OK</v>
      </c>
      <c r="W168" s="45">
        <v>46248</v>
      </c>
      <c r="X168" s="30" t="s">
        <v>23</v>
      </c>
      <c r="Y168" s="30" t="s">
        <v>24</v>
      </c>
      <c r="Z168" s="30" t="s">
        <v>25</v>
      </c>
      <c r="AA168" s="30" t="s">
        <v>26</v>
      </c>
      <c r="AB168" s="30" t="s">
        <v>24</v>
      </c>
      <c r="AC168" s="27"/>
      <c r="AD168" s="31" t="s">
        <v>25</v>
      </c>
      <c r="AE168" s="32" t="str">
        <f t="shared" si="22"/>
        <v>✓ OK</v>
      </c>
      <c r="AF168" s="33" t="s">
        <v>27</v>
      </c>
      <c r="AG168" s="33" t="s">
        <v>23</v>
      </c>
      <c r="AH168" s="33" t="s">
        <v>24</v>
      </c>
      <c r="AI168" s="33" t="s">
        <v>25</v>
      </c>
      <c r="AJ168" s="33" t="s">
        <v>26</v>
      </c>
      <c r="AK168" s="33" t="s">
        <v>24</v>
      </c>
      <c r="AL168" s="27"/>
      <c r="AM168" s="34" t="s">
        <v>25</v>
      </c>
      <c r="AN168" s="35" t="str">
        <f t="shared" si="2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24"/>
        <v/>
      </c>
    </row>
  </sheetData>
  <autoFilter ref="A4:AW168" xr:uid="{00000000-0009-0000-0000-000004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68">
    <cfRule type="expression" dxfId="472" priority="15">
      <formula>G5="Yes"</formula>
    </cfRule>
    <cfRule type="expression" dxfId="471" priority="16">
      <formula>G5="No"</formula>
    </cfRule>
  </conditionalFormatting>
  <conditionalFormatting sqref="H5:H168">
    <cfRule type="expression" dxfId="470" priority="17">
      <formula>H5="Yes"</formula>
    </cfRule>
  </conditionalFormatting>
  <conditionalFormatting sqref="J5:J168">
    <cfRule type="expression" dxfId="469" priority="18">
      <formula>J5="Yes"</formula>
    </cfRule>
    <cfRule type="expression" dxfId="468" priority="19">
      <formula>J5="No"</formula>
    </cfRule>
  </conditionalFormatting>
  <conditionalFormatting sqref="M5:M168">
    <cfRule type="expression" dxfId="467" priority="13">
      <formula>M5="⚠ Missing"</formula>
    </cfRule>
    <cfRule type="expression" dxfId="466" priority="11">
      <formula>M5="✓ OK"</formula>
    </cfRule>
    <cfRule type="expression" dxfId="465" priority="12">
      <formula>M5="❌ Disc"</formula>
    </cfRule>
    <cfRule type="expression" dxfId="464" priority="14">
      <formula>M5="⚠ Check"</formula>
    </cfRule>
  </conditionalFormatting>
  <conditionalFormatting sqref="N5:N168">
    <cfRule type="expression" dxfId="463" priority="1">
      <formula>MOD(ROW(),2)=0</formula>
    </cfRule>
  </conditionalFormatting>
  <conditionalFormatting sqref="O5:AW168 A5:M168">
    <cfRule type="expression" dxfId="462" priority="56">
      <formula>MOD(ROW(),2)=0</formula>
    </cfRule>
  </conditionalFormatting>
  <conditionalFormatting sqref="P5:P168">
    <cfRule type="expression" dxfId="461" priority="6">
      <formula>P5="Yes"</formula>
    </cfRule>
    <cfRule type="expression" dxfId="460" priority="7">
      <formula>P5="No"</formula>
    </cfRule>
    <cfRule type="expression" dxfId="459" priority="24">
      <formula>P5="Yes"</formula>
    </cfRule>
    <cfRule type="expression" dxfId="458" priority="25">
      <formula>P5="No"</formula>
    </cfRule>
  </conditionalFormatting>
  <conditionalFormatting sqref="Q5:Q168">
    <cfRule type="expression" dxfId="457" priority="8">
      <formula>Q5="Yes"</formula>
    </cfRule>
  </conditionalFormatting>
  <conditionalFormatting sqref="S5:S168">
    <cfRule type="expression" dxfId="456" priority="9">
      <formula>S5="Yes"</formula>
    </cfRule>
    <cfRule type="expression" dxfId="455" priority="10">
      <formula>S5="No"</formula>
    </cfRule>
    <cfRule type="expression" dxfId="454" priority="27">
      <formula>S5="Yes"</formula>
    </cfRule>
    <cfRule type="expression" dxfId="453" priority="28">
      <formula>S5="No"</formula>
    </cfRule>
  </conditionalFormatting>
  <conditionalFormatting sqref="V5:V168">
    <cfRule type="expression" dxfId="452" priority="2">
      <formula>V5="✓ OK"</formula>
    </cfRule>
    <cfRule type="expression" dxfId="451" priority="3">
      <formula>V5="❌ Disc"</formula>
    </cfRule>
    <cfRule type="expression" dxfId="450" priority="4">
      <formula>V5="⚠ Missing"</formula>
    </cfRule>
    <cfRule type="expression" dxfId="449" priority="5">
      <formula>V5="⚠ Check"</formula>
    </cfRule>
    <cfRule type="expression" dxfId="448" priority="20">
      <formula>V5="✓ OK"</formula>
    </cfRule>
    <cfRule type="expression" dxfId="447" priority="21">
      <formula>V5="❌ Disc"</formula>
    </cfRule>
    <cfRule type="expression" dxfId="446" priority="22">
      <formula>V5="⚠ Missing"</formula>
    </cfRule>
    <cfRule type="expression" dxfId="445" priority="23">
      <formula>V5="⚠ Check"</formula>
    </cfRule>
  </conditionalFormatting>
  <conditionalFormatting sqref="Y5:Y168">
    <cfRule type="expression" dxfId="444" priority="33">
      <formula>Y5="Yes"</formula>
    </cfRule>
    <cfRule type="expression" dxfId="443" priority="34">
      <formula>Y5="No"</formula>
    </cfRule>
  </conditionalFormatting>
  <conditionalFormatting sqref="Z5:Z168">
    <cfRule type="expression" dxfId="442" priority="35">
      <formula>Z5="Yes"</formula>
    </cfRule>
  </conditionalFormatting>
  <conditionalFormatting sqref="AB5:AB168">
    <cfRule type="expression" dxfId="441" priority="36">
      <formula>AB5="Yes"</formula>
    </cfRule>
    <cfRule type="expression" dxfId="440" priority="37">
      <formula>AB5="No"</formula>
    </cfRule>
  </conditionalFormatting>
  <conditionalFormatting sqref="AE5:AE168">
    <cfRule type="expression" dxfId="439" priority="30">
      <formula>AE5="❌ Disc"</formula>
    </cfRule>
    <cfRule type="expression" dxfId="438" priority="31">
      <formula>AE5="⚠ Missing"</formula>
    </cfRule>
    <cfRule type="expression" dxfId="437" priority="29">
      <formula>AE5="✓ OK"</formula>
    </cfRule>
    <cfRule type="expression" dxfId="436" priority="32">
      <formula>AE5="⚠ Check"</formula>
    </cfRule>
  </conditionalFormatting>
  <conditionalFormatting sqref="AH5:AH168">
    <cfRule type="expression" dxfId="435" priority="42">
      <formula>AH5="Yes"</formula>
    </cfRule>
    <cfRule type="expression" dxfId="434" priority="43">
      <formula>AH5="No"</formula>
    </cfRule>
  </conditionalFormatting>
  <conditionalFormatting sqref="AI5:AI168">
    <cfRule type="expression" dxfId="433" priority="44">
      <formula>AI5="Yes"</formula>
    </cfRule>
  </conditionalFormatting>
  <conditionalFormatting sqref="AK5:AK168">
    <cfRule type="expression" dxfId="432" priority="45">
      <formula>AK5="Yes"</formula>
    </cfRule>
    <cfRule type="expression" dxfId="431" priority="46">
      <formula>AK5="No"</formula>
    </cfRule>
  </conditionalFormatting>
  <conditionalFormatting sqref="AN5:AN168">
    <cfRule type="expression" dxfId="430" priority="38">
      <formula>AN5="✓ OK"</formula>
    </cfRule>
    <cfRule type="expression" dxfId="429" priority="39">
      <formula>AN5="❌ Disc"</formula>
    </cfRule>
    <cfRule type="expression" dxfId="428" priority="40">
      <formula>AN5="⚠ Missing"</formula>
    </cfRule>
    <cfRule type="expression" dxfId="427" priority="41">
      <formula>AN5="⚠ Check"</formula>
    </cfRule>
  </conditionalFormatting>
  <conditionalFormatting sqref="AQ5:AQ168">
    <cfRule type="expression" dxfId="426" priority="51">
      <formula>AQ5="Yes"</formula>
    </cfRule>
    <cfRule type="expression" dxfId="425" priority="52">
      <formula>AQ5="No"</formula>
    </cfRule>
  </conditionalFormatting>
  <conditionalFormatting sqref="AR5:AR168">
    <cfRule type="expression" dxfId="424" priority="53">
      <formula>AR5="Yes"</formula>
    </cfRule>
  </conditionalFormatting>
  <conditionalFormatting sqref="AT5:AT168">
    <cfRule type="expression" dxfId="423" priority="54">
      <formula>AT5="Yes"</formula>
    </cfRule>
    <cfRule type="expression" dxfId="422" priority="55">
      <formula>AT5="No"</formula>
    </cfRule>
  </conditionalFormatting>
  <conditionalFormatting sqref="AW5:AW168">
    <cfRule type="expression" dxfId="421" priority="47">
      <formula>AW5="✓ OK"</formula>
    </cfRule>
    <cfRule type="expression" dxfId="420" priority="48">
      <formula>AW5="❌ Disc"</formula>
    </cfRule>
    <cfRule type="expression" dxfId="419" priority="49">
      <formula>AW5="⚠ Missing"</formula>
    </cfRule>
    <cfRule type="expression" dxfId="418" priority="50">
      <formula>AW5="⚠ Check"</formula>
    </cfRule>
  </conditionalFormatting>
  <dataValidations count="2">
    <dataValidation type="list" allowBlank="1" sqref="G5:H168 J5:J168 P5:Q168 S5:S168 Y5:Z168 AB5:AB168 AH5:AI168 AK5:AK168 AQ5:AR168 AT5:AT168" xr:uid="{00000000-0002-0000-0400-000000000000}">
      <formula1>"Yes,No"</formula1>
    </dataValidation>
    <dataValidation type="list" allowBlank="1" sqref="I5:I168 R5:R168 AA5:AA168 AJ5:AJ168 AS5:AS168" xr:uid="{00000000-0002-0000-04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AW1413"/>
  <sheetViews>
    <sheetView workbookViewId="0">
      <pane xSplit="4" ySplit="4" topLeftCell="AG5" activePane="bottomRight" state="frozen"/>
      <selection pane="topRight" activeCell="AU16" sqref="AU16"/>
      <selection pane="bottomLeft" activeCell="AU16" sqref="AU16"/>
      <selection pane="bottomRight" activeCell="AI5" sqref="AI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1847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1848</v>
      </c>
      <c r="C5" s="25" t="s">
        <v>1849</v>
      </c>
      <c r="D5" s="23" t="s">
        <v>1850</v>
      </c>
      <c r="E5" s="43">
        <v>46125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68" si="0">IF(E5="","",IF(H5="Yes","❌ Disc",IF(G5="No","⚠ Missing",IF(J5="Yes","✓ OK","⚠ Check"))))</f>
        <v>✓ OK</v>
      </c>
      <c r="N5" s="43">
        <v>46193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68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/>
      <c r="AD5" s="31" t="s">
        <v>25</v>
      </c>
      <c r="AE5" s="32" t="str">
        <f t="shared" ref="AE5:AE68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/>
      <c r="AM5" s="34" t="s">
        <v>25</v>
      </c>
      <c r="AN5" s="35" t="str">
        <f t="shared" ref="AN5:AN68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1851</v>
      </c>
      <c r="C6" s="41" t="s">
        <v>1852</v>
      </c>
      <c r="D6" s="39" t="s">
        <v>1850</v>
      </c>
      <c r="E6" s="43">
        <v>46125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46193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24</v>
      </c>
      <c r="Z6" s="30" t="s">
        <v>25</v>
      </c>
      <c r="AA6" s="30" t="s">
        <v>26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24</v>
      </c>
      <c r="AI6" s="33" t="s">
        <v>25</v>
      </c>
      <c r="AJ6" s="33" t="s">
        <v>26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1853</v>
      </c>
      <c r="C7" s="25" t="s">
        <v>1854</v>
      </c>
      <c r="D7" s="23" t="s">
        <v>1850</v>
      </c>
      <c r="E7" s="43">
        <v>46125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46193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24</v>
      </c>
      <c r="Z7" s="30" t="s">
        <v>25</v>
      </c>
      <c r="AA7" s="30" t="s">
        <v>26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24</v>
      </c>
      <c r="AI7" s="33" t="s">
        <v>25</v>
      </c>
      <c r="AJ7" s="33" t="s">
        <v>26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1855</v>
      </c>
      <c r="C8" s="41" t="s">
        <v>1856</v>
      </c>
      <c r="D8" s="39" t="s">
        <v>1850</v>
      </c>
      <c r="E8" s="43">
        <v>46125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46193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 t="s">
        <v>25</v>
      </c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 t="s">
        <v>25</v>
      </c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1857</v>
      </c>
      <c r="C9" s="25" t="s">
        <v>1858</v>
      </c>
      <c r="D9" s="23" t="s">
        <v>1850</v>
      </c>
      <c r="E9" s="43">
        <v>46125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46193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 t="s">
        <v>25</v>
      </c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 t="s">
        <v>25</v>
      </c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1859</v>
      </c>
      <c r="C10" s="41" t="s">
        <v>1860</v>
      </c>
      <c r="D10" s="39" t="s">
        <v>1850</v>
      </c>
      <c r="E10" s="43">
        <v>46125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46193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1861</v>
      </c>
      <c r="C11" s="25" t="s">
        <v>1862</v>
      </c>
      <c r="D11" s="23" t="s">
        <v>1850</v>
      </c>
      <c r="E11" s="43">
        <v>46125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46193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 t="s">
        <v>25</v>
      </c>
      <c r="AA11" s="30" t="s">
        <v>26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 t="s">
        <v>25</v>
      </c>
      <c r="AJ11" s="33" t="s">
        <v>26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1863</v>
      </c>
      <c r="C12" s="41" t="s">
        <v>1864</v>
      </c>
      <c r="D12" s="39" t="s">
        <v>1850</v>
      </c>
      <c r="E12" s="43">
        <v>46125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46193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1865</v>
      </c>
      <c r="C13" s="25" t="s">
        <v>1866</v>
      </c>
      <c r="D13" s="23" t="s">
        <v>1850</v>
      </c>
      <c r="E13" s="43">
        <v>46125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46193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 t="s">
        <v>25</v>
      </c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 t="s">
        <v>25</v>
      </c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1867</v>
      </c>
      <c r="C14" s="41" t="s">
        <v>1868</v>
      </c>
      <c r="D14" s="39" t="s">
        <v>1850</v>
      </c>
      <c r="E14" s="43">
        <v>46125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46193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1869</v>
      </c>
      <c r="C15" s="25" t="s">
        <v>1870</v>
      </c>
      <c r="D15" s="23" t="s">
        <v>1850</v>
      </c>
      <c r="E15" s="43">
        <v>46125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46193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1871</v>
      </c>
      <c r="C16" s="41" t="s">
        <v>1872</v>
      </c>
      <c r="D16" s="39" t="s">
        <v>1850</v>
      </c>
      <c r="E16" s="43">
        <v>46125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46193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 t="s">
        <v>25</v>
      </c>
      <c r="AA16" s="30" t="s">
        <v>26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 t="s">
        <v>25</v>
      </c>
      <c r="AJ16" s="33" t="s">
        <v>26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1873</v>
      </c>
      <c r="C17" s="25" t="s">
        <v>1874</v>
      </c>
      <c r="D17" s="23" t="s">
        <v>1850</v>
      </c>
      <c r="E17" s="43">
        <v>46125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46193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24</v>
      </c>
      <c r="Z17" s="30" t="s">
        <v>25</v>
      </c>
      <c r="AA17" s="30" t="s">
        <v>26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24</v>
      </c>
      <c r="AI17" s="33" t="s">
        <v>25</v>
      </c>
      <c r="AJ17" s="33" t="s">
        <v>26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1875</v>
      </c>
      <c r="C18" s="41" t="s">
        <v>1876</v>
      </c>
      <c r="D18" s="39" t="s">
        <v>1850</v>
      </c>
      <c r="E18" s="43">
        <v>46125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46193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1877</v>
      </c>
      <c r="C19" s="25" t="s">
        <v>1878</v>
      </c>
      <c r="D19" s="23" t="s">
        <v>1850</v>
      </c>
      <c r="E19" s="43">
        <v>46125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46193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1879</v>
      </c>
      <c r="C20" s="41" t="s">
        <v>1880</v>
      </c>
      <c r="D20" s="39" t="s">
        <v>1850</v>
      </c>
      <c r="E20" s="43">
        <v>46125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46193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24</v>
      </c>
      <c r="Z20" s="30" t="s">
        <v>25</v>
      </c>
      <c r="AA20" s="30" t="s">
        <v>26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24</v>
      </c>
      <c r="AI20" s="33" t="s">
        <v>25</v>
      </c>
      <c r="AJ20" s="33" t="s">
        <v>26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1881</v>
      </c>
      <c r="C21" s="25" t="s">
        <v>1882</v>
      </c>
      <c r="D21" s="23" t="s">
        <v>1850</v>
      </c>
      <c r="E21" s="43">
        <v>46125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46193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1883</v>
      </c>
      <c r="C22" s="41" t="s">
        <v>1884</v>
      </c>
      <c r="D22" s="39" t="s">
        <v>1850</v>
      </c>
      <c r="E22" s="43">
        <v>46125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43">
        <v>46193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24</v>
      </c>
      <c r="Z22" s="30" t="s">
        <v>25</v>
      </c>
      <c r="AA22" s="30" t="s">
        <v>26</v>
      </c>
      <c r="AB22" s="30" t="s">
        <v>24</v>
      </c>
      <c r="AC22" s="27"/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24</v>
      </c>
      <c r="AI22" s="33" t="s">
        <v>25</v>
      </c>
      <c r="AJ22" s="33" t="s">
        <v>26</v>
      </c>
      <c r="AK22" s="33" t="s">
        <v>24</v>
      </c>
      <c r="AL22" s="27"/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1885</v>
      </c>
      <c r="C23" s="25" t="s">
        <v>1886</v>
      </c>
      <c r="D23" s="23" t="s">
        <v>1850</v>
      </c>
      <c r="E23" s="43">
        <v>46125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46193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1887</v>
      </c>
      <c r="C24" s="41" t="s">
        <v>1888</v>
      </c>
      <c r="D24" s="39" t="s">
        <v>1850</v>
      </c>
      <c r="E24" s="43">
        <v>46125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46193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24</v>
      </c>
      <c r="Z24" s="30" t="s">
        <v>25</v>
      </c>
      <c r="AA24" s="30" t="s">
        <v>26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24</v>
      </c>
      <c r="AI24" s="33" t="s">
        <v>25</v>
      </c>
      <c r="AJ24" s="33" t="s">
        <v>26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1889</v>
      </c>
      <c r="C25" s="25" t="s">
        <v>1890</v>
      </c>
      <c r="D25" s="23" t="s">
        <v>1850</v>
      </c>
      <c r="E25" s="43">
        <v>46125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46193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1891</v>
      </c>
      <c r="C26" s="41" t="s">
        <v>1892</v>
      </c>
      <c r="D26" s="39" t="s">
        <v>1850</v>
      </c>
      <c r="E26" s="43">
        <v>46125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46193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24</v>
      </c>
      <c r="Z26" s="30" t="s">
        <v>25</v>
      </c>
      <c r="AA26" s="30" t="s">
        <v>26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24</v>
      </c>
      <c r="AI26" s="33" t="s">
        <v>25</v>
      </c>
      <c r="AJ26" s="33" t="s">
        <v>26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1893</v>
      </c>
      <c r="C27" s="25" t="s">
        <v>1894</v>
      </c>
      <c r="D27" s="23" t="s">
        <v>1850</v>
      </c>
      <c r="E27" s="43">
        <v>46125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46193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1895</v>
      </c>
      <c r="C28" s="41" t="s">
        <v>1896</v>
      </c>
      <c r="D28" s="39" t="s">
        <v>1850</v>
      </c>
      <c r="E28" s="43">
        <v>46125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46193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24</v>
      </c>
      <c r="AI28" s="33" t="s">
        <v>25</v>
      </c>
      <c r="AJ28" s="33" t="s">
        <v>26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1897</v>
      </c>
      <c r="C29" s="25" t="s">
        <v>1898</v>
      </c>
      <c r="D29" s="23" t="s">
        <v>1850</v>
      </c>
      <c r="E29" s="43">
        <v>46125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46193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1899</v>
      </c>
      <c r="C30" s="41" t="s">
        <v>1900</v>
      </c>
      <c r="D30" s="39" t="s">
        <v>1850</v>
      </c>
      <c r="E30" s="43">
        <v>46125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46193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24</v>
      </c>
      <c r="Z30" s="30" t="s">
        <v>25</v>
      </c>
      <c r="AA30" s="30" t="s">
        <v>26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24</v>
      </c>
      <c r="AI30" s="33" t="s">
        <v>25</v>
      </c>
      <c r="AJ30" s="33" t="s">
        <v>26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1901</v>
      </c>
      <c r="C31" s="25" t="s">
        <v>1902</v>
      </c>
      <c r="D31" s="23" t="s">
        <v>1850</v>
      </c>
      <c r="E31" s="43">
        <v>46125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46193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24</v>
      </c>
      <c r="AI31" s="33" t="s">
        <v>25</v>
      </c>
      <c r="AJ31" s="33" t="s">
        <v>26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1903</v>
      </c>
      <c r="C32" s="41" t="s">
        <v>1904</v>
      </c>
      <c r="D32" s="39" t="s">
        <v>1850</v>
      </c>
      <c r="E32" s="43">
        <v>46125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46193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24</v>
      </c>
      <c r="Z32" s="30" t="s">
        <v>25</v>
      </c>
      <c r="AA32" s="30" t="s">
        <v>26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24</v>
      </c>
      <c r="AI32" s="33" t="s">
        <v>25</v>
      </c>
      <c r="AJ32" s="33" t="s">
        <v>26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1905</v>
      </c>
      <c r="C33" s="25" t="s">
        <v>1906</v>
      </c>
      <c r="D33" s="23" t="s">
        <v>1850</v>
      </c>
      <c r="E33" s="43">
        <v>46125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46193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24</v>
      </c>
      <c r="Z33" s="30" t="s">
        <v>25</v>
      </c>
      <c r="AA33" s="30" t="s">
        <v>26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24</v>
      </c>
      <c r="AI33" s="33" t="s">
        <v>25</v>
      </c>
      <c r="AJ33" s="33" t="s">
        <v>26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1907</v>
      </c>
      <c r="C34" s="41" t="s">
        <v>1908</v>
      </c>
      <c r="D34" s="39" t="s">
        <v>1850</v>
      </c>
      <c r="E34" s="43">
        <v>46125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46193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24</v>
      </c>
      <c r="Z34" s="30" t="s">
        <v>25</v>
      </c>
      <c r="AA34" s="30" t="s">
        <v>26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24</v>
      </c>
      <c r="AI34" s="33" t="s">
        <v>25</v>
      </c>
      <c r="AJ34" s="33" t="s">
        <v>26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1909</v>
      </c>
      <c r="C35" s="25" t="s">
        <v>1910</v>
      </c>
      <c r="D35" s="23" t="s">
        <v>1850</v>
      </c>
      <c r="E35" s="43">
        <v>46125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46193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24</v>
      </c>
      <c r="Z35" s="30" t="s">
        <v>25</v>
      </c>
      <c r="AA35" s="30" t="s">
        <v>26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24</v>
      </c>
      <c r="AI35" s="33" t="s">
        <v>25</v>
      </c>
      <c r="AJ35" s="33" t="s">
        <v>26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1911</v>
      </c>
      <c r="C36" s="41" t="s">
        <v>1912</v>
      </c>
      <c r="D36" s="39" t="s">
        <v>1850</v>
      </c>
      <c r="E36" s="43">
        <v>46125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46193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24</v>
      </c>
      <c r="Z36" s="30" t="s">
        <v>25</v>
      </c>
      <c r="AA36" s="30" t="s">
        <v>26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24</v>
      </c>
      <c r="AI36" s="33" t="s">
        <v>25</v>
      </c>
      <c r="AJ36" s="33" t="s">
        <v>26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1913</v>
      </c>
      <c r="C37" s="25" t="s">
        <v>1914</v>
      </c>
      <c r="D37" s="23" t="s">
        <v>1850</v>
      </c>
      <c r="E37" s="43">
        <v>46125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si="0"/>
        <v>✓ OK</v>
      </c>
      <c r="N37" s="43">
        <v>46193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si="1"/>
        <v>✓ OK</v>
      </c>
      <c r="W37" s="45">
        <v>46248</v>
      </c>
      <c r="X37" s="30" t="s">
        <v>23</v>
      </c>
      <c r="Y37" s="30" t="s">
        <v>24</v>
      </c>
      <c r="Z37" s="30" t="s">
        <v>25</v>
      </c>
      <c r="AA37" s="30" t="s">
        <v>26</v>
      </c>
      <c r="AB37" s="30" t="s">
        <v>24</v>
      </c>
      <c r="AC37" s="27"/>
      <c r="AD37" s="31" t="s">
        <v>25</v>
      </c>
      <c r="AE37" s="32" t="str">
        <f t="shared" si="2"/>
        <v>✓ OK</v>
      </c>
      <c r="AF37" s="33" t="s">
        <v>27</v>
      </c>
      <c r="AG37" s="33" t="s">
        <v>23</v>
      </c>
      <c r="AH37" s="33" t="s">
        <v>24</v>
      </c>
      <c r="AI37" s="33" t="s">
        <v>25</v>
      </c>
      <c r="AJ37" s="33" t="s">
        <v>26</v>
      </c>
      <c r="AK37" s="33" t="s">
        <v>24</v>
      </c>
      <c r="AL37" s="27"/>
      <c r="AM37" s="34" t="s">
        <v>25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1915</v>
      </c>
      <c r="C38" s="41" t="s">
        <v>1916</v>
      </c>
      <c r="D38" s="39" t="s">
        <v>1850</v>
      </c>
      <c r="E38" s="43">
        <v>46125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0"/>
        <v>✓ OK</v>
      </c>
      <c r="N38" s="43">
        <v>46193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1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2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1917</v>
      </c>
      <c r="C39" s="25" t="s">
        <v>1918</v>
      </c>
      <c r="D39" s="23" t="s">
        <v>1850</v>
      </c>
      <c r="E39" s="43">
        <v>46125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0"/>
        <v>✓ OK</v>
      </c>
      <c r="N39" s="43">
        <v>46193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1"/>
        <v>✓ OK</v>
      </c>
      <c r="W39" s="45">
        <v>46248</v>
      </c>
      <c r="X39" s="30" t="s">
        <v>23</v>
      </c>
      <c r="Y39" s="30" t="s">
        <v>24</v>
      </c>
      <c r="Z39" s="30" t="s">
        <v>25</v>
      </c>
      <c r="AA39" s="30" t="s">
        <v>26</v>
      </c>
      <c r="AB39" s="30" t="s">
        <v>24</v>
      </c>
      <c r="AC39" s="27"/>
      <c r="AD39" s="31" t="s">
        <v>25</v>
      </c>
      <c r="AE39" s="32" t="str">
        <f t="shared" si="2"/>
        <v>✓ OK</v>
      </c>
      <c r="AF39" s="33" t="s">
        <v>27</v>
      </c>
      <c r="AG39" s="33" t="s">
        <v>23</v>
      </c>
      <c r="AH39" s="33" t="s">
        <v>24</v>
      </c>
      <c r="AI39" s="33" t="s">
        <v>25</v>
      </c>
      <c r="AJ39" s="33" t="s">
        <v>26</v>
      </c>
      <c r="AK39" s="33" t="s">
        <v>24</v>
      </c>
      <c r="AL39" s="27"/>
      <c r="AM39" s="34" t="s">
        <v>25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1919</v>
      </c>
      <c r="C40" s="41" t="s">
        <v>1920</v>
      </c>
      <c r="D40" s="39" t="s">
        <v>1850</v>
      </c>
      <c r="E40" s="43">
        <v>46125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0"/>
        <v>✓ OK</v>
      </c>
      <c r="N40" s="43">
        <v>46193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1"/>
        <v>✓ OK</v>
      </c>
      <c r="W40" s="45">
        <v>46248</v>
      </c>
      <c r="X40" s="30" t="s">
        <v>23</v>
      </c>
      <c r="Y40" s="30" t="s">
        <v>24</v>
      </c>
      <c r="Z40" s="30" t="s">
        <v>25</v>
      </c>
      <c r="AA40" s="30" t="s">
        <v>26</v>
      </c>
      <c r="AB40" s="30" t="s">
        <v>24</v>
      </c>
      <c r="AC40" s="27"/>
      <c r="AD40" s="31" t="s">
        <v>25</v>
      </c>
      <c r="AE40" s="32" t="str">
        <f t="shared" si="2"/>
        <v>✓ OK</v>
      </c>
      <c r="AF40" s="33" t="s">
        <v>27</v>
      </c>
      <c r="AG40" s="33" t="s">
        <v>23</v>
      </c>
      <c r="AH40" s="33" t="s">
        <v>24</v>
      </c>
      <c r="AI40" s="33" t="s">
        <v>25</v>
      </c>
      <c r="AJ40" s="33" t="s">
        <v>26</v>
      </c>
      <c r="AK40" s="33" t="s">
        <v>24</v>
      </c>
      <c r="AL40" s="27"/>
      <c r="AM40" s="34" t="s">
        <v>25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1921</v>
      </c>
      <c r="C41" s="25" t="s">
        <v>1922</v>
      </c>
      <c r="D41" s="23" t="s">
        <v>1850</v>
      </c>
      <c r="E41" s="43">
        <v>46125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0"/>
        <v>✓ OK</v>
      </c>
      <c r="N41" s="43">
        <v>46193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1"/>
        <v>✓ OK</v>
      </c>
      <c r="W41" s="45">
        <v>46248</v>
      </c>
      <c r="X41" s="30" t="s">
        <v>23</v>
      </c>
      <c r="Y41" s="30" t="s">
        <v>24</v>
      </c>
      <c r="Z41" s="30" t="s">
        <v>25</v>
      </c>
      <c r="AA41" s="30" t="s">
        <v>26</v>
      </c>
      <c r="AB41" s="30" t="s">
        <v>24</v>
      </c>
      <c r="AC41" s="27"/>
      <c r="AD41" s="31" t="s">
        <v>25</v>
      </c>
      <c r="AE41" s="32" t="str">
        <f t="shared" si="2"/>
        <v>✓ OK</v>
      </c>
      <c r="AF41" s="33" t="s">
        <v>27</v>
      </c>
      <c r="AG41" s="33" t="s">
        <v>23</v>
      </c>
      <c r="AH41" s="33" t="s">
        <v>24</v>
      </c>
      <c r="AI41" s="33" t="s">
        <v>25</v>
      </c>
      <c r="AJ41" s="33" t="s">
        <v>26</v>
      </c>
      <c r="AK41" s="33" t="s">
        <v>24</v>
      </c>
      <c r="AL41" s="27"/>
      <c r="AM41" s="34" t="s">
        <v>25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1923</v>
      </c>
      <c r="C42" s="41" t="s">
        <v>1924</v>
      </c>
      <c r="D42" s="39" t="s">
        <v>1850</v>
      </c>
      <c r="E42" s="43">
        <v>46125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0"/>
        <v>✓ OK</v>
      </c>
      <c r="N42" s="43">
        <v>46193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1"/>
        <v>✓ OK</v>
      </c>
      <c r="W42" s="45">
        <v>46248</v>
      </c>
      <c r="X42" s="30" t="s">
        <v>23</v>
      </c>
      <c r="Y42" s="30" t="s">
        <v>24</v>
      </c>
      <c r="Z42" s="30" t="s">
        <v>25</v>
      </c>
      <c r="AA42" s="30" t="s">
        <v>26</v>
      </c>
      <c r="AB42" s="30" t="s">
        <v>24</v>
      </c>
      <c r="AC42" s="27"/>
      <c r="AD42" s="31" t="s">
        <v>25</v>
      </c>
      <c r="AE42" s="32" t="str">
        <f t="shared" si="2"/>
        <v>✓ OK</v>
      </c>
      <c r="AF42" s="33" t="s">
        <v>27</v>
      </c>
      <c r="AG42" s="33" t="s">
        <v>23</v>
      </c>
      <c r="AH42" s="33" t="s">
        <v>24</v>
      </c>
      <c r="AI42" s="33" t="s">
        <v>25</v>
      </c>
      <c r="AJ42" s="33" t="s">
        <v>26</v>
      </c>
      <c r="AK42" s="33" t="s">
        <v>24</v>
      </c>
      <c r="AL42" s="27"/>
      <c r="AM42" s="34" t="s">
        <v>25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1925</v>
      </c>
      <c r="C43" s="25" t="s">
        <v>1926</v>
      </c>
      <c r="D43" s="23" t="s">
        <v>1850</v>
      </c>
      <c r="E43" s="43">
        <v>46125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0"/>
        <v>✓ OK</v>
      </c>
      <c r="N43" s="43">
        <v>46193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1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2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1927</v>
      </c>
      <c r="C44" s="41" t="s">
        <v>1928</v>
      </c>
      <c r="D44" s="39" t="s">
        <v>1850</v>
      </c>
      <c r="E44" s="43">
        <v>46125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0"/>
        <v>✓ OK</v>
      </c>
      <c r="N44" s="43">
        <v>46193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1"/>
        <v>✓ OK</v>
      </c>
      <c r="W44" s="45">
        <v>46248</v>
      </c>
      <c r="X44" s="30" t="s">
        <v>23</v>
      </c>
      <c r="Y44" s="30" t="s">
        <v>24</v>
      </c>
      <c r="Z44" s="30" t="s">
        <v>25</v>
      </c>
      <c r="AA44" s="30" t="s">
        <v>26</v>
      </c>
      <c r="AB44" s="30" t="s">
        <v>24</v>
      </c>
      <c r="AC44" s="27"/>
      <c r="AD44" s="31" t="s">
        <v>25</v>
      </c>
      <c r="AE44" s="32" t="str">
        <f t="shared" si="2"/>
        <v>✓ OK</v>
      </c>
      <c r="AF44" s="33" t="s">
        <v>27</v>
      </c>
      <c r="AG44" s="33" t="s">
        <v>23</v>
      </c>
      <c r="AH44" s="33" t="s">
        <v>24</v>
      </c>
      <c r="AI44" s="33" t="s">
        <v>25</v>
      </c>
      <c r="AJ44" s="33" t="s">
        <v>26</v>
      </c>
      <c r="AK44" s="33" t="s">
        <v>24</v>
      </c>
      <c r="AL44" s="27"/>
      <c r="AM44" s="34" t="s">
        <v>25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1929</v>
      </c>
      <c r="C45" s="25" t="s">
        <v>1930</v>
      </c>
      <c r="D45" s="23" t="s">
        <v>1850</v>
      </c>
      <c r="E45" s="43">
        <v>46125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0"/>
        <v>✓ OK</v>
      </c>
      <c r="N45" s="43">
        <v>46193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1"/>
        <v>✓ OK</v>
      </c>
      <c r="W45" s="45">
        <v>46248</v>
      </c>
      <c r="X45" s="30" t="s">
        <v>23</v>
      </c>
      <c r="Y45" s="30" t="s">
        <v>24</v>
      </c>
      <c r="Z45" s="30" t="s">
        <v>25</v>
      </c>
      <c r="AA45" s="30" t="s">
        <v>26</v>
      </c>
      <c r="AB45" s="30" t="s">
        <v>24</v>
      </c>
      <c r="AC45" s="27"/>
      <c r="AD45" s="31" t="s">
        <v>25</v>
      </c>
      <c r="AE45" s="32" t="str">
        <f t="shared" si="2"/>
        <v>✓ OK</v>
      </c>
      <c r="AF45" s="33" t="s">
        <v>27</v>
      </c>
      <c r="AG45" s="33" t="s">
        <v>23</v>
      </c>
      <c r="AH45" s="33" t="s">
        <v>24</v>
      </c>
      <c r="AI45" s="33" t="s">
        <v>25</v>
      </c>
      <c r="AJ45" s="33" t="s">
        <v>26</v>
      </c>
      <c r="AK45" s="33" t="s">
        <v>24</v>
      </c>
      <c r="AL45" s="27"/>
      <c r="AM45" s="34" t="s">
        <v>25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1931</v>
      </c>
      <c r="C46" s="41" t="s">
        <v>1932</v>
      </c>
      <c r="D46" s="39" t="s">
        <v>1850</v>
      </c>
      <c r="E46" s="43">
        <v>46125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0"/>
        <v>✓ OK</v>
      </c>
      <c r="N46" s="43">
        <v>46193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1"/>
        <v>✓ OK</v>
      </c>
      <c r="W46" s="45">
        <v>46248</v>
      </c>
      <c r="X46" s="30" t="s">
        <v>23</v>
      </c>
      <c r="Y46" s="30" t="s">
        <v>24</v>
      </c>
      <c r="Z46" s="30" t="s">
        <v>25</v>
      </c>
      <c r="AA46" s="30" t="s">
        <v>26</v>
      </c>
      <c r="AB46" s="30" t="s">
        <v>24</v>
      </c>
      <c r="AC46" s="27"/>
      <c r="AD46" s="31" t="s">
        <v>25</v>
      </c>
      <c r="AE46" s="32" t="str">
        <f t="shared" si="2"/>
        <v>✓ OK</v>
      </c>
      <c r="AF46" s="33" t="s">
        <v>27</v>
      </c>
      <c r="AG46" s="33" t="s">
        <v>23</v>
      </c>
      <c r="AH46" s="33" t="s">
        <v>24</v>
      </c>
      <c r="AI46" s="33" t="s">
        <v>25</v>
      </c>
      <c r="AJ46" s="33" t="s">
        <v>26</v>
      </c>
      <c r="AK46" s="33" t="s">
        <v>24</v>
      </c>
      <c r="AL46" s="27"/>
      <c r="AM46" s="34" t="s">
        <v>25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1933</v>
      </c>
      <c r="C47" s="25" t="s">
        <v>1934</v>
      </c>
      <c r="D47" s="23" t="s">
        <v>1850</v>
      </c>
      <c r="E47" s="43">
        <v>46125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0"/>
        <v>✓ OK</v>
      </c>
      <c r="N47" s="43">
        <v>46193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1"/>
        <v>✓ OK</v>
      </c>
      <c r="W47" s="45">
        <v>46248</v>
      </c>
      <c r="X47" s="30" t="s">
        <v>23</v>
      </c>
      <c r="Y47" s="30" t="s">
        <v>24</v>
      </c>
      <c r="Z47" s="30" t="s">
        <v>25</v>
      </c>
      <c r="AA47" s="30" t="s">
        <v>26</v>
      </c>
      <c r="AB47" s="30" t="s">
        <v>24</v>
      </c>
      <c r="AC47" s="27"/>
      <c r="AD47" s="31" t="s">
        <v>25</v>
      </c>
      <c r="AE47" s="32" t="str">
        <f t="shared" si="2"/>
        <v>✓ OK</v>
      </c>
      <c r="AF47" s="33" t="s">
        <v>27</v>
      </c>
      <c r="AG47" s="33" t="s">
        <v>23</v>
      </c>
      <c r="AH47" s="33" t="s">
        <v>24</v>
      </c>
      <c r="AI47" s="33" t="s">
        <v>25</v>
      </c>
      <c r="AJ47" s="33" t="s">
        <v>26</v>
      </c>
      <c r="AK47" s="33" t="s">
        <v>24</v>
      </c>
      <c r="AL47" s="27"/>
      <c r="AM47" s="34" t="s">
        <v>25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1935</v>
      </c>
      <c r="C48" s="41" t="s">
        <v>1936</v>
      </c>
      <c r="D48" s="39" t="s">
        <v>1850</v>
      </c>
      <c r="E48" s="43">
        <v>46125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0"/>
        <v>✓ OK</v>
      </c>
      <c r="N48" s="43">
        <v>46193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1"/>
        <v>✓ OK</v>
      </c>
      <c r="W48" s="45">
        <v>46248</v>
      </c>
      <c r="X48" s="30" t="s">
        <v>23</v>
      </c>
      <c r="Y48" s="30" t="s">
        <v>24</v>
      </c>
      <c r="Z48" s="30" t="s">
        <v>25</v>
      </c>
      <c r="AA48" s="30" t="s">
        <v>26</v>
      </c>
      <c r="AB48" s="30" t="s">
        <v>24</v>
      </c>
      <c r="AC48" s="27"/>
      <c r="AD48" s="31" t="s">
        <v>25</v>
      </c>
      <c r="AE48" s="32" t="str">
        <f t="shared" si="2"/>
        <v>✓ OK</v>
      </c>
      <c r="AF48" s="33" t="s">
        <v>27</v>
      </c>
      <c r="AG48" s="33" t="s">
        <v>23</v>
      </c>
      <c r="AH48" s="33" t="s">
        <v>24</v>
      </c>
      <c r="AI48" s="33" t="s">
        <v>25</v>
      </c>
      <c r="AJ48" s="33" t="s">
        <v>26</v>
      </c>
      <c r="AK48" s="33" t="s">
        <v>24</v>
      </c>
      <c r="AL48" s="27"/>
      <c r="AM48" s="34" t="s">
        <v>25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45</v>
      </c>
      <c r="B49" s="24" t="s">
        <v>1937</v>
      </c>
      <c r="C49" s="25" t="s">
        <v>1938</v>
      </c>
      <c r="D49" s="23" t="s">
        <v>1850</v>
      </c>
      <c r="E49" s="43">
        <v>46125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0"/>
        <v>✓ OK</v>
      </c>
      <c r="N49" s="43">
        <v>46193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1"/>
        <v>✓ OK</v>
      </c>
      <c r="W49" s="45">
        <v>46248</v>
      </c>
      <c r="X49" s="30" t="s">
        <v>23</v>
      </c>
      <c r="Y49" s="30" t="s">
        <v>24</v>
      </c>
      <c r="Z49" s="30" t="s">
        <v>25</v>
      </c>
      <c r="AA49" s="30" t="s">
        <v>26</v>
      </c>
      <c r="AB49" s="30" t="s">
        <v>24</v>
      </c>
      <c r="AC49" s="27"/>
      <c r="AD49" s="31" t="s">
        <v>25</v>
      </c>
      <c r="AE49" s="32" t="str">
        <f t="shared" si="2"/>
        <v>✓ OK</v>
      </c>
      <c r="AF49" s="33" t="s">
        <v>27</v>
      </c>
      <c r="AG49" s="33" t="s">
        <v>23</v>
      </c>
      <c r="AH49" s="33" t="s">
        <v>24</v>
      </c>
      <c r="AI49" s="33" t="s">
        <v>25</v>
      </c>
      <c r="AJ49" s="33" t="s">
        <v>26</v>
      </c>
      <c r="AK49" s="33" t="s">
        <v>24</v>
      </c>
      <c r="AL49" s="27"/>
      <c r="AM49" s="34" t="s">
        <v>25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46</v>
      </c>
      <c r="B50" s="40" t="s">
        <v>1939</v>
      </c>
      <c r="C50" s="41" t="s">
        <v>1940</v>
      </c>
      <c r="D50" s="39" t="s">
        <v>1850</v>
      </c>
      <c r="E50" s="43">
        <v>46125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0"/>
        <v>✓ OK</v>
      </c>
      <c r="N50" s="43">
        <v>46193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1"/>
        <v>✓ OK</v>
      </c>
      <c r="W50" s="45">
        <v>46248</v>
      </c>
      <c r="X50" s="30" t="s">
        <v>23</v>
      </c>
      <c r="Y50" s="30" t="s">
        <v>24</v>
      </c>
      <c r="Z50" s="30" t="s">
        <v>25</v>
      </c>
      <c r="AA50" s="30" t="s">
        <v>26</v>
      </c>
      <c r="AB50" s="30" t="s">
        <v>24</v>
      </c>
      <c r="AC50" s="27"/>
      <c r="AD50" s="31" t="s">
        <v>25</v>
      </c>
      <c r="AE50" s="32" t="str">
        <f t="shared" si="2"/>
        <v>✓ OK</v>
      </c>
      <c r="AF50" s="33" t="s">
        <v>27</v>
      </c>
      <c r="AG50" s="33" t="s">
        <v>23</v>
      </c>
      <c r="AH50" s="33" t="s">
        <v>24</v>
      </c>
      <c r="AI50" s="33" t="s">
        <v>25</v>
      </c>
      <c r="AJ50" s="33" t="s">
        <v>26</v>
      </c>
      <c r="AK50" s="33" t="s">
        <v>24</v>
      </c>
      <c r="AL50" s="27"/>
      <c r="AM50" s="34" t="s">
        <v>25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47</v>
      </c>
      <c r="B51" s="24" t="s">
        <v>1941</v>
      </c>
      <c r="C51" s="25" t="s">
        <v>1942</v>
      </c>
      <c r="D51" s="23" t="s">
        <v>1850</v>
      </c>
      <c r="E51" s="43">
        <v>46125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0"/>
        <v>✓ OK</v>
      </c>
      <c r="N51" s="43">
        <v>46193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1"/>
        <v>✓ OK</v>
      </c>
      <c r="W51" s="45">
        <v>46248</v>
      </c>
      <c r="X51" s="30" t="s">
        <v>23</v>
      </c>
      <c r="Y51" s="30" t="s">
        <v>24</v>
      </c>
      <c r="Z51" s="30" t="s">
        <v>25</v>
      </c>
      <c r="AA51" s="30" t="s">
        <v>26</v>
      </c>
      <c r="AB51" s="30" t="s">
        <v>24</v>
      </c>
      <c r="AC51" s="27"/>
      <c r="AD51" s="31" t="s">
        <v>25</v>
      </c>
      <c r="AE51" s="32" t="str">
        <f t="shared" si="2"/>
        <v>✓ OK</v>
      </c>
      <c r="AF51" s="33" t="s">
        <v>27</v>
      </c>
      <c r="AG51" s="33" t="s">
        <v>23</v>
      </c>
      <c r="AH51" s="33" t="s">
        <v>24</v>
      </c>
      <c r="AI51" s="33" t="s">
        <v>25</v>
      </c>
      <c r="AJ51" s="33" t="s">
        <v>26</v>
      </c>
      <c r="AK51" s="33" t="s">
        <v>24</v>
      </c>
      <c r="AL51" s="27"/>
      <c r="AM51" s="34" t="s">
        <v>25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48</v>
      </c>
      <c r="B52" s="40" t="s">
        <v>1943</v>
      </c>
      <c r="C52" s="41" t="s">
        <v>1944</v>
      </c>
      <c r="D52" s="39" t="s">
        <v>1850</v>
      </c>
      <c r="E52" s="43">
        <v>46125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0"/>
        <v>✓ OK</v>
      </c>
      <c r="N52" s="43">
        <v>46193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1"/>
        <v>✓ OK</v>
      </c>
      <c r="W52" s="45">
        <v>46248</v>
      </c>
      <c r="X52" s="30" t="s">
        <v>23</v>
      </c>
      <c r="Y52" s="30" t="s">
        <v>24</v>
      </c>
      <c r="Z52" s="30" t="s">
        <v>25</v>
      </c>
      <c r="AA52" s="30" t="s">
        <v>26</v>
      </c>
      <c r="AB52" s="30" t="s">
        <v>24</v>
      </c>
      <c r="AC52" s="27"/>
      <c r="AD52" s="31" t="s">
        <v>25</v>
      </c>
      <c r="AE52" s="32" t="str">
        <f t="shared" si="2"/>
        <v>✓ OK</v>
      </c>
      <c r="AF52" s="33" t="s">
        <v>27</v>
      </c>
      <c r="AG52" s="33" t="s">
        <v>23</v>
      </c>
      <c r="AH52" s="33" t="s">
        <v>24</v>
      </c>
      <c r="AI52" s="33" t="s">
        <v>25</v>
      </c>
      <c r="AJ52" s="33" t="s">
        <v>26</v>
      </c>
      <c r="AK52" s="33" t="s">
        <v>24</v>
      </c>
      <c r="AL52" s="27"/>
      <c r="AM52" s="34" t="s">
        <v>25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49</v>
      </c>
      <c r="B53" s="24" t="s">
        <v>1945</v>
      </c>
      <c r="C53" s="25" t="s">
        <v>1946</v>
      </c>
      <c r="D53" s="23" t="s">
        <v>1850</v>
      </c>
      <c r="E53" s="43">
        <v>46125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0"/>
        <v>✓ OK</v>
      </c>
      <c r="N53" s="43">
        <v>46193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1"/>
        <v>✓ OK</v>
      </c>
      <c r="W53" s="45">
        <v>46248</v>
      </c>
      <c r="X53" s="30" t="s">
        <v>23</v>
      </c>
      <c r="Y53" s="30" t="s">
        <v>24</v>
      </c>
      <c r="Z53" s="30" t="s">
        <v>25</v>
      </c>
      <c r="AA53" s="30" t="s">
        <v>26</v>
      </c>
      <c r="AB53" s="30" t="s">
        <v>24</v>
      </c>
      <c r="AC53" s="27"/>
      <c r="AD53" s="31" t="s">
        <v>25</v>
      </c>
      <c r="AE53" s="32" t="str">
        <f t="shared" si="2"/>
        <v>✓ OK</v>
      </c>
      <c r="AF53" s="33" t="s">
        <v>27</v>
      </c>
      <c r="AG53" s="33" t="s">
        <v>23</v>
      </c>
      <c r="AH53" s="33" t="s">
        <v>24</v>
      </c>
      <c r="AI53" s="33" t="s">
        <v>25</v>
      </c>
      <c r="AJ53" s="33" t="s">
        <v>26</v>
      </c>
      <c r="AK53" s="33" t="s">
        <v>24</v>
      </c>
      <c r="AL53" s="27"/>
      <c r="AM53" s="34" t="s">
        <v>25</v>
      </c>
      <c r="AN53" s="35" t="str">
        <f t="shared" si="3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50</v>
      </c>
      <c r="B54" s="40" t="s">
        <v>1947</v>
      </c>
      <c r="C54" s="41" t="s">
        <v>1948</v>
      </c>
      <c r="D54" s="39" t="s">
        <v>1850</v>
      </c>
      <c r="E54" s="43">
        <v>46125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0"/>
        <v>✓ OK</v>
      </c>
      <c r="N54" s="43">
        <v>46193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1"/>
        <v>✓ OK</v>
      </c>
      <c r="W54" s="45">
        <v>46248</v>
      </c>
      <c r="X54" s="30" t="s">
        <v>23</v>
      </c>
      <c r="Y54" s="30" t="s">
        <v>24</v>
      </c>
      <c r="Z54" s="30" t="s">
        <v>25</v>
      </c>
      <c r="AA54" s="30" t="s">
        <v>26</v>
      </c>
      <c r="AB54" s="30" t="s">
        <v>24</v>
      </c>
      <c r="AC54" s="27"/>
      <c r="AD54" s="31" t="s">
        <v>25</v>
      </c>
      <c r="AE54" s="32" t="str">
        <f t="shared" si="2"/>
        <v>✓ OK</v>
      </c>
      <c r="AF54" s="33" t="s">
        <v>27</v>
      </c>
      <c r="AG54" s="33" t="s">
        <v>23</v>
      </c>
      <c r="AH54" s="33" t="s">
        <v>24</v>
      </c>
      <c r="AI54" s="33" t="s">
        <v>25</v>
      </c>
      <c r="AJ54" s="33" t="s">
        <v>26</v>
      </c>
      <c r="AK54" s="33" t="s">
        <v>24</v>
      </c>
      <c r="AL54" s="27"/>
      <c r="AM54" s="34" t="s">
        <v>25</v>
      </c>
      <c r="AN54" s="35" t="str">
        <f t="shared" si="3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51</v>
      </c>
      <c r="B55" s="24" t="s">
        <v>1949</v>
      </c>
      <c r="C55" s="25" t="s">
        <v>1950</v>
      </c>
      <c r="D55" s="23" t="s">
        <v>1850</v>
      </c>
      <c r="E55" s="43">
        <v>46125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0"/>
        <v>✓ OK</v>
      </c>
      <c r="N55" s="43">
        <v>46193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1"/>
        <v>✓ OK</v>
      </c>
      <c r="W55" s="45">
        <v>46248</v>
      </c>
      <c r="X55" s="30" t="s">
        <v>23</v>
      </c>
      <c r="Y55" s="30" t="s">
        <v>24</v>
      </c>
      <c r="Z55" s="30" t="s">
        <v>25</v>
      </c>
      <c r="AA55" s="30" t="s">
        <v>26</v>
      </c>
      <c r="AB55" s="30" t="s">
        <v>24</v>
      </c>
      <c r="AC55" s="27"/>
      <c r="AD55" s="31" t="s">
        <v>25</v>
      </c>
      <c r="AE55" s="32" t="str">
        <f t="shared" si="2"/>
        <v>✓ OK</v>
      </c>
      <c r="AF55" s="33" t="s">
        <v>27</v>
      </c>
      <c r="AG55" s="33" t="s">
        <v>23</v>
      </c>
      <c r="AH55" s="33" t="s">
        <v>24</v>
      </c>
      <c r="AI55" s="33" t="s">
        <v>25</v>
      </c>
      <c r="AJ55" s="33" t="s">
        <v>26</v>
      </c>
      <c r="AK55" s="33" t="s">
        <v>24</v>
      </c>
      <c r="AL55" s="27"/>
      <c r="AM55" s="34" t="s">
        <v>25</v>
      </c>
      <c r="AN55" s="35" t="str">
        <f t="shared" si="3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52</v>
      </c>
      <c r="B56" s="40" t="s">
        <v>1951</v>
      </c>
      <c r="C56" s="41" t="s">
        <v>1952</v>
      </c>
      <c r="D56" s="39" t="s">
        <v>1850</v>
      </c>
      <c r="E56" s="43">
        <v>46125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0"/>
        <v>✓ OK</v>
      </c>
      <c r="N56" s="43">
        <v>46193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1"/>
        <v>✓ OK</v>
      </c>
      <c r="W56" s="45">
        <v>46248</v>
      </c>
      <c r="X56" s="30" t="s">
        <v>23</v>
      </c>
      <c r="Y56" s="30" t="s">
        <v>24</v>
      </c>
      <c r="Z56" s="30" t="s">
        <v>25</v>
      </c>
      <c r="AA56" s="30" t="s">
        <v>26</v>
      </c>
      <c r="AB56" s="30" t="s">
        <v>24</v>
      </c>
      <c r="AC56" s="27"/>
      <c r="AD56" s="31" t="s">
        <v>25</v>
      </c>
      <c r="AE56" s="32" t="str">
        <f t="shared" si="2"/>
        <v>✓ OK</v>
      </c>
      <c r="AF56" s="33" t="s">
        <v>27</v>
      </c>
      <c r="AG56" s="33" t="s">
        <v>23</v>
      </c>
      <c r="AH56" s="33" t="s">
        <v>24</v>
      </c>
      <c r="AI56" s="33" t="s">
        <v>25</v>
      </c>
      <c r="AJ56" s="33" t="s">
        <v>26</v>
      </c>
      <c r="AK56" s="33" t="s">
        <v>24</v>
      </c>
      <c r="AL56" s="27"/>
      <c r="AM56" s="34" t="s">
        <v>25</v>
      </c>
      <c r="AN56" s="35" t="str">
        <f t="shared" si="3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53</v>
      </c>
      <c r="B57" s="24" t="s">
        <v>1953</v>
      </c>
      <c r="C57" s="25" t="s">
        <v>1954</v>
      </c>
      <c r="D57" s="23" t="s">
        <v>1850</v>
      </c>
      <c r="E57" s="43">
        <v>46125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0"/>
        <v>✓ OK</v>
      </c>
      <c r="N57" s="43">
        <v>46193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1"/>
        <v>✓ OK</v>
      </c>
      <c r="W57" s="45">
        <v>46248</v>
      </c>
      <c r="X57" s="30" t="s">
        <v>23</v>
      </c>
      <c r="Y57" s="30" t="s">
        <v>24</v>
      </c>
      <c r="Z57" s="30" t="s">
        <v>25</v>
      </c>
      <c r="AA57" s="30" t="s">
        <v>26</v>
      </c>
      <c r="AB57" s="30" t="s">
        <v>24</v>
      </c>
      <c r="AC57" s="27"/>
      <c r="AD57" s="31" t="s">
        <v>25</v>
      </c>
      <c r="AE57" s="32" t="str">
        <f t="shared" si="2"/>
        <v>✓ OK</v>
      </c>
      <c r="AF57" s="33" t="s">
        <v>27</v>
      </c>
      <c r="AG57" s="33" t="s">
        <v>23</v>
      </c>
      <c r="AH57" s="33" t="s">
        <v>24</v>
      </c>
      <c r="AI57" s="33" t="s">
        <v>25</v>
      </c>
      <c r="AJ57" s="33" t="s">
        <v>26</v>
      </c>
      <c r="AK57" s="33" t="s">
        <v>24</v>
      </c>
      <c r="AL57" s="27"/>
      <c r="AM57" s="34" t="s">
        <v>25</v>
      </c>
      <c r="AN57" s="35" t="str">
        <f t="shared" si="3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54</v>
      </c>
      <c r="B58" s="40" t="s">
        <v>1955</v>
      </c>
      <c r="C58" s="41" t="s">
        <v>1956</v>
      </c>
      <c r="D58" s="39" t="s">
        <v>1850</v>
      </c>
      <c r="E58" s="43">
        <v>46125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0"/>
        <v>✓ OK</v>
      </c>
      <c r="N58" s="43">
        <v>46193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1"/>
        <v>✓ OK</v>
      </c>
      <c r="W58" s="45">
        <v>46248</v>
      </c>
      <c r="X58" s="30" t="s">
        <v>23</v>
      </c>
      <c r="Y58" s="30" t="s">
        <v>24</v>
      </c>
      <c r="Z58" s="30" t="s">
        <v>25</v>
      </c>
      <c r="AA58" s="30" t="s">
        <v>26</v>
      </c>
      <c r="AB58" s="30" t="s">
        <v>24</v>
      </c>
      <c r="AC58" s="27"/>
      <c r="AD58" s="31" t="s">
        <v>25</v>
      </c>
      <c r="AE58" s="32" t="str">
        <f t="shared" si="2"/>
        <v>✓ OK</v>
      </c>
      <c r="AF58" s="33" t="s">
        <v>27</v>
      </c>
      <c r="AG58" s="33" t="s">
        <v>23</v>
      </c>
      <c r="AH58" s="33" t="s">
        <v>24</v>
      </c>
      <c r="AI58" s="33" t="s">
        <v>25</v>
      </c>
      <c r="AJ58" s="33" t="s">
        <v>26</v>
      </c>
      <c r="AK58" s="33" t="s">
        <v>24</v>
      </c>
      <c r="AL58" s="27"/>
      <c r="AM58" s="34" t="s">
        <v>25</v>
      </c>
      <c r="AN58" s="35" t="str">
        <f t="shared" si="3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55</v>
      </c>
      <c r="B59" s="24" t="s">
        <v>1957</v>
      </c>
      <c r="C59" s="25" t="s">
        <v>1958</v>
      </c>
      <c r="D59" s="23" t="s">
        <v>1850</v>
      </c>
      <c r="E59" s="43">
        <v>46125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0"/>
        <v>✓ OK</v>
      </c>
      <c r="N59" s="43">
        <v>46193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1"/>
        <v>✓ OK</v>
      </c>
      <c r="W59" s="45">
        <v>46248</v>
      </c>
      <c r="X59" s="30" t="s">
        <v>23</v>
      </c>
      <c r="Y59" s="30" t="s">
        <v>24</v>
      </c>
      <c r="Z59" s="30" t="s">
        <v>25</v>
      </c>
      <c r="AA59" s="30" t="s">
        <v>26</v>
      </c>
      <c r="AB59" s="30" t="s">
        <v>24</v>
      </c>
      <c r="AC59" s="27"/>
      <c r="AD59" s="31" t="s">
        <v>25</v>
      </c>
      <c r="AE59" s="32" t="str">
        <f t="shared" si="2"/>
        <v>✓ OK</v>
      </c>
      <c r="AF59" s="33" t="s">
        <v>27</v>
      </c>
      <c r="AG59" s="33" t="s">
        <v>23</v>
      </c>
      <c r="AH59" s="33" t="s">
        <v>24</v>
      </c>
      <c r="AI59" s="33" t="s">
        <v>25</v>
      </c>
      <c r="AJ59" s="33" t="s">
        <v>26</v>
      </c>
      <c r="AK59" s="33" t="s">
        <v>24</v>
      </c>
      <c r="AL59" s="27"/>
      <c r="AM59" s="34" t="s">
        <v>25</v>
      </c>
      <c r="AN59" s="35" t="str">
        <f t="shared" si="3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56</v>
      </c>
      <c r="B60" s="40" t="s">
        <v>1959</v>
      </c>
      <c r="C60" s="41" t="s">
        <v>1960</v>
      </c>
      <c r="D60" s="39" t="s">
        <v>1850</v>
      </c>
      <c r="E60" s="43">
        <v>46125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0"/>
        <v>✓ OK</v>
      </c>
      <c r="N60" s="43">
        <v>46193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1"/>
        <v>✓ OK</v>
      </c>
      <c r="W60" s="45">
        <v>46248</v>
      </c>
      <c r="X60" s="30" t="s">
        <v>23</v>
      </c>
      <c r="Y60" s="30" t="s">
        <v>24</v>
      </c>
      <c r="Z60" s="30" t="s">
        <v>25</v>
      </c>
      <c r="AA60" s="30" t="s">
        <v>26</v>
      </c>
      <c r="AB60" s="30" t="s">
        <v>24</v>
      </c>
      <c r="AC60" s="27"/>
      <c r="AD60" s="31" t="s">
        <v>25</v>
      </c>
      <c r="AE60" s="32" t="str">
        <f t="shared" si="2"/>
        <v>✓ OK</v>
      </c>
      <c r="AF60" s="33" t="s">
        <v>27</v>
      </c>
      <c r="AG60" s="33" t="s">
        <v>23</v>
      </c>
      <c r="AH60" s="33" t="s">
        <v>24</v>
      </c>
      <c r="AI60" s="33" t="s">
        <v>25</v>
      </c>
      <c r="AJ60" s="33" t="s">
        <v>26</v>
      </c>
      <c r="AK60" s="33" t="s">
        <v>24</v>
      </c>
      <c r="AL60" s="27"/>
      <c r="AM60" s="34" t="s">
        <v>25</v>
      </c>
      <c r="AN60" s="35" t="str">
        <f t="shared" si="3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57</v>
      </c>
      <c r="B61" s="24" t="s">
        <v>1961</v>
      </c>
      <c r="C61" s="25" t="s">
        <v>1962</v>
      </c>
      <c r="D61" s="23" t="s">
        <v>1850</v>
      </c>
      <c r="E61" s="43">
        <v>46125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0"/>
        <v>✓ OK</v>
      </c>
      <c r="N61" s="43">
        <v>46193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1"/>
        <v>✓ OK</v>
      </c>
      <c r="W61" s="45">
        <v>46248</v>
      </c>
      <c r="X61" s="30" t="s">
        <v>23</v>
      </c>
      <c r="Y61" s="30" t="s">
        <v>24</v>
      </c>
      <c r="Z61" s="30" t="s">
        <v>25</v>
      </c>
      <c r="AA61" s="30" t="s">
        <v>26</v>
      </c>
      <c r="AB61" s="30" t="s">
        <v>24</v>
      </c>
      <c r="AC61" s="27"/>
      <c r="AD61" s="31" t="s">
        <v>25</v>
      </c>
      <c r="AE61" s="32" t="str">
        <f t="shared" si="2"/>
        <v>✓ OK</v>
      </c>
      <c r="AF61" s="33" t="s">
        <v>27</v>
      </c>
      <c r="AG61" s="33" t="s">
        <v>23</v>
      </c>
      <c r="AH61" s="33" t="s">
        <v>24</v>
      </c>
      <c r="AI61" s="33" t="s">
        <v>25</v>
      </c>
      <c r="AJ61" s="33" t="s">
        <v>26</v>
      </c>
      <c r="AK61" s="33" t="s">
        <v>24</v>
      </c>
      <c r="AL61" s="27"/>
      <c r="AM61" s="34" t="s">
        <v>25</v>
      </c>
      <c r="AN61" s="35" t="str">
        <f t="shared" si="3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58</v>
      </c>
      <c r="B62" s="40" t="s">
        <v>1963</v>
      </c>
      <c r="C62" s="41" t="s">
        <v>1964</v>
      </c>
      <c r="D62" s="39" t="s">
        <v>1850</v>
      </c>
      <c r="E62" s="43">
        <v>46125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0"/>
        <v>✓ OK</v>
      </c>
      <c r="N62" s="43">
        <v>46193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1"/>
        <v>✓ OK</v>
      </c>
      <c r="W62" s="45">
        <v>46248</v>
      </c>
      <c r="X62" s="30" t="s">
        <v>23</v>
      </c>
      <c r="Y62" s="30" t="s">
        <v>24</v>
      </c>
      <c r="Z62" s="30" t="s">
        <v>25</v>
      </c>
      <c r="AA62" s="30" t="s">
        <v>26</v>
      </c>
      <c r="AB62" s="30" t="s">
        <v>24</v>
      </c>
      <c r="AC62" s="27"/>
      <c r="AD62" s="31" t="s">
        <v>25</v>
      </c>
      <c r="AE62" s="32" t="str">
        <f t="shared" si="2"/>
        <v>✓ OK</v>
      </c>
      <c r="AF62" s="33" t="s">
        <v>27</v>
      </c>
      <c r="AG62" s="33" t="s">
        <v>23</v>
      </c>
      <c r="AH62" s="33" t="s">
        <v>24</v>
      </c>
      <c r="AI62" s="33" t="s">
        <v>25</v>
      </c>
      <c r="AJ62" s="33" t="s">
        <v>26</v>
      </c>
      <c r="AK62" s="33" t="s">
        <v>24</v>
      </c>
      <c r="AL62" s="27"/>
      <c r="AM62" s="34" t="s">
        <v>25</v>
      </c>
      <c r="AN62" s="35" t="str">
        <f t="shared" si="3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59</v>
      </c>
      <c r="B63" s="24" t="s">
        <v>1965</v>
      </c>
      <c r="C63" s="25" t="s">
        <v>1966</v>
      </c>
      <c r="D63" s="23" t="s">
        <v>1850</v>
      </c>
      <c r="E63" s="43">
        <v>46125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0"/>
        <v>✓ OK</v>
      </c>
      <c r="N63" s="43">
        <v>46193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1"/>
        <v>✓ OK</v>
      </c>
      <c r="W63" s="45">
        <v>46248</v>
      </c>
      <c r="X63" s="30" t="s">
        <v>23</v>
      </c>
      <c r="Y63" s="30" t="s">
        <v>24</v>
      </c>
      <c r="Z63" s="30" t="s">
        <v>25</v>
      </c>
      <c r="AA63" s="30" t="s">
        <v>26</v>
      </c>
      <c r="AB63" s="30" t="s">
        <v>24</v>
      </c>
      <c r="AC63" s="27"/>
      <c r="AD63" s="31" t="s">
        <v>25</v>
      </c>
      <c r="AE63" s="32" t="str">
        <f t="shared" si="2"/>
        <v>✓ OK</v>
      </c>
      <c r="AF63" s="33" t="s">
        <v>27</v>
      </c>
      <c r="AG63" s="33" t="s">
        <v>23</v>
      </c>
      <c r="AH63" s="33" t="s">
        <v>24</v>
      </c>
      <c r="AI63" s="33" t="s">
        <v>25</v>
      </c>
      <c r="AJ63" s="33" t="s">
        <v>26</v>
      </c>
      <c r="AK63" s="33" t="s">
        <v>24</v>
      </c>
      <c r="AL63" s="27"/>
      <c r="AM63" s="34" t="s">
        <v>25</v>
      </c>
      <c r="AN63" s="35" t="str">
        <f t="shared" si="3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60</v>
      </c>
      <c r="B64" s="40" t="s">
        <v>1967</v>
      </c>
      <c r="C64" s="41" t="s">
        <v>1968</v>
      </c>
      <c r="D64" s="39" t="s">
        <v>1850</v>
      </c>
      <c r="E64" s="43">
        <v>46125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0"/>
        <v>✓ OK</v>
      </c>
      <c r="N64" s="43">
        <v>46193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1"/>
        <v>✓ OK</v>
      </c>
      <c r="W64" s="45">
        <v>46248</v>
      </c>
      <c r="X64" s="30" t="s">
        <v>23</v>
      </c>
      <c r="Y64" s="30" t="s">
        <v>24</v>
      </c>
      <c r="Z64" s="30" t="s">
        <v>25</v>
      </c>
      <c r="AA64" s="30" t="s">
        <v>26</v>
      </c>
      <c r="AB64" s="30" t="s">
        <v>24</v>
      </c>
      <c r="AC64" s="27"/>
      <c r="AD64" s="31" t="s">
        <v>25</v>
      </c>
      <c r="AE64" s="32" t="str">
        <f t="shared" si="2"/>
        <v>✓ OK</v>
      </c>
      <c r="AF64" s="33" t="s">
        <v>27</v>
      </c>
      <c r="AG64" s="33" t="s">
        <v>23</v>
      </c>
      <c r="AH64" s="33" t="s">
        <v>24</v>
      </c>
      <c r="AI64" s="33" t="s">
        <v>25</v>
      </c>
      <c r="AJ64" s="33" t="s">
        <v>26</v>
      </c>
      <c r="AK64" s="33" t="s">
        <v>24</v>
      </c>
      <c r="AL64" s="27"/>
      <c r="AM64" s="34" t="s">
        <v>25</v>
      </c>
      <c r="AN64" s="35" t="str">
        <f t="shared" si="3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61</v>
      </c>
      <c r="B65" s="24" t="s">
        <v>1969</v>
      </c>
      <c r="C65" s="25" t="s">
        <v>1970</v>
      </c>
      <c r="D65" s="23" t="s">
        <v>1850</v>
      </c>
      <c r="E65" s="43">
        <v>46125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0"/>
        <v>✓ OK</v>
      </c>
      <c r="N65" s="43">
        <v>46193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1"/>
        <v>✓ OK</v>
      </c>
      <c r="W65" s="45">
        <v>46248</v>
      </c>
      <c r="X65" s="30" t="s">
        <v>23</v>
      </c>
      <c r="Y65" s="30" t="s">
        <v>24</v>
      </c>
      <c r="Z65" s="30" t="s">
        <v>25</v>
      </c>
      <c r="AA65" s="30" t="s">
        <v>26</v>
      </c>
      <c r="AB65" s="30" t="s">
        <v>24</v>
      </c>
      <c r="AC65" s="27"/>
      <c r="AD65" s="31" t="s">
        <v>25</v>
      </c>
      <c r="AE65" s="32" t="str">
        <f t="shared" si="2"/>
        <v>✓ OK</v>
      </c>
      <c r="AF65" s="33" t="s">
        <v>27</v>
      </c>
      <c r="AG65" s="33" t="s">
        <v>23</v>
      </c>
      <c r="AH65" s="33" t="s">
        <v>24</v>
      </c>
      <c r="AI65" s="33" t="s">
        <v>25</v>
      </c>
      <c r="AJ65" s="33" t="s">
        <v>26</v>
      </c>
      <c r="AK65" s="33" t="s">
        <v>24</v>
      </c>
      <c r="AL65" s="27"/>
      <c r="AM65" s="34" t="s">
        <v>25</v>
      </c>
      <c r="AN65" s="35" t="str">
        <f t="shared" si="3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62</v>
      </c>
      <c r="B66" s="40" t="s">
        <v>1971</v>
      </c>
      <c r="C66" s="41" t="s">
        <v>1972</v>
      </c>
      <c r="D66" s="39" t="s">
        <v>1850</v>
      </c>
      <c r="E66" s="43">
        <v>46125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0"/>
        <v>✓ OK</v>
      </c>
      <c r="N66" s="43">
        <v>46193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1"/>
        <v>✓ OK</v>
      </c>
      <c r="W66" s="45">
        <v>46248</v>
      </c>
      <c r="X66" s="30" t="s">
        <v>23</v>
      </c>
      <c r="Y66" s="30" t="s">
        <v>24</v>
      </c>
      <c r="Z66" s="30" t="s">
        <v>25</v>
      </c>
      <c r="AA66" s="30" t="s">
        <v>26</v>
      </c>
      <c r="AB66" s="30" t="s">
        <v>24</v>
      </c>
      <c r="AC66" s="27"/>
      <c r="AD66" s="31" t="s">
        <v>25</v>
      </c>
      <c r="AE66" s="32" t="str">
        <f t="shared" si="2"/>
        <v>✓ OK</v>
      </c>
      <c r="AF66" s="33" t="s">
        <v>27</v>
      </c>
      <c r="AG66" s="33" t="s">
        <v>23</v>
      </c>
      <c r="AH66" s="33" t="s">
        <v>24</v>
      </c>
      <c r="AI66" s="33" t="s">
        <v>25</v>
      </c>
      <c r="AJ66" s="33" t="s">
        <v>26</v>
      </c>
      <c r="AK66" s="33" t="s">
        <v>24</v>
      </c>
      <c r="AL66" s="27"/>
      <c r="AM66" s="34" t="s">
        <v>25</v>
      </c>
      <c r="AN66" s="35" t="str">
        <f t="shared" si="3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63</v>
      </c>
      <c r="B67" s="24" t="s">
        <v>1973</v>
      </c>
      <c r="C67" s="25" t="s">
        <v>1974</v>
      </c>
      <c r="D67" s="23" t="s">
        <v>1850</v>
      </c>
      <c r="E67" s="43">
        <v>46125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0"/>
        <v>✓ OK</v>
      </c>
      <c r="N67" s="43">
        <v>46193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1"/>
        <v>✓ OK</v>
      </c>
      <c r="W67" s="45">
        <v>46248</v>
      </c>
      <c r="X67" s="30" t="s">
        <v>23</v>
      </c>
      <c r="Y67" s="30" t="s">
        <v>24</v>
      </c>
      <c r="Z67" s="30" t="s">
        <v>25</v>
      </c>
      <c r="AA67" s="30" t="s">
        <v>26</v>
      </c>
      <c r="AB67" s="30" t="s">
        <v>24</v>
      </c>
      <c r="AC67" s="27"/>
      <c r="AD67" s="31" t="s">
        <v>25</v>
      </c>
      <c r="AE67" s="32" t="str">
        <f t="shared" si="2"/>
        <v>✓ OK</v>
      </c>
      <c r="AF67" s="33" t="s">
        <v>27</v>
      </c>
      <c r="AG67" s="33" t="s">
        <v>23</v>
      </c>
      <c r="AH67" s="33" t="s">
        <v>24</v>
      </c>
      <c r="AI67" s="33" t="s">
        <v>25</v>
      </c>
      <c r="AJ67" s="33" t="s">
        <v>26</v>
      </c>
      <c r="AK67" s="33" t="s">
        <v>24</v>
      </c>
      <c r="AL67" s="27"/>
      <c r="AM67" s="34" t="s">
        <v>25</v>
      </c>
      <c r="AN67" s="35" t="str">
        <f t="shared" si="3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64</v>
      </c>
      <c r="B68" s="40" t="s">
        <v>1975</v>
      </c>
      <c r="C68" s="41" t="s">
        <v>1976</v>
      </c>
      <c r="D68" s="39" t="s">
        <v>1850</v>
      </c>
      <c r="E68" s="43">
        <v>46125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0"/>
        <v>✓ OK</v>
      </c>
      <c r="N68" s="43">
        <v>46193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1"/>
        <v>✓ OK</v>
      </c>
      <c r="W68" s="45">
        <v>46248</v>
      </c>
      <c r="X68" s="30" t="s">
        <v>23</v>
      </c>
      <c r="Y68" s="30" t="s">
        <v>24</v>
      </c>
      <c r="Z68" s="30" t="s">
        <v>25</v>
      </c>
      <c r="AA68" s="30" t="s">
        <v>26</v>
      </c>
      <c r="AB68" s="30" t="s">
        <v>24</v>
      </c>
      <c r="AC68" s="27"/>
      <c r="AD68" s="31" t="s">
        <v>25</v>
      </c>
      <c r="AE68" s="32" t="str">
        <f t="shared" si="2"/>
        <v>✓ OK</v>
      </c>
      <c r="AF68" s="33" t="s">
        <v>27</v>
      </c>
      <c r="AG68" s="33" t="s">
        <v>23</v>
      </c>
      <c r="AH68" s="33" t="s">
        <v>24</v>
      </c>
      <c r="AI68" s="33" t="s">
        <v>25</v>
      </c>
      <c r="AJ68" s="33" t="s">
        <v>26</v>
      </c>
      <c r="AK68" s="33" t="s">
        <v>24</v>
      </c>
      <c r="AL68" s="27"/>
      <c r="AM68" s="34" t="s">
        <v>25</v>
      </c>
      <c r="AN68" s="35" t="str">
        <f t="shared" si="3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65</v>
      </c>
      <c r="B69" s="24" t="s">
        <v>1977</v>
      </c>
      <c r="C69" s="25" t="s">
        <v>1978</v>
      </c>
      <c r="D69" s="23" t="s">
        <v>1850</v>
      </c>
      <c r="E69" s="43">
        <v>46125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32" si="5">IF(E69="","",IF(H69="Yes","❌ Disc",IF(G69="No","⚠ Missing",IF(J69="Yes","✓ OK","⚠ Check"))))</f>
        <v>✓ OK</v>
      </c>
      <c r="N69" s="43">
        <v>46193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132" si="6">IF(N69="","",IF(Q69="Yes","❌ Disc",IF(P69="No","⚠ Missing",IF(S69="Yes","✓ OK","⚠ Check"))))</f>
        <v>✓ OK</v>
      </c>
      <c r="W69" s="45">
        <v>46248</v>
      </c>
      <c r="X69" s="30" t="s">
        <v>23</v>
      </c>
      <c r="Y69" s="30" t="s">
        <v>24</v>
      </c>
      <c r="Z69" s="30" t="s">
        <v>25</v>
      </c>
      <c r="AA69" s="30" t="s">
        <v>26</v>
      </c>
      <c r="AB69" s="30" t="s">
        <v>24</v>
      </c>
      <c r="AC69" s="27"/>
      <c r="AD69" s="31" t="s">
        <v>25</v>
      </c>
      <c r="AE69" s="32" t="str">
        <f t="shared" ref="AE69:AE132" si="7">IF(W69="","",IF(Z69="Yes","❌ Disc",IF(Y69="No","⚠ Missing",IF(AB69="Yes","✓ OK","⚠ Check"))))</f>
        <v>✓ OK</v>
      </c>
      <c r="AF69" s="33" t="s">
        <v>27</v>
      </c>
      <c r="AG69" s="33" t="s">
        <v>23</v>
      </c>
      <c r="AH69" s="33" t="s">
        <v>24</v>
      </c>
      <c r="AI69" s="33" t="s">
        <v>25</v>
      </c>
      <c r="AJ69" s="33" t="s">
        <v>26</v>
      </c>
      <c r="AK69" s="33" t="s">
        <v>24</v>
      </c>
      <c r="AL69" s="27"/>
      <c r="AM69" s="34" t="s">
        <v>25</v>
      </c>
      <c r="AN69" s="35" t="str">
        <f t="shared" ref="AN69:AN132" si="8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1979</v>
      </c>
      <c r="C70" s="41" t="s">
        <v>1980</v>
      </c>
      <c r="D70" s="39" t="s">
        <v>1850</v>
      </c>
      <c r="E70" s="43">
        <v>46125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5"/>
        <v>✓ OK</v>
      </c>
      <c r="N70" s="43">
        <v>46193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6"/>
        <v>✓ OK</v>
      </c>
      <c r="W70" s="45">
        <v>46248</v>
      </c>
      <c r="X70" s="30" t="s">
        <v>23</v>
      </c>
      <c r="Y70" s="30" t="s">
        <v>24</v>
      </c>
      <c r="Z70" s="30" t="s">
        <v>25</v>
      </c>
      <c r="AA70" s="30" t="s">
        <v>26</v>
      </c>
      <c r="AB70" s="30" t="s">
        <v>24</v>
      </c>
      <c r="AC70" s="27"/>
      <c r="AD70" s="31" t="s">
        <v>25</v>
      </c>
      <c r="AE70" s="32" t="str">
        <f t="shared" si="7"/>
        <v>✓ OK</v>
      </c>
      <c r="AF70" s="33" t="s">
        <v>27</v>
      </c>
      <c r="AG70" s="33" t="s">
        <v>23</v>
      </c>
      <c r="AH70" s="33" t="s">
        <v>24</v>
      </c>
      <c r="AI70" s="33" t="s">
        <v>25</v>
      </c>
      <c r="AJ70" s="33" t="s">
        <v>26</v>
      </c>
      <c r="AK70" s="33" t="s">
        <v>24</v>
      </c>
      <c r="AL70" s="27"/>
      <c r="AM70" s="34" t="s">
        <v>25</v>
      </c>
      <c r="AN70" s="35" t="str">
        <f t="shared" si="8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8" customHeight="1" x14ac:dyDescent="0.3">
      <c r="A71" s="23">
        <v>67</v>
      </c>
      <c r="B71" s="24" t="s">
        <v>1981</v>
      </c>
      <c r="C71" s="25" t="s">
        <v>1982</v>
      </c>
      <c r="D71" s="23" t="s">
        <v>1850</v>
      </c>
      <c r="E71" s="43">
        <v>46125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5"/>
        <v>✓ OK</v>
      </c>
      <c r="N71" s="43">
        <v>46193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6"/>
        <v>✓ OK</v>
      </c>
      <c r="W71" s="45">
        <v>46248</v>
      </c>
      <c r="X71" s="30" t="s">
        <v>23</v>
      </c>
      <c r="Y71" s="30" t="s">
        <v>24</v>
      </c>
      <c r="Z71" s="30" t="s">
        <v>25</v>
      </c>
      <c r="AA71" s="30" t="s">
        <v>26</v>
      </c>
      <c r="AB71" s="30" t="s">
        <v>24</v>
      </c>
      <c r="AC71" s="27"/>
      <c r="AD71" s="31" t="s">
        <v>25</v>
      </c>
      <c r="AE71" s="32" t="str">
        <f t="shared" si="7"/>
        <v>✓ OK</v>
      </c>
      <c r="AF71" s="33" t="s">
        <v>27</v>
      </c>
      <c r="AG71" s="33" t="s">
        <v>23</v>
      </c>
      <c r="AH71" s="33" t="s">
        <v>24</v>
      </c>
      <c r="AI71" s="33" t="s">
        <v>25</v>
      </c>
      <c r="AJ71" s="33" t="s">
        <v>26</v>
      </c>
      <c r="AK71" s="33" t="s">
        <v>24</v>
      </c>
      <c r="AL71" s="27"/>
      <c r="AM71" s="34" t="s">
        <v>25</v>
      </c>
      <c r="AN71" s="35" t="str">
        <f t="shared" si="8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8" customHeight="1" x14ac:dyDescent="0.3">
      <c r="A72" s="39">
        <v>68</v>
      </c>
      <c r="B72" s="40" t="s">
        <v>1983</v>
      </c>
      <c r="C72" s="41" t="s">
        <v>1984</v>
      </c>
      <c r="D72" s="39" t="s">
        <v>1850</v>
      </c>
      <c r="E72" s="43">
        <v>46125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5"/>
        <v>✓ OK</v>
      </c>
      <c r="N72" s="43">
        <v>46193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24</v>
      </c>
      <c r="T72" s="27"/>
      <c r="U72" s="28" t="s">
        <v>25</v>
      </c>
      <c r="V72" s="29" t="str">
        <f t="shared" si="6"/>
        <v>✓ OK</v>
      </c>
      <c r="W72" s="45">
        <v>46248</v>
      </c>
      <c r="X72" s="30" t="s">
        <v>23</v>
      </c>
      <c r="Y72" s="30" t="s">
        <v>24</v>
      </c>
      <c r="Z72" s="30" t="s">
        <v>25</v>
      </c>
      <c r="AA72" s="30" t="s">
        <v>26</v>
      </c>
      <c r="AB72" s="30" t="s">
        <v>24</v>
      </c>
      <c r="AC72" s="27"/>
      <c r="AD72" s="31" t="s">
        <v>25</v>
      </c>
      <c r="AE72" s="32" t="str">
        <f t="shared" si="7"/>
        <v>✓ OK</v>
      </c>
      <c r="AF72" s="33" t="s">
        <v>27</v>
      </c>
      <c r="AG72" s="33" t="s">
        <v>23</v>
      </c>
      <c r="AH72" s="33" t="s">
        <v>24</v>
      </c>
      <c r="AI72" s="33" t="s">
        <v>25</v>
      </c>
      <c r="AJ72" s="33" t="s">
        <v>26</v>
      </c>
      <c r="AK72" s="33" t="s">
        <v>24</v>
      </c>
      <c r="AL72" s="27"/>
      <c r="AM72" s="34" t="s">
        <v>25</v>
      </c>
      <c r="AN72" s="35" t="str">
        <f t="shared" si="8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8" customHeight="1" x14ac:dyDescent="0.3">
      <c r="A73" s="23">
        <v>69</v>
      </c>
      <c r="B73" s="24" t="s">
        <v>1985</v>
      </c>
      <c r="C73" s="25" t="s">
        <v>1986</v>
      </c>
      <c r="D73" s="23" t="s">
        <v>1850</v>
      </c>
      <c r="E73" s="43">
        <v>46125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5"/>
        <v>✓ OK</v>
      </c>
      <c r="N73" s="43">
        <v>46193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25</v>
      </c>
      <c r="V73" s="29" t="str">
        <f t="shared" si="6"/>
        <v>✓ OK</v>
      </c>
      <c r="W73" s="45">
        <v>46248</v>
      </c>
      <c r="X73" s="30" t="s">
        <v>23</v>
      </c>
      <c r="Y73" s="30" t="s">
        <v>24</v>
      </c>
      <c r="Z73" s="30" t="s">
        <v>25</v>
      </c>
      <c r="AA73" s="30" t="s">
        <v>26</v>
      </c>
      <c r="AB73" s="30" t="s">
        <v>24</v>
      </c>
      <c r="AC73" s="27"/>
      <c r="AD73" s="31" t="s">
        <v>25</v>
      </c>
      <c r="AE73" s="32" t="str">
        <f t="shared" si="7"/>
        <v>✓ OK</v>
      </c>
      <c r="AF73" s="33" t="s">
        <v>27</v>
      </c>
      <c r="AG73" s="33" t="s">
        <v>23</v>
      </c>
      <c r="AH73" s="33" t="s">
        <v>24</v>
      </c>
      <c r="AI73" s="33" t="s">
        <v>25</v>
      </c>
      <c r="AJ73" s="33" t="s">
        <v>26</v>
      </c>
      <c r="AK73" s="33" t="s">
        <v>24</v>
      </c>
      <c r="AL73" s="27"/>
      <c r="AM73" s="34" t="s">
        <v>25</v>
      </c>
      <c r="AN73" s="35" t="str">
        <f t="shared" si="8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8" customHeight="1" x14ac:dyDescent="0.3">
      <c r="A74" s="39">
        <v>70</v>
      </c>
      <c r="B74" s="40" t="s">
        <v>1987</v>
      </c>
      <c r="C74" s="41" t="s">
        <v>1988</v>
      </c>
      <c r="D74" s="39" t="s">
        <v>1850</v>
      </c>
      <c r="E74" s="43">
        <v>46125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5"/>
        <v>✓ OK</v>
      </c>
      <c r="N74" s="43">
        <v>46193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6"/>
        <v>✓ OK</v>
      </c>
      <c r="W74" s="45">
        <v>46248</v>
      </c>
      <c r="X74" s="30" t="s">
        <v>23</v>
      </c>
      <c r="Y74" s="30" t="s">
        <v>24</v>
      </c>
      <c r="Z74" s="30" t="s">
        <v>25</v>
      </c>
      <c r="AA74" s="30" t="s">
        <v>26</v>
      </c>
      <c r="AB74" s="30" t="s">
        <v>24</v>
      </c>
      <c r="AC74" s="27"/>
      <c r="AD74" s="31" t="s">
        <v>25</v>
      </c>
      <c r="AE74" s="32" t="str">
        <f t="shared" si="7"/>
        <v>✓ OK</v>
      </c>
      <c r="AF74" s="33" t="s">
        <v>27</v>
      </c>
      <c r="AG74" s="33" t="s">
        <v>23</v>
      </c>
      <c r="AH74" s="33" t="s">
        <v>24</v>
      </c>
      <c r="AI74" s="33" t="s">
        <v>25</v>
      </c>
      <c r="AJ74" s="33" t="s">
        <v>26</v>
      </c>
      <c r="AK74" s="33" t="s">
        <v>24</v>
      </c>
      <c r="AL74" s="27"/>
      <c r="AM74" s="34" t="s">
        <v>25</v>
      </c>
      <c r="AN74" s="35" t="str">
        <f t="shared" si="8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8" customHeight="1" x14ac:dyDescent="0.3">
      <c r="A75" s="23">
        <v>71</v>
      </c>
      <c r="B75" s="24" t="s">
        <v>1989</v>
      </c>
      <c r="C75" s="25" t="s">
        <v>1990</v>
      </c>
      <c r="D75" s="23" t="s">
        <v>1850</v>
      </c>
      <c r="E75" s="43">
        <v>46125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5"/>
        <v>✓ OK</v>
      </c>
      <c r="N75" s="43">
        <v>46193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6"/>
        <v>✓ OK</v>
      </c>
      <c r="W75" s="45">
        <v>46248</v>
      </c>
      <c r="X75" s="30" t="s">
        <v>23</v>
      </c>
      <c r="Y75" s="30" t="s">
        <v>24</v>
      </c>
      <c r="Z75" s="30" t="s">
        <v>25</v>
      </c>
      <c r="AA75" s="30" t="s">
        <v>26</v>
      </c>
      <c r="AB75" s="30" t="s">
        <v>24</v>
      </c>
      <c r="AC75" s="27"/>
      <c r="AD75" s="31" t="s">
        <v>25</v>
      </c>
      <c r="AE75" s="32" t="str">
        <f t="shared" si="7"/>
        <v>✓ OK</v>
      </c>
      <c r="AF75" s="33" t="s">
        <v>27</v>
      </c>
      <c r="AG75" s="33" t="s">
        <v>23</v>
      </c>
      <c r="AH75" s="33" t="s">
        <v>24</v>
      </c>
      <c r="AI75" s="33" t="s">
        <v>25</v>
      </c>
      <c r="AJ75" s="33" t="s">
        <v>26</v>
      </c>
      <c r="AK75" s="33" t="s">
        <v>24</v>
      </c>
      <c r="AL75" s="27"/>
      <c r="AM75" s="34" t="s">
        <v>25</v>
      </c>
      <c r="AN75" s="35" t="str">
        <f t="shared" si="8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8" customHeight="1" x14ac:dyDescent="0.3">
      <c r="A76" s="39">
        <v>72</v>
      </c>
      <c r="B76" s="40" t="s">
        <v>1991</v>
      </c>
      <c r="C76" s="41" t="s">
        <v>1992</v>
      </c>
      <c r="D76" s="39" t="s">
        <v>1850</v>
      </c>
      <c r="E76" s="43">
        <v>46125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5"/>
        <v>✓ OK</v>
      </c>
      <c r="N76" s="43">
        <v>46193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6"/>
        <v>✓ OK</v>
      </c>
      <c r="W76" s="45">
        <v>46248</v>
      </c>
      <c r="X76" s="30" t="s">
        <v>23</v>
      </c>
      <c r="Y76" s="30" t="s">
        <v>24</v>
      </c>
      <c r="Z76" s="30" t="s">
        <v>25</v>
      </c>
      <c r="AA76" s="30" t="s">
        <v>26</v>
      </c>
      <c r="AB76" s="30" t="s">
        <v>24</v>
      </c>
      <c r="AC76" s="27"/>
      <c r="AD76" s="31" t="s">
        <v>25</v>
      </c>
      <c r="AE76" s="32" t="str">
        <f t="shared" si="7"/>
        <v>✓ OK</v>
      </c>
      <c r="AF76" s="33" t="s">
        <v>27</v>
      </c>
      <c r="AG76" s="33" t="s">
        <v>23</v>
      </c>
      <c r="AH76" s="33" t="s">
        <v>24</v>
      </c>
      <c r="AI76" s="33" t="s">
        <v>25</v>
      </c>
      <c r="AJ76" s="33" t="s">
        <v>26</v>
      </c>
      <c r="AK76" s="33" t="s">
        <v>24</v>
      </c>
      <c r="AL76" s="27"/>
      <c r="AM76" s="34" t="s">
        <v>25</v>
      </c>
      <c r="AN76" s="35" t="str">
        <f t="shared" si="8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8" customHeight="1" x14ac:dyDescent="0.3">
      <c r="A77" s="23">
        <v>73</v>
      </c>
      <c r="B77" s="24" t="s">
        <v>1993</v>
      </c>
      <c r="C77" s="25" t="s">
        <v>1994</v>
      </c>
      <c r="D77" s="23" t="s">
        <v>1850</v>
      </c>
      <c r="E77" s="43">
        <v>46125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5"/>
        <v>✓ OK</v>
      </c>
      <c r="N77" s="43">
        <v>46193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6"/>
        <v>✓ OK</v>
      </c>
      <c r="W77" s="45">
        <v>46248</v>
      </c>
      <c r="X77" s="30" t="s">
        <v>23</v>
      </c>
      <c r="Y77" s="30" t="s">
        <v>24</v>
      </c>
      <c r="Z77" s="30" t="s">
        <v>25</v>
      </c>
      <c r="AA77" s="30" t="s">
        <v>26</v>
      </c>
      <c r="AB77" s="30" t="s">
        <v>24</v>
      </c>
      <c r="AC77" s="27"/>
      <c r="AD77" s="31" t="s">
        <v>25</v>
      </c>
      <c r="AE77" s="32" t="str">
        <f t="shared" si="7"/>
        <v>✓ OK</v>
      </c>
      <c r="AF77" s="33" t="s">
        <v>27</v>
      </c>
      <c r="AG77" s="33" t="s">
        <v>23</v>
      </c>
      <c r="AH77" s="33" t="s">
        <v>24</v>
      </c>
      <c r="AI77" s="33" t="s">
        <v>25</v>
      </c>
      <c r="AJ77" s="33" t="s">
        <v>26</v>
      </c>
      <c r="AK77" s="33" t="s">
        <v>24</v>
      </c>
      <c r="AL77" s="27"/>
      <c r="AM77" s="34" t="s">
        <v>25</v>
      </c>
      <c r="AN77" s="35" t="str">
        <f t="shared" si="8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8" customHeight="1" x14ac:dyDescent="0.3">
      <c r="A78" s="39">
        <v>74</v>
      </c>
      <c r="B78" s="40" t="s">
        <v>1995</v>
      </c>
      <c r="C78" s="41" t="s">
        <v>1996</v>
      </c>
      <c r="D78" s="39" t="s">
        <v>1850</v>
      </c>
      <c r="E78" s="43">
        <v>46125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5"/>
        <v>✓ OK</v>
      </c>
      <c r="N78" s="43">
        <v>46193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6"/>
        <v>✓ OK</v>
      </c>
      <c r="W78" s="45">
        <v>46248</v>
      </c>
      <c r="X78" s="30" t="s">
        <v>23</v>
      </c>
      <c r="Y78" s="30" t="s">
        <v>24</v>
      </c>
      <c r="Z78" s="30" t="s">
        <v>25</v>
      </c>
      <c r="AA78" s="30" t="s">
        <v>26</v>
      </c>
      <c r="AB78" s="30" t="s">
        <v>24</v>
      </c>
      <c r="AC78" s="27"/>
      <c r="AD78" s="31" t="s">
        <v>25</v>
      </c>
      <c r="AE78" s="32" t="str">
        <f t="shared" si="7"/>
        <v>✓ OK</v>
      </c>
      <c r="AF78" s="33" t="s">
        <v>27</v>
      </c>
      <c r="AG78" s="33" t="s">
        <v>23</v>
      </c>
      <c r="AH78" s="33" t="s">
        <v>24</v>
      </c>
      <c r="AI78" s="33" t="s">
        <v>25</v>
      </c>
      <c r="AJ78" s="33" t="s">
        <v>26</v>
      </c>
      <c r="AK78" s="33" t="s">
        <v>24</v>
      </c>
      <c r="AL78" s="27"/>
      <c r="AM78" s="34" t="s">
        <v>25</v>
      </c>
      <c r="AN78" s="35" t="str">
        <f t="shared" si="8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8" customHeight="1" x14ac:dyDescent="0.3">
      <c r="A79" s="23">
        <v>75</v>
      </c>
      <c r="B79" s="24" t="s">
        <v>1997</v>
      </c>
      <c r="C79" s="25" t="s">
        <v>1998</v>
      </c>
      <c r="D79" s="23" t="s">
        <v>1850</v>
      </c>
      <c r="E79" s="43">
        <v>46125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5"/>
        <v>✓ OK</v>
      </c>
      <c r="N79" s="43">
        <v>46193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6"/>
        <v>✓ OK</v>
      </c>
      <c r="W79" s="45">
        <v>46248</v>
      </c>
      <c r="X79" s="30" t="s">
        <v>23</v>
      </c>
      <c r="Y79" s="30" t="s">
        <v>24</v>
      </c>
      <c r="Z79" s="30" t="s">
        <v>25</v>
      </c>
      <c r="AA79" s="30" t="s">
        <v>26</v>
      </c>
      <c r="AB79" s="30" t="s">
        <v>24</v>
      </c>
      <c r="AC79" s="27"/>
      <c r="AD79" s="31" t="s">
        <v>25</v>
      </c>
      <c r="AE79" s="32" t="str">
        <f t="shared" si="7"/>
        <v>✓ OK</v>
      </c>
      <c r="AF79" s="33" t="s">
        <v>27</v>
      </c>
      <c r="AG79" s="33" t="s">
        <v>23</v>
      </c>
      <c r="AH79" s="33" t="s">
        <v>24</v>
      </c>
      <c r="AI79" s="33" t="s">
        <v>25</v>
      </c>
      <c r="AJ79" s="33" t="s">
        <v>26</v>
      </c>
      <c r="AK79" s="33" t="s">
        <v>24</v>
      </c>
      <c r="AL79" s="27"/>
      <c r="AM79" s="34" t="s">
        <v>25</v>
      </c>
      <c r="AN79" s="35" t="str">
        <f t="shared" si="8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8" customHeight="1" x14ac:dyDescent="0.3">
      <c r="A80" s="39">
        <v>76</v>
      </c>
      <c r="B80" s="40" t="s">
        <v>1999</v>
      </c>
      <c r="C80" s="41" t="s">
        <v>2000</v>
      </c>
      <c r="D80" s="39" t="s">
        <v>1850</v>
      </c>
      <c r="E80" s="43">
        <v>46125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5"/>
        <v>✓ OK</v>
      </c>
      <c r="N80" s="43">
        <v>46193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6"/>
        <v>✓ OK</v>
      </c>
      <c r="W80" s="45">
        <v>46248</v>
      </c>
      <c r="X80" s="30" t="s">
        <v>23</v>
      </c>
      <c r="Y80" s="30" t="s">
        <v>24</v>
      </c>
      <c r="Z80" s="30" t="s">
        <v>25</v>
      </c>
      <c r="AA80" s="30" t="s">
        <v>26</v>
      </c>
      <c r="AB80" s="30" t="s">
        <v>24</v>
      </c>
      <c r="AC80" s="27"/>
      <c r="AD80" s="31" t="s">
        <v>25</v>
      </c>
      <c r="AE80" s="32" t="str">
        <f t="shared" si="7"/>
        <v>✓ OK</v>
      </c>
      <c r="AF80" s="33" t="s">
        <v>27</v>
      </c>
      <c r="AG80" s="33" t="s">
        <v>23</v>
      </c>
      <c r="AH80" s="33" t="s">
        <v>24</v>
      </c>
      <c r="AI80" s="33" t="s">
        <v>25</v>
      </c>
      <c r="AJ80" s="33" t="s">
        <v>26</v>
      </c>
      <c r="AK80" s="33" t="s">
        <v>24</v>
      </c>
      <c r="AL80" s="27"/>
      <c r="AM80" s="34" t="s">
        <v>25</v>
      </c>
      <c r="AN80" s="35" t="str">
        <f t="shared" si="8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8" customHeight="1" x14ac:dyDescent="0.3">
      <c r="A81" s="23">
        <v>77</v>
      </c>
      <c r="B81" s="24" t="s">
        <v>2001</v>
      </c>
      <c r="C81" s="25" t="s">
        <v>2002</v>
      </c>
      <c r="D81" s="23" t="s">
        <v>1850</v>
      </c>
      <c r="E81" s="43">
        <v>46125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5"/>
        <v>✓ OK</v>
      </c>
      <c r="N81" s="43">
        <v>46193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6"/>
        <v>✓ OK</v>
      </c>
      <c r="W81" s="45">
        <v>46248</v>
      </c>
      <c r="X81" s="30" t="s">
        <v>23</v>
      </c>
      <c r="Y81" s="30" t="s">
        <v>24</v>
      </c>
      <c r="Z81" s="30" t="s">
        <v>25</v>
      </c>
      <c r="AA81" s="30" t="s">
        <v>26</v>
      </c>
      <c r="AB81" s="30" t="s">
        <v>24</v>
      </c>
      <c r="AC81" s="27"/>
      <c r="AD81" s="31" t="s">
        <v>25</v>
      </c>
      <c r="AE81" s="32" t="str">
        <f t="shared" si="7"/>
        <v>✓ OK</v>
      </c>
      <c r="AF81" s="33" t="s">
        <v>27</v>
      </c>
      <c r="AG81" s="33" t="s">
        <v>23</v>
      </c>
      <c r="AH81" s="33" t="s">
        <v>24</v>
      </c>
      <c r="AI81" s="33" t="s">
        <v>25</v>
      </c>
      <c r="AJ81" s="33" t="s">
        <v>26</v>
      </c>
      <c r="AK81" s="33" t="s">
        <v>24</v>
      </c>
      <c r="AL81" s="27"/>
      <c r="AM81" s="34" t="s">
        <v>25</v>
      </c>
      <c r="AN81" s="35" t="str">
        <f t="shared" si="8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8" customHeight="1" x14ac:dyDescent="0.3">
      <c r="A82" s="39">
        <v>78</v>
      </c>
      <c r="B82" s="40" t="s">
        <v>2003</v>
      </c>
      <c r="C82" s="41" t="s">
        <v>2004</v>
      </c>
      <c r="D82" s="39" t="s">
        <v>1850</v>
      </c>
      <c r="E82" s="43">
        <v>46125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5"/>
        <v>✓ OK</v>
      </c>
      <c r="N82" s="43">
        <v>46193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6"/>
        <v>✓ OK</v>
      </c>
      <c r="W82" s="45">
        <v>46248</v>
      </c>
      <c r="X82" s="30" t="s">
        <v>23</v>
      </c>
      <c r="Y82" s="30" t="s">
        <v>24</v>
      </c>
      <c r="Z82" s="30" t="s">
        <v>25</v>
      </c>
      <c r="AA82" s="30" t="s">
        <v>26</v>
      </c>
      <c r="AB82" s="30" t="s">
        <v>24</v>
      </c>
      <c r="AC82" s="27"/>
      <c r="AD82" s="31" t="s">
        <v>25</v>
      </c>
      <c r="AE82" s="32" t="str">
        <f t="shared" si="7"/>
        <v>✓ OK</v>
      </c>
      <c r="AF82" s="33" t="s">
        <v>27</v>
      </c>
      <c r="AG82" s="33" t="s">
        <v>23</v>
      </c>
      <c r="AH82" s="33" t="s">
        <v>24</v>
      </c>
      <c r="AI82" s="33" t="s">
        <v>25</v>
      </c>
      <c r="AJ82" s="33" t="s">
        <v>26</v>
      </c>
      <c r="AK82" s="33" t="s">
        <v>24</v>
      </c>
      <c r="AL82" s="27"/>
      <c r="AM82" s="34" t="s">
        <v>25</v>
      </c>
      <c r="AN82" s="35" t="str">
        <f t="shared" si="8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8" customHeight="1" x14ac:dyDescent="0.3">
      <c r="A83" s="23">
        <v>79</v>
      </c>
      <c r="B83" s="24" t="s">
        <v>2005</v>
      </c>
      <c r="C83" s="25" t="s">
        <v>2006</v>
      </c>
      <c r="D83" s="23" t="s">
        <v>1850</v>
      </c>
      <c r="E83" s="43">
        <v>46125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5"/>
        <v>✓ OK</v>
      </c>
      <c r="N83" s="43">
        <v>46193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6"/>
        <v>✓ OK</v>
      </c>
      <c r="W83" s="45">
        <v>46248</v>
      </c>
      <c r="X83" s="30" t="s">
        <v>23</v>
      </c>
      <c r="Y83" s="30" t="s">
        <v>24</v>
      </c>
      <c r="Z83" s="30" t="s">
        <v>25</v>
      </c>
      <c r="AA83" s="30" t="s">
        <v>26</v>
      </c>
      <c r="AB83" s="30" t="s">
        <v>24</v>
      </c>
      <c r="AC83" s="27"/>
      <c r="AD83" s="31" t="s">
        <v>25</v>
      </c>
      <c r="AE83" s="32" t="str">
        <f t="shared" si="7"/>
        <v>✓ OK</v>
      </c>
      <c r="AF83" s="33" t="s">
        <v>27</v>
      </c>
      <c r="AG83" s="33" t="s">
        <v>23</v>
      </c>
      <c r="AH83" s="33" t="s">
        <v>24</v>
      </c>
      <c r="AI83" s="33" t="s">
        <v>25</v>
      </c>
      <c r="AJ83" s="33" t="s">
        <v>26</v>
      </c>
      <c r="AK83" s="33" t="s">
        <v>24</v>
      </c>
      <c r="AL83" s="27"/>
      <c r="AM83" s="34" t="s">
        <v>25</v>
      </c>
      <c r="AN83" s="35" t="str">
        <f t="shared" si="8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8" customHeight="1" x14ac:dyDescent="0.3">
      <c r="A84" s="39">
        <v>80</v>
      </c>
      <c r="B84" s="40" t="s">
        <v>2007</v>
      </c>
      <c r="C84" s="41" t="s">
        <v>2008</v>
      </c>
      <c r="D84" s="39" t="s">
        <v>1850</v>
      </c>
      <c r="E84" s="43">
        <v>46125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5"/>
        <v>✓ OK</v>
      </c>
      <c r="N84" s="43">
        <v>46193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6"/>
        <v>✓ OK</v>
      </c>
      <c r="W84" s="45">
        <v>46248</v>
      </c>
      <c r="X84" s="30" t="s">
        <v>23</v>
      </c>
      <c r="Y84" s="30" t="s">
        <v>24</v>
      </c>
      <c r="Z84" s="30" t="s">
        <v>25</v>
      </c>
      <c r="AA84" s="30" t="s">
        <v>26</v>
      </c>
      <c r="AB84" s="30" t="s">
        <v>24</v>
      </c>
      <c r="AC84" s="27"/>
      <c r="AD84" s="31" t="s">
        <v>25</v>
      </c>
      <c r="AE84" s="32" t="str">
        <f t="shared" si="7"/>
        <v>✓ OK</v>
      </c>
      <c r="AF84" s="33" t="s">
        <v>27</v>
      </c>
      <c r="AG84" s="33" t="s">
        <v>23</v>
      </c>
      <c r="AH84" s="33" t="s">
        <v>24</v>
      </c>
      <c r="AI84" s="33" t="s">
        <v>25</v>
      </c>
      <c r="AJ84" s="33" t="s">
        <v>26</v>
      </c>
      <c r="AK84" s="33" t="s">
        <v>24</v>
      </c>
      <c r="AL84" s="27"/>
      <c r="AM84" s="34" t="s">
        <v>25</v>
      </c>
      <c r="AN84" s="35" t="str">
        <f t="shared" si="8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8" customHeight="1" x14ac:dyDescent="0.3">
      <c r="A85" s="23">
        <v>81</v>
      </c>
      <c r="B85" s="24" t="s">
        <v>2009</v>
      </c>
      <c r="C85" s="25" t="s">
        <v>2010</v>
      </c>
      <c r="D85" s="23" t="s">
        <v>1850</v>
      </c>
      <c r="E85" s="43">
        <v>46125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5"/>
        <v>✓ OK</v>
      </c>
      <c r="N85" s="43">
        <v>46193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6"/>
        <v>✓ OK</v>
      </c>
      <c r="W85" s="45">
        <v>46248</v>
      </c>
      <c r="X85" s="30" t="s">
        <v>23</v>
      </c>
      <c r="Y85" s="30" t="s">
        <v>24</v>
      </c>
      <c r="Z85" s="30" t="s">
        <v>25</v>
      </c>
      <c r="AA85" s="30" t="s">
        <v>26</v>
      </c>
      <c r="AB85" s="30" t="s">
        <v>24</v>
      </c>
      <c r="AC85" s="27"/>
      <c r="AD85" s="31" t="s">
        <v>25</v>
      </c>
      <c r="AE85" s="32" t="str">
        <f t="shared" si="7"/>
        <v>✓ OK</v>
      </c>
      <c r="AF85" s="33" t="s">
        <v>27</v>
      </c>
      <c r="AG85" s="33" t="s">
        <v>23</v>
      </c>
      <c r="AH85" s="33" t="s">
        <v>24</v>
      </c>
      <c r="AI85" s="33" t="s">
        <v>25</v>
      </c>
      <c r="AJ85" s="33" t="s">
        <v>26</v>
      </c>
      <c r="AK85" s="33" t="s">
        <v>24</v>
      </c>
      <c r="AL85" s="27"/>
      <c r="AM85" s="34" t="s">
        <v>25</v>
      </c>
      <c r="AN85" s="35" t="str">
        <f t="shared" si="8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8" customHeight="1" x14ac:dyDescent="0.3">
      <c r="A86" s="39">
        <v>82</v>
      </c>
      <c r="B86" s="40" t="s">
        <v>2011</v>
      </c>
      <c r="C86" s="41" t="s">
        <v>2012</v>
      </c>
      <c r="D86" s="39" t="s">
        <v>1850</v>
      </c>
      <c r="E86" s="43">
        <v>46125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5"/>
        <v>✓ OK</v>
      </c>
      <c r="N86" s="43">
        <v>46193</v>
      </c>
      <c r="O86" s="26" t="s">
        <v>23</v>
      </c>
      <c r="P86" s="26" t="s">
        <v>24</v>
      </c>
      <c r="Q86" s="26" t="s">
        <v>25</v>
      </c>
      <c r="R86" s="26" t="s">
        <v>26</v>
      </c>
      <c r="S86" s="26" t="s">
        <v>24</v>
      </c>
      <c r="T86" s="27"/>
      <c r="U86" s="28" t="s">
        <v>25</v>
      </c>
      <c r="V86" s="29" t="str">
        <f t="shared" si="6"/>
        <v>✓ OK</v>
      </c>
      <c r="W86" s="45">
        <v>46248</v>
      </c>
      <c r="X86" s="30" t="s">
        <v>23</v>
      </c>
      <c r="Y86" s="30" t="s">
        <v>24</v>
      </c>
      <c r="Z86" s="30" t="s">
        <v>25</v>
      </c>
      <c r="AA86" s="30" t="s">
        <v>26</v>
      </c>
      <c r="AB86" s="30" t="s">
        <v>24</v>
      </c>
      <c r="AC86" s="27"/>
      <c r="AD86" s="31" t="s">
        <v>25</v>
      </c>
      <c r="AE86" s="32" t="str">
        <f t="shared" si="7"/>
        <v>✓ OK</v>
      </c>
      <c r="AF86" s="33" t="s">
        <v>27</v>
      </c>
      <c r="AG86" s="33" t="s">
        <v>23</v>
      </c>
      <c r="AH86" s="33" t="s">
        <v>24</v>
      </c>
      <c r="AI86" s="33" t="s">
        <v>25</v>
      </c>
      <c r="AJ86" s="33" t="s">
        <v>26</v>
      </c>
      <c r="AK86" s="33" t="s">
        <v>24</v>
      </c>
      <c r="AL86" s="27"/>
      <c r="AM86" s="34" t="s">
        <v>25</v>
      </c>
      <c r="AN86" s="35" t="str">
        <f t="shared" si="8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8" customHeight="1" x14ac:dyDescent="0.3">
      <c r="A87" s="23">
        <v>83</v>
      </c>
      <c r="B87" s="24" t="s">
        <v>2013</v>
      </c>
      <c r="C87" s="25" t="s">
        <v>2014</v>
      </c>
      <c r="D87" s="23" t="s">
        <v>1850</v>
      </c>
      <c r="E87" s="43">
        <v>46125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5"/>
        <v>✓ OK</v>
      </c>
      <c r="N87" s="43">
        <v>46193</v>
      </c>
      <c r="O87" s="26" t="s">
        <v>23</v>
      </c>
      <c r="P87" s="26" t="s">
        <v>24</v>
      </c>
      <c r="Q87" s="26" t="s">
        <v>25</v>
      </c>
      <c r="R87" s="26" t="s">
        <v>26</v>
      </c>
      <c r="S87" s="26" t="s">
        <v>24</v>
      </c>
      <c r="T87" s="27"/>
      <c r="U87" s="28" t="s">
        <v>25</v>
      </c>
      <c r="V87" s="29" t="str">
        <f t="shared" si="6"/>
        <v>✓ OK</v>
      </c>
      <c r="W87" s="45">
        <v>46248</v>
      </c>
      <c r="X87" s="30" t="s">
        <v>23</v>
      </c>
      <c r="Y87" s="30" t="s">
        <v>24</v>
      </c>
      <c r="Z87" s="30" t="s">
        <v>25</v>
      </c>
      <c r="AA87" s="30" t="s">
        <v>26</v>
      </c>
      <c r="AB87" s="30" t="s">
        <v>24</v>
      </c>
      <c r="AC87" s="27"/>
      <c r="AD87" s="31" t="s">
        <v>25</v>
      </c>
      <c r="AE87" s="32" t="str">
        <f t="shared" si="7"/>
        <v>✓ OK</v>
      </c>
      <c r="AF87" s="33" t="s">
        <v>27</v>
      </c>
      <c r="AG87" s="33" t="s">
        <v>23</v>
      </c>
      <c r="AH87" s="33" t="s">
        <v>24</v>
      </c>
      <c r="AI87" s="33" t="s">
        <v>25</v>
      </c>
      <c r="AJ87" s="33" t="s">
        <v>26</v>
      </c>
      <c r="AK87" s="33" t="s">
        <v>24</v>
      </c>
      <c r="AL87" s="27"/>
      <c r="AM87" s="34" t="s">
        <v>25</v>
      </c>
      <c r="AN87" s="35" t="str">
        <f t="shared" si="8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8" customHeight="1" x14ac:dyDescent="0.3">
      <c r="A88" s="39">
        <v>84</v>
      </c>
      <c r="B88" s="40" t="s">
        <v>2015</v>
      </c>
      <c r="C88" s="41" t="s">
        <v>2016</v>
      </c>
      <c r="D88" s="39" t="s">
        <v>1850</v>
      </c>
      <c r="E88" s="43">
        <v>46125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5"/>
        <v>✓ OK</v>
      </c>
      <c r="N88" s="43">
        <v>46193</v>
      </c>
      <c r="O88" s="26" t="s">
        <v>23</v>
      </c>
      <c r="P88" s="26" t="s">
        <v>24</v>
      </c>
      <c r="Q88" s="26" t="s">
        <v>25</v>
      </c>
      <c r="R88" s="26" t="s">
        <v>26</v>
      </c>
      <c r="S88" s="26" t="s">
        <v>24</v>
      </c>
      <c r="T88" s="27"/>
      <c r="U88" s="28" t="s">
        <v>25</v>
      </c>
      <c r="V88" s="29" t="str">
        <f t="shared" si="6"/>
        <v>✓ OK</v>
      </c>
      <c r="W88" s="45">
        <v>46248</v>
      </c>
      <c r="X88" s="30" t="s">
        <v>23</v>
      </c>
      <c r="Y88" s="30" t="s">
        <v>24</v>
      </c>
      <c r="Z88" s="30" t="s">
        <v>25</v>
      </c>
      <c r="AA88" s="30" t="s">
        <v>26</v>
      </c>
      <c r="AB88" s="30" t="s">
        <v>24</v>
      </c>
      <c r="AC88" s="27"/>
      <c r="AD88" s="31" t="s">
        <v>25</v>
      </c>
      <c r="AE88" s="32" t="str">
        <f t="shared" si="7"/>
        <v>✓ OK</v>
      </c>
      <c r="AF88" s="33" t="s">
        <v>27</v>
      </c>
      <c r="AG88" s="33" t="s">
        <v>23</v>
      </c>
      <c r="AH88" s="33" t="s">
        <v>24</v>
      </c>
      <c r="AI88" s="33" t="s">
        <v>25</v>
      </c>
      <c r="AJ88" s="33" t="s">
        <v>26</v>
      </c>
      <c r="AK88" s="33" t="s">
        <v>24</v>
      </c>
      <c r="AL88" s="27"/>
      <c r="AM88" s="34" t="s">
        <v>25</v>
      </c>
      <c r="AN88" s="35" t="str">
        <f t="shared" si="8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8" customHeight="1" x14ac:dyDescent="0.3">
      <c r="A89" s="23">
        <v>85</v>
      </c>
      <c r="B89" s="24" t="s">
        <v>2017</v>
      </c>
      <c r="C89" s="25" t="s">
        <v>2018</v>
      </c>
      <c r="D89" s="23" t="s">
        <v>1850</v>
      </c>
      <c r="E89" s="43">
        <v>46125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5"/>
        <v>✓ OK</v>
      </c>
      <c r="N89" s="43">
        <v>46193</v>
      </c>
      <c r="O89" s="26" t="s">
        <v>23</v>
      </c>
      <c r="P89" s="26" t="s">
        <v>24</v>
      </c>
      <c r="Q89" s="26" t="s">
        <v>25</v>
      </c>
      <c r="R89" s="26" t="s">
        <v>26</v>
      </c>
      <c r="S89" s="26" t="s">
        <v>24</v>
      </c>
      <c r="T89" s="27"/>
      <c r="U89" s="28" t="s">
        <v>25</v>
      </c>
      <c r="V89" s="29" t="str">
        <f t="shared" si="6"/>
        <v>✓ OK</v>
      </c>
      <c r="W89" s="45">
        <v>46248</v>
      </c>
      <c r="X89" s="30" t="s">
        <v>23</v>
      </c>
      <c r="Y89" s="30" t="s">
        <v>24</v>
      </c>
      <c r="Z89" s="30" t="s">
        <v>25</v>
      </c>
      <c r="AA89" s="30" t="s">
        <v>26</v>
      </c>
      <c r="AB89" s="30" t="s">
        <v>24</v>
      </c>
      <c r="AC89" s="27"/>
      <c r="AD89" s="31" t="s">
        <v>25</v>
      </c>
      <c r="AE89" s="32" t="str">
        <f t="shared" si="7"/>
        <v>✓ OK</v>
      </c>
      <c r="AF89" s="33" t="s">
        <v>27</v>
      </c>
      <c r="AG89" s="33" t="s">
        <v>23</v>
      </c>
      <c r="AH89" s="33" t="s">
        <v>24</v>
      </c>
      <c r="AI89" s="33" t="s">
        <v>25</v>
      </c>
      <c r="AJ89" s="33" t="s">
        <v>26</v>
      </c>
      <c r="AK89" s="33" t="s">
        <v>24</v>
      </c>
      <c r="AL89" s="27"/>
      <c r="AM89" s="34" t="s">
        <v>25</v>
      </c>
      <c r="AN89" s="35" t="str">
        <f t="shared" si="8"/>
        <v>✓ OK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8" customHeight="1" x14ac:dyDescent="0.3">
      <c r="A90" s="39">
        <v>86</v>
      </c>
      <c r="B90" s="40" t="s">
        <v>2019</v>
      </c>
      <c r="C90" s="41" t="s">
        <v>2020</v>
      </c>
      <c r="D90" s="39" t="s">
        <v>1850</v>
      </c>
      <c r="E90" s="43">
        <v>46125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5"/>
        <v>✓ OK</v>
      </c>
      <c r="N90" s="43">
        <v>46193</v>
      </c>
      <c r="O90" s="26" t="s">
        <v>23</v>
      </c>
      <c r="P90" s="26" t="s">
        <v>24</v>
      </c>
      <c r="Q90" s="26" t="s">
        <v>25</v>
      </c>
      <c r="R90" s="26" t="s">
        <v>26</v>
      </c>
      <c r="S90" s="26" t="s">
        <v>24</v>
      </c>
      <c r="T90" s="27"/>
      <c r="U90" s="28" t="s">
        <v>25</v>
      </c>
      <c r="V90" s="29" t="str">
        <f t="shared" si="6"/>
        <v>✓ OK</v>
      </c>
      <c r="W90" s="45">
        <v>46248</v>
      </c>
      <c r="X90" s="30" t="s">
        <v>23</v>
      </c>
      <c r="Y90" s="30" t="s">
        <v>24</v>
      </c>
      <c r="Z90" s="30" t="s">
        <v>25</v>
      </c>
      <c r="AA90" s="30" t="s">
        <v>26</v>
      </c>
      <c r="AB90" s="30" t="s">
        <v>24</v>
      </c>
      <c r="AC90" s="27"/>
      <c r="AD90" s="31" t="s">
        <v>25</v>
      </c>
      <c r="AE90" s="32" t="str">
        <f t="shared" si="7"/>
        <v>✓ OK</v>
      </c>
      <c r="AF90" s="33" t="s">
        <v>27</v>
      </c>
      <c r="AG90" s="33" t="s">
        <v>23</v>
      </c>
      <c r="AH90" s="33" t="s">
        <v>24</v>
      </c>
      <c r="AI90" s="33" t="s">
        <v>25</v>
      </c>
      <c r="AJ90" s="33" t="s">
        <v>26</v>
      </c>
      <c r="AK90" s="33" t="s">
        <v>24</v>
      </c>
      <c r="AL90" s="27"/>
      <c r="AM90" s="34" t="s">
        <v>25</v>
      </c>
      <c r="AN90" s="35" t="str">
        <f t="shared" si="8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8" customHeight="1" x14ac:dyDescent="0.3">
      <c r="A91" s="23">
        <v>87</v>
      </c>
      <c r="B91" s="24" t="s">
        <v>2021</v>
      </c>
      <c r="C91" s="25" t="s">
        <v>2022</v>
      </c>
      <c r="D91" s="23" t="s">
        <v>1850</v>
      </c>
      <c r="E91" s="43">
        <v>46125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5"/>
        <v>✓ OK</v>
      </c>
      <c r="N91" s="43">
        <v>46193</v>
      </c>
      <c r="O91" s="26" t="s">
        <v>23</v>
      </c>
      <c r="P91" s="26" t="s">
        <v>24</v>
      </c>
      <c r="Q91" s="26" t="s">
        <v>25</v>
      </c>
      <c r="R91" s="26" t="s">
        <v>26</v>
      </c>
      <c r="S91" s="26" t="s">
        <v>24</v>
      </c>
      <c r="T91" s="27"/>
      <c r="U91" s="28" t="s">
        <v>25</v>
      </c>
      <c r="V91" s="29" t="str">
        <f t="shared" si="6"/>
        <v>✓ OK</v>
      </c>
      <c r="W91" s="45">
        <v>46248</v>
      </c>
      <c r="X91" s="30" t="s">
        <v>23</v>
      </c>
      <c r="Y91" s="30" t="s">
        <v>24</v>
      </c>
      <c r="Z91" s="30" t="s">
        <v>25</v>
      </c>
      <c r="AA91" s="30" t="s">
        <v>26</v>
      </c>
      <c r="AB91" s="30" t="s">
        <v>24</v>
      </c>
      <c r="AC91" s="27"/>
      <c r="AD91" s="31" t="s">
        <v>25</v>
      </c>
      <c r="AE91" s="32" t="str">
        <f t="shared" si="7"/>
        <v>✓ OK</v>
      </c>
      <c r="AF91" s="33" t="s">
        <v>27</v>
      </c>
      <c r="AG91" s="33" t="s">
        <v>23</v>
      </c>
      <c r="AH91" s="33" t="s">
        <v>24</v>
      </c>
      <c r="AI91" s="33" t="s">
        <v>25</v>
      </c>
      <c r="AJ91" s="33" t="s">
        <v>26</v>
      </c>
      <c r="AK91" s="33" t="s">
        <v>24</v>
      </c>
      <c r="AL91" s="27"/>
      <c r="AM91" s="34" t="s">
        <v>25</v>
      </c>
      <c r="AN91" s="35" t="str">
        <f t="shared" si="8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8" customHeight="1" x14ac:dyDescent="0.3">
      <c r="A92" s="39">
        <v>88</v>
      </c>
      <c r="B92" s="40" t="s">
        <v>2023</v>
      </c>
      <c r="C92" s="41" t="s">
        <v>2024</v>
      </c>
      <c r="D92" s="39" t="s">
        <v>1850</v>
      </c>
      <c r="E92" s="43">
        <v>46125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/>
      <c r="L92" s="28" t="s">
        <v>25</v>
      </c>
      <c r="M92" s="29" t="str">
        <f t="shared" si="5"/>
        <v>✓ OK</v>
      </c>
      <c r="N92" s="43">
        <v>46193</v>
      </c>
      <c r="O92" s="26" t="s">
        <v>23</v>
      </c>
      <c r="P92" s="26" t="s">
        <v>24</v>
      </c>
      <c r="Q92" s="26" t="s">
        <v>25</v>
      </c>
      <c r="R92" s="26" t="s">
        <v>26</v>
      </c>
      <c r="S92" s="26" t="s">
        <v>24</v>
      </c>
      <c r="T92" s="27"/>
      <c r="U92" s="28" t="s">
        <v>25</v>
      </c>
      <c r="V92" s="29" t="str">
        <f t="shared" si="6"/>
        <v>✓ OK</v>
      </c>
      <c r="W92" s="45">
        <v>46248</v>
      </c>
      <c r="X92" s="30" t="s">
        <v>23</v>
      </c>
      <c r="Y92" s="30" t="s">
        <v>24</v>
      </c>
      <c r="Z92" s="30" t="s">
        <v>25</v>
      </c>
      <c r="AA92" s="30" t="s">
        <v>26</v>
      </c>
      <c r="AB92" s="30" t="s">
        <v>24</v>
      </c>
      <c r="AC92" s="27"/>
      <c r="AD92" s="31" t="s">
        <v>25</v>
      </c>
      <c r="AE92" s="32" t="str">
        <f t="shared" si="7"/>
        <v>✓ OK</v>
      </c>
      <c r="AF92" s="33" t="s">
        <v>27</v>
      </c>
      <c r="AG92" s="33" t="s">
        <v>23</v>
      </c>
      <c r="AH92" s="33" t="s">
        <v>24</v>
      </c>
      <c r="AI92" s="33" t="s">
        <v>25</v>
      </c>
      <c r="AJ92" s="33" t="s">
        <v>26</v>
      </c>
      <c r="AK92" s="33" t="s">
        <v>24</v>
      </c>
      <c r="AL92" s="27"/>
      <c r="AM92" s="34" t="s">
        <v>25</v>
      </c>
      <c r="AN92" s="35" t="str">
        <f t="shared" si="8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8" customHeight="1" x14ac:dyDescent="0.3">
      <c r="A93" s="23">
        <v>89</v>
      </c>
      <c r="B93" s="24" t="s">
        <v>2025</v>
      </c>
      <c r="C93" s="25" t="s">
        <v>2026</v>
      </c>
      <c r="D93" s="23" t="s">
        <v>1850</v>
      </c>
      <c r="E93" s="43">
        <v>46125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/>
      <c r="L93" s="28" t="s">
        <v>25</v>
      </c>
      <c r="M93" s="29" t="str">
        <f t="shared" si="5"/>
        <v>✓ OK</v>
      </c>
      <c r="N93" s="43">
        <v>46193</v>
      </c>
      <c r="O93" s="26" t="s">
        <v>23</v>
      </c>
      <c r="P93" s="26" t="s">
        <v>24</v>
      </c>
      <c r="Q93" s="26" t="s">
        <v>25</v>
      </c>
      <c r="R93" s="26" t="s">
        <v>26</v>
      </c>
      <c r="S93" s="26" t="s">
        <v>24</v>
      </c>
      <c r="T93" s="27"/>
      <c r="U93" s="28" t="s">
        <v>25</v>
      </c>
      <c r="V93" s="29" t="str">
        <f t="shared" si="6"/>
        <v>✓ OK</v>
      </c>
      <c r="W93" s="45">
        <v>46248</v>
      </c>
      <c r="X93" s="30" t="s">
        <v>23</v>
      </c>
      <c r="Y93" s="30" t="s">
        <v>24</v>
      </c>
      <c r="Z93" s="30" t="s">
        <v>25</v>
      </c>
      <c r="AA93" s="30" t="s">
        <v>26</v>
      </c>
      <c r="AB93" s="30" t="s">
        <v>24</v>
      </c>
      <c r="AC93" s="27"/>
      <c r="AD93" s="31" t="s">
        <v>25</v>
      </c>
      <c r="AE93" s="32" t="str">
        <f t="shared" si="7"/>
        <v>✓ OK</v>
      </c>
      <c r="AF93" s="33" t="s">
        <v>27</v>
      </c>
      <c r="AG93" s="33" t="s">
        <v>23</v>
      </c>
      <c r="AH93" s="33" t="s">
        <v>24</v>
      </c>
      <c r="AI93" s="33" t="s">
        <v>25</v>
      </c>
      <c r="AJ93" s="33" t="s">
        <v>26</v>
      </c>
      <c r="AK93" s="33" t="s">
        <v>24</v>
      </c>
      <c r="AL93" s="27"/>
      <c r="AM93" s="34" t="s">
        <v>25</v>
      </c>
      <c r="AN93" s="35" t="str">
        <f t="shared" si="8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8" customHeight="1" x14ac:dyDescent="0.3">
      <c r="A94" s="39">
        <v>90</v>
      </c>
      <c r="B94" s="40" t="s">
        <v>2027</v>
      </c>
      <c r="C94" s="41" t="s">
        <v>2028</v>
      </c>
      <c r="D94" s="39" t="s">
        <v>1850</v>
      </c>
      <c r="E94" s="43">
        <v>46125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/>
      <c r="L94" s="28" t="s">
        <v>25</v>
      </c>
      <c r="M94" s="29" t="str">
        <f t="shared" si="5"/>
        <v>✓ OK</v>
      </c>
      <c r="N94" s="43">
        <v>46193</v>
      </c>
      <c r="O94" s="26" t="s">
        <v>23</v>
      </c>
      <c r="P94" s="26" t="s">
        <v>24</v>
      </c>
      <c r="Q94" s="26" t="s">
        <v>25</v>
      </c>
      <c r="R94" s="26" t="s">
        <v>26</v>
      </c>
      <c r="S94" s="26" t="s">
        <v>24</v>
      </c>
      <c r="T94" s="27"/>
      <c r="U94" s="28" t="s">
        <v>25</v>
      </c>
      <c r="V94" s="29" t="str">
        <f t="shared" si="6"/>
        <v>✓ OK</v>
      </c>
      <c r="W94" s="45">
        <v>46248</v>
      </c>
      <c r="X94" s="30" t="s">
        <v>23</v>
      </c>
      <c r="Y94" s="30" t="s">
        <v>24</v>
      </c>
      <c r="Z94" s="30" t="s">
        <v>25</v>
      </c>
      <c r="AA94" s="30" t="s">
        <v>26</v>
      </c>
      <c r="AB94" s="30" t="s">
        <v>24</v>
      </c>
      <c r="AC94" s="27"/>
      <c r="AD94" s="31" t="s">
        <v>25</v>
      </c>
      <c r="AE94" s="32" t="str">
        <f t="shared" si="7"/>
        <v>✓ OK</v>
      </c>
      <c r="AF94" s="33" t="s">
        <v>27</v>
      </c>
      <c r="AG94" s="33" t="s">
        <v>23</v>
      </c>
      <c r="AH94" s="33" t="s">
        <v>24</v>
      </c>
      <c r="AI94" s="33" t="s">
        <v>25</v>
      </c>
      <c r="AJ94" s="33" t="s">
        <v>26</v>
      </c>
      <c r="AK94" s="33" t="s">
        <v>24</v>
      </c>
      <c r="AL94" s="27"/>
      <c r="AM94" s="34" t="s">
        <v>25</v>
      </c>
      <c r="AN94" s="35" t="str">
        <f t="shared" si="8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8" customHeight="1" x14ac:dyDescent="0.3">
      <c r="A95" s="23">
        <v>91</v>
      </c>
      <c r="B95" s="24" t="s">
        <v>2029</v>
      </c>
      <c r="C95" s="25" t="s">
        <v>2030</v>
      </c>
      <c r="D95" s="23" t="s">
        <v>1850</v>
      </c>
      <c r="E95" s="43">
        <v>46125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5"/>
        <v>✓ OK</v>
      </c>
      <c r="N95" s="43">
        <v>46193</v>
      </c>
      <c r="O95" s="26" t="s">
        <v>23</v>
      </c>
      <c r="P95" s="26" t="s">
        <v>24</v>
      </c>
      <c r="Q95" s="26" t="s">
        <v>25</v>
      </c>
      <c r="R95" s="26" t="s">
        <v>26</v>
      </c>
      <c r="S95" s="26" t="s">
        <v>24</v>
      </c>
      <c r="T95" s="27"/>
      <c r="U95" s="28" t="s">
        <v>25</v>
      </c>
      <c r="V95" s="29" t="str">
        <f t="shared" si="6"/>
        <v>✓ OK</v>
      </c>
      <c r="W95" s="45">
        <v>46248</v>
      </c>
      <c r="X95" s="30" t="s">
        <v>23</v>
      </c>
      <c r="Y95" s="30" t="s">
        <v>24</v>
      </c>
      <c r="Z95" s="30" t="s">
        <v>25</v>
      </c>
      <c r="AA95" s="30" t="s">
        <v>26</v>
      </c>
      <c r="AB95" s="30" t="s">
        <v>24</v>
      </c>
      <c r="AC95" s="27"/>
      <c r="AD95" s="31" t="s">
        <v>25</v>
      </c>
      <c r="AE95" s="32" t="str">
        <f t="shared" si="7"/>
        <v>✓ OK</v>
      </c>
      <c r="AF95" s="33" t="s">
        <v>27</v>
      </c>
      <c r="AG95" s="33" t="s">
        <v>23</v>
      </c>
      <c r="AH95" s="33" t="s">
        <v>24</v>
      </c>
      <c r="AI95" s="33" t="s">
        <v>25</v>
      </c>
      <c r="AJ95" s="33" t="s">
        <v>26</v>
      </c>
      <c r="AK95" s="33" t="s">
        <v>24</v>
      </c>
      <c r="AL95" s="27"/>
      <c r="AM95" s="34" t="s">
        <v>25</v>
      </c>
      <c r="AN95" s="35" t="str">
        <f t="shared" si="8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8" customHeight="1" x14ac:dyDescent="0.3">
      <c r="A96" s="39">
        <v>92</v>
      </c>
      <c r="B96" s="40" t="s">
        <v>2031</v>
      </c>
      <c r="C96" s="41" t="s">
        <v>2032</v>
      </c>
      <c r="D96" s="39" t="s">
        <v>1850</v>
      </c>
      <c r="E96" s="43">
        <v>46125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5"/>
        <v>✓ OK</v>
      </c>
      <c r="N96" s="43">
        <v>46193</v>
      </c>
      <c r="O96" s="26" t="s">
        <v>23</v>
      </c>
      <c r="P96" s="26" t="s">
        <v>24</v>
      </c>
      <c r="Q96" s="26" t="s">
        <v>25</v>
      </c>
      <c r="R96" s="26" t="s">
        <v>26</v>
      </c>
      <c r="S96" s="26" t="s">
        <v>24</v>
      </c>
      <c r="T96" s="27"/>
      <c r="U96" s="28" t="s">
        <v>25</v>
      </c>
      <c r="V96" s="29" t="str">
        <f t="shared" si="6"/>
        <v>✓ OK</v>
      </c>
      <c r="W96" s="45">
        <v>46248</v>
      </c>
      <c r="X96" s="30" t="s">
        <v>23</v>
      </c>
      <c r="Y96" s="30" t="s">
        <v>24</v>
      </c>
      <c r="Z96" s="30" t="s">
        <v>25</v>
      </c>
      <c r="AA96" s="30" t="s">
        <v>26</v>
      </c>
      <c r="AB96" s="30" t="s">
        <v>24</v>
      </c>
      <c r="AC96" s="27"/>
      <c r="AD96" s="31" t="s">
        <v>25</v>
      </c>
      <c r="AE96" s="32" t="str">
        <f t="shared" si="7"/>
        <v>✓ OK</v>
      </c>
      <c r="AF96" s="33" t="s">
        <v>27</v>
      </c>
      <c r="AG96" s="33" t="s">
        <v>23</v>
      </c>
      <c r="AH96" s="33" t="s">
        <v>24</v>
      </c>
      <c r="AI96" s="33" t="s">
        <v>25</v>
      </c>
      <c r="AJ96" s="33" t="s">
        <v>26</v>
      </c>
      <c r="AK96" s="33" t="s">
        <v>24</v>
      </c>
      <c r="AL96" s="27"/>
      <c r="AM96" s="34" t="s">
        <v>25</v>
      </c>
      <c r="AN96" s="35" t="str">
        <f t="shared" si="8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8" customHeight="1" x14ac:dyDescent="0.3">
      <c r="A97" s="23">
        <v>93</v>
      </c>
      <c r="B97" s="24" t="s">
        <v>2033</v>
      </c>
      <c r="C97" s="25" t="s">
        <v>2034</v>
      </c>
      <c r="D97" s="23" t="s">
        <v>1850</v>
      </c>
      <c r="E97" s="43">
        <v>46125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5"/>
        <v>✓ OK</v>
      </c>
      <c r="N97" s="43">
        <v>46193</v>
      </c>
      <c r="O97" s="26" t="s">
        <v>23</v>
      </c>
      <c r="P97" s="26" t="s">
        <v>24</v>
      </c>
      <c r="Q97" s="26" t="s">
        <v>25</v>
      </c>
      <c r="R97" s="26" t="s">
        <v>26</v>
      </c>
      <c r="S97" s="26" t="s">
        <v>24</v>
      </c>
      <c r="T97" s="27"/>
      <c r="U97" s="28" t="s">
        <v>25</v>
      </c>
      <c r="V97" s="29" t="str">
        <f t="shared" si="6"/>
        <v>✓ OK</v>
      </c>
      <c r="W97" s="45">
        <v>46248</v>
      </c>
      <c r="X97" s="30" t="s">
        <v>23</v>
      </c>
      <c r="Y97" s="30" t="s">
        <v>24</v>
      </c>
      <c r="Z97" s="30" t="s">
        <v>25</v>
      </c>
      <c r="AA97" s="30" t="s">
        <v>26</v>
      </c>
      <c r="AB97" s="30" t="s">
        <v>24</v>
      </c>
      <c r="AC97" s="27"/>
      <c r="AD97" s="31" t="s">
        <v>25</v>
      </c>
      <c r="AE97" s="32" t="str">
        <f t="shared" si="7"/>
        <v>✓ OK</v>
      </c>
      <c r="AF97" s="33" t="s">
        <v>27</v>
      </c>
      <c r="AG97" s="33" t="s">
        <v>23</v>
      </c>
      <c r="AH97" s="33" t="s">
        <v>24</v>
      </c>
      <c r="AI97" s="33" t="s">
        <v>25</v>
      </c>
      <c r="AJ97" s="33" t="s">
        <v>26</v>
      </c>
      <c r="AK97" s="33" t="s">
        <v>24</v>
      </c>
      <c r="AL97" s="27"/>
      <c r="AM97" s="34" t="s">
        <v>25</v>
      </c>
      <c r="AN97" s="35" t="str">
        <f t="shared" si="8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8" customHeight="1" x14ac:dyDescent="0.3">
      <c r="A98" s="39">
        <v>94</v>
      </c>
      <c r="B98" s="40" t="s">
        <v>2035</v>
      </c>
      <c r="C98" s="41" t="s">
        <v>2036</v>
      </c>
      <c r="D98" s="39" t="s">
        <v>1850</v>
      </c>
      <c r="E98" s="43">
        <v>46125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5"/>
        <v>✓ OK</v>
      </c>
      <c r="N98" s="43">
        <v>46193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6"/>
        <v>✓ OK</v>
      </c>
      <c r="W98" s="45">
        <v>46248</v>
      </c>
      <c r="X98" s="30" t="s">
        <v>23</v>
      </c>
      <c r="Y98" s="30" t="s">
        <v>24</v>
      </c>
      <c r="Z98" s="30" t="s">
        <v>25</v>
      </c>
      <c r="AA98" s="30" t="s">
        <v>26</v>
      </c>
      <c r="AB98" s="30" t="s">
        <v>24</v>
      </c>
      <c r="AC98" s="27"/>
      <c r="AD98" s="31" t="s">
        <v>25</v>
      </c>
      <c r="AE98" s="32" t="str">
        <f t="shared" si="7"/>
        <v>✓ OK</v>
      </c>
      <c r="AF98" s="33" t="s">
        <v>27</v>
      </c>
      <c r="AG98" s="33" t="s">
        <v>23</v>
      </c>
      <c r="AH98" s="33" t="s">
        <v>24</v>
      </c>
      <c r="AI98" s="33" t="s">
        <v>25</v>
      </c>
      <c r="AJ98" s="33" t="s">
        <v>26</v>
      </c>
      <c r="AK98" s="33" t="s">
        <v>24</v>
      </c>
      <c r="AL98" s="27"/>
      <c r="AM98" s="34" t="s">
        <v>25</v>
      </c>
      <c r="AN98" s="35" t="str">
        <f t="shared" si="8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8" customHeight="1" x14ac:dyDescent="0.3">
      <c r="A99" s="23">
        <v>95</v>
      </c>
      <c r="B99" s="24" t="s">
        <v>2037</v>
      </c>
      <c r="C99" s="25" t="s">
        <v>2038</v>
      </c>
      <c r="D99" s="23" t="s">
        <v>1850</v>
      </c>
      <c r="E99" s="43">
        <v>46125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5"/>
        <v>✓ OK</v>
      </c>
      <c r="N99" s="43">
        <v>46193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6"/>
        <v>✓ OK</v>
      </c>
      <c r="W99" s="45">
        <v>46248</v>
      </c>
      <c r="X99" s="30" t="s">
        <v>23</v>
      </c>
      <c r="Y99" s="30" t="s">
        <v>24</v>
      </c>
      <c r="Z99" s="30" t="s">
        <v>25</v>
      </c>
      <c r="AA99" s="30" t="s">
        <v>26</v>
      </c>
      <c r="AB99" s="30" t="s">
        <v>24</v>
      </c>
      <c r="AC99" s="27"/>
      <c r="AD99" s="31" t="s">
        <v>25</v>
      </c>
      <c r="AE99" s="32" t="str">
        <f t="shared" si="7"/>
        <v>✓ OK</v>
      </c>
      <c r="AF99" s="33" t="s">
        <v>27</v>
      </c>
      <c r="AG99" s="33" t="s">
        <v>23</v>
      </c>
      <c r="AH99" s="33" t="s">
        <v>24</v>
      </c>
      <c r="AI99" s="33" t="s">
        <v>25</v>
      </c>
      <c r="AJ99" s="33" t="s">
        <v>26</v>
      </c>
      <c r="AK99" s="33" t="s">
        <v>24</v>
      </c>
      <c r="AL99" s="27"/>
      <c r="AM99" s="34" t="s">
        <v>25</v>
      </c>
      <c r="AN99" s="35" t="str">
        <f t="shared" si="8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8" customHeight="1" x14ac:dyDescent="0.3">
      <c r="A100" s="39">
        <v>96</v>
      </c>
      <c r="B100" s="40" t="s">
        <v>2039</v>
      </c>
      <c r="C100" s="41" t="s">
        <v>2040</v>
      </c>
      <c r="D100" s="39" t="s">
        <v>1850</v>
      </c>
      <c r="E100" s="43">
        <v>46125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5"/>
        <v>✓ OK</v>
      </c>
      <c r="N100" s="43">
        <v>46193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6"/>
        <v>✓ OK</v>
      </c>
      <c r="W100" s="45">
        <v>46248</v>
      </c>
      <c r="X100" s="30" t="s">
        <v>23</v>
      </c>
      <c r="Y100" s="30" t="s">
        <v>24</v>
      </c>
      <c r="Z100" s="30" t="s">
        <v>25</v>
      </c>
      <c r="AA100" s="30" t="s">
        <v>26</v>
      </c>
      <c r="AB100" s="30" t="s">
        <v>24</v>
      </c>
      <c r="AC100" s="27"/>
      <c r="AD100" s="31" t="s">
        <v>25</v>
      </c>
      <c r="AE100" s="32" t="str">
        <f t="shared" si="7"/>
        <v>✓ OK</v>
      </c>
      <c r="AF100" s="33" t="s">
        <v>27</v>
      </c>
      <c r="AG100" s="33" t="s">
        <v>23</v>
      </c>
      <c r="AH100" s="33" t="s">
        <v>24</v>
      </c>
      <c r="AI100" s="33" t="s">
        <v>25</v>
      </c>
      <c r="AJ100" s="33" t="s">
        <v>26</v>
      </c>
      <c r="AK100" s="33" t="s">
        <v>24</v>
      </c>
      <c r="AL100" s="27"/>
      <c r="AM100" s="34" t="s">
        <v>25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8" customHeight="1" x14ac:dyDescent="0.3">
      <c r="A101" s="23">
        <v>97</v>
      </c>
      <c r="B101" s="24" t="s">
        <v>2041</v>
      </c>
      <c r="C101" s="25" t="s">
        <v>2042</v>
      </c>
      <c r="D101" s="23" t="s">
        <v>1850</v>
      </c>
      <c r="E101" s="43">
        <v>46125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si="5"/>
        <v>✓ OK</v>
      </c>
      <c r="N101" s="43">
        <v>46193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si="6"/>
        <v>✓ OK</v>
      </c>
      <c r="W101" s="45">
        <v>46248</v>
      </c>
      <c r="X101" s="30" t="s">
        <v>23</v>
      </c>
      <c r="Y101" s="30" t="s">
        <v>24</v>
      </c>
      <c r="Z101" s="30" t="s">
        <v>25</v>
      </c>
      <c r="AA101" s="30" t="s">
        <v>26</v>
      </c>
      <c r="AB101" s="30" t="s">
        <v>24</v>
      </c>
      <c r="AC101" s="27"/>
      <c r="AD101" s="31" t="s">
        <v>25</v>
      </c>
      <c r="AE101" s="32" t="str">
        <f t="shared" si="7"/>
        <v>✓ OK</v>
      </c>
      <c r="AF101" s="33" t="s">
        <v>27</v>
      </c>
      <c r="AG101" s="33" t="s">
        <v>23</v>
      </c>
      <c r="AH101" s="33" t="s">
        <v>24</v>
      </c>
      <c r="AI101" s="33" t="s">
        <v>25</v>
      </c>
      <c r="AJ101" s="33" t="s">
        <v>26</v>
      </c>
      <c r="AK101" s="33" t="s">
        <v>24</v>
      </c>
      <c r="AL101" s="27"/>
      <c r="AM101" s="34" t="s">
        <v>25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8" customHeight="1" x14ac:dyDescent="0.3">
      <c r="A102" s="39">
        <v>98</v>
      </c>
      <c r="B102" s="40" t="s">
        <v>2043</v>
      </c>
      <c r="C102" s="41" t="s">
        <v>2044</v>
      </c>
      <c r="D102" s="39" t="s">
        <v>1850</v>
      </c>
      <c r="E102" s="43">
        <v>46125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5"/>
        <v>✓ OK</v>
      </c>
      <c r="N102" s="43">
        <v>46193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6"/>
        <v>✓ OK</v>
      </c>
      <c r="W102" s="45">
        <v>46248</v>
      </c>
      <c r="X102" s="30" t="s">
        <v>23</v>
      </c>
      <c r="Y102" s="30" t="s">
        <v>24</v>
      </c>
      <c r="Z102" s="30" t="s">
        <v>25</v>
      </c>
      <c r="AA102" s="30" t="s">
        <v>26</v>
      </c>
      <c r="AB102" s="30" t="s">
        <v>24</v>
      </c>
      <c r="AC102" s="27"/>
      <c r="AD102" s="31" t="s">
        <v>25</v>
      </c>
      <c r="AE102" s="32" t="str">
        <f t="shared" si="7"/>
        <v>✓ OK</v>
      </c>
      <c r="AF102" s="33" t="s">
        <v>27</v>
      </c>
      <c r="AG102" s="33" t="s">
        <v>23</v>
      </c>
      <c r="AH102" s="33" t="s">
        <v>24</v>
      </c>
      <c r="AI102" s="33" t="s">
        <v>25</v>
      </c>
      <c r="AJ102" s="33" t="s">
        <v>26</v>
      </c>
      <c r="AK102" s="33" t="s">
        <v>24</v>
      </c>
      <c r="AL102" s="27"/>
      <c r="AM102" s="34" t="s">
        <v>25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8" customHeight="1" x14ac:dyDescent="0.3">
      <c r="A103" s="23">
        <v>99</v>
      </c>
      <c r="B103" s="24" t="s">
        <v>2045</v>
      </c>
      <c r="C103" s="25" t="s">
        <v>2046</v>
      </c>
      <c r="D103" s="23" t="s">
        <v>1850</v>
      </c>
      <c r="E103" s="43">
        <v>46125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5"/>
        <v>✓ OK</v>
      </c>
      <c r="N103" s="43">
        <v>46193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6"/>
        <v>✓ OK</v>
      </c>
      <c r="W103" s="45">
        <v>46248</v>
      </c>
      <c r="X103" s="30" t="s">
        <v>23</v>
      </c>
      <c r="Y103" s="30" t="s">
        <v>24</v>
      </c>
      <c r="Z103" s="30" t="s">
        <v>25</v>
      </c>
      <c r="AA103" s="30" t="s">
        <v>26</v>
      </c>
      <c r="AB103" s="30" t="s">
        <v>24</v>
      </c>
      <c r="AC103" s="27"/>
      <c r="AD103" s="31" t="s">
        <v>25</v>
      </c>
      <c r="AE103" s="32" t="str">
        <f t="shared" si="7"/>
        <v>✓ OK</v>
      </c>
      <c r="AF103" s="33" t="s">
        <v>27</v>
      </c>
      <c r="AG103" s="33" t="s">
        <v>23</v>
      </c>
      <c r="AH103" s="33" t="s">
        <v>24</v>
      </c>
      <c r="AI103" s="33" t="s">
        <v>25</v>
      </c>
      <c r="AJ103" s="33" t="s">
        <v>26</v>
      </c>
      <c r="AK103" s="33" t="s">
        <v>24</v>
      </c>
      <c r="AL103" s="27"/>
      <c r="AM103" s="34" t="s">
        <v>25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8" customHeight="1" x14ac:dyDescent="0.3">
      <c r="A104" s="39">
        <v>100</v>
      </c>
      <c r="B104" s="40" t="s">
        <v>2047</v>
      </c>
      <c r="C104" s="41" t="s">
        <v>2048</v>
      </c>
      <c r="D104" s="39" t="s">
        <v>1850</v>
      </c>
      <c r="E104" s="43">
        <v>46125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5"/>
        <v>✓ OK</v>
      </c>
      <c r="N104" s="43">
        <v>46193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6"/>
        <v>✓ OK</v>
      </c>
      <c r="W104" s="45">
        <v>46248</v>
      </c>
      <c r="X104" s="30" t="s">
        <v>23</v>
      </c>
      <c r="Y104" s="30" t="s">
        <v>24</v>
      </c>
      <c r="Z104" s="30" t="s">
        <v>25</v>
      </c>
      <c r="AA104" s="30" t="s">
        <v>26</v>
      </c>
      <c r="AB104" s="30" t="s">
        <v>24</v>
      </c>
      <c r="AC104" s="27"/>
      <c r="AD104" s="31" t="s">
        <v>25</v>
      </c>
      <c r="AE104" s="32" t="str">
        <f t="shared" si="7"/>
        <v>✓ OK</v>
      </c>
      <c r="AF104" s="33" t="s">
        <v>27</v>
      </c>
      <c r="AG104" s="33" t="s">
        <v>23</v>
      </c>
      <c r="AH104" s="33" t="s">
        <v>24</v>
      </c>
      <c r="AI104" s="33" t="s">
        <v>25</v>
      </c>
      <c r="AJ104" s="33" t="s">
        <v>26</v>
      </c>
      <c r="AK104" s="33" t="s">
        <v>24</v>
      </c>
      <c r="AL104" s="27"/>
      <c r="AM104" s="34" t="s">
        <v>25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8" customHeight="1" x14ac:dyDescent="0.3">
      <c r="A105" s="23">
        <v>101</v>
      </c>
      <c r="B105" s="24" t="s">
        <v>2049</v>
      </c>
      <c r="C105" s="25" t="s">
        <v>2050</v>
      </c>
      <c r="D105" s="23" t="s">
        <v>1850</v>
      </c>
      <c r="E105" s="43">
        <v>46125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5"/>
        <v>✓ OK</v>
      </c>
      <c r="N105" s="43">
        <v>46193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6"/>
        <v>✓ OK</v>
      </c>
      <c r="W105" s="45">
        <v>46248</v>
      </c>
      <c r="X105" s="30" t="s">
        <v>23</v>
      </c>
      <c r="Y105" s="30" t="s">
        <v>24</v>
      </c>
      <c r="Z105" s="30" t="s">
        <v>25</v>
      </c>
      <c r="AA105" s="30" t="s">
        <v>26</v>
      </c>
      <c r="AB105" s="30" t="s">
        <v>24</v>
      </c>
      <c r="AC105" s="27"/>
      <c r="AD105" s="31" t="s">
        <v>25</v>
      </c>
      <c r="AE105" s="32" t="str">
        <f t="shared" si="7"/>
        <v>✓ OK</v>
      </c>
      <c r="AF105" s="33" t="s">
        <v>27</v>
      </c>
      <c r="AG105" s="33" t="s">
        <v>23</v>
      </c>
      <c r="AH105" s="33" t="s">
        <v>24</v>
      </c>
      <c r="AI105" s="33" t="s">
        <v>25</v>
      </c>
      <c r="AJ105" s="33" t="s">
        <v>26</v>
      </c>
      <c r="AK105" s="33" t="s">
        <v>24</v>
      </c>
      <c r="AL105" s="27"/>
      <c r="AM105" s="34" t="s">
        <v>25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8" customHeight="1" x14ac:dyDescent="0.3">
      <c r="A106" s="39">
        <v>102</v>
      </c>
      <c r="B106" s="40" t="s">
        <v>2051</v>
      </c>
      <c r="C106" s="41" t="s">
        <v>2052</v>
      </c>
      <c r="D106" s="39" t="s">
        <v>1850</v>
      </c>
      <c r="E106" s="43">
        <v>46125</v>
      </c>
      <c r="F106" s="26" t="s">
        <v>23</v>
      </c>
      <c r="G106" s="26" t="s">
        <v>24</v>
      </c>
      <c r="H106" s="26" t="s">
        <v>25</v>
      </c>
      <c r="I106" s="26" t="s">
        <v>26</v>
      </c>
      <c r="J106" s="26" t="s">
        <v>24</v>
      </c>
      <c r="K106" s="27"/>
      <c r="L106" s="28" t="s">
        <v>25</v>
      </c>
      <c r="M106" s="29" t="str">
        <f t="shared" si="5"/>
        <v>✓ OK</v>
      </c>
      <c r="N106" s="43">
        <v>46193</v>
      </c>
      <c r="O106" s="26" t="s">
        <v>23</v>
      </c>
      <c r="P106" s="26" t="s">
        <v>24</v>
      </c>
      <c r="Q106" s="26" t="s">
        <v>25</v>
      </c>
      <c r="R106" s="26" t="s">
        <v>26</v>
      </c>
      <c r="S106" s="26" t="s">
        <v>24</v>
      </c>
      <c r="T106" s="27"/>
      <c r="U106" s="28" t="s">
        <v>25</v>
      </c>
      <c r="V106" s="29" t="str">
        <f t="shared" si="6"/>
        <v>✓ OK</v>
      </c>
      <c r="W106" s="45">
        <v>46248</v>
      </c>
      <c r="X106" s="30" t="s">
        <v>23</v>
      </c>
      <c r="Y106" s="30" t="s">
        <v>24</v>
      </c>
      <c r="Z106" s="30" t="s">
        <v>25</v>
      </c>
      <c r="AA106" s="30" t="s">
        <v>26</v>
      </c>
      <c r="AB106" s="30" t="s">
        <v>24</v>
      </c>
      <c r="AC106" s="27"/>
      <c r="AD106" s="31" t="s">
        <v>25</v>
      </c>
      <c r="AE106" s="32" t="str">
        <f t="shared" si="7"/>
        <v>✓ OK</v>
      </c>
      <c r="AF106" s="33" t="s">
        <v>27</v>
      </c>
      <c r="AG106" s="33" t="s">
        <v>23</v>
      </c>
      <c r="AH106" s="33" t="s">
        <v>24</v>
      </c>
      <c r="AI106" s="33" t="s">
        <v>25</v>
      </c>
      <c r="AJ106" s="33" t="s">
        <v>26</v>
      </c>
      <c r="AK106" s="33" t="s">
        <v>24</v>
      </c>
      <c r="AL106" s="27"/>
      <c r="AM106" s="34" t="s">
        <v>25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8" customHeight="1" x14ac:dyDescent="0.3">
      <c r="A107" s="23">
        <v>103</v>
      </c>
      <c r="B107" s="24" t="s">
        <v>2053</v>
      </c>
      <c r="C107" s="25" t="s">
        <v>2054</v>
      </c>
      <c r="D107" s="23" t="s">
        <v>1850</v>
      </c>
      <c r="E107" s="43">
        <v>46125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5"/>
        <v>✓ OK</v>
      </c>
      <c r="N107" s="43">
        <v>46193</v>
      </c>
      <c r="O107" s="26" t="s">
        <v>23</v>
      </c>
      <c r="P107" s="26" t="s">
        <v>24</v>
      </c>
      <c r="Q107" s="26" t="s">
        <v>25</v>
      </c>
      <c r="R107" s="26" t="s">
        <v>26</v>
      </c>
      <c r="S107" s="26" t="s">
        <v>24</v>
      </c>
      <c r="T107" s="27"/>
      <c r="U107" s="28" t="s">
        <v>25</v>
      </c>
      <c r="V107" s="29" t="str">
        <f t="shared" si="6"/>
        <v>✓ OK</v>
      </c>
      <c r="W107" s="45">
        <v>46248</v>
      </c>
      <c r="X107" s="30" t="s">
        <v>23</v>
      </c>
      <c r="Y107" s="30" t="s">
        <v>24</v>
      </c>
      <c r="Z107" s="30" t="s">
        <v>25</v>
      </c>
      <c r="AA107" s="30" t="s">
        <v>26</v>
      </c>
      <c r="AB107" s="30" t="s">
        <v>24</v>
      </c>
      <c r="AC107" s="27"/>
      <c r="AD107" s="31" t="s">
        <v>25</v>
      </c>
      <c r="AE107" s="32" t="str">
        <f t="shared" si="7"/>
        <v>✓ OK</v>
      </c>
      <c r="AF107" s="33" t="s">
        <v>27</v>
      </c>
      <c r="AG107" s="33" t="s">
        <v>23</v>
      </c>
      <c r="AH107" s="33" t="s">
        <v>24</v>
      </c>
      <c r="AI107" s="33" t="s">
        <v>25</v>
      </c>
      <c r="AJ107" s="33" t="s">
        <v>26</v>
      </c>
      <c r="AK107" s="33" t="s">
        <v>24</v>
      </c>
      <c r="AL107" s="27"/>
      <c r="AM107" s="34" t="s">
        <v>25</v>
      </c>
      <c r="AN107" s="35" t="str">
        <f t="shared" si="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8" customHeight="1" x14ac:dyDescent="0.3">
      <c r="A108" s="39">
        <v>104</v>
      </c>
      <c r="B108" s="40" t="s">
        <v>2055</v>
      </c>
      <c r="C108" s="41" t="s">
        <v>2056</v>
      </c>
      <c r="D108" s="39" t="s">
        <v>1850</v>
      </c>
      <c r="E108" s="43">
        <v>46125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5"/>
        <v>✓ OK</v>
      </c>
      <c r="N108" s="43">
        <v>46193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6"/>
        <v>✓ OK</v>
      </c>
      <c r="W108" s="45">
        <v>46248</v>
      </c>
      <c r="X108" s="30" t="s">
        <v>23</v>
      </c>
      <c r="Y108" s="30" t="s">
        <v>24</v>
      </c>
      <c r="Z108" s="30" t="s">
        <v>25</v>
      </c>
      <c r="AA108" s="30" t="s">
        <v>26</v>
      </c>
      <c r="AB108" s="30" t="s">
        <v>24</v>
      </c>
      <c r="AC108" s="27"/>
      <c r="AD108" s="31" t="s">
        <v>25</v>
      </c>
      <c r="AE108" s="32" t="str">
        <f t="shared" si="7"/>
        <v>✓ OK</v>
      </c>
      <c r="AF108" s="33" t="s">
        <v>27</v>
      </c>
      <c r="AG108" s="33" t="s">
        <v>23</v>
      </c>
      <c r="AH108" s="33" t="s">
        <v>24</v>
      </c>
      <c r="AI108" s="33" t="s">
        <v>25</v>
      </c>
      <c r="AJ108" s="33" t="s">
        <v>26</v>
      </c>
      <c r="AK108" s="33" t="s">
        <v>24</v>
      </c>
      <c r="AL108" s="27"/>
      <c r="AM108" s="34" t="s">
        <v>25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8" customHeight="1" x14ac:dyDescent="0.3">
      <c r="A109" s="23">
        <v>105</v>
      </c>
      <c r="B109" s="24" t="s">
        <v>2057</v>
      </c>
      <c r="C109" s="25" t="s">
        <v>2058</v>
      </c>
      <c r="D109" s="23" t="s">
        <v>1850</v>
      </c>
      <c r="E109" s="43">
        <v>46125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5"/>
        <v>✓ OK</v>
      </c>
      <c r="N109" s="43">
        <v>46193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6"/>
        <v>✓ OK</v>
      </c>
      <c r="W109" s="45">
        <v>46248</v>
      </c>
      <c r="X109" s="30" t="s">
        <v>23</v>
      </c>
      <c r="Y109" s="30" t="s">
        <v>24</v>
      </c>
      <c r="Z109" s="30" t="s">
        <v>25</v>
      </c>
      <c r="AA109" s="30" t="s">
        <v>26</v>
      </c>
      <c r="AB109" s="30" t="s">
        <v>24</v>
      </c>
      <c r="AC109" s="27"/>
      <c r="AD109" s="31" t="s">
        <v>25</v>
      </c>
      <c r="AE109" s="32" t="str">
        <f t="shared" si="7"/>
        <v>✓ OK</v>
      </c>
      <c r="AF109" s="33" t="s">
        <v>27</v>
      </c>
      <c r="AG109" s="33" t="s">
        <v>23</v>
      </c>
      <c r="AH109" s="33" t="s">
        <v>24</v>
      </c>
      <c r="AI109" s="33" t="s">
        <v>25</v>
      </c>
      <c r="AJ109" s="33" t="s">
        <v>26</v>
      </c>
      <c r="AK109" s="33" t="s">
        <v>24</v>
      </c>
      <c r="AL109" s="27"/>
      <c r="AM109" s="34" t="s">
        <v>25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8" customHeight="1" x14ac:dyDescent="0.3">
      <c r="A110" s="39">
        <v>106</v>
      </c>
      <c r="B110" s="40" t="s">
        <v>2059</v>
      </c>
      <c r="C110" s="41" t="s">
        <v>2060</v>
      </c>
      <c r="D110" s="39" t="s">
        <v>1850</v>
      </c>
      <c r="E110" s="43">
        <v>46125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5"/>
        <v>✓ OK</v>
      </c>
      <c r="N110" s="43">
        <v>46193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6"/>
        <v>✓ OK</v>
      </c>
      <c r="W110" s="45">
        <v>46248</v>
      </c>
      <c r="X110" s="30" t="s">
        <v>23</v>
      </c>
      <c r="Y110" s="30" t="s">
        <v>24</v>
      </c>
      <c r="Z110" s="30" t="s">
        <v>25</v>
      </c>
      <c r="AA110" s="30" t="s">
        <v>26</v>
      </c>
      <c r="AB110" s="30" t="s">
        <v>24</v>
      </c>
      <c r="AC110" s="27"/>
      <c r="AD110" s="31" t="s">
        <v>25</v>
      </c>
      <c r="AE110" s="32" t="str">
        <f t="shared" si="7"/>
        <v>✓ OK</v>
      </c>
      <c r="AF110" s="33" t="s">
        <v>27</v>
      </c>
      <c r="AG110" s="33" t="s">
        <v>23</v>
      </c>
      <c r="AH110" s="33" t="s">
        <v>24</v>
      </c>
      <c r="AI110" s="33" t="s">
        <v>25</v>
      </c>
      <c r="AJ110" s="33" t="s">
        <v>26</v>
      </c>
      <c r="AK110" s="33" t="s">
        <v>24</v>
      </c>
      <c r="AL110" s="27"/>
      <c r="AM110" s="34" t="s">
        <v>25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8" customHeight="1" x14ac:dyDescent="0.3">
      <c r="A111" s="23">
        <v>107</v>
      </c>
      <c r="B111" s="24" t="s">
        <v>2061</v>
      </c>
      <c r="C111" s="25" t="s">
        <v>2062</v>
      </c>
      <c r="D111" s="23" t="s">
        <v>1850</v>
      </c>
      <c r="E111" s="43">
        <v>46125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5"/>
        <v>✓ OK</v>
      </c>
      <c r="N111" s="43">
        <v>46193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6"/>
        <v>✓ OK</v>
      </c>
      <c r="W111" s="45">
        <v>46248</v>
      </c>
      <c r="X111" s="30" t="s">
        <v>23</v>
      </c>
      <c r="Y111" s="30" t="s">
        <v>24</v>
      </c>
      <c r="Z111" s="30" t="s">
        <v>25</v>
      </c>
      <c r="AA111" s="30" t="s">
        <v>26</v>
      </c>
      <c r="AB111" s="30" t="s">
        <v>24</v>
      </c>
      <c r="AC111" s="27"/>
      <c r="AD111" s="31" t="s">
        <v>25</v>
      </c>
      <c r="AE111" s="32" t="str">
        <f t="shared" si="7"/>
        <v>✓ OK</v>
      </c>
      <c r="AF111" s="33" t="s">
        <v>27</v>
      </c>
      <c r="AG111" s="33" t="s">
        <v>23</v>
      </c>
      <c r="AH111" s="33" t="s">
        <v>24</v>
      </c>
      <c r="AI111" s="33" t="s">
        <v>25</v>
      </c>
      <c r="AJ111" s="33" t="s">
        <v>26</v>
      </c>
      <c r="AK111" s="33" t="s">
        <v>24</v>
      </c>
      <c r="AL111" s="27"/>
      <c r="AM111" s="34" t="s">
        <v>25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8" customHeight="1" x14ac:dyDescent="0.3">
      <c r="A112" s="39">
        <v>108</v>
      </c>
      <c r="B112" s="40" t="s">
        <v>2063</v>
      </c>
      <c r="C112" s="41" t="s">
        <v>2064</v>
      </c>
      <c r="D112" s="39" t="s">
        <v>1850</v>
      </c>
      <c r="E112" s="43">
        <v>46125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5"/>
        <v>✓ OK</v>
      </c>
      <c r="N112" s="43">
        <v>46193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6"/>
        <v>✓ OK</v>
      </c>
      <c r="W112" s="45">
        <v>46248</v>
      </c>
      <c r="X112" s="30" t="s">
        <v>23</v>
      </c>
      <c r="Y112" s="30" t="s">
        <v>24</v>
      </c>
      <c r="Z112" s="30" t="s">
        <v>25</v>
      </c>
      <c r="AA112" s="30" t="s">
        <v>26</v>
      </c>
      <c r="AB112" s="30" t="s">
        <v>24</v>
      </c>
      <c r="AC112" s="27"/>
      <c r="AD112" s="31" t="s">
        <v>25</v>
      </c>
      <c r="AE112" s="32" t="str">
        <f t="shared" si="7"/>
        <v>✓ OK</v>
      </c>
      <c r="AF112" s="33" t="s">
        <v>27</v>
      </c>
      <c r="AG112" s="33" t="s">
        <v>23</v>
      </c>
      <c r="AH112" s="33" t="s">
        <v>24</v>
      </c>
      <c r="AI112" s="33" t="s">
        <v>25</v>
      </c>
      <c r="AJ112" s="33" t="s">
        <v>26</v>
      </c>
      <c r="AK112" s="33" t="s">
        <v>24</v>
      </c>
      <c r="AL112" s="27"/>
      <c r="AM112" s="34" t="s">
        <v>25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8" customHeight="1" x14ac:dyDescent="0.3">
      <c r="A113" s="23">
        <v>109</v>
      </c>
      <c r="B113" s="24" t="s">
        <v>2065</v>
      </c>
      <c r="C113" s="25" t="s">
        <v>2066</v>
      </c>
      <c r="D113" s="23" t="s">
        <v>1850</v>
      </c>
      <c r="E113" s="43">
        <v>46125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/>
      <c r="L113" s="28" t="s">
        <v>25</v>
      </c>
      <c r="M113" s="29" t="str">
        <f t="shared" si="5"/>
        <v>✓ OK</v>
      </c>
      <c r="N113" s="43">
        <v>46193</v>
      </c>
      <c r="O113" s="26" t="s">
        <v>23</v>
      </c>
      <c r="P113" s="26" t="s">
        <v>24</v>
      </c>
      <c r="Q113" s="26" t="s">
        <v>25</v>
      </c>
      <c r="R113" s="26" t="s">
        <v>26</v>
      </c>
      <c r="S113" s="26" t="s">
        <v>24</v>
      </c>
      <c r="T113" s="27"/>
      <c r="U113" s="28" t="s">
        <v>25</v>
      </c>
      <c r="V113" s="29" t="str">
        <f t="shared" si="6"/>
        <v>✓ OK</v>
      </c>
      <c r="W113" s="45">
        <v>46248</v>
      </c>
      <c r="X113" s="30" t="s">
        <v>23</v>
      </c>
      <c r="Y113" s="30" t="s">
        <v>24</v>
      </c>
      <c r="Z113" s="30" t="s">
        <v>25</v>
      </c>
      <c r="AA113" s="30" t="s">
        <v>26</v>
      </c>
      <c r="AB113" s="30" t="s">
        <v>24</v>
      </c>
      <c r="AC113" s="27"/>
      <c r="AD113" s="31" t="s">
        <v>25</v>
      </c>
      <c r="AE113" s="32" t="str">
        <f t="shared" si="7"/>
        <v>✓ OK</v>
      </c>
      <c r="AF113" s="33" t="s">
        <v>27</v>
      </c>
      <c r="AG113" s="33" t="s">
        <v>23</v>
      </c>
      <c r="AH113" s="33" t="s">
        <v>24</v>
      </c>
      <c r="AI113" s="33" t="s">
        <v>25</v>
      </c>
      <c r="AJ113" s="33" t="s">
        <v>26</v>
      </c>
      <c r="AK113" s="33" t="s">
        <v>24</v>
      </c>
      <c r="AL113" s="27"/>
      <c r="AM113" s="34" t="s">
        <v>25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8" customHeight="1" x14ac:dyDescent="0.3">
      <c r="A114" s="39">
        <v>110</v>
      </c>
      <c r="B114" s="40" t="s">
        <v>2067</v>
      </c>
      <c r="C114" s="41" t="s">
        <v>2068</v>
      </c>
      <c r="D114" s="39" t="s">
        <v>1850</v>
      </c>
      <c r="E114" s="43">
        <v>46125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5"/>
        <v>✓ OK</v>
      </c>
      <c r="N114" s="43">
        <v>46193</v>
      </c>
      <c r="O114" s="26" t="s">
        <v>23</v>
      </c>
      <c r="P114" s="26" t="s">
        <v>24</v>
      </c>
      <c r="Q114" s="26" t="s">
        <v>25</v>
      </c>
      <c r="R114" s="26" t="s">
        <v>26</v>
      </c>
      <c r="S114" s="26" t="s">
        <v>24</v>
      </c>
      <c r="T114" s="27"/>
      <c r="U114" s="28" t="s">
        <v>25</v>
      </c>
      <c r="V114" s="29" t="str">
        <f t="shared" si="6"/>
        <v>✓ OK</v>
      </c>
      <c r="W114" s="45">
        <v>46248</v>
      </c>
      <c r="X114" s="30" t="s">
        <v>23</v>
      </c>
      <c r="Y114" s="30" t="s">
        <v>24</v>
      </c>
      <c r="Z114" s="30" t="s">
        <v>25</v>
      </c>
      <c r="AA114" s="30" t="s">
        <v>26</v>
      </c>
      <c r="AB114" s="30" t="s">
        <v>24</v>
      </c>
      <c r="AC114" s="27"/>
      <c r="AD114" s="31" t="s">
        <v>25</v>
      </c>
      <c r="AE114" s="32" t="str">
        <f t="shared" si="7"/>
        <v>✓ OK</v>
      </c>
      <c r="AF114" s="33" t="s">
        <v>27</v>
      </c>
      <c r="AG114" s="33" t="s">
        <v>23</v>
      </c>
      <c r="AH114" s="33" t="s">
        <v>24</v>
      </c>
      <c r="AI114" s="33" t="s">
        <v>25</v>
      </c>
      <c r="AJ114" s="33" t="s">
        <v>26</v>
      </c>
      <c r="AK114" s="33" t="s">
        <v>24</v>
      </c>
      <c r="AL114" s="27"/>
      <c r="AM114" s="34" t="s">
        <v>25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8" customHeight="1" x14ac:dyDescent="0.3">
      <c r="A115" s="23">
        <v>111</v>
      </c>
      <c r="B115" s="24" t="s">
        <v>2069</v>
      </c>
      <c r="C115" s="25" t="s">
        <v>2070</v>
      </c>
      <c r="D115" s="23" t="s">
        <v>1850</v>
      </c>
      <c r="E115" s="43">
        <v>46125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5"/>
        <v>✓ OK</v>
      </c>
      <c r="N115" s="43">
        <v>46193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6"/>
        <v>✓ OK</v>
      </c>
      <c r="W115" s="45">
        <v>46248</v>
      </c>
      <c r="X115" s="30" t="s">
        <v>23</v>
      </c>
      <c r="Y115" s="30" t="s">
        <v>24</v>
      </c>
      <c r="Z115" s="30" t="s">
        <v>25</v>
      </c>
      <c r="AA115" s="30" t="s">
        <v>26</v>
      </c>
      <c r="AB115" s="30" t="s">
        <v>24</v>
      </c>
      <c r="AC115" s="27"/>
      <c r="AD115" s="31" t="s">
        <v>25</v>
      </c>
      <c r="AE115" s="32" t="str">
        <f t="shared" si="7"/>
        <v>✓ OK</v>
      </c>
      <c r="AF115" s="33" t="s">
        <v>27</v>
      </c>
      <c r="AG115" s="33" t="s">
        <v>23</v>
      </c>
      <c r="AH115" s="33" t="s">
        <v>24</v>
      </c>
      <c r="AI115" s="33" t="s">
        <v>25</v>
      </c>
      <c r="AJ115" s="33" t="s">
        <v>26</v>
      </c>
      <c r="AK115" s="33" t="s">
        <v>24</v>
      </c>
      <c r="AL115" s="27"/>
      <c r="AM115" s="34" t="s">
        <v>25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8" customHeight="1" x14ac:dyDescent="0.3">
      <c r="A116" s="39">
        <v>112</v>
      </c>
      <c r="B116" s="40" t="s">
        <v>2071</v>
      </c>
      <c r="C116" s="41" t="s">
        <v>2072</v>
      </c>
      <c r="D116" s="39" t="s">
        <v>1850</v>
      </c>
      <c r="E116" s="43">
        <v>46125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5"/>
        <v>✓ OK</v>
      </c>
      <c r="N116" s="43">
        <v>46193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6"/>
        <v>✓ OK</v>
      </c>
      <c r="W116" s="45">
        <v>46248</v>
      </c>
      <c r="X116" s="30" t="s">
        <v>23</v>
      </c>
      <c r="Y116" s="30" t="s">
        <v>24</v>
      </c>
      <c r="Z116" s="30" t="s">
        <v>25</v>
      </c>
      <c r="AA116" s="30" t="s">
        <v>26</v>
      </c>
      <c r="AB116" s="30" t="s">
        <v>24</v>
      </c>
      <c r="AC116" s="27"/>
      <c r="AD116" s="31" t="s">
        <v>25</v>
      </c>
      <c r="AE116" s="32" t="str">
        <f t="shared" si="7"/>
        <v>✓ OK</v>
      </c>
      <c r="AF116" s="33" t="s">
        <v>27</v>
      </c>
      <c r="AG116" s="33" t="s">
        <v>23</v>
      </c>
      <c r="AH116" s="33" t="s">
        <v>24</v>
      </c>
      <c r="AI116" s="33" t="s">
        <v>25</v>
      </c>
      <c r="AJ116" s="33" t="s">
        <v>26</v>
      </c>
      <c r="AK116" s="33" t="s">
        <v>24</v>
      </c>
      <c r="AL116" s="27"/>
      <c r="AM116" s="34" t="s">
        <v>25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8" customHeight="1" x14ac:dyDescent="0.3">
      <c r="A117" s="23">
        <v>113</v>
      </c>
      <c r="B117" s="24" t="s">
        <v>2073</v>
      </c>
      <c r="C117" s="25" t="s">
        <v>2074</v>
      </c>
      <c r="D117" s="23" t="s">
        <v>1850</v>
      </c>
      <c r="E117" s="43">
        <v>46125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5"/>
        <v>✓ OK</v>
      </c>
      <c r="N117" s="43">
        <v>46193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6"/>
        <v>✓ OK</v>
      </c>
      <c r="W117" s="45">
        <v>46248</v>
      </c>
      <c r="X117" s="30" t="s">
        <v>23</v>
      </c>
      <c r="Y117" s="30" t="s">
        <v>24</v>
      </c>
      <c r="Z117" s="30" t="s">
        <v>25</v>
      </c>
      <c r="AA117" s="30" t="s">
        <v>26</v>
      </c>
      <c r="AB117" s="30" t="s">
        <v>24</v>
      </c>
      <c r="AC117" s="27"/>
      <c r="AD117" s="31" t="s">
        <v>25</v>
      </c>
      <c r="AE117" s="32" t="str">
        <f t="shared" si="7"/>
        <v>✓ OK</v>
      </c>
      <c r="AF117" s="33" t="s">
        <v>27</v>
      </c>
      <c r="AG117" s="33" t="s">
        <v>23</v>
      </c>
      <c r="AH117" s="33" t="s">
        <v>24</v>
      </c>
      <c r="AI117" s="33" t="s">
        <v>25</v>
      </c>
      <c r="AJ117" s="33" t="s">
        <v>26</v>
      </c>
      <c r="AK117" s="33" t="s">
        <v>24</v>
      </c>
      <c r="AL117" s="27"/>
      <c r="AM117" s="34" t="s">
        <v>25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8" customHeight="1" x14ac:dyDescent="0.3">
      <c r="A118" s="39">
        <v>114</v>
      </c>
      <c r="B118" s="40" t="s">
        <v>2075</v>
      </c>
      <c r="C118" s="41" t="s">
        <v>2076</v>
      </c>
      <c r="D118" s="39" t="s">
        <v>1850</v>
      </c>
      <c r="E118" s="43">
        <v>46125</v>
      </c>
      <c r="F118" s="26" t="s">
        <v>23</v>
      </c>
      <c r="G118" s="26" t="s">
        <v>24</v>
      </c>
      <c r="H118" s="26" t="s">
        <v>25</v>
      </c>
      <c r="I118" s="26" t="s">
        <v>26</v>
      </c>
      <c r="J118" s="26" t="s">
        <v>24</v>
      </c>
      <c r="K118" s="27"/>
      <c r="L118" s="28" t="s">
        <v>25</v>
      </c>
      <c r="M118" s="29" t="str">
        <f t="shared" si="5"/>
        <v>✓ OK</v>
      </c>
      <c r="N118" s="43">
        <v>46193</v>
      </c>
      <c r="O118" s="26" t="s">
        <v>23</v>
      </c>
      <c r="P118" s="26" t="s">
        <v>24</v>
      </c>
      <c r="Q118" s="26" t="s">
        <v>25</v>
      </c>
      <c r="R118" s="26" t="s">
        <v>26</v>
      </c>
      <c r="S118" s="26" t="s">
        <v>24</v>
      </c>
      <c r="T118" s="27"/>
      <c r="U118" s="28" t="s">
        <v>25</v>
      </c>
      <c r="V118" s="29" t="str">
        <f t="shared" si="6"/>
        <v>✓ OK</v>
      </c>
      <c r="W118" s="45">
        <v>46248</v>
      </c>
      <c r="X118" s="30" t="s">
        <v>23</v>
      </c>
      <c r="Y118" s="30" t="s">
        <v>24</v>
      </c>
      <c r="Z118" s="30" t="s">
        <v>25</v>
      </c>
      <c r="AA118" s="30" t="s">
        <v>26</v>
      </c>
      <c r="AB118" s="30" t="s">
        <v>24</v>
      </c>
      <c r="AC118" s="27"/>
      <c r="AD118" s="31" t="s">
        <v>25</v>
      </c>
      <c r="AE118" s="32" t="str">
        <f t="shared" si="7"/>
        <v>✓ OK</v>
      </c>
      <c r="AF118" s="33" t="s">
        <v>27</v>
      </c>
      <c r="AG118" s="33" t="s">
        <v>23</v>
      </c>
      <c r="AH118" s="33" t="s">
        <v>24</v>
      </c>
      <c r="AI118" s="33" t="s">
        <v>25</v>
      </c>
      <c r="AJ118" s="33" t="s">
        <v>26</v>
      </c>
      <c r="AK118" s="33" t="s">
        <v>24</v>
      </c>
      <c r="AL118" s="27"/>
      <c r="AM118" s="34" t="s">
        <v>25</v>
      </c>
      <c r="AN118" s="35" t="str">
        <f t="shared" si="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8" customHeight="1" x14ac:dyDescent="0.3">
      <c r="A119" s="23">
        <v>115</v>
      </c>
      <c r="B119" s="24" t="s">
        <v>2077</v>
      </c>
      <c r="C119" s="25" t="s">
        <v>2078</v>
      </c>
      <c r="D119" s="23" t="s">
        <v>1850</v>
      </c>
      <c r="E119" s="43">
        <v>46125</v>
      </c>
      <c r="F119" s="26" t="s">
        <v>23</v>
      </c>
      <c r="G119" s="26" t="s">
        <v>24</v>
      </c>
      <c r="H119" s="26" t="s">
        <v>25</v>
      </c>
      <c r="I119" s="26" t="s">
        <v>26</v>
      </c>
      <c r="J119" s="26" t="s">
        <v>24</v>
      </c>
      <c r="K119" s="27"/>
      <c r="L119" s="28" t="s">
        <v>25</v>
      </c>
      <c r="M119" s="29" t="str">
        <f t="shared" si="5"/>
        <v>✓ OK</v>
      </c>
      <c r="N119" s="43">
        <v>46193</v>
      </c>
      <c r="O119" s="26" t="s">
        <v>23</v>
      </c>
      <c r="P119" s="26" t="s">
        <v>24</v>
      </c>
      <c r="Q119" s="26" t="s">
        <v>25</v>
      </c>
      <c r="R119" s="26" t="s">
        <v>26</v>
      </c>
      <c r="S119" s="26" t="s">
        <v>24</v>
      </c>
      <c r="T119" s="27"/>
      <c r="U119" s="28" t="s">
        <v>25</v>
      </c>
      <c r="V119" s="29" t="str">
        <f t="shared" si="6"/>
        <v>✓ OK</v>
      </c>
      <c r="W119" s="45">
        <v>46248</v>
      </c>
      <c r="X119" s="30" t="s">
        <v>23</v>
      </c>
      <c r="Y119" s="30" t="s">
        <v>24</v>
      </c>
      <c r="Z119" s="30" t="s">
        <v>25</v>
      </c>
      <c r="AA119" s="30" t="s">
        <v>26</v>
      </c>
      <c r="AB119" s="30" t="s">
        <v>24</v>
      </c>
      <c r="AC119" s="27"/>
      <c r="AD119" s="31" t="s">
        <v>25</v>
      </c>
      <c r="AE119" s="32" t="str">
        <f t="shared" si="7"/>
        <v>✓ OK</v>
      </c>
      <c r="AF119" s="33" t="s">
        <v>27</v>
      </c>
      <c r="AG119" s="33" t="s">
        <v>23</v>
      </c>
      <c r="AH119" s="33" t="s">
        <v>24</v>
      </c>
      <c r="AI119" s="33" t="s">
        <v>25</v>
      </c>
      <c r="AJ119" s="33" t="s">
        <v>26</v>
      </c>
      <c r="AK119" s="33" t="s">
        <v>24</v>
      </c>
      <c r="AL119" s="27"/>
      <c r="AM119" s="34" t="s">
        <v>25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8" customHeight="1" x14ac:dyDescent="0.3">
      <c r="A120" s="39">
        <v>116</v>
      </c>
      <c r="B120" s="40" t="s">
        <v>2079</v>
      </c>
      <c r="C120" s="41" t="s">
        <v>2080</v>
      </c>
      <c r="D120" s="39" t="s">
        <v>1850</v>
      </c>
      <c r="E120" s="43">
        <v>46125</v>
      </c>
      <c r="F120" s="26" t="s">
        <v>23</v>
      </c>
      <c r="G120" s="26" t="s">
        <v>24</v>
      </c>
      <c r="H120" s="26" t="s">
        <v>25</v>
      </c>
      <c r="I120" s="26" t="s">
        <v>26</v>
      </c>
      <c r="J120" s="26" t="s">
        <v>24</v>
      </c>
      <c r="K120" s="27"/>
      <c r="L120" s="28" t="s">
        <v>25</v>
      </c>
      <c r="M120" s="29" t="str">
        <f t="shared" si="5"/>
        <v>✓ OK</v>
      </c>
      <c r="N120" s="43">
        <v>46193</v>
      </c>
      <c r="O120" s="26" t="s">
        <v>23</v>
      </c>
      <c r="P120" s="26" t="s">
        <v>24</v>
      </c>
      <c r="Q120" s="26" t="s">
        <v>25</v>
      </c>
      <c r="R120" s="26" t="s">
        <v>26</v>
      </c>
      <c r="S120" s="26" t="s">
        <v>24</v>
      </c>
      <c r="T120" s="27"/>
      <c r="U120" s="28" t="s">
        <v>25</v>
      </c>
      <c r="V120" s="29" t="str">
        <f t="shared" si="6"/>
        <v>✓ OK</v>
      </c>
      <c r="W120" s="45">
        <v>46248</v>
      </c>
      <c r="X120" s="30" t="s">
        <v>23</v>
      </c>
      <c r="Y120" s="30" t="s">
        <v>24</v>
      </c>
      <c r="Z120" s="30" t="s">
        <v>25</v>
      </c>
      <c r="AA120" s="30" t="s">
        <v>26</v>
      </c>
      <c r="AB120" s="30" t="s">
        <v>24</v>
      </c>
      <c r="AC120" s="27"/>
      <c r="AD120" s="31" t="s">
        <v>25</v>
      </c>
      <c r="AE120" s="32" t="str">
        <f t="shared" si="7"/>
        <v>✓ OK</v>
      </c>
      <c r="AF120" s="33" t="s">
        <v>27</v>
      </c>
      <c r="AG120" s="33" t="s">
        <v>23</v>
      </c>
      <c r="AH120" s="33" t="s">
        <v>24</v>
      </c>
      <c r="AI120" s="33" t="s">
        <v>25</v>
      </c>
      <c r="AJ120" s="33" t="s">
        <v>26</v>
      </c>
      <c r="AK120" s="33" t="s">
        <v>24</v>
      </c>
      <c r="AL120" s="27"/>
      <c r="AM120" s="34" t="s">
        <v>25</v>
      </c>
      <c r="AN120" s="35" t="str">
        <f t="shared" si="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8" customHeight="1" x14ac:dyDescent="0.3">
      <c r="A121" s="23">
        <v>117</v>
      </c>
      <c r="B121" s="24" t="s">
        <v>2081</v>
      </c>
      <c r="C121" s="25" t="s">
        <v>2082</v>
      </c>
      <c r="D121" s="23" t="s">
        <v>1850</v>
      </c>
      <c r="E121" s="43">
        <v>46125</v>
      </c>
      <c r="F121" s="26" t="s">
        <v>23</v>
      </c>
      <c r="G121" s="26" t="s">
        <v>24</v>
      </c>
      <c r="H121" s="26" t="s">
        <v>25</v>
      </c>
      <c r="I121" s="26" t="s">
        <v>26</v>
      </c>
      <c r="J121" s="26" t="s">
        <v>24</v>
      </c>
      <c r="K121" s="27"/>
      <c r="L121" s="28" t="s">
        <v>25</v>
      </c>
      <c r="M121" s="29" t="str">
        <f t="shared" si="5"/>
        <v>✓ OK</v>
      </c>
      <c r="N121" s="43">
        <v>46193</v>
      </c>
      <c r="O121" s="26" t="s">
        <v>23</v>
      </c>
      <c r="P121" s="26" t="s">
        <v>24</v>
      </c>
      <c r="Q121" s="26" t="s">
        <v>25</v>
      </c>
      <c r="R121" s="26" t="s">
        <v>26</v>
      </c>
      <c r="S121" s="26" t="s">
        <v>24</v>
      </c>
      <c r="T121" s="27"/>
      <c r="U121" s="28" t="s">
        <v>25</v>
      </c>
      <c r="V121" s="29" t="str">
        <f t="shared" si="6"/>
        <v>✓ OK</v>
      </c>
      <c r="W121" s="45">
        <v>46248</v>
      </c>
      <c r="X121" s="30" t="s">
        <v>23</v>
      </c>
      <c r="Y121" s="30" t="s">
        <v>24</v>
      </c>
      <c r="Z121" s="30" t="s">
        <v>25</v>
      </c>
      <c r="AA121" s="30" t="s">
        <v>26</v>
      </c>
      <c r="AB121" s="30" t="s">
        <v>24</v>
      </c>
      <c r="AC121" s="27"/>
      <c r="AD121" s="31" t="s">
        <v>25</v>
      </c>
      <c r="AE121" s="32" t="str">
        <f t="shared" si="7"/>
        <v>✓ OK</v>
      </c>
      <c r="AF121" s="33" t="s">
        <v>27</v>
      </c>
      <c r="AG121" s="33" t="s">
        <v>23</v>
      </c>
      <c r="AH121" s="33" t="s">
        <v>24</v>
      </c>
      <c r="AI121" s="33" t="s">
        <v>25</v>
      </c>
      <c r="AJ121" s="33" t="s">
        <v>26</v>
      </c>
      <c r="AK121" s="33" t="s">
        <v>24</v>
      </c>
      <c r="AL121" s="27"/>
      <c r="AM121" s="34" t="s">
        <v>25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8" customHeight="1" x14ac:dyDescent="0.3">
      <c r="A122" s="39">
        <v>118</v>
      </c>
      <c r="B122" s="40" t="s">
        <v>2083</v>
      </c>
      <c r="C122" s="41" t="s">
        <v>2084</v>
      </c>
      <c r="D122" s="39" t="s">
        <v>1850</v>
      </c>
      <c r="E122" s="43">
        <v>46125</v>
      </c>
      <c r="F122" s="26" t="s">
        <v>23</v>
      </c>
      <c r="G122" s="26" t="s">
        <v>24</v>
      </c>
      <c r="H122" s="26" t="s">
        <v>25</v>
      </c>
      <c r="I122" s="26" t="s">
        <v>26</v>
      </c>
      <c r="J122" s="26" t="s">
        <v>24</v>
      </c>
      <c r="K122" s="27"/>
      <c r="L122" s="28" t="s">
        <v>25</v>
      </c>
      <c r="M122" s="29" t="str">
        <f t="shared" si="5"/>
        <v>✓ OK</v>
      </c>
      <c r="N122" s="43">
        <v>46193</v>
      </c>
      <c r="O122" s="26" t="s">
        <v>23</v>
      </c>
      <c r="P122" s="26" t="s">
        <v>24</v>
      </c>
      <c r="Q122" s="26" t="s">
        <v>25</v>
      </c>
      <c r="R122" s="26" t="s">
        <v>26</v>
      </c>
      <c r="S122" s="26" t="s">
        <v>24</v>
      </c>
      <c r="T122" s="27"/>
      <c r="U122" s="28" t="s">
        <v>25</v>
      </c>
      <c r="V122" s="29" t="str">
        <f t="shared" si="6"/>
        <v>✓ OK</v>
      </c>
      <c r="W122" s="45">
        <v>46248</v>
      </c>
      <c r="X122" s="30" t="s">
        <v>23</v>
      </c>
      <c r="Y122" s="30" t="s">
        <v>24</v>
      </c>
      <c r="Z122" s="30" t="s">
        <v>25</v>
      </c>
      <c r="AA122" s="30" t="s">
        <v>26</v>
      </c>
      <c r="AB122" s="30" t="s">
        <v>24</v>
      </c>
      <c r="AC122" s="27"/>
      <c r="AD122" s="31" t="s">
        <v>25</v>
      </c>
      <c r="AE122" s="32" t="str">
        <f t="shared" si="7"/>
        <v>✓ OK</v>
      </c>
      <c r="AF122" s="33" t="s">
        <v>27</v>
      </c>
      <c r="AG122" s="33" t="s">
        <v>23</v>
      </c>
      <c r="AH122" s="33" t="s">
        <v>24</v>
      </c>
      <c r="AI122" s="33" t="s">
        <v>25</v>
      </c>
      <c r="AJ122" s="33" t="s">
        <v>26</v>
      </c>
      <c r="AK122" s="33" t="s">
        <v>24</v>
      </c>
      <c r="AL122" s="27"/>
      <c r="AM122" s="34" t="s">
        <v>25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8" customHeight="1" x14ac:dyDescent="0.3">
      <c r="A123" s="23">
        <v>119</v>
      </c>
      <c r="B123" s="24" t="s">
        <v>2085</v>
      </c>
      <c r="C123" s="25" t="s">
        <v>2086</v>
      </c>
      <c r="D123" s="23" t="s">
        <v>1850</v>
      </c>
      <c r="E123" s="43">
        <v>46125</v>
      </c>
      <c r="F123" s="26" t="s">
        <v>23</v>
      </c>
      <c r="G123" s="26" t="s">
        <v>24</v>
      </c>
      <c r="H123" s="26" t="s">
        <v>25</v>
      </c>
      <c r="I123" s="26" t="s">
        <v>26</v>
      </c>
      <c r="J123" s="26" t="s">
        <v>24</v>
      </c>
      <c r="K123" s="27"/>
      <c r="L123" s="28" t="s">
        <v>25</v>
      </c>
      <c r="M123" s="29" t="str">
        <f t="shared" si="5"/>
        <v>✓ OK</v>
      </c>
      <c r="N123" s="43">
        <v>46193</v>
      </c>
      <c r="O123" s="26" t="s">
        <v>23</v>
      </c>
      <c r="P123" s="26" t="s">
        <v>24</v>
      </c>
      <c r="Q123" s="26" t="s">
        <v>25</v>
      </c>
      <c r="R123" s="26" t="s">
        <v>26</v>
      </c>
      <c r="S123" s="26" t="s">
        <v>24</v>
      </c>
      <c r="T123" s="27"/>
      <c r="U123" s="28" t="s">
        <v>25</v>
      </c>
      <c r="V123" s="29" t="str">
        <f t="shared" si="6"/>
        <v>✓ OK</v>
      </c>
      <c r="W123" s="45">
        <v>46248</v>
      </c>
      <c r="X123" s="30" t="s">
        <v>23</v>
      </c>
      <c r="Y123" s="30" t="s">
        <v>24</v>
      </c>
      <c r="Z123" s="30" t="s">
        <v>25</v>
      </c>
      <c r="AA123" s="30" t="s">
        <v>26</v>
      </c>
      <c r="AB123" s="30" t="s">
        <v>24</v>
      </c>
      <c r="AC123" s="27"/>
      <c r="AD123" s="31" t="s">
        <v>25</v>
      </c>
      <c r="AE123" s="32" t="str">
        <f t="shared" si="7"/>
        <v>✓ OK</v>
      </c>
      <c r="AF123" s="33" t="s">
        <v>27</v>
      </c>
      <c r="AG123" s="33" t="s">
        <v>23</v>
      </c>
      <c r="AH123" s="33" t="s">
        <v>24</v>
      </c>
      <c r="AI123" s="33" t="s">
        <v>25</v>
      </c>
      <c r="AJ123" s="33" t="s">
        <v>26</v>
      </c>
      <c r="AK123" s="33" t="s">
        <v>24</v>
      </c>
      <c r="AL123" s="27"/>
      <c r="AM123" s="34" t="s">
        <v>25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8" customHeight="1" x14ac:dyDescent="0.3">
      <c r="A124" s="39">
        <v>120</v>
      </c>
      <c r="B124" s="40" t="s">
        <v>2087</v>
      </c>
      <c r="C124" s="41" t="s">
        <v>2088</v>
      </c>
      <c r="D124" s="39" t="s">
        <v>1850</v>
      </c>
      <c r="E124" s="43">
        <v>46125</v>
      </c>
      <c r="F124" s="26" t="s">
        <v>23</v>
      </c>
      <c r="G124" s="26" t="s">
        <v>24</v>
      </c>
      <c r="H124" s="26" t="s">
        <v>25</v>
      </c>
      <c r="I124" s="26" t="s">
        <v>26</v>
      </c>
      <c r="J124" s="26" t="s">
        <v>24</v>
      </c>
      <c r="K124" s="27"/>
      <c r="L124" s="28" t="s">
        <v>25</v>
      </c>
      <c r="M124" s="29" t="str">
        <f t="shared" si="5"/>
        <v>✓ OK</v>
      </c>
      <c r="N124" s="43">
        <v>46193</v>
      </c>
      <c r="O124" s="26" t="s">
        <v>23</v>
      </c>
      <c r="P124" s="26" t="s">
        <v>24</v>
      </c>
      <c r="Q124" s="26" t="s">
        <v>25</v>
      </c>
      <c r="R124" s="26" t="s">
        <v>26</v>
      </c>
      <c r="S124" s="26" t="s">
        <v>24</v>
      </c>
      <c r="T124" s="27"/>
      <c r="U124" s="28" t="s">
        <v>25</v>
      </c>
      <c r="V124" s="29" t="str">
        <f t="shared" si="6"/>
        <v>✓ OK</v>
      </c>
      <c r="W124" s="45">
        <v>46248</v>
      </c>
      <c r="X124" s="30" t="s">
        <v>23</v>
      </c>
      <c r="Y124" s="30" t="s">
        <v>24</v>
      </c>
      <c r="Z124" s="30" t="s">
        <v>25</v>
      </c>
      <c r="AA124" s="30" t="s">
        <v>26</v>
      </c>
      <c r="AB124" s="30" t="s">
        <v>24</v>
      </c>
      <c r="AC124" s="27"/>
      <c r="AD124" s="31" t="s">
        <v>25</v>
      </c>
      <c r="AE124" s="32" t="str">
        <f t="shared" si="7"/>
        <v>✓ OK</v>
      </c>
      <c r="AF124" s="33" t="s">
        <v>27</v>
      </c>
      <c r="AG124" s="33" t="s">
        <v>23</v>
      </c>
      <c r="AH124" s="33" t="s">
        <v>24</v>
      </c>
      <c r="AI124" s="33" t="s">
        <v>25</v>
      </c>
      <c r="AJ124" s="33" t="s">
        <v>26</v>
      </c>
      <c r="AK124" s="33" t="s">
        <v>24</v>
      </c>
      <c r="AL124" s="27"/>
      <c r="AM124" s="34" t="s">
        <v>25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8" customHeight="1" x14ac:dyDescent="0.3">
      <c r="A125" s="23">
        <v>121</v>
      </c>
      <c r="B125" s="24" t="s">
        <v>2089</v>
      </c>
      <c r="C125" s="25" t="s">
        <v>2090</v>
      </c>
      <c r="D125" s="23" t="s">
        <v>1850</v>
      </c>
      <c r="E125" s="43">
        <v>46125</v>
      </c>
      <c r="F125" s="26" t="s">
        <v>23</v>
      </c>
      <c r="G125" s="26" t="s">
        <v>24</v>
      </c>
      <c r="H125" s="26" t="s">
        <v>25</v>
      </c>
      <c r="I125" s="26" t="s">
        <v>26</v>
      </c>
      <c r="J125" s="26" t="s">
        <v>24</v>
      </c>
      <c r="K125" s="27"/>
      <c r="L125" s="28" t="s">
        <v>25</v>
      </c>
      <c r="M125" s="29" t="str">
        <f t="shared" si="5"/>
        <v>✓ OK</v>
      </c>
      <c r="N125" s="43">
        <v>46193</v>
      </c>
      <c r="O125" s="26" t="s">
        <v>23</v>
      </c>
      <c r="P125" s="26" t="s">
        <v>24</v>
      </c>
      <c r="Q125" s="26" t="s">
        <v>25</v>
      </c>
      <c r="R125" s="26" t="s">
        <v>26</v>
      </c>
      <c r="S125" s="26" t="s">
        <v>24</v>
      </c>
      <c r="T125" s="27"/>
      <c r="U125" s="28" t="s">
        <v>25</v>
      </c>
      <c r="V125" s="29" t="str">
        <f t="shared" si="6"/>
        <v>✓ OK</v>
      </c>
      <c r="W125" s="45">
        <v>46248</v>
      </c>
      <c r="X125" s="30" t="s">
        <v>23</v>
      </c>
      <c r="Y125" s="30" t="s">
        <v>24</v>
      </c>
      <c r="Z125" s="30" t="s">
        <v>25</v>
      </c>
      <c r="AA125" s="30" t="s">
        <v>26</v>
      </c>
      <c r="AB125" s="30" t="s">
        <v>24</v>
      </c>
      <c r="AC125" s="27"/>
      <c r="AD125" s="31" t="s">
        <v>25</v>
      </c>
      <c r="AE125" s="32" t="str">
        <f t="shared" si="7"/>
        <v>✓ OK</v>
      </c>
      <c r="AF125" s="33" t="s">
        <v>27</v>
      </c>
      <c r="AG125" s="33" t="s">
        <v>23</v>
      </c>
      <c r="AH125" s="33" t="s">
        <v>24</v>
      </c>
      <c r="AI125" s="33" t="s">
        <v>25</v>
      </c>
      <c r="AJ125" s="33" t="s">
        <v>26</v>
      </c>
      <c r="AK125" s="33" t="s">
        <v>24</v>
      </c>
      <c r="AL125" s="27"/>
      <c r="AM125" s="34" t="s">
        <v>25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8" customHeight="1" x14ac:dyDescent="0.3">
      <c r="A126" s="39">
        <v>122</v>
      </c>
      <c r="B126" s="40" t="s">
        <v>2091</v>
      </c>
      <c r="C126" s="41" t="s">
        <v>2092</v>
      </c>
      <c r="D126" s="39" t="s">
        <v>1850</v>
      </c>
      <c r="E126" s="43">
        <v>46125</v>
      </c>
      <c r="F126" s="26" t="s">
        <v>23</v>
      </c>
      <c r="G126" s="26" t="s">
        <v>24</v>
      </c>
      <c r="H126" s="26" t="s">
        <v>25</v>
      </c>
      <c r="I126" s="26" t="s">
        <v>26</v>
      </c>
      <c r="J126" s="26" t="s">
        <v>24</v>
      </c>
      <c r="K126" s="27"/>
      <c r="L126" s="28" t="s">
        <v>25</v>
      </c>
      <c r="M126" s="29" t="str">
        <f t="shared" si="5"/>
        <v>✓ OK</v>
      </c>
      <c r="N126" s="43">
        <v>46193</v>
      </c>
      <c r="O126" s="26" t="s">
        <v>23</v>
      </c>
      <c r="P126" s="26" t="s">
        <v>24</v>
      </c>
      <c r="Q126" s="26" t="s">
        <v>25</v>
      </c>
      <c r="R126" s="26" t="s">
        <v>26</v>
      </c>
      <c r="S126" s="26" t="s">
        <v>24</v>
      </c>
      <c r="T126" s="27"/>
      <c r="U126" s="28" t="s">
        <v>25</v>
      </c>
      <c r="V126" s="29" t="str">
        <f t="shared" si="6"/>
        <v>✓ OK</v>
      </c>
      <c r="W126" s="45">
        <v>46248</v>
      </c>
      <c r="X126" s="30" t="s">
        <v>23</v>
      </c>
      <c r="Y126" s="30" t="s">
        <v>24</v>
      </c>
      <c r="Z126" s="30" t="s">
        <v>25</v>
      </c>
      <c r="AA126" s="30" t="s">
        <v>26</v>
      </c>
      <c r="AB126" s="30" t="s">
        <v>24</v>
      </c>
      <c r="AC126" s="27"/>
      <c r="AD126" s="31" t="s">
        <v>25</v>
      </c>
      <c r="AE126" s="32" t="str">
        <f t="shared" si="7"/>
        <v>✓ OK</v>
      </c>
      <c r="AF126" s="33" t="s">
        <v>27</v>
      </c>
      <c r="AG126" s="33" t="s">
        <v>23</v>
      </c>
      <c r="AH126" s="33" t="s">
        <v>24</v>
      </c>
      <c r="AI126" s="33" t="s">
        <v>25</v>
      </c>
      <c r="AJ126" s="33" t="s">
        <v>26</v>
      </c>
      <c r="AK126" s="33" t="s">
        <v>24</v>
      </c>
      <c r="AL126" s="27"/>
      <c r="AM126" s="34" t="s">
        <v>25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8" customHeight="1" x14ac:dyDescent="0.3">
      <c r="A127" s="23">
        <v>123</v>
      </c>
      <c r="B127" s="24" t="s">
        <v>2093</v>
      </c>
      <c r="C127" s="25" t="s">
        <v>2094</v>
      </c>
      <c r="D127" s="23" t="s">
        <v>1850</v>
      </c>
      <c r="E127" s="43">
        <v>46125</v>
      </c>
      <c r="F127" s="26" t="s">
        <v>23</v>
      </c>
      <c r="G127" s="26" t="s">
        <v>24</v>
      </c>
      <c r="H127" s="26" t="s">
        <v>25</v>
      </c>
      <c r="I127" s="26" t="s">
        <v>26</v>
      </c>
      <c r="J127" s="26" t="s">
        <v>24</v>
      </c>
      <c r="K127" s="27"/>
      <c r="L127" s="28" t="s">
        <v>25</v>
      </c>
      <c r="M127" s="29" t="str">
        <f t="shared" si="5"/>
        <v>✓ OK</v>
      </c>
      <c r="N127" s="43">
        <v>46193</v>
      </c>
      <c r="O127" s="26" t="s">
        <v>23</v>
      </c>
      <c r="P127" s="26" t="s">
        <v>24</v>
      </c>
      <c r="Q127" s="26" t="s">
        <v>25</v>
      </c>
      <c r="R127" s="26" t="s">
        <v>26</v>
      </c>
      <c r="S127" s="26" t="s">
        <v>24</v>
      </c>
      <c r="T127" s="27"/>
      <c r="U127" s="28" t="s">
        <v>25</v>
      </c>
      <c r="V127" s="29" t="str">
        <f t="shared" si="6"/>
        <v>✓ OK</v>
      </c>
      <c r="W127" s="45">
        <v>46248</v>
      </c>
      <c r="X127" s="30" t="s">
        <v>23</v>
      </c>
      <c r="Y127" s="30" t="s">
        <v>24</v>
      </c>
      <c r="Z127" s="30" t="s">
        <v>25</v>
      </c>
      <c r="AA127" s="30" t="s">
        <v>26</v>
      </c>
      <c r="AB127" s="30" t="s">
        <v>24</v>
      </c>
      <c r="AC127" s="27"/>
      <c r="AD127" s="31" t="s">
        <v>25</v>
      </c>
      <c r="AE127" s="32" t="str">
        <f t="shared" si="7"/>
        <v>✓ OK</v>
      </c>
      <c r="AF127" s="33" t="s">
        <v>27</v>
      </c>
      <c r="AG127" s="33" t="s">
        <v>23</v>
      </c>
      <c r="AH127" s="33" t="s">
        <v>24</v>
      </c>
      <c r="AI127" s="33" t="s">
        <v>25</v>
      </c>
      <c r="AJ127" s="33" t="s">
        <v>26</v>
      </c>
      <c r="AK127" s="33" t="s">
        <v>24</v>
      </c>
      <c r="AL127" s="27"/>
      <c r="AM127" s="34" t="s">
        <v>25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8" customHeight="1" x14ac:dyDescent="0.3">
      <c r="A128" s="39">
        <v>124</v>
      </c>
      <c r="B128" s="40" t="s">
        <v>2095</v>
      </c>
      <c r="C128" s="41" t="s">
        <v>2096</v>
      </c>
      <c r="D128" s="39" t="s">
        <v>1850</v>
      </c>
      <c r="E128" s="43">
        <v>46125</v>
      </c>
      <c r="F128" s="26" t="s">
        <v>23</v>
      </c>
      <c r="G128" s="26" t="s">
        <v>24</v>
      </c>
      <c r="H128" s="26" t="s">
        <v>25</v>
      </c>
      <c r="I128" s="26" t="s">
        <v>26</v>
      </c>
      <c r="J128" s="26" t="s">
        <v>24</v>
      </c>
      <c r="K128" s="27"/>
      <c r="L128" s="28" t="s">
        <v>25</v>
      </c>
      <c r="M128" s="29" t="str">
        <f t="shared" si="5"/>
        <v>✓ OK</v>
      </c>
      <c r="N128" s="43">
        <v>46193</v>
      </c>
      <c r="O128" s="26" t="s">
        <v>23</v>
      </c>
      <c r="P128" s="26" t="s">
        <v>24</v>
      </c>
      <c r="Q128" s="26" t="s">
        <v>25</v>
      </c>
      <c r="R128" s="26" t="s">
        <v>26</v>
      </c>
      <c r="S128" s="26" t="s">
        <v>24</v>
      </c>
      <c r="T128" s="27"/>
      <c r="U128" s="28" t="s">
        <v>25</v>
      </c>
      <c r="V128" s="29" t="str">
        <f t="shared" si="6"/>
        <v>✓ OK</v>
      </c>
      <c r="W128" s="45">
        <v>46248</v>
      </c>
      <c r="X128" s="30" t="s">
        <v>23</v>
      </c>
      <c r="Y128" s="30" t="s">
        <v>24</v>
      </c>
      <c r="Z128" s="30" t="s">
        <v>25</v>
      </c>
      <c r="AA128" s="30" t="s">
        <v>26</v>
      </c>
      <c r="AB128" s="30" t="s">
        <v>24</v>
      </c>
      <c r="AC128" s="27"/>
      <c r="AD128" s="31" t="s">
        <v>25</v>
      </c>
      <c r="AE128" s="32" t="str">
        <f t="shared" si="7"/>
        <v>✓ OK</v>
      </c>
      <c r="AF128" s="33" t="s">
        <v>27</v>
      </c>
      <c r="AG128" s="33" t="s">
        <v>23</v>
      </c>
      <c r="AH128" s="33" t="s">
        <v>24</v>
      </c>
      <c r="AI128" s="33" t="s">
        <v>25</v>
      </c>
      <c r="AJ128" s="33" t="s">
        <v>26</v>
      </c>
      <c r="AK128" s="33" t="s">
        <v>24</v>
      </c>
      <c r="AL128" s="27"/>
      <c r="AM128" s="34" t="s">
        <v>25</v>
      </c>
      <c r="AN128" s="35" t="str">
        <f t="shared" si="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8" customHeight="1" x14ac:dyDescent="0.3">
      <c r="A129" s="23">
        <v>125</v>
      </c>
      <c r="B129" s="24" t="s">
        <v>2097</v>
      </c>
      <c r="C129" s="25" t="s">
        <v>2098</v>
      </c>
      <c r="D129" s="23" t="s">
        <v>1850</v>
      </c>
      <c r="E129" s="43">
        <v>46125</v>
      </c>
      <c r="F129" s="26" t="s">
        <v>23</v>
      </c>
      <c r="G129" s="26" t="s">
        <v>24</v>
      </c>
      <c r="H129" s="26" t="s">
        <v>25</v>
      </c>
      <c r="I129" s="26" t="s">
        <v>26</v>
      </c>
      <c r="J129" s="26" t="s">
        <v>24</v>
      </c>
      <c r="K129" s="27"/>
      <c r="L129" s="28" t="s">
        <v>25</v>
      </c>
      <c r="M129" s="29" t="str">
        <f t="shared" si="5"/>
        <v>✓ OK</v>
      </c>
      <c r="N129" s="43">
        <v>46193</v>
      </c>
      <c r="O129" s="26" t="s">
        <v>23</v>
      </c>
      <c r="P129" s="26" t="s">
        <v>24</v>
      </c>
      <c r="Q129" s="26" t="s">
        <v>25</v>
      </c>
      <c r="R129" s="26" t="s">
        <v>26</v>
      </c>
      <c r="S129" s="26" t="s">
        <v>24</v>
      </c>
      <c r="T129" s="27"/>
      <c r="U129" s="28" t="s">
        <v>25</v>
      </c>
      <c r="V129" s="29" t="str">
        <f t="shared" si="6"/>
        <v>✓ OK</v>
      </c>
      <c r="W129" s="45">
        <v>46248</v>
      </c>
      <c r="X129" s="30" t="s">
        <v>23</v>
      </c>
      <c r="Y129" s="30" t="s">
        <v>24</v>
      </c>
      <c r="Z129" s="30" t="s">
        <v>25</v>
      </c>
      <c r="AA129" s="30" t="s">
        <v>26</v>
      </c>
      <c r="AB129" s="30" t="s">
        <v>24</v>
      </c>
      <c r="AC129" s="27"/>
      <c r="AD129" s="31" t="s">
        <v>25</v>
      </c>
      <c r="AE129" s="32" t="str">
        <f t="shared" si="7"/>
        <v>✓ OK</v>
      </c>
      <c r="AF129" s="33" t="s">
        <v>27</v>
      </c>
      <c r="AG129" s="33" t="s">
        <v>23</v>
      </c>
      <c r="AH129" s="33" t="s">
        <v>24</v>
      </c>
      <c r="AI129" s="33" t="s">
        <v>25</v>
      </c>
      <c r="AJ129" s="33" t="s">
        <v>26</v>
      </c>
      <c r="AK129" s="33" t="s">
        <v>24</v>
      </c>
      <c r="AL129" s="27"/>
      <c r="AM129" s="34" t="s">
        <v>25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8" customHeight="1" x14ac:dyDescent="0.3">
      <c r="A130" s="39">
        <v>126</v>
      </c>
      <c r="B130" s="40" t="s">
        <v>2099</v>
      </c>
      <c r="C130" s="41" t="s">
        <v>2100</v>
      </c>
      <c r="D130" s="39" t="s">
        <v>1850</v>
      </c>
      <c r="E130" s="43">
        <v>46125</v>
      </c>
      <c r="F130" s="26" t="s">
        <v>23</v>
      </c>
      <c r="G130" s="26" t="s">
        <v>24</v>
      </c>
      <c r="H130" s="26" t="s">
        <v>25</v>
      </c>
      <c r="I130" s="26" t="s">
        <v>26</v>
      </c>
      <c r="J130" s="26" t="s">
        <v>24</v>
      </c>
      <c r="K130" s="27"/>
      <c r="L130" s="28" t="s">
        <v>25</v>
      </c>
      <c r="M130" s="29" t="str">
        <f t="shared" si="5"/>
        <v>✓ OK</v>
      </c>
      <c r="N130" s="43">
        <v>46193</v>
      </c>
      <c r="O130" s="26" t="s">
        <v>23</v>
      </c>
      <c r="P130" s="26" t="s">
        <v>24</v>
      </c>
      <c r="Q130" s="26" t="s">
        <v>25</v>
      </c>
      <c r="R130" s="26" t="s">
        <v>26</v>
      </c>
      <c r="S130" s="26" t="s">
        <v>24</v>
      </c>
      <c r="T130" s="27"/>
      <c r="U130" s="28" t="s">
        <v>25</v>
      </c>
      <c r="V130" s="29" t="str">
        <f t="shared" si="6"/>
        <v>✓ OK</v>
      </c>
      <c r="W130" s="45">
        <v>46248</v>
      </c>
      <c r="X130" s="30" t="s">
        <v>23</v>
      </c>
      <c r="Y130" s="30" t="s">
        <v>24</v>
      </c>
      <c r="Z130" s="30" t="s">
        <v>25</v>
      </c>
      <c r="AA130" s="30" t="s">
        <v>26</v>
      </c>
      <c r="AB130" s="30" t="s">
        <v>24</v>
      </c>
      <c r="AC130" s="27"/>
      <c r="AD130" s="31" t="s">
        <v>25</v>
      </c>
      <c r="AE130" s="32" t="str">
        <f t="shared" si="7"/>
        <v>✓ OK</v>
      </c>
      <c r="AF130" s="33" t="s">
        <v>27</v>
      </c>
      <c r="AG130" s="33" t="s">
        <v>23</v>
      </c>
      <c r="AH130" s="33" t="s">
        <v>24</v>
      </c>
      <c r="AI130" s="33" t="s">
        <v>25</v>
      </c>
      <c r="AJ130" s="33" t="s">
        <v>26</v>
      </c>
      <c r="AK130" s="33" t="s">
        <v>24</v>
      </c>
      <c r="AL130" s="27"/>
      <c r="AM130" s="34" t="s">
        <v>25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8" customHeight="1" x14ac:dyDescent="0.3">
      <c r="A131" s="23">
        <v>127</v>
      </c>
      <c r="B131" s="24" t="s">
        <v>2101</v>
      </c>
      <c r="C131" s="25" t="s">
        <v>2102</v>
      </c>
      <c r="D131" s="23" t="s">
        <v>1850</v>
      </c>
      <c r="E131" s="43">
        <v>46125</v>
      </c>
      <c r="F131" s="26" t="s">
        <v>23</v>
      </c>
      <c r="G131" s="26" t="s">
        <v>24</v>
      </c>
      <c r="H131" s="26" t="s">
        <v>25</v>
      </c>
      <c r="I131" s="26" t="s">
        <v>26</v>
      </c>
      <c r="J131" s="26" t="s">
        <v>24</v>
      </c>
      <c r="K131" s="27"/>
      <c r="L131" s="28" t="s">
        <v>25</v>
      </c>
      <c r="M131" s="29" t="str">
        <f t="shared" si="5"/>
        <v>✓ OK</v>
      </c>
      <c r="N131" s="43">
        <v>46193</v>
      </c>
      <c r="O131" s="26" t="s">
        <v>23</v>
      </c>
      <c r="P131" s="26" t="s">
        <v>24</v>
      </c>
      <c r="Q131" s="26" t="s">
        <v>25</v>
      </c>
      <c r="R131" s="26" t="s">
        <v>26</v>
      </c>
      <c r="S131" s="26" t="s">
        <v>24</v>
      </c>
      <c r="T131" s="27"/>
      <c r="U131" s="28" t="s">
        <v>25</v>
      </c>
      <c r="V131" s="29" t="str">
        <f t="shared" si="6"/>
        <v>✓ OK</v>
      </c>
      <c r="W131" s="45">
        <v>46248</v>
      </c>
      <c r="X131" s="30" t="s">
        <v>23</v>
      </c>
      <c r="Y131" s="30" t="s">
        <v>24</v>
      </c>
      <c r="Z131" s="30" t="s">
        <v>25</v>
      </c>
      <c r="AA131" s="30" t="s">
        <v>26</v>
      </c>
      <c r="AB131" s="30" t="s">
        <v>24</v>
      </c>
      <c r="AC131" s="27"/>
      <c r="AD131" s="31" t="s">
        <v>25</v>
      </c>
      <c r="AE131" s="32" t="str">
        <f t="shared" si="7"/>
        <v>✓ OK</v>
      </c>
      <c r="AF131" s="33" t="s">
        <v>27</v>
      </c>
      <c r="AG131" s="33" t="s">
        <v>23</v>
      </c>
      <c r="AH131" s="33" t="s">
        <v>24</v>
      </c>
      <c r="AI131" s="33" t="s">
        <v>25</v>
      </c>
      <c r="AJ131" s="33" t="s">
        <v>26</v>
      </c>
      <c r="AK131" s="33" t="s">
        <v>24</v>
      </c>
      <c r="AL131" s="27"/>
      <c r="AM131" s="34" t="s">
        <v>25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8" customHeight="1" x14ac:dyDescent="0.3">
      <c r="A132" s="39">
        <v>128</v>
      </c>
      <c r="B132" s="40" t="s">
        <v>2103</v>
      </c>
      <c r="C132" s="41" t="s">
        <v>2104</v>
      </c>
      <c r="D132" s="39" t="s">
        <v>1850</v>
      </c>
      <c r="E132" s="43">
        <v>46125</v>
      </c>
      <c r="F132" s="26" t="s">
        <v>23</v>
      </c>
      <c r="G132" s="26" t="s">
        <v>24</v>
      </c>
      <c r="H132" s="26" t="s">
        <v>25</v>
      </c>
      <c r="I132" s="26" t="s">
        <v>26</v>
      </c>
      <c r="J132" s="26" t="s">
        <v>24</v>
      </c>
      <c r="K132" s="27"/>
      <c r="L132" s="28" t="s">
        <v>25</v>
      </c>
      <c r="M132" s="29" t="str">
        <f t="shared" si="5"/>
        <v>✓ OK</v>
      </c>
      <c r="N132" s="43">
        <v>46193</v>
      </c>
      <c r="O132" s="26" t="s">
        <v>23</v>
      </c>
      <c r="P132" s="26" t="s">
        <v>24</v>
      </c>
      <c r="Q132" s="26" t="s">
        <v>25</v>
      </c>
      <c r="R132" s="26" t="s">
        <v>26</v>
      </c>
      <c r="S132" s="26" t="s">
        <v>24</v>
      </c>
      <c r="T132" s="27"/>
      <c r="U132" s="28" t="s">
        <v>25</v>
      </c>
      <c r="V132" s="29" t="str">
        <f t="shared" si="6"/>
        <v>✓ OK</v>
      </c>
      <c r="W132" s="45">
        <v>46248</v>
      </c>
      <c r="X132" s="30" t="s">
        <v>23</v>
      </c>
      <c r="Y132" s="30" t="s">
        <v>24</v>
      </c>
      <c r="Z132" s="30" t="s">
        <v>25</v>
      </c>
      <c r="AA132" s="30" t="s">
        <v>26</v>
      </c>
      <c r="AB132" s="30" t="s">
        <v>24</v>
      </c>
      <c r="AC132" s="27"/>
      <c r="AD132" s="31" t="s">
        <v>25</v>
      </c>
      <c r="AE132" s="32" t="str">
        <f t="shared" si="7"/>
        <v>✓ OK</v>
      </c>
      <c r="AF132" s="33" t="s">
        <v>27</v>
      </c>
      <c r="AG132" s="33" t="s">
        <v>23</v>
      </c>
      <c r="AH132" s="33" t="s">
        <v>24</v>
      </c>
      <c r="AI132" s="33" t="s">
        <v>25</v>
      </c>
      <c r="AJ132" s="33" t="s">
        <v>26</v>
      </c>
      <c r="AK132" s="33" t="s">
        <v>24</v>
      </c>
      <c r="AL132" s="27"/>
      <c r="AM132" s="34" t="s">
        <v>25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8" customHeight="1" x14ac:dyDescent="0.3">
      <c r="A133" s="23">
        <v>129</v>
      </c>
      <c r="B133" s="24" t="s">
        <v>2105</v>
      </c>
      <c r="C133" s="25" t="s">
        <v>2106</v>
      </c>
      <c r="D133" s="23" t="s">
        <v>1850</v>
      </c>
      <c r="E133" s="43">
        <v>46125</v>
      </c>
      <c r="F133" s="26" t="s">
        <v>23</v>
      </c>
      <c r="G133" s="26" t="s">
        <v>24</v>
      </c>
      <c r="H133" s="26" t="s">
        <v>25</v>
      </c>
      <c r="I133" s="26" t="s">
        <v>26</v>
      </c>
      <c r="J133" s="26" t="s">
        <v>24</v>
      </c>
      <c r="K133" s="27"/>
      <c r="L133" s="28" t="s">
        <v>25</v>
      </c>
      <c r="M133" s="29" t="str">
        <f t="shared" ref="M133:M196" si="10">IF(E133="","",IF(H133="Yes","❌ Disc",IF(G133="No","⚠ Missing",IF(J133="Yes","✓ OK","⚠ Check"))))</f>
        <v>✓ OK</v>
      </c>
      <c r="N133" s="43">
        <v>46193</v>
      </c>
      <c r="O133" s="26" t="s">
        <v>23</v>
      </c>
      <c r="P133" s="26" t="s">
        <v>24</v>
      </c>
      <c r="Q133" s="26" t="s">
        <v>25</v>
      </c>
      <c r="R133" s="26" t="s">
        <v>26</v>
      </c>
      <c r="S133" s="26" t="s">
        <v>24</v>
      </c>
      <c r="T133" s="27"/>
      <c r="U133" s="28" t="s">
        <v>25</v>
      </c>
      <c r="V133" s="29" t="str">
        <f t="shared" ref="V133:V196" si="11">IF(N133="","",IF(Q133="Yes","❌ Disc",IF(P133="No","⚠ Missing",IF(S133="Yes","✓ OK","⚠ Check"))))</f>
        <v>✓ OK</v>
      </c>
      <c r="W133" s="45">
        <v>46248</v>
      </c>
      <c r="X133" s="30" t="s">
        <v>23</v>
      </c>
      <c r="Y133" s="30" t="s">
        <v>24</v>
      </c>
      <c r="Z133" s="30" t="s">
        <v>25</v>
      </c>
      <c r="AA133" s="30" t="s">
        <v>26</v>
      </c>
      <c r="AB133" s="30" t="s">
        <v>24</v>
      </c>
      <c r="AC133" s="27"/>
      <c r="AD133" s="31" t="s">
        <v>25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27</v>
      </c>
      <c r="AG133" s="33" t="s">
        <v>23</v>
      </c>
      <c r="AH133" s="33" t="s">
        <v>24</v>
      </c>
      <c r="AI133" s="33" t="s">
        <v>25</v>
      </c>
      <c r="AJ133" s="33" t="s">
        <v>26</v>
      </c>
      <c r="AK133" s="33" t="s">
        <v>24</v>
      </c>
      <c r="AL133" s="27"/>
      <c r="AM133" s="34" t="s">
        <v>25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2107</v>
      </c>
      <c r="C134" s="41" t="s">
        <v>2108</v>
      </c>
      <c r="D134" s="39" t="s">
        <v>1850</v>
      </c>
      <c r="E134" s="43">
        <v>46125</v>
      </c>
      <c r="F134" s="26" t="s">
        <v>23</v>
      </c>
      <c r="G134" s="26" t="s">
        <v>24</v>
      </c>
      <c r="H134" s="26" t="s">
        <v>25</v>
      </c>
      <c r="I134" s="26" t="s">
        <v>26</v>
      </c>
      <c r="J134" s="26" t="s">
        <v>24</v>
      </c>
      <c r="K134" s="27"/>
      <c r="L134" s="28" t="s">
        <v>25</v>
      </c>
      <c r="M134" s="29" t="str">
        <f t="shared" si="10"/>
        <v>✓ OK</v>
      </c>
      <c r="N134" s="43">
        <v>46193</v>
      </c>
      <c r="O134" s="26" t="s">
        <v>23</v>
      </c>
      <c r="P134" s="26" t="s">
        <v>24</v>
      </c>
      <c r="Q134" s="26" t="s">
        <v>25</v>
      </c>
      <c r="R134" s="26" t="s">
        <v>26</v>
      </c>
      <c r="S134" s="26" t="s">
        <v>24</v>
      </c>
      <c r="T134" s="27"/>
      <c r="U134" s="28" t="s">
        <v>25</v>
      </c>
      <c r="V134" s="29" t="str">
        <f t="shared" si="11"/>
        <v>✓ OK</v>
      </c>
      <c r="W134" s="45">
        <v>46248</v>
      </c>
      <c r="X134" s="30" t="s">
        <v>23</v>
      </c>
      <c r="Y134" s="30" t="s">
        <v>24</v>
      </c>
      <c r="Z134" s="30" t="s">
        <v>25</v>
      </c>
      <c r="AA134" s="30" t="s">
        <v>26</v>
      </c>
      <c r="AB134" s="30" t="s">
        <v>24</v>
      </c>
      <c r="AC134" s="27"/>
      <c r="AD134" s="31" t="s">
        <v>25</v>
      </c>
      <c r="AE134" s="32" t="str">
        <f t="shared" si="12"/>
        <v>✓ OK</v>
      </c>
      <c r="AF134" s="33" t="s">
        <v>27</v>
      </c>
      <c r="AG134" s="33" t="s">
        <v>23</v>
      </c>
      <c r="AH134" s="33" t="s">
        <v>24</v>
      </c>
      <c r="AI134" s="33" t="s">
        <v>25</v>
      </c>
      <c r="AJ134" s="33" t="s">
        <v>26</v>
      </c>
      <c r="AK134" s="33" t="s">
        <v>24</v>
      </c>
      <c r="AL134" s="27"/>
      <c r="AM134" s="34" t="s">
        <v>25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8" customHeight="1" x14ac:dyDescent="0.3">
      <c r="A135" s="23">
        <v>131</v>
      </c>
      <c r="B135" s="24" t="s">
        <v>2109</v>
      </c>
      <c r="C135" s="25" t="s">
        <v>2110</v>
      </c>
      <c r="D135" s="23" t="s">
        <v>1850</v>
      </c>
      <c r="E135" s="43">
        <v>46125</v>
      </c>
      <c r="F135" s="26" t="s">
        <v>23</v>
      </c>
      <c r="G135" s="26" t="s">
        <v>24</v>
      </c>
      <c r="H135" s="26" t="s">
        <v>25</v>
      </c>
      <c r="I135" s="26" t="s">
        <v>26</v>
      </c>
      <c r="J135" s="26" t="s">
        <v>24</v>
      </c>
      <c r="K135" s="27"/>
      <c r="L135" s="28" t="s">
        <v>25</v>
      </c>
      <c r="M135" s="29" t="str">
        <f t="shared" si="10"/>
        <v>✓ OK</v>
      </c>
      <c r="N135" s="43">
        <v>46193</v>
      </c>
      <c r="O135" s="26" t="s">
        <v>23</v>
      </c>
      <c r="P135" s="26" t="s">
        <v>24</v>
      </c>
      <c r="Q135" s="26" t="s">
        <v>25</v>
      </c>
      <c r="R135" s="26" t="s">
        <v>26</v>
      </c>
      <c r="S135" s="26" t="s">
        <v>24</v>
      </c>
      <c r="T135" s="27"/>
      <c r="U135" s="28" t="s">
        <v>25</v>
      </c>
      <c r="V135" s="29" t="str">
        <f t="shared" si="11"/>
        <v>✓ OK</v>
      </c>
      <c r="W135" s="45">
        <v>46248</v>
      </c>
      <c r="X135" s="30" t="s">
        <v>23</v>
      </c>
      <c r="Y135" s="30" t="s">
        <v>24</v>
      </c>
      <c r="Z135" s="30" t="s">
        <v>25</v>
      </c>
      <c r="AA135" s="30" t="s">
        <v>26</v>
      </c>
      <c r="AB135" s="30" t="s">
        <v>24</v>
      </c>
      <c r="AC135" s="27"/>
      <c r="AD135" s="31" t="s">
        <v>25</v>
      </c>
      <c r="AE135" s="32" t="str">
        <f t="shared" si="12"/>
        <v>✓ OK</v>
      </c>
      <c r="AF135" s="33" t="s">
        <v>27</v>
      </c>
      <c r="AG135" s="33" t="s">
        <v>23</v>
      </c>
      <c r="AH135" s="33" t="s">
        <v>24</v>
      </c>
      <c r="AI135" s="33" t="s">
        <v>25</v>
      </c>
      <c r="AJ135" s="33" t="s">
        <v>26</v>
      </c>
      <c r="AK135" s="33" t="s">
        <v>24</v>
      </c>
      <c r="AL135" s="27"/>
      <c r="AM135" s="34" t="s">
        <v>25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8" customHeight="1" x14ac:dyDescent="0.3">
      <c r="A136" s="39">
        <v>132</v>
      </c>
      <c r="B136" s="40" t="s">
        <v>2111</v>
      </c>
      <c r="C136" s="41" t="s">
        <v>2112</v>
      </c>
      <c r="D136" s="39" t="s">
        <v>1850</v>
      </c>
      <c r="E136" s="43">
        <v>46125</v>
      </c>
      <c r="F136" s="26" t="s">
        <v>23</v>
      </c>
      <c r="G136" s="26" t="s">
        <v>24</v>
      </c>
      <c r="H136" s="26" t="s">
        <v>25</v>
      </c>
      <c r="I136" s="26" t="s">
        <v>26</v>
      </c>
      <c r="J136" s="26" t="s">
        <v>24</v>
      </c>
      <c r="K136" s="27"/>
      <c r="L136" s="28" t="s">
        <v>25</v>
      </c>
      <c r="M136" s="29" t="str">
        <f t="shared" si="10"/>
        <v>✓ OK</v>
      </c>
      <c r="N136" s="43">
        <v>46193</v>
      </c>
      <c r="O136" s="26" t="s">
        <v>23</v>
      </c>
      <c r="P136" s="26" t="s">
        <v>24</v>
      </c>
      <c r="Q136" s="26" t="s">
        <v>25</v>
      </c>
      <c r="R136" s="26" t="s">
        <v>26</v>
      </c>
      <c r="S136" s="26" t="s">
        <v>24</v>
      </c>
      <c r="T136" s="27"/>
      <c r="U136" s="28" t="s">
        <v>25</v>
      </c>
      <c r="V136" s="29" t="str">
        <f t="shared" si="11"/>
        <v>✓ OK</v>
      </c>
      <c r="W136" s="45">
        <v>46248</v>
      </c>
      <c r="X136" s="30" t="s">
        <v>23</v>
      </c>
      <c r="Y136" s="30" t="s">
        <v>24</v>
      </c>
      <c r="Z136" s="30" t="s">
        <v>25</v>
      </c>
      <c r="AA136" s="30" t="s">
        <v>26</v>
      </c>
      <c r="AB136" s="30" t="s">
        <v>24</v>
      </c>
      <c r="AC136" s="27"/>
      <c r="AD136" s="31" t="s">
        <v>25</v>
      </c>
      <c r="AE136" s="32" t="str">
        <f t="shared" si="12"/>
        <v>✓ OK</v>
      </c>
      <c r="AF136" s="33" t="s">
        <v>27</v>
      </c>
      <c r="AG136" s="33" t="s">
        <v>23</v>
      </c>
      <c r="AH136" s="33" t="s">
        <v>24</v>
      </c>
      <c r="AI136" s="33" t="s">
        <v>25</v>
      </c>
      <c r="AJ136" s="33" t="s">
        <v>26</v>
      </c>
      <c r="AK136" s="33" t="s">
        <v>24</v>
      </c>
      <c r="AL136" s="27"/>
      <c r="AM136" s="34" t="s">
        <v>25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8" customHeight="1" x14ac:dyDescent="0.3">
      <c r="A137" s="23">
        <v>133</v>
      </c>
      <c r="B137" s="24" t="s">
        <v>2113</v>
      </c>
      <c r="C137" s="25" t="s">
        <v>2114</v>
      </c>
      <c r="D137" s="23" t="s">
        <v>1850</v>
      </c>
      <c r="E137" s="43">
        <v>46125</v>
      </c>
      <c r="F137" s="26" t="s">
        <v>23</v>
      </c>
      <c r="G137" s="26" t="s">
        <v>24</v>
      </c>
      <c r="H137" s="26" t="s">
        <v>25</v>
      </c>
      <c r="I137" s="26" t="s">
        <v>26</v>
      </c>
      <c r="J137" s="26" t="s">
        <v>24</v>
      </c>
      <c r="K137" s="27"/>
      <c r="L137" s="28" t="s">
        <v>25</v>
      </c>
      <c r="M137" s="29" t="str">
        <f t="shared" si="10"/>
        <v>✓ OK</v>
      </c>
      <c r="N137" s="43">
        <v>46193</v>
      </c>
      <c r="O137" s="26" t="s">
        <v>23</v>
      </c>
      <c r="P137" s="26" t="s">
        <v>24</v>
      </c>
      <c r="Q137" s="26" t="s">
        <v>25</v>
      </c>
      <c r="R137" s="26" t="s">
        <v>26</v>
      </c>
      <c r="S137" s="26" t="s">
        <v>24</v>
      </c>
      <c r="T137" s="27"/>
      <c r="U137" s="28" t="s">
        <v>25</v>
      </c>
      <c r="V137" s="29" t="str">
        <f t="shared" si="11"/>
        <v>✓ OK</v>
      </c>
      <c r="W137" s="45">
        <v>46248</v>
      </c>
      <c r="X137" s="30" t="s">
        <v>23</v>
      </c>
      <c r="Y137" s="30" t="s">
        <v>24</v>
      </c>
      <c r="Z137" s="30" t="s">
        <v>25</v>
      </c>
      <c r="AA137" s="30" t="s">
        <v>26</v>
      </c>
      <c r="AB137" s="30" t="s">
        <v>24</v>
      </c>
      <c r="AC137" s="27"/>
      <c r="AD137" s="31" t="s">
        <v>25</v>
      </c>
      <c r="AE137" s="32" t="str">
        <f t="shared" si="12"/>
        <v>✓ OK</v>
      </c>
      <c r="AF137" s="33" t="s">
        <v>27</v>
      </c>
      <c r="AG137" s="33" t="s">
        <v>23</v>
      </c>
      <c r="AH137" s="33" t="s">
        <v>24</v>
      </c>
      <c r="AI137" s="33" t="s">
        <v>25</v>
      </c>
      <c r="AJ137" s="33" t="s">
        <v>26</v>
      </c>
      <c r="AK137" s="33" t="s">
        <v>24</v>
      </c>
      <c r="AL137" s="27"/>
      <c r="AM137" s="34" t="s">
        <v>25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8" customHeight="1" x14ac:dyDescent="0.3">
      <c r="A138" s="39">
        <v>134</v>
      </c>
      <c r="B138" s="40" t="s">
        <v>2115</v>
      </c>
      <c r="C138" s="41" t="s">
        <v>2116</v>
      </c>
      <c r="D138" s="39" t="s">
        <v>1850</v>
      </c>
      <c r="E138" s="43">
        <v>46125</v>
      </c>
      <c r="F138" s="26" t="s">
        <v>23</v>
      </c>
      <c r="G138" s="26" t="s">
        <v>24</v>
      </c>
      <c r="H138" s="26" t="s">
        <v>25</v>
      </c>
      <c r="I138" s="26" t="s">
        <v>26</v>
      </c>
      <c r="J138" s="26" t="s">
        <v>24</v>
      </c>
      <c r="K138" s="27"/>
      <c r="L138" s="28" t="s">
        <v>25</v>
      </c>
      <c r="M138" s="29" t="str">
        <f t="shared" si="10"/>
        <v>✓ OK</v>
      </c>
      <c r="N138" s="43">
        <v>46193</v>
      </c>
      <c r="O138" s="26" t="s">
        <v>23</v>
      </c>
      <c r="P138" s="26" t="s">
        <v>24</v>
      </c>
      <c r="Q138" s="26" t="s">
        <v>25</v>
      </c>
      <c r="R138" s="26" t="s">
        <v>26</v>
      </c>
      <c r="S138" s="26" t="s">
        <v>24</v>
      </c>
      <c r="T138" s="27"/>
      <c r="U138" s="28" t="s">
        <v>25</v>
      </c>
      <c r="V138" s="29" t="str">
        <f t="shared" si="11"/>
        <v>✓ OK</v>
      </c>
      <c r="W138" s="45">
        <v>46248</v>
      </c>
      <c r="X138" s="30" t="s">
        <v>23</v>
      </c>
      <c r="Y138" s="30" t="s">
        <v>24</v>
      </c>
      <c r="Z138" s="30" t="s">
        <v>25</v>
      </c>
      <c r="AA138" s="30" t="s">
        <v>26</v>
      </c>
      <c r="AB138" s="30" t="s">
        <v>24</v>
      </c>
      <c r="AC138" s="27"/>
      <c r="AD138" s="31" t="s">
        <v>25</v>
      </c>
      <c r="AE138" s="32" t="str">
        <f t="shared" si="12"/>
        <v>✓ OK</v>
      </c>
      <c r="AF138" s="33" t="s">
        <v>27</v>
      </c>
      <c r="AG138" s="33" t="s">
        <v>23</v>
      </c>
      <c r="AH138" s="33" t="s">
        <v>24</v>
      </c>
      <c r="AI138" s="33" t="s">
        <v>25</v>
      </c>
      <c r="AJ138" s="33" t="s">
        <v>26</v>
      </c>
      <c r="AK138" s="33" t="s">
        <v>24</v>
      </c>
      <c r="AL138" s="27"/>
      <c r="AM138" s="34" t="s">
        <v>25</v>
      </c>
      <c r="AN138" s="35" t="str">
        <f t="shared" si="1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8" customHeight="1" x14ac:dyDescent="0.3">
      <c r="A139" s="23">
        <v>135</v>
      </c>
      <c r="B139" s="24" t="s">
        <v>2117</v>
      </c>
      <c r="C139" s="25" t="s">
        <v>2118</v>
      </c>
      <c r="D139" s="23" t="s">
        <v>1850</v>
      </c>
      <c r="E139" s="43">
        <v>46125</v>
      </c>
      <c r="F139" s="26" t="s">
        <v>23</v>
      </c>
      <c r="G139" s="26" t="s">
        <v>24</v>
      </c>
      <c r="H139" s="26" t="s">
        <v>25</v>
      </c>
      <c r="I139" s="26" t="s">
        <v>26</v>
      </c>
      <c r="J139" s="26" t="s">
        <v>24</v>
      </c>
      <c r="K139" s="27"/>
      <c r="L139" s="28" t="s">
        <v>25</v>
      </c>
      <c r="M139" s="29" t="str">
        <f t="shared" si="10"/>
        <v>✓ OK</v>
      </c>
      <c r="N139" s="43">
        <v>46193</v>
      </c>
      <c r="O139" s="26" t="s">
        <v>23</v>
      </c>
      <c r="P139" s="26" t="s">
        <v>24</v>
      </c>
      <c r="Q139" s="26" t="s">
        <v>25</v>
      </c>
      <c r="R139" s="26" t="s">
        <v>26</v>
      </c>
      <c r="S139" s="26" t="s">
        <v>24</v>
      </c>
      <c r="T139" s="27"/>
      <c r="U139" s="28" t="s">
        <v>25</v>
      </c>
      <c r="V139" s="29" t="str">
        <f t="shared" si="11"/>
        <v>✓ OK</v>
      </c>
      <c r="W139" s="45">
        <v>46248</v>
      </c>
      <c r="X139" s="30" t="s">
        <v>23</v>
      </c>
      <c r="Y139" s="30" t="s">
        <v>24</v>
      </c>
      <c r="Z139" s="30" t="s">
        <v>25</v>
      </c>
      <c r="AA139" s="30" t="s">
        <v>26</v>
      </c>
      <c r="AB139" s="30" t="s">
        <v>24</v>
      </c>
      <c r="AC139" s="27"/>
      <c r="AD139" s="31" t="s">
        <v>25</v>
      </c>
      <c r="AE139" s="32" t="str">
        <f t="shared" si="12"/>
        <v>✓ OK</v>
      </c>
      <c r="AF139" s="33" t="s">
        <v>27</v>
      </c>
      <c r="AG139" s="33" t="s">
        <v>23</v>
      </c>
      <c r="AH139" s="33" t="s">
        <v>24</v>
      </c>
      <c r="AI139" s="33" t="s">
        <v>25</v>
      </c>
      <c r="AJ139" s="33" t="s">
        <v>26</v>
      </c>
      <c r="AK139" s="33" t="s">
        <v>24</v>
      </c>
      <c r="AL139" s="27"/>
      <c r="AM139" s="34" t="s">
        <v>25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8" customHeight="1" x14ac:dyDescent="0.3">
      <c r="A140" s="39">
        <v>136</v>
      </c>
      <c r="B140" s="40" t="s">
        <v>2119</v>
      </c>
      <c r="C140" s="41" t="s">
        <v>2120</v>
      </c>
      <c r="D140" s="39" t="s">
        <v>1850</v>
      </c>
      <c r="E140" s="43">
        <v>46125</v>
      </c>
      <c r="F140" s="26" t="s">
        <v>23</v>
      </c>
      <c r="G140" s="26" t="s">
        <v>24</v>
      </c>
      <c r="H140" s="26" t="s">
        <v>25</v>
      </c>
      <c r="I140" s="26" t="s">
        <v>26</v>
      </c>
      <c r="J140" s="26" t="s">
        <v>24</v>
      </c>
      <c r="K140" s="27"/>
      <c r="L140" s="28" t="s">
        <v>25</v>
      </c>
      <c r="M140" s="29" t="str">
        <f t="shared" si="10"/>
        <v>✓ OK</v>
      </c>
      <c r="N140" s="43">
        <v>46193</v>
      </c>
      <c r="O140" s="26" t="s">
        <v>23</v>
      </c>
      <c r="P140" s="26" t="s">
        <v>24</v>
      </c>
      <c r="Q140" s="26" t="s">
        <v>25</v>
      </c>
      <c r="R140" s="26" t="s">
        <v>26</v>
      </c>
      <c r="S140" s="26" t="s">
        <v>24</v>
      </c>
      <c r="T140" s="27"/>
      <c r="U140" s="28" t="s">
        <v>25</v>
      </c>
      <c r="V140" s="29" t="str">
        <f t="shared" si="11"/>
        <v>✓ OK</v>
      </c>
      <c r="W140" s="45">
        <v>46248</v>
      </c>
      <c r="X140" s="30" t="s">
        <v>23</v>
      </c>
      <c r="Y140" s="30" t="s">
        <v>24</v>
      </c>
      <c r="Z140" s="30" t="s">
        <v>25</v>
      </c>
      <c r="AA140" s="30" t="s">
        <v>26</v>
      </c>
      <c r="AB140" s="30" t="s">
        <v>24</v>
      </c>
      <c r="AC140" s="27"/>
      <c r="AD140" s="31" t="s">
        <v>25</v>
      </c>
      <c r="AE140" s="32" t="str">
        <f t="shared" si="12"/>
        <v>✓ OK</v>
      </c>
      <c r="AF140" s="33" t="s">
        <v>27</v>
      </c>
      <c r="AG140" s="33" t="s">
        <v>23</v>
      </c>
      <c r="AH140" s="33" t="s">
        <v>24</v>
      </c>
      <c r="AI140" s="33" t="s">
        <v>25</v>
      </c>
      <c r="AJ140" s="33" t="s">
        <v>26</v>
      </c>
      <c r="AK140" s="33" t="s">
        <v>24</v>
      </c>
      <c r="AL140" s="27"/>
      <c r="AM140" s="34" t="s">
        <v>25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8" customHeight="1" x14ac:dyDescent="0.3">
      <c r="A141" s="23">
        <v>137</v>
      </c>
      <c r="B141" s="24" t="s">
        <v>2121</v>
      </c>
      <c r="C141" s="25" t="s">
        <v>2122</v>
      </c>
      <c r="D141" s="23" t="s">
        <v>1850</v>
      </c>
      <c r="E141" s="43">
        <v>46125</v>
      </c>
      <c r="F141" s="26" t="s">
        <v>23</v>
      </c>
      <c r="G141" s="26" t="s">
        <v>24</v>
      </c>
      <c r="H141" s="26" t="s">
        <v>25</v>
      </c>
      <c r="I141" s="26" t="s">
        <v>26</v>
      </c>
      <c r="J141" s="26" t="s">
        <v>24</v>
      </c>
      <c r="K141" s="27"/>
      <c r="L141" s="28" t="s">
        <v>25</v>
      </c>
      <c r="M141" s="29" t="str">
        <f t="shared" si="10"/>
        <v>✓ OK</v>
      </c>
      <c r="N141" s="43">
        <v>46193</v>
      </c>
      <c r="O141" s="26" t="s">
        <v>23</v>
      </c>
      <c r="P141" s="26" t="s">
        <v>24</v>
      </c>
      <c r="Q141" s="26" t="s">
        <v>25</v>
      </c>
      <c r="R141" s="26" t="s">
        <v>26</v>
      </c>
      <c r="S141" s="26" t="s">
        <v>24</v>
      </c>
      <c r="T141" s="27"/>
      <c r="U141" s="28" t="s">
        <v>25</v>
      </c>
      <c r="V141" s="29" t="str">
        <f t="shared" si="11"/>
        <v>✓ OK</v>
      </c>
      <c r="W141" s="45">
        <v>46248</v>
      </c>
      <c r="X141" s="30" t="s">
        <v>23</v>
      </c>
      <c r="Y141" s="30" t="s">
        <v>24</v>
      </c>
      <c r="Z141" s="30" t="s">
        <v>25</v>
      </c>
      <c r="AA141" s="30" t="s">
        <v>26</v>
      </c>
      <c r="AB141" s="30" t="s">
        <v>24</v>
      </c>
      <c r="AC141" s="27"/>
      <c r="AD141" s="31" t="s">
        <v>25</v>
      </c>
      <c r="AE141" s="32" t="str">
        <f t="shared" si="12"/>
        <v>✓ OK</v>
      </c>
      <c r="AF141" s="33" t="s">
        <v>27</v>
      </c>
      <c r="AG141" s="33" t="s">
        <v>23</v>
      </c>
      <c r="AH141" s="33" t="s">
        <v>24</v>
      </c>
      <c r="AI141" s="33" t="s">
        <v>25</v>
      </c>
      <c r="AJ141" s="33" t="s">
        <v>26</v>
      </c>
      <c r="AK141" s="33" t="s">
        <v>24</v>
      </c>
      <c r="AL141" s="27"/>
      <c r="AM141" s="34" t="s">
        <v>25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8" customHeight="1" x14ac:dyDescent="0.3">
      <c r="A142" s="39">
        <v>138</v>
      </c>
      <c r="B142" s="40" t="s">
        <v>2123</v>
      </c>
      <c r="C142" s="41" t="s">
        <v>2124</v>
      </c>
      <c r="D142" s="39" t="s">
        <v>1850</v>
      </c>
      <c r="E142" s="43">
        <v>46125</v>
      </c>
      <c r="F142" s="26" t="s">
        <v>23</v>
      </c>
      <c r="G142" s="26" t="s">
        <v>24</v>
      </c>
      <c r="H142" s="26" t="s">
        <v>25</v>
      </c>
      <c r="I142" s="26" t="s">
        <v>26</v>
      </c>
      <c r="J142" s="26" t="s">
        <v>24</v>
      </c>
      <c r="K142" s="27"/>
      <c r="L142" s="28" t="s">
        <v>25</v>
      </c>
      <c r="M142" s="29" t="str">
        <f t="shared" si="10"/>
        <v>✓ OK</v>
      </c>
      <c r="N142" s="43">
        <v>46193</v>
      </c>
      <c r="O142" s="26" t="s">
        <v>23</v>
      </c>
      <c r="P142" s="26" t="s">
        <v>24</v>
      </c>
      <c r="Q142" s="26" t="s">
        <v>25</v>
      </c>
      <c r="R142" s="26" t="s">
        <v>26</v>
      </c>
      <c r="S142" s="26" t="s">
        <v>24</v>
      </c>
      <c r="T142" s="27"/>
      <c r="U142" s="28" t="s">
        <v>25</v>
      </c>
      <c r="V142" s="29" t="str">
        <f t="shared" si="11"/>
        <v>✓ OK</v>
      </c>
      <c r="W142" s="45">
        <v>46248</v>
      </c>
      <c r="X142" s="30" t="s">
        <v>23</v>
      </c>
      <c r="Y142" s="30" t="s">
        <v>24</v>
      </c>
      <c r="Z142" s="30" t="s">
        <v>25</v>
      </c>
      <c r="AA142" s="30" t="s">
        <v>26</v>
      </c>
      <c r="AB142" s="30" t="s">
        <v>24</v>
      </c>
      <c r="AC142" s="27"/>
      <c r="AD142" s="31" t="s">
        <v>25</v>
      </c>
      <c r="AE142" s="32" t="str">
        <f t="shared" si="12"/>
        <v>✓ OK</v>
      </c>
      <c r="AF142" s="33" t="s">
        <v>27</v>
      </c>
      <c r="AG142" s="33" t="s">
        <v>23</v>
      </c>
      <c r="AH142" s="33" t="s">
        <v>24</v>
      </c>
      <c r="AI142" s="33" t="s">
        <v>25</v>
      </c>
      <c r="AJ142" s="33" t="s">
        <v>26</v>
      </c>
      <c r="AK142" s="33" t="s">
        <v>24</v>
      </c>
      <c r="AL142" s="27"/>
      <c r="AM142" s="34" t="s">
        <v>25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8" customHeight="1" x14ac:dyDescent="0.3">
      <c r="A143" s="23">
        <v>139</v>
      </c>
      <c r="B143" s="24" t="s">
        <v>2125</v>
      </c>
      <c r="C143" s="25" t="s">
        <v>2126</v>
      </c>
      <c r="D143" s="23" t="s">
        <v>1850</v>
      </c>
      <c r="E143" s="43">
        <v>46125</v>
      </c>
      <c r="F143" s="26" t="s">
        <v>23</v>
      </c>
      <c r="G143" s="26" t="s">
        <v>24</v>
      </c>
      <c r="H143" s="26" t="s">
        <v>25</v>
      </c>
      <c r="I143" s="26" t="s">
        <v>26</v>
      </c>
      <c r="J143" s="26" t="s">
        <v>24</v>
      </c>
      <c r="K143" s="27"/>
      <c r="L143" s="28" t="s">
        <v>25</v>
      </c>
      <c r="M143" s="29" t="str">
        <f t="shared" si="10"/>
        <v>✓ OK</v>
      </c>
      <c r="N143" s="43">
        <v>46193</v>
      </c>
      <c r="O143" s="26" t="s">
        <v>23</v>
      </c>
      <c r="P143" s="26" t="s">
        <v>24</v>
      </c>
      <c r="Q143" s="26" t="s">
        <v>25</v>
      </c>
      <c r="R143" s="26" t="s">
        <v>26</v>
      </c>
      <c r="S143" s="26" t="s">
        <v>24</v>
      </c>
      <c r="T143" s="27"/>
      <c r="U143" s="28" t="s">
        <v>25</v>
      </c>
      <c r="V143" s="29" t="str">
        <f t="shared" si="11"/>
        <v>✓ OK</v>
      </c>
      <c r="W143" s="45">
        <v>46248</v>
      </c>
      <c r="X143" s="30" t="s">
        <v>23</v>
      </c>
      <c r="Y143" s="30" t="s">
        <v>24</v>
      </c>
      <c r="Z143" s="30" t="s">
        <v>25</v>
      </c>
      <c r="AA143" s="30" t="s">
        <v>26</v>
      </c>
      <c r="AB143" s="30" t="s">
        <v>24</v>
      </c>
      <c r="AC143" s="27"/>
      <c r="AD143" s="31" t="s">
        <v>25</v>
      </c>
      <c r="AE143" s="32" t="str">
        <f t="shared" si="12"/>
        <v>✓ OK</v>
      </c>
      <c r="AF143" s="33" t="s">
        <v>27</v>
      </c>
      <c r="AG143" s="33" t="s">
        <v>23</v>
      </c>
      <c r="AH143" s="33" t="s">
        <v>24</v>
      </c>
      <c r="AI143" s="33" t="s">
        <v>25</v>
      </c>
      <c r="AJ143" s="33" t="s">
        <v>26</v>
      </c>
      <c r="AK143" s="33" t="s">
        <v>24</v>
      </c>
      <c r="AL143" s="27"/>
      <c r="AM143" s="34" t="s">
        <v>25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8" customHeight="1" x14ac:dyDescent="0.3">
      <c r="A144" s="39">
        <v>140</v>
      </c>
      <c r="B144" s="40" t="s">
        <v>2127</v>
      </c>
      <c r="C144" s="41" t="s">
        <v>2128</v>
      </c>
      <c r="D144" s="39" t="s">
        <v>1850</v>
      </c>
      <c r="E144" s="43">
        <v>46125</v>
      </c>
      <c r="F144" s="26" t="s">
        <v>23</v>
      </c>
      <c r="G144" s="26" t="s">
        <v>24</v>
      </c>
      <c r="H144" s="26" t="s">
        <v>25</v>
      </c>
      <c r="I144" s="26" t="s">
        <v>26</v>
      </c>
      <c r="J144" s="26" t="s">
        <v>24</v>
      </c>
      <c r="K144" s="27"/>
      <c r="L144" s="28" t="s">
        <v>25</v>
      </c>
      <c r="M144" s="29" t="str">
        <f t="shared" si="10"/>
        <v>✓ OK</v>
      </c>
      <c r="N144" s="43">
        <v>46193</v>
      </c>
      <c r="O144" s="26" t="s">
        <v>23</v>
      </c>
      <c r="P144" s="26" t="s">
        <v>24</v>
      </c>
      <c r="Q144" s="26" t="s">
        <v>25</v>
      </c>
      <c r="R144" s="26" t="s">
        <v>26</v>
      </c>
      <c r="S144" s="26" t="s">
        <v>24</v>
      </c>
      <c r="T144" s="27"/>
      <c r="U144" s="28" t="s">
        <v>25</v>
      </c>
      <c r="V144" s="29" t="str">
        <f t="shared" si="11"/>
        <v>✓ OK</v>
      </c>
      <c r="W144" s="45">
        <v>46248</v>
      </c>
      <c r="X144" s="30" t="s">
        <v>23</v>
      </c>
      <c r="Y144" s="30" t="s">
        <v>24</v>
      </c>
      <c r="Z144" s="30" t="s">
        <v>25</v>
      </c>
      <c r="AA144" s="30" t="s">
        <v>26</v>
      </c>
      <c r="AB144" s="30" t="s">
        <v>24</v>
      </c>
      <c r="AC144" s="27"/>
      <c r="AD144" s="31" t="s">
        <v>25</v>
      </c>
      <c r="AE144" s="32" t="str">
        <f t="shared" si="12"/>
        <v>✓ OK</v>
      </c>
      <c r="AF144" s="33" t="s">
        <v>27</v>
      </c>
      <c r="AG144" s="33" t="s">
        <v>23</v>
      </c>
      <c r="AH144" s="33" t="s">
        <v>24</v>
      </c>
      <c r="AI144" s="33" t="s">
        <v>25</v>
      </c>
      <c r="AJ144" s="33" t="s">
        <v>26</v>
      </c>
      <c r="AK144" s="33" t="s">
        <v>24</v>
      </c>
      <c r="AL144" s="27"/>
      <c r="AM144" s="34" t="s">
        <v>25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8" customHeight="1" x14ac:dyDescent="0.3">
      <c r="A145" s="23">
        <v>141</v>
      </c>
      <c r="B145" s="24" t="s">
        <v>2129</v>
      </c>
      <c r="C145" s="25" t="s">
        <v>2130</v>
      </c>
      <c r="D145" s="23" t="s">
        <v>1850</v>
      </c>
      <c r="E145" s="43">
        <v>46125</v>
      </c>
      <c r="F145" s="26" t="s">
        <v>23</v>
      </c>
      <c r="G145" s="26" t="s">
        <v>24</v>
      </c>
      <c r="H145" s="26" t="s">
        <v>25</v>
      </c>
      <c r="I145" s="26" t="s">
        <v>26</v>
      </c>
      <c r="J145" s="26" t="s">
        <v>24</v>
      </c>
      <c r="K145" s="27"/>
      <c r="L145" s="28" t="s">
        <v>25</v>
      </c>
      <c r="M145" s="29" t="str">
        <f t="shared" si="10"/>
        <v>✓ OK</v>
      </c>
      <c r="N145" s="43">
        <v>46193</v>
      </c>
      <c r="O145" s="26" t="s">
        <v>23</v>
      </c>
      <c r="P145" s="26" t="s">
        <v>24</v>
      </c>
      <c r="Q145" s="26" t="s">
        <v>25</v>
      </c>
      <c r="R145" s="26" t="s">
        <v>26</v>
      </c>
      <c r="S145" s="26" t="s">
        <v>24</v>
      </c>
      <c r="T145" s="27"/>
      <c r="U145" s="28" t="s">
        <v>25</v>
      </c>
      <c r="V145" s="29" t="str">
        <f t="shared" si="11"/>
        <v>✓ OK</v>
      </c>
      <c r="W145" s="45">
        <v>46248</v>
      </c>
      <c r="X145" s="30" t="s">
        <v>23</v>
      </c>
      <c r="Y145" s="30" t="s">
        <v>24</v>
      </c>
      <c r="Z145" s="30" t="s">
        <v>25</v>
      </c>
      <c r="AA145" s="30" t="s">
        <v>26</v>
      </c>
      <c r="AB145" s="30" t="s">
        <v>24</v>
      </c>
      <c r="AC145" s="27"/>
      <c r="AD145" s="31" t="s">
        <v>25</v>
      </c>
      <c r="AE145" s="32" t="str">
        <f t="shared" si="12"/>
        <v>✓ OK</v>
      </c>
      <c r="AF145" s="33" t="s">
        <v>27</v>
      </c>
      <c r="AG145" s="33" t="s">
        <v>23</v>
      </c>
      <c r="AH145" s="33" t="s">
        <v>24</v>
      </c>
      <c r="AI145" s="33" t="s">
        <v>25</v>
      </c>
      <c r="AJ145" s="33" t="s">
        <v>26</v>
      </c>
      <c r="AK145" s="33" t="s">
        <v>24</v>
      </c>
      <c r="AL145" s="27"/>
      <c r="AM145" s="34" t="s">
        <v>25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8" customHeight="1" x14ac:dyDescent="0.3">
      <c r="A146" s="39">
        <v>142</v>
      </c>
      <c r="B146" s="40" t="s">
        <v>2131</v>
      </c>
      <c r="C146" s="41" t="s">
        <v>2132</v>
      </c>
      <c r="D146" s="39" t="s">
        <v>1850</v>
      </c>
      <c r="E146" s="43">
        <v>46125</v>
      </c>
      <c r="F146" s="26" t="s">
        <v>23</v>
      </c>
      <c r="G146" s="26" t="s">
        <v>24</v>
      </c>
      <c r="H146" s="26" t="s">
        <v>25</v>
      </c>
      <c r="I146" s="26" t="s">
        <v>26</v>
      </c>
      <c r="J146" s="26" t="s">
        <v>24</v>
      </c>
      <c r="K146" s="27"/>
      <c r="L146" s="28" t="s">
        <v>25</v>
      </c>
      <c r="M146" s="29" t="str">
        <f t="shared" si="10"/>
        <v>✓ OK</v>
      </c>
      <c r="N146" s="43">
        <v>46193</v>
      </c>
      <c r="O146" s="26" t="s">
        <v>23</v>
      </c>
      <c r="P146" s="26" t="s">
        <v>24</v>
      </c>
      <c r="Q146" s="26" t="s">
        <v>25</v>
      </c>
      <c r="R146" s="26" t="s">
        <v>26</v>
      </c>
      <c r="S146" s="26" t="s">
        <v>24</v>
      </c>
      <c r="T146" s="27"/>
      <c r="U146" s="28" t="s">
        <v>25</v>
      </c>
      <c r="V146" s="29" t="str">
        <f t="shared" si="11"/>
        <v>✓ OK</v>
      </c>
      <c r="W146" s="45">
        <v>46248</v>
      </c>
      <c r="X146" s="30" t="s">
        <v>23</v>
      </c>
      <c r="Y146" s="30" t="s">
        <v>24</v>
      </c>
      <c r="Z146" s="30" t="s">
        <v>25</v>
      </c>
      <c r="AA146" s="30" t="s">
        <v>26</v>
      </c>
      <c r="AB146" s="30" t="s">
        <v>24</v>
      </c>
      <c r="AC146" s="27"/>
      <c r="AD146" s="31" t="s">
        <v>25</v>
      </c>
      <c r="AE146" s="32" t="str">
        <f t="shared" si="12"/>
        <v>✓ OK</v>
      </c>
      <c r="AF146" s="33" t="s">
        <v>27</v>
      </c>
      <c r="AG146" s="33" t="s">
        <v>23</v>
      </c>
      <c r="AH146" s="33" t="s">
        <v>24</v>
      </c>
      <c r="AI146" s="33" t="s">
        <v>25</v>
      </c>
      <c r="AJ146" s="33" t="s">
        <v>26</v>
      </c>
      <c r="AK146" s="33" t="s">
        <v>24</v>
      </c>
      <c r="AL146" s="27"/>
      <c r="AM146" s="34" t="s">
        <v>25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8" customHeight="1" x14ac:dyDescent="0.3">
      <c r="A147" s="23">
        <v>143</v>
      </c>
      <c r="B147" s="24" t="s">
        <v>2133</v>
      </c>
      <c r="C147" s="25" t="s">
        <v>2134</v>
      </c>
      <c r="D147" s="23" t="s">
        <v>1850</v>
      </c>
      <c r="E147" s="43">
        <v>46125</v>
      </c>
      <c r="F147" s="26" t="s">
        <v>23</v>
      </c>
      <c r="G147" s="26" t="s">
        <v>24</v>
      </c>
      <c r="H147" s="26" t="s">
        <v>25</v>
      </c>
      <c r="I147" s="26" t="s">
        <v>26</v>
      </c>
      <c r="J147" s="26" t="s">
        <v>24</v>
      </c>
      <c r="K147" s="27"/>
      <c r="L147" s="28" t="s">
        <v>25</v>
      </c>
      <c r="M147" s="29" t="str">
        <f t="shared" si="10"/>
        <v>✓ OK</v>
      </c>
      <c r="N147" s="43">
        <v>46193</v>
      </c>
      <c r="O147" s="26" t="s">
        <v>23</v>
      </c>
      <c r="P147" s="26" t="s">
        <v>24</v>
      </c>
      <c r="Q147" s="26" t="s">
        <v>25</v>
      </c>
      <c r="R147" s="26" t="s">
        <v>26</v>
      </c>
      <c r="S147" s="26" t="s">
        <v>24</v>
      </c>
      <c r="T147" s="27"/>
      <c r="U147" s="28" t="s">
        <v>25</v>
      </c>
      <c r="V147" s="29" t="str">
        <f t="shared" si="11"/>
        <v>✓ OK</v>
      </c>
      <c r="W147" s="45">
        <v>46248</v>
      </c>
      <c r="X147" s="30" t="s">
        <v>23</v>
      </c>
      <c r="Y147" s="30" t="s">
        <v>24</v>
      </c>
      <c r="Z147" s="30" t="s">
        <v>25</v>
      </c>
      <c r="AA147" s="30" t="s">
        <v>26</v>
      </c>
      <c r="AB147" s="30" t="s">
        <v>24</v>
      </c>
      <c r="AC147" s="27"/>
      <c r="AD147" s="31" t="s">
        <v>25</v>
      </c>
      <c r="AE147" s="32" t="str">
        <f t="shared" si="12"/>
        <v>✓ OK</v>
      </c>
      <c r="AF147" s="33" t="s">
        <v>27</v>
      </c>
      <c r="AG147" s="33" t="s">
        <v>23</v>
      </c>
      <c r="AH147" s="33" t="s">
        <v>24</v>
      </c>
      <c r="AI147" s="33" t="s">
        <v>25</v>
      </c>
      <c r="AJ147" s="33" t="s">
        <v>26</v>
      </c>
      <c r="AK147" s="33" t="s">
        <v>24</v>
      </c>
      <c r="AL147" s="27"/>
      <c r="AM147" s="34" t="s">
        <v>25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8" customHeight="1" x14ac:dyDescent="0.3">
      <c r="A148" s="39">
        <v>144</v>
      </c>
      <c r="B148" s="40" t="s">
        <v>2135</v>
      </c>
      <c r="C148" s="41" t="s">
        <v>2136</v>
      </c>
      <c r="D148" s="39" t="s">
        <v>1850</v>
      </c>
      <c r="E148" s="43">
        <v>46125</v>
      </c>
      <c r="F148" s="26" t="s">
        <v>23</v>
      </c>
      <c r="G148" s="26" t="s">
        <v>24</v>
      </c>
      <c r="H148" s="26" t="s">
        <v>25</v>
      </c>
      <c r="I148" s="26" t="s">
        <v>26</v>
      </c>
      <c r="J148" s="26" t="s">
        <v>24</v>
      </c>
      <c r="K148" s="27"/>
      <c r="L148" s="28" t="s">
        <v>25</v>
      </c>
      <c r="M148" s="29" t="str">
        <f t="shared" si="10"/>
        <v>✓ OK</v>
      </c>
      <c r="N148" s="43">
        <v>46193</v>
      </c>
      <c r="O148" s="26" t="s">
        <v>23</v>
      </c>
      <c r="P148" s="26" t="s">
        <v>24</v>
      </c>
      <c r="Q148" s="26" t="s">
        <v>25</v>
      </c>
      <c r="R148" s="26" t="s">
        <v>26</v>
      </c>
      <c r="S148" s="26" t="s">
        <v>24</v>
      </c>
      <c r="T148" s="27"/>
      <c r="U148" s="28" t="s">
        <v>25</v>
      </c>
      <c r="V148" s="29" t="str">
        <f t="shared" si="11"/>
        <v>✓ OK</v>
      </c>
      <c r="W148" s="45">
        <v>46248</v>
      </c>
      <c r="X148" s="30" t="s">
        <v>23</v>
      </c>
      <c r="Y148" s="30" t="s">
        <v>24</v>
      </c>
      <c r="Z148" s="30" t="s">
        <v>25</v>
      </c>
      <c r="AA148" s="30" t="s">
        <v>26</v>
      </c>
      <c r="AB148" s="30" t="s">
        <v>24</v>
      </c>
      <c r="AC148" s="27"/>
      <c r="AD148" s="31" t="s">
        <v>25</v>
      </c>
      <c r="AE148" s="32" t="str">
        <f t="shared" si="12"/>
        <v>✓ OK</v>
      </c>
      <c r="AF148" s="33" t="s">
        <v>27</v>
      </c>
      <c r="AG148" s="33" t="s">
        <v>23</v>
      </c>
      <c r="AH148" s="33" t="s">
        <v>24</v>
      </c>
      <c r="AI148" s="33" t="s">
        <v>25</v>
      </c>
      <c r="AJ148" s="33" t="s">
        <v>26</v>
      </c>
      <c r="AK148" s="33" t="s">
        <v>24</v>
      </c>
      <c r="AL148" s="27"/>
      <c r="AM148" s="34" t="s">
        <v>25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8" customHeight="1" x14ac:dyDescent="0.3">
      <c r="A149" s="23">
        <v>145</v>
      </c>
      <c r="B149" s="24" t="s">
        <v>2137</v>
      </c>
      <c r="C149" s="25" t="s">
        <v>2138</v>
      </c>
      <c r="D149" s="23" t="s">
        <v>1850</v>
      </c>
      <c r="E149" s="43">
        <v>46125</v>
      </c>
      <c r="F149" s="26" t="s">
        <v>23</v>
      </c>
      <c r="G149" s="26" t="s">
        <v>24</v>
      </c>
      <c r="H149" s="26" t="s">
        <v>25</v>
      </c>
      <c r="I149" s="26" t="s">
        <v>26</v>
      </c>
      <c r="J149" s="26" t="s">
        <v>24</v>
      </c>
      <c r="K149" s="27"/>
      <c r="L149" s="28" t="s">
        <v>25</v>
      </c>
      <c r="M149" s="29" t="str">
        <f t="shared" si="10"/>
        <v>✓ OK</v>
      </c>
      <c r="N149" s="43">
        <v>46193</v>
      </c>
      <c r="O149" s="26" t="s">
        <v>23</v>
      </c>
      <c r="P149" s="26" t="s">
        <v>24</v>
      </c>
      <c r="Q149" s="26" t="s">
        <v>25</v>
      </c>
      <c r="R149" s="26" t="s">
        <v>26</v>
      </c>
      <c r="S149" s="26" t="s">
        <v>24</v>
      </c>
      <c r="T149" s="27"/>
      <c r="U149" s="28" t="s">
        <v>25</v>
      </c>
      <c r="V149" s="29" t="str">
        <f t="shared" si="11"/>
        <v>✓ OK</v>
      </c>
      <c r="W149" s="45">
        <v>46248</v>
      </c>
      <c r="X149" s="30" t="s">
        <v>23</v>
      </c>
      <c r="Y149" s="30" t="s">
        <v>24</v>
      </c>
      <c r="Z149" s="30" t="s">
        <v>25</v>
      </c>
      <c r="AA149" s="30" t="s">
        <v>26</v>
      </c>
      <c r="AB149" s="30" t="s">
        <v>24</v>
      </c>
      <c r="AC149" s="27"/>
      <c r="AD149" s="31" t="s">
        <v>25</v>
      </c>
      <c r="AE149" s="32" t="str">
        <f t="shared" si="12"/>
        <v>✓ OK</v>
      </c>
      <c r="AF149" s="33" t="s">
        <v>27</v>
      </c>
      <c r="AG149" s="33" t="s">
        <v>23</v>
      </c>
      <c r="AH149" s="33" t="s">
        <v>24</v>
      </c>
      <c r="AI149" s="33" t="s">
        <v>25</v>
      </c>
      <c r="AJ149" s="33" t="s">
        <v>26</v>
      </c>
      <c r="AK149" s="33" t="s">
        <v>24</v>
      </c>
      <c r="AL149" s="27"/>
      <c r="AM149" s="34" t="s">
        <v>25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8" customHeight="1" x14ac:dyDescent="0.3">
      <c r="A150" s="39">
        <v>146</v>
      </c>
      <c r="B150" s="40" t="s">
        <v>2139</v>
      </c>
      <c r="C150" s="41" t="s">
        <v>2140</v>
      </c>
      <c r="D150" s="39" t="s">
        <v>1850</v>
      </c>
      <c r="E150" s="43">
        <v>46125</v>
      </c>
      <c r="F150" s="26" t="s">
        <v>23</v>
      </c>
      <c r="G150" s="26" t="s">
        <v>24</v>
      </c>
      <c r="H150" s="26" t="s">
        <v>25</v>
      </c>
      <c r="I150" s="26" t="s">
        <v>26</v>
      </c>
      <c r="J150" s="26" t="s">
        <v>24</v>
      </c>
      <c r="K150" s="27"/>
      <c r="L150" s="28" t="s">
        <v>25</v>
      </c>
      <c r="M150" s="29" t="str">
        <f t="shared" si="10"/>
        <v>✓ OK</v>
      </c>
      <c r="N150" s="43">
        <v>46193</v>
      </c>
      <c r="O150" s="26" t="s">
        <v>23</v>
      </c>
      <c r="P150" s="26" t="s">
        <v>24</v>
      </c>
      <c r="Q150" s="26" t="s">
        <v>25</v>
      </c>
      <c r="R150" s="26" t="s">
        <v>26</v>
      </c>
      <c r="S150" s="26" t="s">
        <v>24</v>
      </c>
      <c r="T150" s="27"/>
      <c r="U150" s="28" t="s">
        <v>25</v>
      </c>
      <c r="V150" s="29" t="str">
        <f t="shared" si="11"/>
        <v>✓ OK</v>
      </c>
      <c r="W150" s="45">
        <v>46248</v>
      </c>
      <c r="X150" s="30" t="s">
        <v>23</v>
      </c>
      <c r="Y150" s="30" t="s">
        <v>24</v>
      </c>
      <c r="Z150" s="30" t="s">
        <v>25</v>
      </c>
      <c r="AA150" s="30" t="s">
        <v>26</v>
      </c>
      <c r="AB150" s="30" t="s">
        <v>24</v>
      </c>
      <c r="AC150" s="27"/>
      <c r="AD150" s="31" t="s">
        <v>25</v>
      </c>
      <c r="AE150" s="32" t="str">
        <f t="shared" si="12"/>
        <v>✓ OK</v>
      </c>
      <c r="AF150" s="33" t="s">
        <v>27</v>
      </c>
      <c r="AG150" s="33" t="s">
        <v>23</v>
      </c>
      <c r="AH150" s="33" t="s">
        <v>24</v>
      </c>
      <c r="AI150" s="33" t="s">
        <v>25</v>
      </c>
      <c r="AJ150" s="33" t="s">
        <v>26</v>
      </c>
      <c r="AK150" s="33" t="s">
        <v>24</v>
      </c>
      <c r="AL150" s="27"/>
      <c r="AM150" s="34" t="s">
        <v>25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8" customHeight="1" x14ac:dyDescent="0.3">
      <c r="A151" s="23">
        <v>147</v>
      </c>
      <c r="B151" s="24" t="s">
        <v>2141</v>
      </c>
      <c r="C151" s="25" t="s">
        <v>2142</v>
      </c>
      <c r="D151" s="23" t="s">
        <v>1850</v>
      </c>
      <c r="E151" s="43">
        <v>46125</v>
      </c>
      <c r="F151" s="26" t="s">
        <v>23</v>
      </c>
      <c r="G151" s="26" t="s">
        <v>24</v>
      </c>
      <c r="H151" s="26" t="s">
        <v>25</v>
      </c>
      <c r="I151" s="26" t="s">
        <v>26</v>
      </c>
      <c r="J151" s="26" t="s">
        <v>24</v>
      </c>
      <c r="K151" s="27"/>
      <c r="L151" s="28" t="s">
        <v>25</v>
      </c>
      <c r="M151" s="29" t="str">
        <f t="shared" si="10"/>
        <v>✓ OK</v>
      </c>
      <c r="N151" s="43">
        <v>46193</v>
      </c>
      <c r="O151" s="26" t="s">
        <v>23</v>
      </c>
      <c r="P151" s="26" t="s">
        <v>24</v>
      </c>
      <c r="Q151" s="26" t="s">
        <v>25</v>
      </c>
      <c r="R151" s="26" t="s">
        <v>26</v>
      </c>
      <c r="S151" s="26" t="s">
        <v>24</v>
      </c>
      <c r="T151" s="27"/>
      <c r="U151" s="28" t="s">
        <v>25</v>
      </c>
      <c r="V151" s="29" t="str">
        <f t="shared" si="11"/>
        <v>✓ OK</v>
      </c>
      <c r="W151" s="45">
        <v>46248</v>
      </c>
      <c r="X151" s="30" t="s">
        <v>23</v>
      </c>
      <c r="Y151" s="30" t="s">
        <v>24</v>
      </c>
      <c r="Z151" s="30" t="s">
        <v>25</v>
      </c>
      <c r="AA151" s="30" t="s">
        <v>26</v>
      </c>
      <c r="AB151" s="30" t="s">
        <v>24</v>
      </c>
      <c r="AC151" s="27"/>
      <c r="AD151" s="31" t="s">
        <v>25</v>
      </c>
      <c r="AE151" s="32" t="str">
        <f t="shared" si="12"/>
        <v>✓ OK</v>
      </c>
      <c r="AF151" s="33" t="s">
        <v>27</v>
      </c>
      <c r="AG151" s="33" t="s">
        <v>23</v>
      </c>
      <c r="AH151" s="33" t="s">
        <v>24</v>
      </c>
      <c r="AI151" s="33" t="s">
        <v>25</v>
      </c>
      <c r="AJ151" s="33" t="s">
        <v>26</v>
      </c>
      <c r="AK151" s="33" t="s">
        <v>24</v>
      </c>
      <c r="AL151" s="27"/>
      <c r="AM151" s="34" t="s">
        <v>25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8" customHeight="1" x14ac:dyDescent="0.3">
      <c r="A152" s="39">
        <v>148</v>
      </c>
      <c r="B152" s="40" t="s">
        <v>2143</v>
      </c>
      <c r="C152" s="41" t="s">
        <v>2144</v>
      </c>
      <c r="D152" s="39" t="s">
        <v>1850</v>
      </c>
      <c r="E152" s="43">
        <v>46125</v>
      </c>
      <c r="F152" s="26" t="s">
        <v>23</v>
      </c>
      <c r="G152" s="26" t="s">
        <v>24</v>
      </c>
      <c r="H152" s="26" t="s">
        <v>25</v>
      </c>
      <c r="I152" s="26" t="s">
        <v>26</v>
      </c>
      <c r="J152" s="26" t="s">
        <v>24</v>
      </c>
      <c r="K152" s="27"/>
      <c r="L152" s="28" t="s">
        <v>25</v>
      </c>
      <c r="M152" s="29" t="str">
        <f t="shared" si="10"/>
        <v>✓ OK</v>
      </c>
      <c r="N152" s="43">
        <v>46193</v>
      </c>
      <c r="O152" s="26" t="s">
        <v>23</v>
      </c>
      <c r="P152" s="26" t="s">
        <v>24</v>
      </c>
      <c r="Q152" s="26" t="s">
        <v>25</v>
      </c>
      <c r="R152" s="26" t="s">
        <v>26</v>
      </c>
      <c r="S152" s="26" t="s">
        <v>24</v>
      </c>
      <c r="T152" s="27"/>
      <c r="U152" s="28" t="s">
        <v>25</v>
      </c>
      <c r="V152" s="29" t="str">
        <f t="shared" si="11"/>
        <v>✓ OK</v>
      </c>
      <c r="W152" s="45">
        <v>46248</v>
      </c>
      <c r="X152" s="30" t="s">
        <v>23</v>
      </c>
      <c r="Y152" s="30" t="s">
        <v>24</v>
      </c>
      <c r="Z152" s="30" t="s">
        <v>25</v>
      </c>
      <c r="AA152" s="30" t="s">
        <v>26</v>
      </c>
      <c r="AB152" s="30" t="s">
        <v>24</v>
      </c>
      <c r="AC152" s="27"/>
      <c r="AD152" s="31" t="s">
        <v>25</v>
      </c>
      <c r="AE152" s="32" t="str">
        <f t="shared" si="12"/>
        <v>✓ OK</v>
      </c>
      <c r="AF152" s="33" t="s">
        <v>27</v>
      </c>
      <c r="AG152" s="33" t="s">
        <v>23</v>
      </c>
      <c r="AH152" s="33" t="s">
        <v>24</v>
      </c>
      <c r="AI152" s="33" t="s">
        <v>25</v>
      </c>
      <c r="AJ152" s="33" t="s">
        <v>26</v>
      </c>
      <c r="AK152" s="33" t="s">
        <v>24</v>
      </c>
      <c r="AL152" s="27"/>
      <c r="AM152" s="34" t="s">
        <v>25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8" customHeight="1" x14ac:dyDescent="0.3">
      <c r="A153" s="23">
        <v>149</v>
      </c>
      <c r="B153" s="24" t="s">
        <v>2145</v>
      </c>
      <c r="C153" s="25" t="s">
        <v>2146</v>
      </c>
      <c r="D153" s="23" t="s">
        <v>1850</v>
      </c>
      <c r="E153" s="43">
        <v>46125</v>
      </c>
      <c r="F153" s="26" t="s">
        <v>23</v>
      </c>
      <c r="G153" s="26" t="s">
        <v>24</v>
      </c>
      <c r="H153" s="26" t="s">
        <v>25</v>
      </c>
      <c r="I153" s="26" t="s">
        <v>26</v>
      </c>
      <c r="J153" s="26" t="s">
        <v>24</v>
      </c>
      <c r="K153" s="27"/>
      <c r="L153" s="28" t="s">
        <v>25</v>
      </c>
      <c r="M153" s="29" t="str">
        <f t="shared" si="10"/>
        <v>✓ OK</v>
      </c>
      <c r="N153" s="43">
        <v>46193</v>
      </c>
      <c r="O153" s="26" t="s">
        <v>23</v>
      </c>
      <c r="P153" s="26" t="s">
        <v>24</v>
      </c>
      <c r="Q153" s="26" t="s">
        <v>25</v>
      </c>
      <c r="R153" s="26" t="s">
        <v>26</v>
      </c>
      <c r="S153" s="26" t="s">
        <v>24</v>
      </c>
      <c r="T153" s="27"/>
      <c r="U153" s="28" t="s">
        <v>25</v>
      </c>
      <c r="V153" s="29" t="str">
        <f t="shared" si="11"/>
        <v>✓ OK</v>
      </c>
      <c r="W153" s="45">
        <v>46248</v>
      </c>
      <c r="X153" s="30" t="s">
        <v>23</v>
      </c>
      <c r="Y153" s="30" t="s">
        <v>24</v>
      </c>
      <c r="Z153" s="30" t="s">
        <v>25</v>
      </c>
      <c r="AA153" s="30" t="s">
        <v>26</v>
      </c>
      <c r="AB153" s="30" t="s">
        <v>24</v>
      </c>
      <c r="AC153" s="27"/>
      <c r="AD153" s="31" t="s">
        <v>25</v>
      </c>
      <c r="AE153" s="32" t="str">
        <f t="shared" si="12"/>
        <v>✓ OK</v>
      </c>
      <c r="AF153" s="33" t="s">
        <v>27</v>
      </c>
      <c r="AG153" s="33" t="s">
        <v>23</v>
      </c>
      <c r="AH153" s="33" t="s">
        <v>24</v>
      </c>
      <c r="AI153" s="33" t="s">
        <v>25</v>
      </c>
      <c r="AJ153" s="33" t="s">
        <v>26</v>
      </c>
      <c r="AK153" s="33" t="s">
        <v>24</v>
      </c>
      <c r="AL153" s="27"/>
      <c r="AM153" s="34" t="s">
        <v>25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8" customHeight="1" x14ac:dyDescent="0.3">
      <c r="A154" s="39">
        <v>150</v>
      </c>
      <c r="B154" s="40" t="s">
        <v>2147</v>
      </c>
      <c r="C154" s="41" t="s">
        <v>2148</v>
      </c>
      <c r="D154" s="39" t="s">
        <v>1850</v>
      </c>
      <c r="E154" s="43">
        <v>46125</v>
      </c>
      <c r="F154" s="26" t="s">
        <v>23</v>
      </c>
      <c r="G154" s="26" t="s">
        <v>24</v>
      </c>
      <c r="H154" s="26" t="s">
        <v>25</v>
      </c>
      <c r="I154" s="26" t="s">
        <v>26</v>
      </c>
      <c r="J154" s="26" t="s">
        <v>24</v>
      </c>
      <c r="K154" s="27"/>
      <c r="L154" s="28" t="s">
        <v>25</v>
      </c>
      <c r="M154" s="29" t="str">
        <f t="shared" si="10"/>
        <v>✓ OK</v>
      </c>
      <c r="N154" s="43">
        <v>46193</v>
      </c>
      <c r="O154" s="26" t="s">
        <v>23</v>
      </c>
      <c r="P154" s="26" t="s">
        <v>24</v>
      </c>
      <c r="Q154" s="26" t="s">
        <v>25</v>
      </c>
      <c r="R154" s="26" t="s">
        <v>26</v>
      </c>
      <c r="S154" s="26" t="s">
        <v>24</v>
      </c>
      <c r="T154" s="27"/>
      <c r="U154" s="28" t="s">
        <v>25</v>
      </c>
      <c r="V154" s="29" t="str">
        <f t="shared" si="11"/>
        <v>✓ OK</v>
      </c>
      <c r="W154" s="45">
        <v>46248</v>
      </c>
      <c r="X154" s="30" t="s">
        <v>23</v>
      </c>
      <c r="Y154" s="30" t="s">
        <v>24</v>
      </c>
      <c r="Z154" s="30" t="s">
        <v>25</v>
      </c>
      <c r="AA154" s="30" t="s">
        <v>26</v>
      </c>
      <c r="AB154" s="30" t="s">
        <v>24</v>
      </c>
      <c r="AC154" s="27"/>
      <c r="AD154" s="31" t="s">
        <v>25</v>
      </c>
      <c r="AE154" s="32" t="str">
        <f t="shared" si="12"/>
        <v>✓ OK</v>
      </c>
      <c r="AF154" s="33" t="s">
        <v>27</v>
      </c>
      <c r="AG154" s="33" t="s">
        <v>23</v>
      </c>
      <c r="AH154" s="33" t="s">
        <v>24</v>
      </c>
      <c r="AI154" s="33" t="s">
        <v>25</v>
      </c>
      <c r="AJ154" s="33" t="s">
        <v>26</v>
      </c>
      <c r="AK154" s="33" t="s">
        <v>24</v>
      </c>
      <c r="AL154" s="27"/>
      <c r="AM154" s="34" t="s">
        <v>25</v>
      </c>
      <c r="AN154" s="35" t="str">
        <f t="shared" si="13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8" customHeight="1" x14ac:dyDescent="0.3">
      <c r="A155" s="23">
        <v>151</v>
      </c>
      <c r="B155" s="24" t="s">
        <v>2149</v>
      </c>
      <c r="C155" s="25" t="s">
        <v>2150</v>
      </c>
      <c r="D155" s="23" t="s">
        <v>1850</v>
      </c>
      <c r="E155" s="43">
        <v>46125</v>
      </c>
      <c r="F155" s="26" t="s">
        <v>23</v>
      </c>
      <c r="G155" s="26" t="s">
        <v>24</v>
      </c>
      <c r="H155" s="26" t="s">
        <v>25</v>
      </c>
      <c r="I155" s="26" t="s">
        <v>26</v>
      </c>
      <c r="J155" s="26" t="s">
        <v>24</v>
      </c>
      <c r="K155" s="27"/>
      <c r="L155" s="28" t="s">
        <v>25</v>
      </c>
      <c r="M155" s="29" t="str">
        <f t="shared" si="10"/>
        <v>✓ OK</v>
      </c>
      <c r="N155" s="43">
        <v>46193</v>
      </c>
      <c r="O155" s="26" t="s">
        <v>23</v>
      </c>
      <c r="P155" s="26" t="s">
        <v>24</v>
      </c>
      <c r="Q155" s="26" t="s">
        <v>25</v>
      </c>
      <c r="R155" s="26" t="s">
        <v>26</v>
      </c>
      <c r="S155" s="26" t="s">
        <v>24</v>
      </c>
      <c r="T155" s="27"/>
      <c r="U155" s="28" t="s">
        <v>25</v>
      </c>
      <c r="V155" s="29" t="str">
        <f t="shared" si="11"/>
        <v>✓ OK</v>
      </c>
      <c r="W155" s="45">
        <v>46248</v>
      </c>
      <c r="X155" s="30" t="s">
        <v>23</v>
      </c>
      <c r="Y155" s="30" t="s">
        <v>24</v>
      </c>
      <c r="Z155" s="30" t="s">
        <v>25</v>
      </c>
      <c r="AA155" s="30" t="s">
        <v>26</v>
      </c>
      <c r="AB155" s="30" t="s">
        <v>24</v>
      </c>
      <c r="AC155" s="27"/>
      <c r="AD155" s="31" t="s">
        <v>25</v>
      </c>
      <c r="AE155" s="32" t="str">
        <f t="shared" si="12"/>
        <v>✓ OK</v>
      </c>
      <c r="AF155" s="33" t="s">
        <v>27</v>
      </c>
      <c r="AG155" s="33" t="s">
        <v>23</v>
      </c>
      <c r="AH155" s="33" t="s">
        <v>24</v>
      </c>
      <c r="AI155" s="33" t="s">
        <v>25</v>
      </c>
      <c r="AJ155" s="33" t="s">
        <v>26</v>
      </c>
      <c r="AK155" s="33" t="s">
        <v>24</v>
      </c>
      <c r="AL155" s="27"/>
      <c r="AM155" s="34" t="s">
        <v>25</v>
      </c>
      <c r="AN155" s="35" t="str">
        <f t="shared" si="13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8" customHeight="1" x14ac:dyDescent="0.3">
      <c r="A156" s="39">
        <v>152</v>
      </c>
      <c r="B156" s="40" t="s">
        <v>2151</v>
      </c>
      <c r="C156" s="41" t="s">
        <v>2152</v>
      </c>
      <c r="D156" s="39" t="s">
        <v>1850</v>
      </c>
      <c r="E156" s="43">
        <v>46125</v>
      </c>
      <c r="F156" s="26" t="s">
        <v>23</v>
      </c>
      <c r="G156" s="26" t="s">
        <v>24</v>
      </c>
      <c r="H156" s="26" t="s">
        <v>25</v>
      </c>
      <c r="I156" s="26" t="s">
        <v>26</v>
      </c>
      <c r="J156" s="26" t="s">
        <v>24</v>
      </c>
      <c r="K156" s="27"/>
      <c r="L156" s="28" t="s">
        <v>25</v>
      </c>
      <c r="M156" s="29" t="str">
        <f t="shared" si="10"/>
        <v>✓ OK</v>
      </c>
      <c r="N156" s="43">
        <v>46193</v>
      </c>
      <c r="O156" s="26" t="s">
        <v>23</v>
      </c>
      <c r="P156" s="26" t="s">
        <v>24</v>
      </c>
      <c r="Q156" s="26" t="s">
        <v>25</v>
      </c>
      <c r="R156" s="26" t="s">
        <v>26</v>
      </c>
      <c r="S156" s="26" t="s">
        <v>24</v>
      </c>
      <c r="T156" s="27"/>
      <c r="U156" s="28" t="s">
        <v>25</v>
      </c>
      <c r="V156" s="29" t="str">
        <f t="shared" si="11"/>
        <v>✓ OK</v>
      </c>
      <c r="W156" s="45">
        <v>46248</v>
      </c>
      <c r="X156" s="30" t="s">
        <v>23</v>
      </c>
      <c r="Y156" s="30" t="s">
        <v>24</v>
      </c>
      <c r="Z156" s="30" t="s">
        <v>25</v>
      </c>
      <c r="AA156" s="30" t="s">
        <v>26</v>
      </c>
      <c r="AB156" s="30" t="s">
        <v>24</v>
      </c>
      <c r="AC156" s="27"/>
      <c r="AD156" s="31" t="s">
        <v>25</v>
      </c>
      <c r="AE156" s="32" t="str">
        <f t="shared" si="12"/>
        <v>✓ OK</v>
      </c>
      <c r="AF156" s="33" t="s">
        <v>27</v>
      </c>
      <c r="AG156" s="33" t="s">
        <v>23</v>
      </c>
      <c r="AH156" s="33" t="s">
        <v>24</v>
      </c>
      <c r="AI156" s="33" t="s">
        <v>25</v>
      </c>
      <c r="AJ156" s="33" t="s">
        <v>26</v>
      </c>
      <c r="AK156" s="33" t="s">
        <v>24</v>
      </c>
      <c r="AL156" s="27"/>
      <c r="AM156" s="34" t="s">
        <v>25</v>
      </c>
      <c r="AN156" s="35" t="str">
        <f t="shared" si="13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8" customHeight="1" x14ac:dyDescent="0.3">
      <c r="A157" s="23">
        <v>153</v>
      </c>
      <c r="B157" s="24" t="s">
        <v>2153</v>
      </c>
      <c r="C157" s="25" t="s">
        <v>2154</v>
      </c>
      <c r="D157" s="23" t="s">
        <v>1850</v>
      </c>
      <c r="E157" s="43">
        <v>46125</v>
      </c>
      <c r="F157" s="26" t="s">
        <v>23</v>
      </c>
      <c r="G157" s="26" t="s">
        <v>24</v>
      </c>
      <c r="H157" s="26" t="s">
        <v>25</v>
      </c>
      <c r="I157" s="26" t="s">
        <v>26</v>
      </c>
      <c r="J157" s="26" t="s">
        <v>24</v>
      </c>
      <c r="K157" s="27"/>
      <c r="L157" s="28" t="s">
        <v>25</v>
      </c>
      <c r="M157" s="29" t="str">
        <f t="shared" si="10"/>
        <v>✓ OK</v>
      </c>
      <c r="N157" s="43">
        <v>46193</v>
      </c>
      <c r="O157" s="26" t="s">
        <v>23</v>
      </c>
      <c r="P157" s="26" t="s">
        <v>24</v>
      </c>
      <c r="Q157" s="26" t="s">
        <v>25</v>
      </c>
      <c r="R157" s="26" t="s">
        <v>26</v>
      </c>
      <c r="S157" s="26" t="s">
        <v>24</v>
      </c>
      <c r="T157" s="27"/>
      <c r="U157" s="28" t="s">
        <v>25</v>
      </c>
      <c r="V157" s="29" t="str">
        <f t="shared" si="11"/>
        <v>✓ OK</v>
      </c>
      <c r="W157" s="45">
        <v>46248</v>
      </c>
      <c r="X157" s="30" t="s">
        <v>23</v>
      </c>
      <c r="Y157" s="30" t="s">
        <v>24</v>
      </c>
      <c r="Z157" s="30" t="s">
        <v>25</v>
      </c>
      <c r="AA157" s="30" t="s">
        <v>26</v>
      </c>
      <c r="AB157" s="30" t="s">
        <v>24</v>
      </c>
      <c r="AC157" s="27"/>
      <c r="AD157" s="31" t="s">
        <v>25</v>
      </c>
      <c r="AE157" s="32" t="str">
        <f t="shared" si="12"/>
        <v>✓ OK</v>
      </c>
      <c r="AF157" s="33" t="s">
        <v>27</v>
      </c>
      <c r="AG157" s="33" t="s">
        <v>23</v>
      </c>
      <c r="AH157" s="33" t="s">
        <v>24</v>
      </c>
      <c r="AI157" s="33" t="s">
        <v>25</v>
      </c>
      <c r="AJ157" s="33" t="s">
        <v>26</v>
      </c>
      <c r="AK157" s="33" t="s">
        <v>24</v>
      </c>
      <c r="AL157" s="27"/>
      <c r="AM157" s="34" t="s">
        <v>25</v>
      </c>
      <c r="AN157" s="35" t="str">
        <f t="shared" si="13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8" customHeight="1" x14ac:dyDescent="0.3">
      <c r="A158" s="39">
        <v>154</v>
      </c>
      <c r="B158" s="40" t="s">
        <v>2155</v>
      </c>
      <c r="C158" s="41" t="s">
        <v>2156</v>
      </c>
      <c r="D158" s="39" t="s">
        <v>1850</v>
      </c>
      <c r="E158" s="43">
        <v>46125</v>
      </c>
      <c r="F158" s="26" t="s">
        <v>23</v>
      </c>
      <c r="G158" s="26" t="s">
        <v>24</v>
      </c>
      <c r="H158" s="26" t="s">
        <v>25</v>
      </c>
      <c r="I158" s="26" t="s">
        <v>26</v>
      </c>
      <c r="J158" s="26" t="s">
        <v>24</v>
      </c>
      <c r="K158" s="27"/>
      <c r="L158" s="28" t="s">
        <v>25</v>
      </c>
      <c r="M158" s="29" t="str">
        <f t="shared" si="10"/>
        <v>✓ OK</v>
      </c>
      <c r="N158" s="43">
        <v>46193</v>
      </c>
      <c r="O158" s="26" t="s">
        <v>23</v>
      </c>
      <c r="P158" s="26" t="s">
        <v>24</v>
      </c>
      <c r="Q158" s="26" t="s">
        <v>25</v>
      </c>
      <c r="R158" s="26" t="s">
        <v>26</v>
      </c>
      <c r="S158" s="26" t="s">
        <v>24</v>
      </c>
      <c r="T158" s="27"/>
      <c r="U158" s="28" t="s">
        <v>25</v>
      </c>
      <c r="V158" s="29" t="str">
        <f t="shared" si="11"/>
        <v>✓ OK</v>
      </c>
      <c r="W158" s="45">
        <v>46248</v>
      </c>
      <c r="X158" s="30" t="s">
        <v>23</v>
      </c>
      <c r="Y158" s="30" t="s">
        <v>24</v>
      </c>
      <c r="Z158" s="30" t="s">
        <v>25</v>
      </c>
      <c r="AA158" s="30" t="s">
        <v>26</v>
      </c>
      <c r="AB158" s="30" t="s">
        <v>24</v>
      </c>
      <c r="AC158" s="27"/>
      <c r="AD158" s="31" t="s">
        <v>25</v>
      </c>
      <c r="AE158" s="32" t="str">
        <f t="shared" si="12"/>
        <v>✓ OK</v>
      </c>
      <c r="AF158" s="33" t="s">
        <v>27</v>
      </c>
      <c r="AG158" s="33" t="s">
        <v>23</v>
      </c>
      <c r="AH158" s="33" t="s">
        <v>24</v>
      </c>
      <c r="AI158" s="33" t="s">
        <v>25</v>
      </c>
      <c r="AJ158" s="33" t="s">
        <v>26</v>
      </c>
      <c r="AK158" s="33" t="s">
        <v>24</v>
      </c>
      <c r="AL158" s="27"/>
      <c r="AM158" s="34" t="s">
        <v>25</v>
      </c>
      <c r="AN158" s="35" t="str">
        <f t="shared" si="13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8" customHeight="1" x14ac:dyDescent="0.3">
      <c r="A159" s="23">
        <v>155</v>
      </c>
      <c r="B159" s="24" t="s">
        <v>2157</v>
      </c>
      <c r="C159" s="25" t="s">
        <v>2158</v>
      </c>
      <c r="D159" s="23" t="s">
        <v>1850</v>
      </c>
      <c r="E159" s="43">
        <v>46125</v>
      </c>
      <c r="F159" s="26" t="s">
        <v>23</v>
      </c>
      <c r="G159" s="26" t="s">
        <v>24</v>
      </c>
      <c r="H159" s="26" t="s">
        <v>25</v>
      </c>
      <c r="I159" s="26" t="s">
        <v>26</v>
      </c>
      <c r="J159" s="26" t="s">
        <v>24</v>
      </c>
      <c r="K159" s="27"/>
      <c r="L159" s="28" t="s">
        <v>25</v>
      </c>
      <c r="M159" s="29" t="str">
        <f t="shared" si="10"/>
        <v>✓ OK</v>
      </c>
      <c r="N159" s="43">
        <v>46193</v>
      </c>
      <c r="O159" s="26" t="s">
        <v>23</v>
      </c>
      <c r="P159" s="26" t="s">
        <v>24</v>
      </c>
      <c r="Q159" s="26" t="s">
        <v>25</v>
      </c>
      <c r="R159" s="26" t="s">
        <v>26</v>
      </c>
      <c r="S159" s="26" t="s">
        <v>24</v>
      </c>
      <c r="T159" s="27"/>
      <c r="U159" s="28" t="s">
        <v>25</v>
      </c>
      <c r="V159" s="29" t="str">
        <f t="shared" si="11"/>
        <v>✓ OK</v>
      </c>
      <c r="W159" s="45">
        <v>46248</v>
      </c>
      <c r="X159" s="30" t="s">
        <v>23</v>
      </c>
      <c r="Y159" s="30" t="s">
        <v>24</v>
      </c>
      <c r="Z159" s="30" t="s">
        <v>25</v>
      </c>
      <c r="AA159" s="30" t="s">
        <v>26</v>
      </c>
      <c r="AB159" s="30" t="s">
        <v>24</v>
      </c>
      <c r="AC159" s="27"/>
      <c r="AD159" s="31" t="s">
        <v>25</v>
      </c>
      <c r="AE159" s="32" t="str">
        <f t="shared" si="12"/>
        <v>✓ OK</v>
      </c>
      <c r="AF159" s="33" t="s">
        <v>27</v>
      </c>
      <c r="AG159" s="33" t="s">
        <v>23</v>
      </c>
      <c r="AH159" s="33" t="s">
        <v>24</v>
      </c>
      <c r="AI159" s="33" t="s">
        <v>25</v>
      </c>
      <c r="AJ159" s="33" t="s">
        <v>26</v>
      </c>
      <c r="AK159" s="33" t="s">
        <v>24</v>
      </c>
      <c r="AL159" s="27"/>
      <c r="AM159" s="34" t="s">
        <v>25</v>
      </c>
      <c r="AN159" s="35" t="str">
        <f t="shared" si="13"/>
        <v>✓ OK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8" customHeight="1" x14ac:dyDescent="0.3">
      <c r="A160" s="39">
        <v>156</v>
      </c>
      <c r="B160" s="40" t="s">
        <v>2159</v>
      </c>
      <c r="C160" s="41" t="s">
        <v>2160</v>
      </c>
      <c r="D160" s="39" t="s">
        <v>1850</v>
      </c>
      <c r="E160" s="43">
        <v>46125</v>
      </c>
      <c r="F160" s="26" t="s">
        <v>23</v>
      </c>
      <c r="G160" s="26" t="s">
        <v>24</v>
      </c>
      <c r="H160" s="26" t="s">
        <v>25</v>
      </c>
      <c r="I160" s="26" t="s">
        <v>26</v>
      </c>
      <c r="J160" s="26" t="s">
        <v>24</v>
      </c>
      <c r="K160" s="27"/>
      <c r="L160" s="28" t="s">
        <v>25</v>
      </c>
      <c r="M160" s="29" t="str">
        <f t="shared" si="10"/>
        <v>✓ OK</v>
      </c>
      <c r="N160" s="43">
        <v>46193</v>
      </c>
      <c r="O160" s="26" t="s">
        <v>23</v>
      </c>
      <c r="P160" s="26" t="s">
        <v>24</v>
      </c>
      <c r="Q160" s="26" t="s">
        <v>25</v>
      </c>
      <c r="R160" s="26" t="s">
        <v>26</v>
      </c>
      <c r="S160" s="26" t="s">
        <v>24</v>
      </c>
      <c r="T160" s="27"/>
      <c r="U160" s="28" t="s">
        <v>25</v>
      </c>
      <c r="V160" s="29" t="str">
        <f t="shared" si="11"/>
        <v>✓ OK</v>
      </c>
      <c r="W160" s="45">
        <v>46248</v>
      </c>
      <c r="X160" s="30" t="s">
        <v>23</v>
      </c>
      <c r="Y160" s="30" t="s">
        <v>24</v>
      </c>
      <c r="Z160" s="30" t="s">
        <v>25</v>
      </c>
      <c r="AA160" s="30" t="s">
        <v>26</v>
      </c>
      <c r="AB160" s="30" t="s">
        <v>24</v>
      </c>
      <c r="AC160" s="27"/>
      <c r="AD160" s="31" t="s">
        <v>25</v>
      </c>
      <c r="AE160" s="32" t="str">
        <f t="shared" si="12"/>
        <v>✓ OK</v>
      </c>
      <c r="AF160" s="33" t="s">
        <v>27</v>
      </c>
      <c r="AG160" s="33" t="s">
        <v>23</v>
      </c>
      <c r="AH160" s="33" t="s">
        <v>24</v>
      </c>
      <c r="AI160" s="33" t="s">
        <v>25</v>
      </c>
      <c r="AJ160" s="33" t="s">
        <v>26</v>
      </c>
      <c r="AK160" s="33" t="s">
        <v>24</v>
      </c>
      <c r="AL160" s="27"/>
      <c r="AM160" s="34" t="s">
        <v>25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8" customHeight="1" x14ac:dyDescent="0.3">
      <c r="A161" s="23">
        <v>157</v>
      </c>
      <c r="B161" s="24" t="s">
        <v>2161</v>
      </c>
      <c r="C161" s="25" t="s">
        <v>2162</v>
      </c>
      <c r="D161" s="23" t="s">
        <v>1850</v>
      </c>
      <c r="E161" s="43">
        <v>46125</v>
      </c>
      <c r="F161" s="26" t="s">
        <v>23</v>
      </c>
      <c r="G161" s="26" t="s">
        <v>24</v>
      </c>
      <c r="H161" s="26" t="s">
        <v>25</v>
      </c>
      <c r="I161" s="26" t="s">
        <v>26</v>
      </c>
      <c r="J161" s="26" t="s">
        <v>24</v>
      </c>
      <c r="K161" s="27"/>
      <c r="L161" s="28" t="s">
        <v>25</v>
      </c>
      <c r="M161" s="29" t="str">
        <f t="shared" si="10"/>
        <v>✓ OK</v>
      </c>
      <c r="N161" s="43">
        <v>46193</v>
      </c>
      <c r="O161" s="26" t="s">
        <v>23</v>
      </c>
      <c r="P161" s="26" t="s">
        <v>24</v>
      </c>
      <c r="Q161" s="26" t="s">
        <v>25</v>
      </c>
      <c r="R161" s="26" t="s">
        <v>26</v>
      </c>
      <c r="S161" s="26" t="s">
        <v>24</v>
      </c>
      <c r="T161" s="27"/>
      <c r="U161" s="28" t="s">
        <v>25</v>
      </c>
      <c r="V161" s="29" t="str">
        <f t="shared" si="11"/>
        <v>✓ OK</v>
      </c>
      <c r="W161" s="45">
        <v>46248</v>
      </c>
      <c r="X161" s="30" t="s">
        <v>23</v>
      </c>
      <c r="Y161" s="30" t="s">
        <v>24</v>
      </c>
      <c r="Z161" s="30" t="s">
        <v>25</v>
      </c>
      <c r="AA161" s="30" t="s">
        <v>26</v>
      </c>
      <c r="AB161" s="30" t="s">
        <v>24</v>
      </c>
      <c r="AC161" s="27"/>
      <c r="AD161" s="31" t="s">
        <v>25</v>
      </c>
      <c r="AE161" s="32" t="str">
        <f t="shared" si="12"/>
        <v>✓ OK</v>
      </c>
      <c r="AF161" s="33" t="s">
        <v>27</v>
      </c>
      <c r="AG161" s="33" t="s">
        <v>23</v>
      </c>
      <c r="AH161" s="33" t="s">
        <v>24</v>
      </c>
      <c r="AI161" s="33" t="s">
        <v>25</v>
      </c>
      <c r="AJ161" s="33" t="s">
        <v>26</v>
      </c>
      <c r="AK161" s="33" t="s">
        <v>24</v>
      </c>
      <c r="AL161" s="27"/>
      <c r="AM161" s="34" t="s">
        <v>25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8" customHeight="1" x14ac:dyDescent="0.3">
      <c r="A162" s="39">
        <v>158</v>
      </c>
      <c r="B162" s="40" t="s">
        <v>2163</v>
      </c>
      <c r="C162" s="41" t="s">
        <v>2164</v>
      </c>
      <c r="D162" s="39" t="s">
        <v>1850</v>
      </c>
      <c r="E162" s="43">
        <v>46125</v>
      </c>
      <c r="F162" s="26" t="s">
        <v>23</v>
      </c>
      <c r="G162" s="26" t="s">
        <v>24</v>
      </c>
      <c r="H162" s="26" t="s">
        <v>25</v>
      </c>
      <c r="I162" s="26" t="s">
        <v>26</v>
      </c>
      <c r="J162" s="26" t="s">
        <v>24</v>
      </c>
      <c r="K162" s="27"/>
      <c r="L162" s="28" t="s">
        <v>25</v>
      </c>
      <c r="M162" s="29" t="str">
        <f t="shared" si="10"/>
        <v>✓ OK</v>
      </c>
      <c r="N162" s="43">
        <v>46193</v>
      </c>
      <c r="O162" s="26" t="s">
        <v>23</v>
      </c>
      <c r="P162" s="26" t="s">
        <v>24</v>
      </c>
      <c r="Q162" s="26" t="s">
        <v>25</v>
      </c>
      <c r="R162" s="26" t="s">
        <v>26</v>
      </c>
      <c r="S162" s="26" t="s">
        <v>24</v>
      </c>
      <c r="T162" s="27"/>
      <c r="U162" s="28" t="s">
        <v>25</v>
      </c>
      <c r="V162" s="29" t="str">
        <f t="shared" si="11"/>
        <v>✓ OK</v>
      </c>
      <c r="W162" s="45">
        <v>46248</v>
      </c>
      <c r="X162" s="30" t="s">
        <v>23</v>
      </c>
      <c r="Y162" s="30" t="s">
        <v>24</v>
      </c>
      <c r="Z162" s="30" t="s">
        <v>25</v>
      </c>
      <c r="AA162" s="30" t="s">
        <v>26</v>
      </c>
      <c r="AB162" s="30" t="s">
        <v>24</v>
      </c>
      <c r="AC162" s="27"/>
      <c r="AD162" s="31" t="s">
        <v>25</v>
      </c>
      <c r="AE162" s="32" t="str">
        <f t="shared" si="12"/>
        <v>✓ OK</v>
      </c>
      <c r="AF162" s="33" t="s">
        <v>27</v>
      </c>
      <c r="AG162" s="33" t="s">
        <v>23</v>
      </c>
      <c r="AH162" s="33" t="s">
        <v>24</v>
      </c>
      <c r="AI162" s="33" t="s">
        <v>25</v>
      </c>
      <c r="AJ162" s="33" t="s">
        <v>26</v>
      </c>
      <c r="AK162" s="33" t="s">
        <v>24</v>
      </c>
      <c r="AL162" s="27"/>
      <c r="AM162" s="34" t="s">
        <v>25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8" customHeight="1" x14ac:dyDescent="0.3">
      <c r="A163" s="23">
        <v>159</v>
      </c>
      <c r="B163" s="24" t="s">
        <v>2165</v>
      </c>
      <c r="C163" s="25" t="s">
        <v>2166</v>
      </c>
      <c r="D163" s="23" t="s">
        <v>1850</v>
      </c>
      <c r="E163" s="43">
        <v>46125</v>
      </c>
      <c r="F163" s="26" t="s">
        <v>23</v>
      </c>
      <c r="G163" s="26" t="s">
        <v>24</v>
      </c>
      <c r="H163" s="26" t="s">
        <v>25</v>
      </c>
      <c r="I163" s="26" t="s">
        <v>26</v>
      </c>
      <c r="J163" s="26" t="s">
        <v>24</v>
      </c>
      <c r="K163" s="27"/>
      <c r="L163" s="28" t="s">
        <v>25</v>
      </c>
      <c r="M163" s="29" t="str">
        <f t="shared" si="10"/>
        <v>✓ OK</v>
      </c>
      <c r="N163" s="43">
        <v>46193</v>
      </c>
      <c r="O163" s="26" t="s">
        <v>23</v>
      </c>
      <c r="P163" s="26" t="s">
        <v>24</v>
      </c>
      <c r="Q163" s="26" t="s">
        <v>25</v>
      </c>
      <c r="R163" s="26" t="s">
        <v>26</v>
      </c>
      <c r="S163" s="26" t="s">
        <v>24</v>
      </c>
      <c r="T163" s="27"/>
      <c r="U163" s="28" t="s">
        <v>25</v>
      </c>
      <c r="V163" s="29" t="str">
        <f t="shared" si="11"/>
        <v>✓ OK</v>
      </c>
      <c r="W163" s="45">
        <v>46248</v>
      </c>
      <c r="X163" s="30" t="s">
        <v>23</v>
      </c>
      <c r="Y163" s="30" t="s">
        <v>24</v>
      </c>
      <c r="Z163" s="30" t="s">
        <v>25</v>
      </c>
      <c r="AA163" s="30" t="s">
        <v>26</v>
      </c>
      <c r="AB163" s="30" t="s">
        <v>24</v>
      </c>
      <c r="AC163" s="27"/>
      <c r="AD163" s="31" t="s">
        <v>25</v>
      </c>
      <c r="AE163" s="32" t="str">
        <f t="shared" si="12"/>
        <v>✓ OK</v>
      </c>
      <c r="AF163" s="33" t="s">
        <v>27</v>
      </c>
      <c r="AG163" s="33" t="s">
        <v>23</v>
      </c>
      <c r="AH163" s="33" t="s">
        <v>24</v>
      </c>
      <c r="AI163" s="33" t="s">
        <v>25</v>
      </c>
      <c r="AJ163" s="33" t="s">
        <v>26</v>
      </c>
      <c r="AK163" s="33" t="s">
        <v>24</v>
      </c>
      <c r="AL163" s="27"/>
      <c r="AM163" s="34" t="s">
        <v>25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8" customHeight="1" x14ac:dyDescent="0.3">
      <c r="A164" s="39">
        <v>160</v>
      </c>
      <c r="B164" s="40" t="s">
        <v>2167</v>
      </c>
      <c r="C164" s="41" t="s">
        <v>2168</v>
      </c>
      <c r="D164" s="39" t="s">
        <v>1850</v>
      </c>
      <c r="E164" s="43">
        <v>46125</v>
      </c>
      <c r="F164" s="26" t="s">
        <v>23</v>
      </c>
      <c r="G164" s="26" t="s">
        <v>24</v>
      </c>
      <c r="H164" s="26" t="s">
        <v>25</v>
      </c>
      <c r="I164" s="26" t="s">
        <v>26</v>
      </c>
      <c r="J164" s="26" t="s">
        <v>24</v>
      </c>
      <c r="K164" s="27"/>
      <c r="L164" s="28" t="s">
        <v>25</v>
      </c>
      <c r="M164" s="29" t="str">
        <f t="shared" si="10"/>
        <v>✓ OK</v>
      </c>
      <c r="N164" s="43">
        <v>46193</v>
      </c>
      <c r="O164" s="26" t="s">
        <v>23</v>
      </c>
      <c r="P164" s="26" t="s">
        <v>24</v>
      </c>
      <c r="Q164" s="26" t="s">
        <v>25</v>
      </c>
      <c r="R164" s="26" t="s">
        <v>26</v>
      </c>
      <c r="S164" s="26" t="s">
        <v>24</v>
      </c>
      <c r="T164" s="27"/>
      <c r="U164" s="28" t="s">
        <v>25</v>
      </c>
      <c r="V164" s="29" t="str">
        <f t="shared" si="11"/>
        <v>✓ OK</v>
      </c>
      <c r="W164" s="45">
        <v>46248</v>
      </c>
      <c r="X164" s="30" t="s">
        <v>23</v>
      </c>
      <c r="Y164" s="30" t="s">
        <v>24</v>
      </c>
      <c r="Z164" s="30" t="s">
        <v>25</v>
      </c>
      <c r="AA164" s="30" t="s">
        <v>26</v>
      </c>
      <c r="AB164" s="30" t="s">
        <v>24</v>
      </c>
      <c r="AC164" s="27"/>
      <c r="AD164" s="31" t="s">
        <v>25</v>
      </c>
      <c r="AE164" s="32" t="str">
        <f t="shared" si="12"/>
        <v>✓ OK</v>
      </c>
      <c r="AF164" s="33" t="s">
        <v>27</v>
      </c>
      <c r="AG164" s="33" t="s">
        <v>23</v>
      </c>
      <c r="AH164" s="33" t="s">
        <v>24</v>
      </c>
      <c r="AI164" s="33" t="s">
        <v>25</v>
      </c>
      <c r="AJ164" s="33" t="s">
        <v>26</v>
      </c>
      <c r="AK164" s="33" t="s">
        <v>24</v>
      </c>
      <c r="AL164" s="27"/>
      <c r="AM164" s="34" t="s">
        <v>25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8" customHeight="1" x14ac:dyDescent="0.3">
      <c r="A165" s="23">
        <v>161</v>
      </c>
      <c r="B165" s="24" t="s">
        <v>2169</v>
      </c>
      <c r="C165" s="25" t="s">
        <v>2170</v>
      </c>
      <c r="D165" s="23" t="s">
        <v>1850</v>
      </c>
      <c r="E165" s="43">
        <v>46125</v>
      </c>
      <c r="F165" s="26" t="s">
        <v>23</v>
      </c>
      <c r="G165" s="26" t="s">
        <v>24</v>
      </c>
      <c r="H165" s="26" t="s">
        <v>25</v>
      </c>
      <c r="I165" s="26" t="s">
        <v>26</v>
      </c>
      <c r="J165" s="26" t="s">
        <v>24</v>
      </c>
      <c r="K165" s="27"/>
      <c r="L165" s="28" t="s">
        <v>25</v>
      </c>
      <c r="M165" s="29" t="str">
        <f t="shared" si="10"/>
        <v>✓ OK</v>
      </c>
      <c r="N165" s="43">
        <v>46193</v>
      </c>
      <c r="O165" s="26" t="s">
        <v>23</v>
      </c>
      <c r="P165" s="26" t="s">
        <v>24</v>
      </c>
      <c r="Q165" s="26" t="s">
        <v>25</v>
      </c>
      <c r="R165" s="26" t="s">
        <v>26</v>
      </c>
      <c r="S165" s="26" t="s">
        <v>24</v>
      </c>
      <c r="T165" s="27"/>
      <c r="U165" s="28" t="s">
        <v>25</v>
      </c>
      <c r="V165" s="29" t="str">
        <f t="shared" si="11"/>
        <v>✓ OK</v>
      </c>
      <c r="W165" s="45">
        <v>46248</v>
      </c>
      <c r="X165" s="30" t="s">
        <v>23</v>
      </c>
      <c r="Y165" s="30" t="s">
        <v>24</v>
      </c>
      <c r="Z165" s="30" t="s">
        <v>25</v>
      </c>
      <c r="AA165" s="30" t="s">
        <v>26</v>
      </c>
      <c r="AB165" s="30" t="s">
        <v>24</v>
      </c>
      <c r="AC165" s="27"/>
      <c r="AD165" s="31" t="s">
        <v>25</v>
      </c>
      <c r="AE165" s="32" t="str">
        <f t="shared" si="12"/>
        <v>✓ OK</v>
      </c>
      <c r="AF165" s="33" t="s">
        <v>27</v>
      </c>
      <c r="AG165" s="33" t="s">
        <v>23</v>
      </c>
      <c r="AH165" s="33" t="s">
        <v>24</v>
      </c>
      <c r="AI165" s="33" t="s">
        <v>25</v>
      </c>
      <c r="AJ165" s="33" t="s">
        <v>26</v>
      </c>
      <c r="AK165" s="33" t="s">
        <v>24</v>
      </c>
      <c r="AL165" s="27"/>
      <c r="AM165" s="34" t="s">
        <v>25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8" customHeight="1" x14ac:dyDescent="0.3">
      <c r="A166" s="39">
        <v>162</v>
      </c>
      <c r="B166" s="40" t="s">
        <v>2171</v>
      </c>
      <c r="C166" s="41" t="s">
        <v>2172</v>
      </c>
      <c r="D166" s="39" t="s">
        <v>1850</v>
      </c>
      <c r="E166" s="43">
        <v>46125</v>
      </c>
      <c r="F166" s="26" t="s">
        <v>23</v>
      </c>
      <c r="G166" s="26" t="s">
        <v>24</v>
      </c>
      <c r="H166" s="26" t="s">
        <v>25</v>
      </c>
      <c r="I166" s="26" t="s">
        <v>26</v>
      </c>
      <c r="J166" s="26" t="s">
        <v>24</v>
      </c>
      <c r="K166" s="27"/>
      <c r="L166" s="28" t="s">
        <v>25</v>
      </c>
      <c r="M166" s="29" t="str">
        <f t="shared" si="10"/>
        <v>✓ OK</v>
      </c>
      <c r="N166" s="43">
        <v>46193</v>
      </c>
      <c r="O166" s="26" t="s">
        <v>23</v>
      </c>
      <c r="P166" s="26" t="s">
        <v>24</v>
      </c>
      <c r="Q166" s="26" t="s">
        <v>25</v>
      </c>
      <c r="R166" s="26" t="s">
        <v>26</v>
      </c>
      <c r="S166" s="26" t="s">
        <v>24</v>
      </c>
      <c r="T166" s="27"/>
      <c r="U166" s="28" t="s">
        <v>25</v>
      </c>
      <c r="V166" s="29" t="str">
        <f t="shared" si="11"/>
        <v>✓ OK</v>
      </c>
      <c r="W166" s="45">
        <v>46248</v>
      </c>
      <c r="X166" s="30" t="s">
        <v>23</v>
      </c>
      <c r="Y166" s="30" t="s">
        <v>24</v>
      </c>
      <c r="Z166" s="30" t="s">
        <v>25</v>
      </c>
      <c r="AA166" s="30" t="s">
        <v>26</v>
      </c>
      <c r="AB166" s="30" t="s">
        <v>24</v>
      </c>
      <c r="AC166" s="27"/>
      <c r="AD166" s="31" t="s">
        <v>25</v>
      </c>
      <c r="AE166" s="32" t="str">
        <f t="shared" si="12"/>
        <v>✓ OK</v>
      </c>
      <c r="AF166" s="33" t="s">
        <v>27</v>
      </c>
      <c r="AG166" s="33" t="s">
        <v>23</v>
      </c>
      <c r="AH166" s="33" t="s">
        <v>24</v>
      </c>
      <c r="AI166" s="33" t="s">
        <v>25</v>
      </c>
      <c r="AJ166" s="33" t="s">
        <v>26</v>
      </c>
      <c r="AK166" s="33" t="s">
        <v>24</v>
      </c>
      <c r="AL166" s="27"/>
      <c r="AM166" s="34" t="s">
        <v>25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8" customHeight="1" x14ac:dyDescent="0.3">
      <c r="A167" s="23">
        <v>163</v>
      </c>
      <c r="B167" s="24" t="s">
        <v>2173</v>
      </c>
      <c r="C167" s="25" t="s">
        <v>2174</v>
      </c>
      <c r="D167" s="23" t="s">
        <v>1850</v>
      </c>
      <c r="E167" s="43">
        <v>46125</v>
      </c>
      <c r="F167" s="26" t="s">
        <v>23</v>
      </c>
      <c r="G167" s="26" t="s">
        <v>24</v>
      </c>
      <c r="H167" s="26" t="s">
        <v>25</v>
      </c>
      <c r="I167" s="26" t="s">
        <v>26</v>
      </c>
      <c r="J167" s="26" t="s">
        <v>24</v>
      </c>
      <c r="K167" s="27"/>
      <c r="L167" s="28" t="s">
        <v>25</v>
      </c>
      <c r="M167" s="29" t="str">
        <f t="shared" si="10"/>
        <v>✓ OK</v>
      </c>
      <c r="N167" s="43">
        <v>46193</v>
      </c>
      <c r="O167" s="26" t="s">
        <v>23</v>
      </c>
      <c r="P167" s="26" t="s">
        <v>24</v>
      </c>
      <c r="Q167" s="26" t="s">
        <v>25</v>
      </c>
      <c r="R167" s="26" t="s">
        <v>26</v>
      </c>
      <c r="S167" s="26" t="s">
        <v>24</v>
      </c>
      <c r="T167" s="27"/>
      <c r="U167" s="28" t="s">
        <v>25</v>
      </c>
      <c r="V167" s="29" t="str">
        <f t="shared" si="11"/>
        <v>✓ OK</v>
      </c>
      <c r="W167" s="45">
        <v>46248</v>
      </c>
      <c r="X167" s="30" t="s">
        <v>23</v>
      </c>
      <c r="Y167" s="30" t="s">
        <v>24</v>
      </c>
      <c r="Z167" s="30" t="s">
        <v>25</v>
      </c>
      <c r="AA167" s="30" t="s">
        <v>26</v>
      </c>
      <c r="AB167" s="30" t="s">
        <v>24</v>
      </c>
      <c r="AC167" s="27"/>
      <c r="AD167" s="31" t="s">
        <v>25</v>
      </c>
      <c r="AE167" s="32" t="str">
        <f t="shared" si="12"/>
        <v>✓ OK</v>
      </c>
      <c r="AF167" s="33" t="s">
        <v>27</v>
      </c>
      <c r="AG167" s="33" t="s">
        <v>23</v>
      </c>
      <c r="AH167" s="33" t="s">
        <v>24</v>
      </c>
      <c r="AI167" s="33" t="s">
        <v>25</v>
      </c>
      <c r="AJ167" s="33" t="s">
        <v>26</v>
      </c>
      <c r="AK167" s="33" t="s">
        <v>24</v>
      </c>
      <c r="AL167" s="27"/>
      <c r="AM167" s="34" t="s">
        <v>25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8" customHeight="1" x14ac:dyDescent="0.3">
      <c r="A168" s="39">
        <v>164</v>
      </c>
      <c r="B168" s="40" t="s">
        <v>2175</v>
      </c>
      <c r="C168" s="41" t="s">
        <v>2176</v>
      </c>
      <c r="D168" s="39" t="s">
        <v>1850</v>
      </c>
      <c r="E168" s="43">
        <v>46125</v>
      </c>
      <c r="F168" s="26" t="s">
        <v>23</v>
      </c>
      <c r="G168" s="26" t="s">
        <v>24</v>
      </c>
      <c r="H168" s="26" t="s">
        <v>25</v>
      </c>
      <c r="I168" s="26" t="s">
        <v>26</v>
      </c>
      <c r="J168" s="26" t="s">
        <v>24</v>
      </c>
      <c r="K168" s="27"/>
      <c r="L168" s="28" t="s">
        <v>25</v>
      </c>
      <c r="M168" s="29" t="str">
        <f t="shared" si="10"/>
        <v>✓ OK</v>
      </c>
      <c r="N168" s="43">
        <v>46193</v>
      </c>
      <c r="O168" s="26" t="s">
        <v>23</v>
      </c>
      <c r="P168" s="26" t="s">
        <v>24</v>
      </c>
      <c r="Q168" s="26" t="s">
        <v>25</v>
      </c>
      <c r="R168" s="26" t="s">
        <v>26</v>
      </c>
      <c r="S168" s="26" t="s">
        <v>24</v>
      </c>
      <c r="T168" s="27"/>
      <c r="U168" s="28" t="s">
        <v>25</v>
      </c>
      <c r="V168" s="29" t="str">
        <f t="shared" si="11"/>
        <v>✓ OK</v>
      </c>
      <c r="W168" s="45">
        <v>46248</v>
      </c>
      <c r="X168" s="30" t="s">
        <v>23</v>
      </c>
      <c r="Y168" s="30" t="s">
        <v>24</v>
      </c>
      <c r="Z168" s="30" t="s">
        <v>25</v>
      </c>
      <c r="AA168" s="30" t="s">
        <v>26</v>
      </c>
      <c r="AB168" s="30" t="s">
        <v>24</v>
      </c>
      <c r="AC168" s="27"/>
      <c r="AD168" s="31" t="s">
        <v>25</v>
      </c>
      <c r="AE168" s="32" t="str">
        <f t="shared" si="12"/>
        <v>✓ OK</v>
      </c>
      <c r="AF168" s="33" t="s">
        <v>27</v>
      </c>
      <c r="AG168" s="33" t="s">
        <v>23</v>
      </c>
      <c r="AH168" s="33" t="s">
        <v>24</v>
      </c>
      <c r="AI168" s="33" t="s">
        <v>25</v>
      </c>
      <c r="AJ168" s="33" t="s">
        <v>26</v>
      </c>
      <c r="AK168" s="33" t="s">
        <v>24</v>
      </c>
      <c r="AL168" s="27"/>
      <c r="AM168" s="34" t="s">
        <v>25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8" customHeight="1" x14ac:dyDescent="0.3">
      <c r="A169" s="23">
        <v>165</v>
      </c>
      <c r="B169" s="24" t="s">
        <v>2177</v>
      </c>
      <c r="C169" s="25" t="s">
        <v>2178</v>
      </c>
      <c r="D169" s="23" t="s">
        <v>1850</v>
      </c>
      <c r="E169" s="43">
        <v>46125</v>
      </c>
      <c r="F169" s="26" t="s">
        <v>23</v>
      </c>
      <c r="G169" s="26" t="s">
        <v>24</v>
      </c>
      <c r="H169" s="26" t="s">
        <v>25</v>
      </c>
      <c r="I169" s="26" t="s">
        <v>26</v>
      </c>
      <c r="J169" s="26" t="s">
        <v>24</v>
      </c>
      <c r="K169" s="27"/>
      <c r="L169" s="28" t="s">
        <v>25</v>
      </c>
      <c r="M169" s="29" t="str">
        <f t="shared" si="10"/>
        <v>✓ OK</v>
      </c>
      <c r="N169" s="43">
        <v>46193</v>
      </c>
      <c r="O169" s="26" t="s">
        <v>23</v>
      </c>
      <c r="P169" s="26" t="s">
        <v>24</v>
      </c>
      <c r="Q169" s="26" t="s">
        <v>25</v>
      </c>
      <c r="R169" s="26" t="s">
        <v>26</v>
      </c>
      <c r="S169" s="26" t="s">
        <v>24</v>
      </c>
      <c r="T169" s="27"/>
      <c r="U169" s="28" t="s">
        <v>25</v>
      </c>
      <c r="V169" s="29" t="str">
        <f t="shared" si="11"/>
        <v>✓ OK</v>
      </c>
      <c r="W169" s="45">
        <v>46248</v>
      </c>
      <c r="X169" s="30" t="s">
        <v>23</v>
      </c>
      <c r="Y169" s="30" t="s">
        <v>24</v>
      </c>
      <c r="Z169" s="30" t="s">
        <v>25</v>
      </c>
      <c r="AA169" s="30" t="s">
        <v>26</v>
      </c>
      <c r="AB169" s="30" t="s">
        <v>24</v>
      </c>
      <c r="AC169" s="27"/>
      <c r="AD169" s="31" t="s">
        <v>25</v>
      </c>
      <c r="AE169" s="32" t="str">
        <f t="shared" si="12"/>
        <v>✓ OK</v>
      </c>
      <c r="AF169" s="33" t="s">
        <v>27</v>
      </c>
      <c r="AG169" s="33" t="s">
        <v>23</v>
      </c>
      <c r="AH169" s="33" t="s">
        <v>24</v>
      </c>
      <c r="AI169" s="33" t="s">
        <v>25</v>
      </c>
      <c r="AJ169" s="33" t="s">
        <v>26</v>
      </c>
      <c r="AK169" s="33" t="s">
        <v>24</v>
      </c>
      <c r="AL169" s="27"/>
      <c r="AM169" s="34" t="s">
        <v>25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8" customHeight="1" x14ac:dyDescent="0.3">
      <c r="A170" s="39">
        <v>166</v>
      </c>
      <c r="B170" s="40" t="s">
        <v>2179</v>
      </c>
      <c r="C170" s="41" t="s">
        <v>2180</v>
      </c>
      <c r="D170" s="39" t="s">
        <v>1850</v>
      </c>
      <c r="E170" s="43">
        <v>46125</v>
      </c>
      <c r="F170" s="26" t="s">
        <v>23</v>
      </c>
      <c r="G170" s="26" t="s">
        <v>24</v>
      </c>
      <c r="H170" s="26" t="s">
        <v>25</v>
      </c>
      <c r="I170" s="26" t="s">
        <v>26</v>
      </c>
      <c r="J170" s="26" t="s">
        <v>24</v>
      </c>
      <c r="K170" s="27"/>
      <c r="L170" s="28" t="s">
        <v>25</v>
      </c>
      <c r="M170" s="29" t="str">
        <f t="shared" si="10"/>
        <v>✓ OK</v>
      </c>
      <c r="N170" s="43">
        <v>46193</v>
      </c>
      <c r="O170" s="26" t="s">
        <v>23</v>
      </c>
      <c r="P170" s="26" t="s">
        <v>24</v>
      </c>
      <c r="Q170" s="26" t="s">
        <v>25</v>
      </c>
      <c r="R170" s="26" t="s">
        <v>26</v>
      </c>
      <c r="S170" s="26" t="s">
        <v>24</v>
      </c>
      <c r="T170" s="27"/>
      <c r="U170" s="28" t="s">
        <v>25</v>
      </c>
      <c r="V170" s="29" t="str">
        <f t="shared" si="11"/>
        <v>✓ OK</v>
      </c>
      <c r="W170" s="45">
        <v>46248</v>
      </c>
      <c r="X170" s="30" t="s">
        <v>23</v>
      </c>
      <c r="Y170" s="30" t="s">
        <v>24</v>
      </c>
      <c r="Z170" s="30" t="s">
        <v>25</v>
      </c>
      <c r="AA170" s="30" t="s">
        <v>26</v>
      </c>
      <c r="AB170" s="30" t="s">
        <v>24</v>
      </c>
      <c r="AC170" s="27"/>
      <c r="AD170" s="31" t="s">
        <v>25</v>
      </c>
      <c r="AE170" s="32" t="str">
        <f t="shared" si="12"/>
        <v>✓ OK</v>
      </c>
      <c r="AF170" s="33" t="s">
        <v>27</v>
      </c>
      <c r="AG170" s="33" t="s">
        <v>23</v>
      </c>
      <c r="AH170" s="33" t="s">
        <v>24</v>
      </c>
      <c r="AI170" s="33" t="s">
        <v>25</v>
      </c>
      <c r="AJ170" s="33" t="s">
        <v>26</v>
      </c>
      <c r="AK170" s="33" t="s">
        <v>24</v>
      </c>
      <c r="AL170" s="27"/>
      <c r="AM170" s="34" t="s">
        <v>25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8" customHeight="1" x14ac:dyDescent="0.3">
      <c r="A171" s="23">
        <v>167</v>
      </c>
      <c r="B171" s="24" t="s">
        <v>2181</v>
      </c>
      <c r="C171" s="25" t="s">
        <v>2182</v>
      </c>
      <c r="D171" s="23" t="s">
        <v>1850</v>
      </c>
      <c r="E171" s="43">
        <v>46125</v>
      </c>
      <c r="F171" s="26" t="s">
        <v>23</v>
      </c>
      <c r="G171" s="26" t="s">
        <v>24</v>
      </c>
      <c r="H171" s="26" t="s">
        <v>25</v>
      </c>
      <c r="I171" s="26" t="s">
        <v>26</v>
      </c>
      <c r="J171" s="26" t="s">
        <v>24</v>
      </c>
      <c r="K171" s="27"/>
      <c r="L171" s="28" t="s">
        <v>25</v>
      </c>
      <c r="M171" s="29" t="str">
        <f t="shared" si="10"/>
        <v>✓ OK</v>
      </c>
      <c r="N171" s="43">
        <v>46193</v>
      </c>
      <c r="O171" s="26" t="s">
        <v>23</v>
      </c>
      <c r="P171" s="26" t="s">
        <v>24</v>
      </c>
      <c r="Q171" s="26" t="s">
        <v>25</v>
      </c>
      <c r="R171" s="26" t="s">
        <v>26</v>
      </c>
      <c r="S171" s="26" t="s">
        <v>24</v>
      </c>
      <c r="T171" s="27"/>
      <c r="U171" s="28" t="s">
        <v>25</v>
      </c>
      <c r="V171" s="29" t="str">
        <f t="shared" si="11"/>
        <v>✓ OK</v>
      </c>
      <c r="W171" s="45">
        <v>46248</v>
      </c>
      <c r="X171" s="30" t="s">
        <v>23</v>
      </c>
      <c r="Y171" s="30" t="s">
        <v>24</v>
      </c>
      <c r="Z171" s="30" t="s">
        <v>25</v>
      </c>
      <c r="AA171" s="30" t="s">
        <v>26</v>
      </c>
      <c r="AB171" s="30" t="s">
        <v>24</v>
      </c>
      <c r="AC171" s="27"/>
      <c r="AD171" s="31" t="s">
        <v>25</v>
      </c>
      <c r="AE171" s="32" t="str">
        <f t="shared" si="12"/>
        <v>✓ OK</v>
      </c>
      <c r="AF171" s="33" t="s">
        <v>27</v>
      </c>
      <c r="AG171" s="33" t="s">
        <v>23</v>
      </c>
      <c r="AH171" s="33" t="s">
        <v>24</v>
      </c>
      <c r="AI171" s="33" t="s">
        <v>25</v>
      </c>
      <c r="AJ171" s="33" t="s">
        <v>26</v>
      </c>
      <c r="AK171" s="33" t="s">
        <v>24</v>
      </c>
      <c r="AL171" s="27"/>
      <c r="AM171" s="34" t="s">
        <v>25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8" customHeight="1" x14ac:dyDescent="0.3">
      <c r="A172" s="39">
        <v>168</v>
      </c>
      <c r="B172" s="40" t="s">
        <v>2183</v>
      </c>
      <c r="C172" s="41" t="s">
        <v>2184</v>
      </c>
      <c r="D172" s="39" t="s">
        <v>1850</v>
      </c>
      <c r="E172" s="43">
        <v>46125</v>
      </c>
      <c r="F172" s="26" t="s">
        <v>23</v>
      </c>
      <c r="G172" s="26" t="s">
        <v>24</v>
      </c>
      <c r="H172" s="26" t="s">
        <v>25</v>
      </c>
      <c r="I172" s="26" t="s">
        <v>26</v>
      </c>
      <c r="J172" s="26" t="s">
        <v>24</v>
      </c>
      <c r="K172" s="27"/>
      <c r="L172" s="28" t="s">
        <v>25</v>
      </c>
      <c r="M172" s="29" t="str">
        <f t="shared" si="10"/>
        <v>✓ OK</v>
      </c>
      <c r="N172" s="43">
        <v>46193</v>
      </c>
      <c r="O172" s="26" t="s">
        <v>23</v>
      </c>
      <c r="P172" s="26" t="s">
        <v>24</v>
      </c>
      <c r="Q172" s="26" t="s">
        <v>25</v>
      </c>
      <c r="R172" s="26" t="s">
        <v>26</v>
      </c>
      <c r="S172" s="26" t="s">
        <v>24</v>
      </c>
      <c r="T172" s="27"/>
      <c r="U172" s="28" t="s">
        <v>25</v>
      </c>
      <c r="V172" s="29" t="str">
        <f t="shared" si="11"/>
        <v>✓ OK</v>
      </c>
      <c r="W172" s="45">
        <v>46248</v>
      </c>
      <c r="X172" s="30" t="s">
        <v>23</v>
      </c>
      <c r="Y172" s="30" t="s">
        <v>24</v>
      </c>
      <c r="Z172" s="30" t="s">
        <v>25</v>
      </c>
      <c r="AA172" s="30" t="s">
        <v>26</v>
      </c>
      <c r="AB172" s="30" t="s">
        <v>24</v>
      </c>
      <c r="AC172" s="27"/>
      <c r="AD172" s="31" t="s">
        <v>25</v>
      </c>
      <c r="AE172" s="32" t="str">
        <f t="shared" si="12"/>
        <v>✓ OK</v>
      </c>
      <c r="AF172" s="33" t="s">
        <v>27</v>
      </c>
      <c r="AG172" s="33" t="s">
        <v>23</v>
      </c>
      <c r="AH172" s="33" t="s">
        <v>24</v>
      </c>
      <c r="AI172" s="33" t="s">
        <v>25</v>
      </c>
      <c r="AJ172" s="33" t="s">
        <v>26</v>
      </c>
      <c r="AK172" s="33" t="s">
        <v>24</v>
      </c>
      <c r="AL172" s="27"/>
      <c r="AM172" s="34" t="s">
        <v>25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8" customHeight="1" x14ac:dyDescent="0.3">
      <c r="A173" s="23">
        <v>169</v>
      </c>
      <c r="B173" s="24" t="s">
        <v>2185</v>
      </c>
      <c r="C173" s="25" t="s">
        <v>2186</v>
      </c>
      <c r="D173" s="23" t="s">
        <v>1850</v>
      </c>
      <c r="E173" s="43">
        <v>46125</v>
      </c>
      <c r="F173" s="26" t="s">
        <v>23</v>
      </c>
      <c r="G173" s="26" t="s">
        <v>24</v>
      </c>
      <c r="H173" s="26" t="s">
        <v>25</v>
      </c>
      <c r="I173" s="26" t="s">
        <v>26</v>
      </c>
      <c r="J173" s="26" t="s">
        <v>24</v>
      </c>
      <c r="K173" s="27"/>
      <c r="L173" s="28" t="s">
        <v>25</v>
      </c>
      <c r="M173" s="29" t="str">
        <f t="shared" si="10"/>
        <v>✓ OK</v>
      </c>
      <c r="N173" s="43">
        <v>46193</v>
      </c>
      <c r="O173" s="26" t="s">
        <v>23</v>
      </c>
      <c r="P173" s="26" t="s">
        <v>24</v>
      </c>
      <c r="Q173" s="26" t="s">
        <v>25</v>
      </c>
      <c r="R173" s="26" t="s">
        <v>26</v>
      </c>
      <c r="S173" s="26" t="s">
        <v>24</v>
      </c>
      <c r="T173" s="27"/>
      <c r="U173" s="28" t="s">
        <v>25</v>
      </c>
      <c r="V173" s="29" t="str">
        <f t="shared" si="11"/>
        <v>✓ OK</v>
      </c>
      <c r="W173" s="45">
        <v>46248</v>
      </c>
      <c r="X173" s="30" t="s">
        <v>23</v>
      </c>
      <c r="Y173" s="30" t="s">
        <v>24</v>
      </c>
      <c r="Z173" s="30" t="s">
        <v>25</v>
      </c>
      <c r="AA173" s="30" t="s">
        <v>26</v>
      </c>
      <c r="AB173" s="30" t="s">
        <v>24</v>
      </c>
      <c r="AC173" s="27"/>
      <c r="AD173" s="31" t="s">
        <v>25</v>
      </c>
      <c r="AE173" s="32" t="str">
        <f t="shared" si="12"/>
        <v>✓ OK</v>
      </c>
      <c r="AF173" s="33" t="s">
        <v>27</v>
      </c>
      <c r="AG173" s="33" t="s">
        <v>23</v>
      </c>
      <c r="AH173" s="33" t="s">
        <v>24</v>
      </c>
      <c r="AI173" s="33" t="s">
        <v>25</v>
      </c>
      <c r="AJ173" s="33" t="s">
        <v>26</v>
      </c>
      <c r="AK173" s="33" t="s">
        <v>24</v>
      </c>
      <c r="AL173" s="27"/>
      <c r="AM173" s="34" t="s">
        <v>25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8" customHeight="1" x14ac:dyDescent="0.3">
      <c r="A174" s="39">
        <v>170</v>
      </c>
      <c r="B174" s="40" t="s">
        <v>2187</v>
      </c>
      <c r="C174" s="41" t="s">
        <v>2188</v>
      </c>
      <c r="D174" s="39" t="s">
        <v>1850</v>
      </c>
      <c r="E174" s="43">
        <v>46125</v>
      </c>
      <c r="F174" s="26" t="s">
        <v>23</v>
      </c>
      <c r="G174" s="26" t="s">
        <v>24</v>
      </c>
      <c r="H174" s="26" t="s">
        <v>25</v>
      </c>
      <c r="I174" s="26" t="s">
        <v>26</v>
      </c>
      <c r="J174" s="26" t="s">
        <v>24</v>
      </c>
      <c r="K174" s="27"/>
      <c r="L174" s="28" t="s">
        <v>25</v>
      </c>
      <c r="M174" s="29" t="str">
        <f t="shared" si="10"/>
        <v>✓ OK</v>
      </c>
      <c r="N174" s="43">
        <v>46193</v>
      </c>
      <c r="O174" s="26" t="s">
        <v>23</v>
      </c>
      <c r="P174" s="26" t="s">
        <v>24</v>
      </c>
      <c r="Q174" s="26" t="s">
        <v>25</v>
      </c>
      <c r="R174" s="26" t="s">
        <v>26</v>
      </c>
      <c r="S174" s="26" t="s">
        <v>24</v>
      </c>
      <c r="T174" s="27"/>
      <c r="U174" s="28" t="s">
        <v>25</v>
      </c>
      <c r="V174" s="29" t="str">
        <f t="shared" si="11"/>
        <v>✓ OK</v>
      </c>
      <c r="W174" s="45">
        <v>46248</v>
      </c>
      <c r="X174" s="30" t="s">
        <v>23</v>
      </c>
      <c r="Y174" s="30" t="s">
        <v>24</v>
      </c>
      <c r="Z174" s="30" t="s">
        <v>25</v>
      </c>
      <c r="AA174" s="30" t="s">
        <v>26</v>
      </c>
      <c r="AB174" s="30" t="s">
        <v>24</v>
      </c>
      <c r="AC174" s="27"/>
      <c r="AD174" s="31" t="s">
        <v>25</v>
      </c>
      <c r="AE174" s="32" t="str">
        <f t="shared" si="12"/>
        <v>✓ OK</v>
      </c>
      <c r="AF174" s="33" t="s">
        <v>27</v>
      </c>
      <c r="AG174" s="33" t="s">
        <v>23</v>
      </c>
      <c r="AH174" s="33" t="s">
        <v>24</v>
      </c>
      <c r="AI174" s="33" t="s">
        <v>25</v>
      </c>
      <c r="AJ174" s="33" t="s">
        <v>26</v>
      </c>
      <c r="AK174" s="33" t="s">
        <v>24</v>
      </c>
      <c r="AL174" s="27"/>
      <c r="AM174" s="34" t="s">
        <v>25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8" customHeight="1" x14ac:dyDescent="0.3">
      <c r="A175" s="23">
        <v>171</v>
      </c>
      <c r="B175" s="24" t="s">
        <v>2189</v>
      </c>
      <c r="C175" s="25" t="s">
        <v>2190</v>
      </c>
      <c r="D175" s="23" t="s">
        <v>1850</v>
      </c>
      <c r="E175" s="43">
        <v>46125</v>
      </c>
      <c r="F175" s="26" t="s">
        <v>23</v>
      </c>
      <c r="G175" s="26" t="s">
        <v>24</v>
      </c>
      <c r="H175" s="26" t="s">
        <v>25</v>
      </c>
      <c r="I175" s="26" t="s">
        <v>26</v>
      </c>
      <c r="J175" s="26" t="s">
        <v>24</v>
      </c>
      <c r="K175" s="27"/>
      <c r="L175" s="28" t="s">
        <v>25</v>
      </c>
      <c r="M175" s="29" t="str">
        <f t="shared" si="10"/>
        <v>✓ OK</v>
      </c>
      <c r="N175" s="43">
        <v>46193</v>
      </c>
      <c r="O175" s="26" t="s">
        <v>23</v>
      </c>
      <c r="P175" s="26" t="s">
        <v>24</v>
      </c>
      <c r="Q175" s="26" t="s">
        <v>25</v>
      </c>
      <c r="R175" s="26" t="s">
        <v>26</v>
      </c>
      <c r="S175" s="26" t="s">
        <v>24</v>
      </c>
      <c r="T175" s="27"/>
      <c r="U175" s="28" t="s">
        <v>25</v>
      </c>
      <c r="V175" s="29" t="str">
        <f t="shared" si="11"/>
        <v>✓ OK</v>
      </c>
      <c r="W175" s="45">
        <v>46248</v>
      </c>
      <c r="X175" s="30" t="s">
        <v>23</v>
      </c>
      <c r="Y175" s="30" t="s">
        <v>24</v>
      </c>
      <c r="Z175" s="30" t="s">
        <v>25</v>
      </c>
      <c r="AA175" s="30" t="s">
        <v>26</v>
      </c>
      <c r="AB175" s="30" t="s">
        <v>24</v>
      </c>
      <c r="AC175" s="27"/>
      <c r="AD175" s="31" t="s">
        <v>25</v>
      </c>
      <c r="AE175" s="32" t="str">
        <f t="shared" si="12"/>
        <v>✓ OK</v>
      </c>
      <c r="AF175" s="33" t="s">
        <v>27</v>
      </c>
      <c r="AG175" s="33" t="s">
        <v>23</v>
      </c>
      <c r="AH175" s="33" t="s">
        <v>24</v>
      </c>
      <c r="AI175" s="33" t="s">
        <v>25</v>
      </c>
      <c r="AJ175" s="33" t="s">
        <v>26</v>
      </c>
      <c r="AK175" s="33" t="s">
        <v>24</v>
      </c>
      <c r="AL175" s="27"/>
      <c r="AM175" s="34" t="s">
        <v>25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8" customHeight="1" x14ac:dyDescent="0.3">
      <c r="A176" s="39">
        <v>172</v>
      </c>
      <c r="B176" s="40" t="s">
        <v>2191</v>
      </c>
      <c r="C176" s="41" t="s">
        <v>2192</v>
      </c>
      <c r="D176" s="39" t="s">
        <v>1850</v>
      </c>
      <c r="E176" s="43">
        <v>46125</v>
      </c>
      <c r="F176" s="26" t="s">
        <v>23</v>
      </c>
      <c r="G176" s="26" t="s">
        <v>24</v>
      </c>
      <c r="H176" s="26" t="s">
        <v>25</v>
      </c>
      <c r="I176" s="26" t="s">
        <v>26</v>
      </c>
      <c r="J176" s="26" t="s">
        <v>24</v>
      </c>
      <c r="K176" s="27"/>
      <c r="L176" s="28" t="s">
        <v>25</v>
      </c>
      <c r="M176" s="29" t="str">
        <f t="shared" si="10"/>
        <v>✓ OK</v>
      </c>
      <c r="N176" s="43">
        <v>46193</v>
      </c>
      <c r="O176" s="26" t="s">
        <v>23</v>
      </c>
      <c r="P176" s="26" t="s">
        <v>24</v>
      </c>
      <c r="Q176" s="26" t="s">
        <v>25</v>
      </c>
      <c r="R176" s="26" t="s">
        <v>26</v>
      </c>
      <c r="S176" s="26" t="s">
        <v>24</v>
      </c>
      <c r="T176" s="27"/>
      <c r="U176" s="28" t="s">
        <v>25</v>
      </c>
      <c r="V176" s="29" t="str">
        <f t="shared" si="11"/>
        <v>✓ OK</v>
      </c>
      <c r="W176" s="45">
        <v>46248</v>
      </c>
      <c r="X176" s="30" t="s">
        <v>23</v>
      </c>
      <c r="Y176" s="30" t="s">
        <v>24</v>
      </c>
      <c r="Z176" s="30" t="s">
        <v>25</v>
      </c>
      <c r="AA176" s="30" t="s">
        <v>26</v>
      </c>
      <c r="AB176" s="30" t="s">
        <v>24</v>
      </c>
      <c r="AC176" s="27"/>
      <c r="AD176" s="31" t="s">
        <v>25</v>
      </c>
      <c r="AE176" s="32" t="str">
        <f t="shared" si="12"/>
        <v>✓ OK</v>
      </c>
      <c r="AF176" s="33" t="s">
        <v>27</v>
      </c>
      <c r="AG176" s="33" t="s">
        <v>23</v>
      </c>
      <c r="AH176" s="33" t="s">
        <v>24</v>
      </c>
      <c r="AI176" s="33" t="s">
        <v>25</v>
      </c>
      <c r="AJ176" s="33" t="s">
        <v>26</v>
      </c>
      <c r="AK176" s="33" t="s">
        <v>24</v>
      </c>
      <c r="AL176" s="27"/>
      <c r="AM176" s="34" t="s">
        <v>25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8" customHeight="1" x14ac:dyDescent="0.3">
      <c r="A177" s="23">
        <v>173</v>
      </c>
      <c r="B177" s="24" t="s">
        <v>2193</v>
      </c>
      <c r="C177" s="25" t="s">
        <v>2194</v>
      </c>
      <c r="D177" s="23" t="s">
        <v>1850</v>
      </c>
      <c r="E177" s="43">
        <v>46125</v>
      </c>
      <c r="F177" s="26" t="s">
        <v>23</v>
      </c>
      <c r="G177" s="26" t="s">
        <v>24</v>
      </c>
      <c r="H177" s="26" t="s">
        <v>25</v>
      </c>
      <c r="I177" s="26" t="s">
        <v>26</v>
      </c>
      <c r="J177" s="26" t="s">
        <v>24</v>
      </c>
      <c r="K177" s="27"/>
      <c r="L177" s="28" t="s">
        <v>25</v>
      </c>
      <c r="M177" s="29" t="str">
        <f t="shared" si="10"/>
        <v>✓ OK</v>
      </c>
      <c r="N177" s="43">
        <v>46193</v>
      </c>
      <c r="O177" s="26" t="s">
        <v>23</v>
      </c>
      <c r="P177" s="26" t="s">
        <v>24</v>
      </c>
      <c r="Q177" s="26" t="s">
        <v>25</v>
      </c>
      <c r="R177" s="26" t="s">
        <v>26</v>
      </c>
      <c r="S177" s="26" t="s">
        <v>24</v>
      </c>
      <c r="T177" s="27"/>
      <c r="U177" s="28" t="s">
        <v>25</v>
      </c>
      <c r="V177" s="29" t="str">
        <f t="shared" si="11"/>
        <v>✓ OK</v>
      </c>
      <c r="W177" s="45">
        <v>46248</v>
      </c>
      <c r="X177" s="30" t="s">
        <v>23</v>
      </c>
      <c r="Y177" s="30" t="s">
        <v>24</v>
      </c>
      <c r="Z177" s="30" t="s">
        <v>25</v>
      </c>
      <c r="AA177" s="30" t="s">
        <v>26</v>
      </c>
      <c r="AB177" s="30" t="s">
        <v>24</v>
      </c>
      <c r="AC177" s="27"/>
      <c r="AD177" s="31" t="s">
        <v>25</v>
      </c>
      <c r="AE177" s="32" t="str">
        <f t="shared" si="12"/>
        <v>✓ OK</v>
      </c>
      <c r="AF177" s="33" t="s">
        <v>27</v>
      </c>
      <c r="AG177" s="33" t="s">
        <v>23</v>
      </c>
      <c r="AH177" s="33" t="s">
        <v>24</v>
      </c>
      <c r="AI177" s="33" t="s">
        <v>25</v>
      </c>
      <c r="AJ177" s="33" t="s">
        <v>26</v>
      </c>
      <c r="AK177" s="33" t="s">
        <v>24</v>
      </c>
      <c r="AL177" s="27"/>
      <c r="AM177" s="34" t="s">
        <v>25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8" customHeight="1" x14ac:dyDescent="0.3">
      <c r="A178" s="39">
        <v>174</v>
      </c>
      <c r="B178" s="40" t="s">
        <v>2195</v>
      </c>
      <c r="C178" s="41" t="s">
        <v>2196</v>
      </c>
      <c r="D178" s="39" t="s">
        <v>1850</v>
      </c>
      <c r="E178" s="43">
        <v>46125</v>
      </c>
      <c r="F178" s="26" t="s">
        <v>23</v>
      </c>
      <c r="G178" s="26" t="s">
        <v>24</v>
      </c>
      <c r="H178" s="26" t="s">
        <v>25</v>
      </c>
      <c r="I178" s="26" t="s">
        <v>26</v>
      </c>
      <c r="J178" s="26" t="s">
        <v>24</v>
      </c>
      <c r="K178" s="27"/>
      <c r="L178" s="28" t="s">
        <v>25</v>
      </c>
      <c r="M178" s="29" t="str">
        <f t="shared" si="10"/>
        <v>✓ OK</v>
      </c>
      <c r="N178" s="43">
        <v>46193</v>
      </c>
      <c r="O178" s="26" t="s">
        <v>23</v>
      </c>
      <c r="P178" s="26" t="s">
        <v>24</v>
      </c>
      <c r="Q178" s="26" t="s">
        <v>25</v>
      </c>
      <c r="R178" s="26" t="s">
        <v>26</v>
      </c>
      <c r="S178" s="26" t="s">
        <v>24</v>
      </c>
      <c r="T178" s="27"/>
      <c r="U178" s="28" t="s">
        <v>25</v>
      </c>
      <c r="V178" s="29" t="str">
        <f t="shared" si="11"/>
        <v>✓ OK</v>
      </c>
      <c r="W178" s="45">
        <v>46248</v>
      </c>
      <c r="X178" s="30" t="s">
        <v>23</v>
      </c>
      <c r="Y178" s="30" t="s">
        <v>24</v>
      </c>
      <c r="Z178" s="30" t="s">
        <v>25</v>
      </c>
      <c r="AA178" s="30" t="s">
        <v>26</v>
      </c>
      <c r="AB178" s="30" t="s">
        <v>24</v>
      </c>
      <c r="AC178" s="27"/>
      <c r="AD178" s="31" t="s">
        <v>25</v>
      </c>
      <c r="AE178" s="32" t="str">
        <f t="shared" si="12"/>
        <v>✓ OK</v>
      </c>
      <c r="AF178" s="33" t="s">
        <v>27</v>
      </c>
      <c r="AG178" s="33" t="s">
        <v>23</v>
      </c>
      <c r="AH178" s="33" t="s">
        <v>24</v>
      </c>
      <c r="AI178" s="33" t="s">
        <v>25</v>
      </c>
      <c r="AJ178" s="33" t="s">
        <v>26</v>
      </c>
      <c r="AK178" s="33" t="s">
        <v>24</v>
      </c>
      <c r="AL178" s="27"/>
      <c r="AM178" s="34" t="s">
        <v>25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8" customHeight="1" x14ac:dyDescent="0.3">
      <c r="A179" s="23">
        <v>175</v>
      </c>
      <c r="B179" s="24" t="s">
        <v>2197</v>
      </c>
      <c r="C179" s="25" t="s">
        <v>2198</v>
      </c>
      <c r="D179" s="23" t="s">
        <v>1850</v>
      </c>
      <c r="E179" s="43">
        <v>46125</v>
      </c>
      <c r="F179" s="26" t="s">
        <v>23</v>
      </c>
      <c r="G179" s="26" t="s">
        <v>24</v>
      </c>
      <c r="H179" s="26" t="s">
        <v>25</v>
      </c>
      <c r="I179" s="26" t="s">
        <v>26</v>
      </c>
      <c r="J179" s="26" t="s">
        <v>24</v>
      </c>
      <c r="K179" s="27"/>
      <c r="L179" s="28" t="s">
        <v>25</v>
      </c>
      <c r="M179" s="29" t="str">
        <f t="shared" si="10"/>
        <v>✓ OK</v>
      </c>
      <c r="N179" s="43">
        <v>46193</v>
      </c>
      <c r="O179" s="26" t="s">
        <v>23</v>
      </c>
      <c r="P179" s="26" t="s">
        <v>24</v>
      </c>
      <c r="Q179" s="26" t="s">
        <v>25</v>
      </c>
      <c r="R179" s="26" t="s">
        <v>26</v>
      </c>
      <c r="S179" s="26" t="s">
        <v>24</v>
      </c>
      <c r="T179" s="27"/>
      <c r="U179" s="28" t="s">
        <v>25</v>
      </c>
      <c r="V179" s="29" t="str">
        <f t="shared" si="11"/>
        <v>✓ OK</v>
      </c>
      <c r="W179" s="45">
        <v>46248</v>
      </c>
      <c r="X179" s="30" t="s">
        <v>23</v>
      </c>
      <c r="Y179" s="30" t="s">
        <v>24</v>
      </c>
      <c r="Z179" s="30" t="s">
        <v>25</v>
      </c>
      <c r="AA179" s="30" t="s">
        <v>26</v>
      </c>
      <c r="AB179" s="30" t="s">
        <v>24</v>
      </c>
      <c r="AC179" s="27"/>
      <c r="AD179" s="31" t="s">
        <v>25</v>
      </c>
      <c r="AE179" s="32" t="str">
        <f t="shared" si="12"/>
        <v>✓ OK</v>
      </c>
      <c r="AF179" s="33" t="s">
        <v>27</v>
      </c>
      <c r="AG179" s="33" t="s">
        <v>23</v>
      </c>
      <c r="AH179" s="33" t="s">
        <v>24</v>
      </c>
      <c r="AI179" s="33" t="s">
        <v>25</v>
      </c>
      <c r="AJ179" s="33" t="s">
        <v>26</v>
      </c>
      <c r="AK179" s="33" t="s">
        <v>24</v>
      </c>
      <c r="AL179" s="27"/>
      <c r="AM179" s="34" t="s">
        <v>25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8" customHeight="1" x14ac:dyDescent="0.3">
      <c r="A180" s="39">
        <v>176</v>
      </c>
      <c r="B180" s="40" t="s">
        <v>2199</v>
      </c>
      <c r="C180" s="41" t="s">
        <v>2200</v>
      </c>
      <c r="D180" s="39" t="s">
        <v>1850</v>
      </c>
      <c r="E180" s="43">
        <v>46125</v>
      </c>
      <c r="F180" s="26" t="s">
        <v>23</v>
      </c>
      <c r="G180" s="26" t="s">
        <v>24</v>
      </c>
      <c r="H180" s="26" t="s">
        <v>25</v>
      </c>
      <c r="I180" s="26" t="s">
        <v>26</v>
      </c>
      <c r="J180" s="26" t="s">
        <v>24</v>
      </c>
      <c r="K180" s="27"/>
      <c r="L180" s="28" t="s">
        <v>25</v>
      </c>
      <c r="M180" s="29" t="str">
        <f t="shared" si="10"/>
        <v>✓ OK</v>
      </c>
      <c r="N180" s="43">
        <v>46193</v>
      </c>
      <c r="O180" s="26" t="s">
        <v>23</v>
      </c>
      <c r="P180" s="26" t="s">
        <v>24</v>
      </c>
      <c r="Q180" s="26" t="s">
        <v>25</v>
      </c>
      <c r="R180" s="26" t="s">
        <v>26</v>
      </c>
      <c r="S180" s="26" t="s">
        <v>24</v>
      </c>
      <c r="T180" s="27"/>
      <c r="U180" s="28" t="s">
        <v>25</v>
      </c>
      <c r="V180" s="29" t="str">
        <f t="shared" si="11"/>
        <v>✓ OK</v>
      </c>
      <c r="W180" s="45">
        <v>46248</v>
      </c>
      <c r="X180" s="30" t="s">
        <v>23</v>
      </c>
      <c r="Y180" s="30" t="s">
        <v>24</v>
      </c>
      <c r="Z180" s="30" t="s">
        <v>25</v>
      </c>
      <c r="AA180" s="30" t="s">
        <v>26</v>
      </c>
      <c r="AB180" s="30" t="s">
        <v>24</v>
      </c>
      <c r="AC180" s="27"/>
      <c r="AD180" s="31" t="s">
        <v>25</v>
      </c>
      <c r="AE180" s="32" t="str">
        <f t="shared" si="12"/>
        <v>✓ OK</v>
      </c>
      <c r="AF180" s="33" t="s">
        <v>27</v>
      </c>
      <c r="AG180" s="33" t="s">
        <v>23</v>
      </c>
      <c r="AH180" s="33" t="s">
        <v>24</v>
      </c>
      <c r="AI180" s="33" t="s">
        <v>25</v>
      </c>
      <c r="AJ180" s="33" t="s">
        <v>26</v>
      </c>
      <c r="AK180" s="33" t="s">
        <v>24</v>
      </c>
      <c r="AL180" s="27"/>
      <c r="AM180" s="34" t="s">
        <v>25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8" customHeight="1" x14ac:dyDescent="0.3">
      <c r="A181" s="23">
        <v>177</v>
      </c>
      <c r="B181" s="24" t="s">
        <v>2201</v>
      </c>
      <c r="C181" s="25" t="s">
        <v>2202</v>
      </c>
      <c r="D181" s="23" t="s">
        <v>1850</v>
      </c>
      <c r="E181" s="43">
        <v>46125</v>
      </c>
      <c r="F181" s="26" t="s">
        <v>23</v>
      </c>
      <c r="G181" s="26" t="s">
        <v>24</v>
      </c>
      <c r="H181" s="26" t="s">
        <v>25</v>
      </c>
      <c r="I181" s="26" t="s">
        <v>26</v>
      </c>
      <c r="J181" s="26" t="s">
        <v>24</v>
      </c>
      <c r="K181" s="27"/>
      <c r="L181" s="28" t="s">
        <v>25</v>
      </c>
      <c r="M181" s="29" t="str">
        <f t="shared" si="10"/>
        <v>✓ OK</v>
      </c>
      <c r="N181" s="43">
        <v>46193</v>
      </c>
      <c r="O181" s="26" t="s">
        <v>23</v>
      </c>
      <c r="P181" s="26" t="s">
        <v>24</v>
      </c>
      <c r="Q181" s="26" t="s">
        <v>25</v>
      </c>
      <c r="R181" s="26" t="s">
        <v>26</v>
      </c>
      <c r="S181" s="26" t="s">
        <v>24</v>
      </c>
      <c r="T181" s="27"/>
      <c r="U181" s="28" t="s">
        <v>25</v>
      </c>
      <c r="V181" s="29" t="str">
        <f t="shared" si="11"/>
        <v>✓ OK</v>
      </c>
      <c r="W181" s="45">
        <v>46248</v>
      </c>
      <c r="X181" s="30" t="s">
        <v>23</v>
      </c>
      <c r="Y181" s="30" t="s">
        <v>24</v>
      </c>
      <c r="Z181" s="30" t="s">
        <v>25</v>
      </c>
      <c r="AA181" s="30" t="s">
        <v>26</v>
      </c>
      <c r="AB181" s="30" t="s">
        <v>24</v>
      </c>
      <c r="AC181" s="27"/>
      <c r="AD181" s="31" t="s">
        <v>25</v>
      </c>
      <c r="AE181" s="32" t="str">
        <f t="shared" si="12"/>
        <v>✓ OK</v>
      </c>
      <c r="AF181" s="33" t="s">
        <v>27</v>
      </c>
      <c r="AG181" s="33" t="s">
        <v>23</v>
      </c>
      <c r="AH181" s="33" t="s">
        <v>24</v>
      </c>
      <c r="AI181" s="33" t="s">
        <v>25</v>
      </c>
      <c r="AJ181" s="33" t="s">
        <v>26</v>
      </c>
      <c r="AK181" s="33" t="s">
        <v>24</v>
      </c>
      <c r="AL181" s="27"/>
      <c r="AM181" s="34" t="s">
        <v>25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8" customHeight="1" x14ac:dyDescent="0.3">
      <c r="A182" s="39">
        <v>178</v>
      </c>
      <c r="B182" s="40" t="s">
        <v>2203</v>
      </c>
      <c r="C182" s="41" t="s">
        <v>2204</v>
      </c>
      <c r="D182" s="39" t="s">
        <v>1850</v>
      </c>
      <c r="E182" s="43">
        <v>46125</v>
      </c>
      <c r="F182" s="26" t="s">
        <v>23</v>
      </c>
      <c r="G182" s="26" t="s">
        <v>24</v>
      </c>
      <c r="H182" s="26" t="s">
        <v>25</v>
      </c>
      <c r="I182" s="26" t="s">
        <v>26</v>
      </c>
      <c r="J182" s="26" t="s">
        <v>24</v>
      </c>
      <c r="K182" s="27"/>
      <c r="L182" s="28" t="s">
        <v>25</v>
      </c>
      <c r="M182" s="29" t="str">
        <f t="shared" si="10"/>
        <v>✓ OK</v>
      </c>
      <c r="N182" s="43">
        <v>46193</v>
      </c>
      <c r="O182" s="26" t="s">
        <v>23</v>
      </c>
      <c r="P182" s="26" t="s">
        <v>24</v>
      </c>
      <c r="Q182" s="26" t="s">
        <v>25</v>
      </c>
      <c r="R182" s="26" t="s">
        <v>26</v>
      </c>
      <c r="S182" s="26" t="s">
        <v>24</v>
      </c>
      <c r="T182" s="27"/>
      <c r="U182" s="28" t="s">
        <v>25</v>
      </c>
      <c r="V182" s="29" t="str">
        <f t="shared" si="11"/>
        <v>✓ OK</v>
      </c>
      <c r="W182" s="45">
        <v>46248</v>
      </c>
      <c r="X182" s="30" t="s">
        <v>23</v>
      </c>
      <c r="Y182" s="30" t="s">
        <v>24</v>
      </c>
      <c r="Z182" s="30" t="s">
        <v>25</v>
      </c>
      <c r="AA182" s="30" t="s">
        <v>26</v>
      </c>
      <c r="AB182" s="30" t="s">
        <v>24</v>
      </c>
      <c r="AC182" s="27"/>
      <c r="AD182" s="31" t="s">
        <v>25</v>
      </c>
      <c r="AE182" s="32" t="str">
        <f t="shared" si="12"/>
        <v>✓ OK</v>
      </c>
      <c r="AF182" s="33" t="s">
        <v>27</v>
      </c>
      <c r="AG182" s="33" t="s">
        <v>23</v>
      </c>
      <c r="AH182" s="33" t="s">
        <v>24</v>
      </c>
      <c r="AI182" s="33" t="s">
        <v>25</v>
      </c>
      <c r="AJ182" s="33" t="s">
        <v>26</v>
      </c>
      <c r="AK182" s="33" t="s">
        <v>24</v>
      </c>
      <c r="AL182" s="27"/>
      <c r="AM182" s="34" t="s">
        <v>25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8" customHeight="1" x14ac:dyDescent="0.3">
      <c r="A183" s="23">
        <v>179</v>
      </c>
      <c r="B183" s="24" t="s">
        <v>2205</v>
      </c>
      <c r="C183" s="25" t="s">
        <v>2206</v>
      </c>
      <c r="D183" s="23" t="s">
        <v>1850</v>
      </c>
      <c r="E183" s="43">
        <v>46125</v>
      </c>
      <c r="F183" s="26" t="s">
        <v>23</v>
      </c>
      <c r="G183" s="26" t="s">
        <v>24</v>
      </c>
      <c r="H183" s="26" t="s">
        <v>25</v>
      </c>
      <c r="I183" s="26" t="s">
        <v>26</v>
      </c>
      <c r="J183" s="26" t="s">
        <v>24</v>
      </c>
      <c r="K183" s="27"/>
      <c r="L183" s="28" t="s">
        <v>25</v>
      </c>
      <c r="M183" s="29" t="str">
        <f t="shared" si="10"/>
        <v>✓ OK</v>
      </c>
      <c r="N183" s="43">
        <v>46193</v>
      </c>
      <c r="O183" s="26" t="s">
        <v>23</v>
      </c>
      <c r="P183" s="26" t="s">
        <v>24</v>
      </c>
      <c r="Q183" s="26" t="s">
        <v>25</v>
      </c>
      <c r="R183" s="26" t="s">
        <v>26</v>
      </c>
      <c r="S183" s="26" t="s">
        <v>24</v>
      </c>
      <c r="T183" s="27"/>
      <c r="U183" s="28" t="s">
        <v>25</v>
      </c>
      <c r="V183" s="29" t="str">
        <f t="shared" si="11"/>
        <v>✓ OK</v>
      </c>
      <c r="W183" s="45">
        <v>46248</v>
      </c>
      <c r="X183" s="30" t="s">
        <v>23</v>
      </c>
      <c r="Y183" s="30" t="s">
        <v>24</v>
      </c>
      <c r="Z183" s="30" t="s">
        <v>25</v>
      </c>
      <c r="AA183" s="30" t="s">
        <v>26</v>
      </c>
      <c r="AB183" s="30" t="s">
        <v>24</v>
      </c>
      <c r="AC183" s="27"/>
      <c r="AD183" s="31" t="s">
        <v>25</v>
      </c>
      <c r="AE183" s="32" t="str">
        <f t="shared" si="12"/>
        <v>✓ OK</v>
      </c>
      <c r="AF183" s="33" t="s">
        <v>27</v>
      </c>
      <c r="AG183" s="33" t="s">
        <v>23</v>
      </c>
      <c r="AH183" s="33" t="s">
        <v>24</v>
      </c>
      <c r="AI183" s="33" t="s">
        <v>25</v>
      </c>
      <c r="AJ183" s="33" t="s">
        <v>26</v>
      </c>
      <c r="AK183" s="33" t="s">
        <v>24</v>
      </c>
      <c r="AL183" s="27"/>
      <c r="AM183" s="34" t="s">
        <v>25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8" customHeight="1" x14ac:dyDescent="0.3">
      <c r="A184" s="39">
        <v>180</v>
      </c>
      <c r="B184" s="40" t="s">
        <v>2207</v>
      </c>
      <c r="C184" s="41" t="s">
        <v>2208</v>
      </c>
      <c r="D184" s="39" t="s">
        <v>1850</v>
      </c>
      <c r="E184" s="43">
        <v>46125</v>
      </c>
      <c r="F184" s="26" t="s">
        <v>23</v>
      </c>
      <c r="G184" s="26" t="s">
        <v>24</v>
      </c>
      <c r="H184" s="26" t="s">
        <v>25</v>
      </c>
      <c r="I184" s="26" t="s">
        <v>26</v>
      </c>
      <c r="J184" s="26" t="s">
        <v>24</v>
      </c>
      <c r="K184" s="27"/>
      <c r="L184" s="28" t="s">
        <v>25</v>
      </c>
      <c r="M184" s="29" t="str">
        <f t="shared" si="10"/>
        <v>✓ OK</v>
      </c>
      <c r="N184" s="43">
        <v>46193</v>
      </c>
      <c r="O184" s="26" t="s">
        <v>23</v>
      </c>
      <c r="P184" s="26" t="s">
        <v>24</v>
      </c>
      <c r="Q184" s="26" t="s">
        <v>25</v>
      </c>
      <c r="R184" s="26" t="s">
        <v>26</v>
      </c>
      <c r="S184" s="26" t="s">
        <v>24</v>
      </c>
      <c r="T184" s="27"/>
      <c r="U184" s="28" t="s">
        <v>25</v>
      </c>
      <c r="V184" s="29" t="str">
        <f t="shared" si="11"/>
        <v>✓ OK</v>
      </c>
      <c r="W184" s="45">
        <v>46248</v>
      </c>
      <c r="X184" s="30" t="s">
        <v>23</v>
      </c>
      <c r="Y184" s="30" t="s">
        <v>24</v>
      </c>
      <c r="Z184" s="30" t="s">
        <v>25</v>
      </c>
      <c r="AA184" s="30" t="s">
        <v>26</v>
      </c>
      <c r="AB184" s="30" t="s">
        <v>24</v>
      </c>
      <c r="AC184" s="27"/>
      <c r="AD184" s="31" t="s">
        <v>25</v>
      </c>
      <c r="AE184" s="32" t="str">
        <f t="shared" si="12"/>
        <v>✓ OK</v>
      </c>
      <c r="AF184" s="33" t="s">
        <v>27</v>
      </c>
      <c r="AG184" s="33" t="s">
        <v>23</v>
      </c>
      <c r="AH184" s="33" t="s">
        <v>24</v>
      </c>
      <c r="AI184" s="33" t="s">
        <v>25</v>
      </c>
      <c r="AJ184" s="33" t="s">
        <v>26</v>
      </c>
      <c r="AK184" s="33" t="s">
        <v>24</v>
      </c>
      <c r="AL184" s="27"/>
      <c r="AM184" s="34" t="s">
        <v>25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8" customHeight="1" x14ac:dyDescent="0.3">
      <c r="A185" s="23">
        <v>181</v>
      </c>
      <c r="B185" s="24" t="s">
        <v>2209</v>
      </c>
      <c r="C185" s="25" t="s">
        <v>2210</v>
      </c>
      <c r="D185" s="23" t="s">
        <v>1850</v>
      </c>
      <c r="E185" s="43">
        <v>46125</v>
      </c>
      <c r="F185" s="26" t="s">
        <v>23</v>
      </c>
      <c r="G185" s="26" t="s">
        <v>24</v>
      </c>
      <c r="H185" s="26" t="s">
        <v>25</v>
      </c>
      <c r="I185" s="26" t="s">
        <v>26</v>
      </c>
      <c r="J185" s="26" t="s">
        <v>24</v>
      </c>
      <c r="K185" s="27"/>
      <c r="L185" s="28" t="s">
        <v>25</v>
      </c>
      <c r="M185" s="29" t="str">
        <f t="shared" si="10"/>
        <v>✓ OK</v>
      </c>
      <c r="N185" s="43">
        <v>46193</v>
      </c>
      <c r="O185" s="26" t="s">
        <v>23</v>
      </c>
      <c r="P185" s="26" t="s">
        <v>24</v>
      </c>
      <c r="Q185" s="26" t="s">
        <v>25</v>
      </c>
      <c r="R185" s="26" t="s">
        <v>26</v>
      </c>
      <c r="S185" s="26" t="s">
        <v>24</v>
      </c>
      <c r="T185" s="27"/>
      <c r="U185" s="28" t="s">
        <v>25</v>
      </c>
      <c r="V185" s="29" t="str">
        <f t="shared" si="11"/>
        <v>✓ OK</v>
      </c>
      <c r="W185" s="45">
        <v>46248</v>
      </c>
      <c r="X185" s="30" t="s">
        <v>23</v>
      </c>
      <c r="Y185" s="30" t="s">
        <v>24</v>
      </c>
      <c r="Z185" s="30" t="s">
        <v>25</v>
      </c>
      <c r="AA185" s="30" t="s">
        <v>26</v>
      </c>
      <c r="AB185" s="30" t="s">
        <v>24</v>
      </c>
      <c r="AC185" s="27"/>
      <c r="AD185" s="31" t="s">
        <v>25</v>
      </c>
      <c r="AE185" s="32" t="str">
        <f t="shared" si="12"/>
        <v>✓ OK</v>
      </c>
      <c r="AF185" s="33" t="s">
        <v>27</v>
      </c>
      <c r="AG185" s="33" t="s">
        <v>23</v>
      </c>
      <c r="AH185" s="33" t="s">
        <v>24</v>
      </c>
      <c r="AI185" s="33" t="s">
        <v>25</v>
      </c>
      <c r="AJ185" s="33" t="s">
        <v>26</v>
      </c>
      <c r="AK185" s="33" t="s">
        <v>24</v>
      </c>
      <c r="AL185" s="27"/>
      <c r="AM185" s="34" t="s">
        <v>25</v>
      </c>
      <c r="AN185" s="35" t="str">
        <f t="shared" si="13"/>
        <v>✓ OK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8" customHeight="1" x14ac:dyDescent="0.3">
      <c r="A186" s="39">
        <v>182</v>
      </c>
      <c r="B186" s="40" t="s">
        <v>2211</v>
      </c>
      <c r="C186" s="41" t="s">
        <v>2212</v>
      </c>
      <c r="D186" s="39" t="s">
        <v>1850</v>
      </c>
      <c r="E186" s="43">
        <v>46125</v>
      </c>
      <c r="F186" s="26" t="s">
        <v>23</v>
      </c>
      <c r="G186" s="26" t="s">
        <v>24</v>
      </c>
      <c r="H186" s="26" t="s">
        <v>25</v>
      </c>
      <c r="I186" s="26" t="s">
        <v>26</v>
      </c>
      <c r="J186" s="26" t="s">
        <v>24</v>
      </c>
      <c r="K186" s="27"/>
      <c r="L186" s="28" t="s">
        <v>25</v>
      </c>
      <c r="M186" s="29" t="str">
        <f t="shared" si="10"/>
        <v>✓ OK</v>
      </c>
      <c r="N186" s="43">
        <v>46193</v>
      </c>
      <c r="O186" s="26" t="s">
        <v>23</v>
      </c>
      <c r="P186" s="26" t="s">
        <v>24</v>
      </c>
      <c r="Q186" s="26" t="s">
        <v>25</v>
      </c>
      <c r="R186" s="26" t="s">
        <v>26</v>
      </c>
      <c r="S186" s="26" t="s">
        <v>24</v>
      </c>
      <c r="T186" s="27"/>
      <c r="U186" s="28" t="s">
        <v>25</v>
      </c>
      <c r="V186" s="29" t="str">
        <f t="shared" si="11"/>
        <v>✓ OK</v>
      </c>
      <c r="W186" s="45">
        <v>46248</v>
      </c>
      <c r="X186" s="30" t="s">
        <v>23</v>
      </c>
      <c r="Y186" s="30" t="s">
        <v>24</v>
      </c>
      <c r="Z186" s="30" t="s">
        <v>25</v>
      </c>
      <c r="AA186" s="30" t="s">
        <v>26</v>
      </c>
      <c r="AB186" s="30" t="s">
        <v>24</v>
      </c>
      <c r="AC186" s="27"/>
      <c r="AD186" s="31" t="s">
        <v>25</v>
      </c>
      <c r="AE186" s="32" t="str">
        <f t="shared" si="12"/>
        <v>✓ OK</v>
      </c>
      <c r="AF186" s="33" t="s">
        <v>27</v>
      </c>
      <c r="AG186" s="33" t="s">
        <v>23</v>
      </c>
      <c r="AH186" s="33" t="s">
        <v>24</v>
      </c>
      <c r="AI186" s="33" t="s">
        <v>25</v>
      </c>
      <c r="AJ186" s="33" t="s">
        <v>26</v>
      </c>
      <c r="AK186" s="33" t="s">
        <v>24</v>
      </c>
      <c r="AL186" s="27"/>
      <c r="AM186" s="34" t="s">
        <v>25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8" customHeight="1" x14ac:dyDescent="0.3">
      <c r="A187" s="23">
        <v>183</v>
      </c>
      <c r="B187" s="24" t="s">
        <v>2213</v>
      </c>
      <c r="C187" s="25" t="s">
        <v>2214</v>
      </c>
      <c r="D187" s="23" t="s">
        <v>1850</v>
      </c>
      <c r="E187" s="43">
        <v>46125</v>
      </c>
      <c r="F187" s="26" t="s">
        <v>23</v>
      </c>
      <c r="G187" s="26" t="s">
        <v>24</v>
      </c>
      <c r="H187" s="26" t="s">
        <v>25</v>
      </c>
      <c r="I187" s="26" t="s">
        <v>26</v>
      </c>
      <c r="J187" s="26" t="s">
        <v>24</v>
      </c>
      <c r="K187" s="27"/>
      <c r="L187" s="28" t="s">
        <v>25</v>
      </c>
      <c r="M187" s="29" t="str">
        <f t="shared" si="10"/>
        <v>✓ OK</v>
      </c>
      <c r="N187" s="43">
        <v>46193</v>
      </c>
      <c r="O187" s="26" t="s">
        <v>23</v>
      </c>
      <c r="P187" s="26" t="s">
        <v>24</v>
      </c>
      <c r="Q187" s="26" t="s">
        <v>25</v>
      </c>
      <c r="R187" s="26" t="s">
        <v>26</v>
      </c>
      <c r="S187" s="26" t="s">
        <v>24</v>
      </c>
      <c r="T187" s="27"/>
      <c r="U187" s="28" t="s">
        <v>25</v>
      </c>
      <c r="V187" s="29" t="str">
        <f t="shared" si="11"/>
        <v>✓ OK</v>
      </c>
      <c r="W187" s="45">
        <v>46248</v>
      </c>
      <c r="X187" s="30" t="s">
        <v>23</v>
      </c>
      <c r="Y187" s="30" t="s">
        <v>24</v>
      </c>
      <c r="Z187" s="30" t="s">
        <v>25</v>
      </c>
      <c r="AA187" s="30" t="s">
        <v>26</v>
      </c>
      <c r="AB187" s="30" t="s">
        <v>24</v>
      </c>
      <c r="AC187" s="27"/>
      <c r="AD187" s="31" t="s">
        <v>25</v>
      </c>
      <c r="AE187" s="32" t="str">
        <f t="shared" si="12"/>
        <v>✓ OK</v>
      </c>
      <c r="AF187" s="33" t="s">
        <v>27</v>
      </c>
      <c r="AG187" s="33" t="s">
        <v>23</v>
      </c>
      <c r="AH187" s="33" t="s">
        <v>24</v>
      </c>
      <c r="AI187" s="33" t="s">
        <v>25</v>
      </c>
      <c r="AJ187" s="33" t="s">
        <v>26</v>
      </c>
      <c r="AK187" s="33" t="s">
        <v>24</v>
      </c>
      <c r="AL187" s="27"/>
      <c r="AM187" s="34" t="s">
        <v>25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8" customHeight="1" x14ac:dyDescent="0.3">
      <c r="A188" s="39">
        <v>184</v>
      </c>
      <c r="B188" s="40" t="s">
        <v>2215</v>
      </c>
      <c r="C188" s="41" t="s">
        <v>2216</v>
      </c>
      <c r="D188" s="39" t="s">
        <v>1850</v>
      </c>
      <c r="E188" s="43">
        <v>46125</v>
      </c>
      <c r="F188" s="26" t="s">
        <v>23</v>
      </c>
      <c r="G188" s="26" t="s">
        <v>24</v>
      </c>
      <c r="H188" s="26" t="s">
        <v>25</v>
      </c>
      <c r="I188" s="26" t="s">
        <v>26</v>
      </c>
      <c r="J188" s="26" t="s">
        <v>24</v>
      </c>
      <c r="K188" s="27"/>
      <c r="L188" s="28" t="s">
        <v>25</v>
      </c>
      <c r="M188" s="29" t="str">
        <f t="shared" si="10"/>
        <v>✓ OK</v>
      </c>
      <c r="N188" s="43">
        <v>46193</v>
      </c>
      <c r="O188" s="26" t="s">
        <v>23</v>
      </c>
      <c r="P188" s="26" t="s">
        <v>24</v>
      </c>
      <c r="Q188" s="26" t="s">
        <v>25</v>
      </c>
      <c r="R188" s="26" t="s">
        <v>26</v>
      </c>
      <c r="S188" s="26" t="s">
        <v>24</v>
      </c>
      <c r="T188" s="27"/>
      <c r="U188" s="28" t="s">
        <v>25</v>
      </c>
      <c r="V188" s="29" t="str">
        <f t="shared" si="11"/>
        <v>✓ OK</v>
      </c>
      <c r="W188" s="45">
        <v>46248</v>
      </c>
      <c r="X188" s="30" t="s">
        <v>23</v>
      </c>
      <c r="Y188" s="30" t="s">
        <v>24</v>
      </c>
      <c r="Z188" s="30" t="s">
        <v>25</v>
      </c>
      <c r="AA188" s="30" t="s">
        <v>26</v>
      </c>
      <c r="AB188" s="30" t="s">
        <v>24</v>
      </c>
      <c r="AC188" s="27"/>
      <c r="AD188" s="31" t="s">
        <v>25</v>
      </c>
      <c r="AE188" s="32" t="str">
        <f t="shared" si="12"/>
        <v>✓ OK</v>
      </c>
      <c r="AF188" s="33" t="s">
        <v>27</v>
      </c>
      <c r="AG188" s="33" t="s">
        <v>23</v>
      </c>
      <c r="AH188" s="33" t="s">
        <v>24</v>
      </c>
      <c r="AI188" s="33" t="s">
        <v>25</v>
      </c>
      <c r="AJ188" s="33" t="s">
        <v>26</v>
      </c>
      <c r="AK188" s="33" t="s">
        <v>24</v>
      </c>
      <c r="AL188" s="27"/>
      <c r="AM188" s="34" t="s">
        <v>25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8" customHeight="1" x14ac:dyDescent="0.3">
      <c r="A189" s="23">
        <v>185</v>
      </c>
      <c r="B189" s="24" t="s">
        <v>2217</v>
      </c>
      <c r="C189" s="25" t="s">
        <v>2218</v>
      </c>
      <c r="D189" s="23" t="s">
        <v>1850</v>
      </c>
      <c r="E189" s="43">
        <v>46125</v>
      </c>
      <c r="F189" s="26" t="s">
        <v>23</v>
      </c>
      <c r="G189" s="26" t="s">
        <v>24</v>
      </c>
      <c r="H189" s="26" t="s">
        <v>25</v>
      </c>
      <c r="I189" s="26" t="s">
        <v>26</v>
      </c>
      <c r="J189" s="26" t="s">
        <v>24</v>
      </c>
      <c r="K189" s="27"/>
      <c r="L189" s="28" t="s">
        <v>25</v>
      </c>
      <c r="M189" s="29" t="str">
        <f t="shared" si="10"/>
        <v>✓ OK</v>
      </c>
      <c r="N189" s="43">
        <v>46193</v>
      </c>
      <c r="O189" s="26" t="s">
        <v>23</v>
      </c>
      <c r="P189" s="26" t="s">
        <v>24</v>
      </c>
      <c r="Q189" s="26" t="s">
        <v>25</v>
      </c>
      <c r="R189" s="26" t="s">
        <v>26</v>
      </c>
      <c r="S189" s="26" t="s">
        <v>24</v>
      </c>
      <c r="T189" s="27"/>
      <c r="U189" s="28" t="s">
        <v>25</v>
      </c>
      <c r="V189" s="29" t="str">
        <f t="shared" si="11"/>
        <v>✓ OK</v>
      </c>
      <c r="W189" s="45">
        <v>46248</v>
      </c>
      <c r="X189" s="30" t="s">
        <v>23</v>
      </c>
      <c r="Y189" s="30" t="s">
        <v>24</v>
      </c>
      <c r="Z189" s="30" t="s">
        <v>25</v>
      </c>
      <c r="AA189" s="30" t="s">
        <v>26</v>
      </c>
      <c r="AB189" s="30" t="s">
        <v>24</v>
      </c>
      <c r="AC189" s="27"/>
      <c r="AD189" s="31" t="s">
        <v>25</v>
      </c>
      <c r="AE189" s="32" t="str">
        <f t="shared" si="12"/>
        <v>✓ OK</v>
      </c>
      <c r="AF189" s="33" t="s">
        <v>27</v>
      </c>
      <c r="AG189" s="33" t="s">
        <v>23</v>
      </c>
      <c r="AH189" s="33" t="s">
        <v>24</v>
      </c>
      <c r="AI189" s="33" t="s">
        <v>25</v>
      </c>
      <c r="AJ189" s="33" t="s">
        <v>26</v>
      </c>
      <c r="AK189" s="33" t="s">
        <v>24</v>
      </c>
      <c r="AL189" s="27"/>
      <c r="AM189" s="34" t="s">
        <v>25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8" customHeight="1" x14ac:dyDescent="0.3">
      <c r="A190" s="39">
        <v>186</v>
      </c>
      <c r="B190" s="40" t="s">
        <v>2219</v>
      </c>
      <c r="C190" s="41" t="s">
        <v>2220</v>
      </c>
      <c r="D190" s="39" t="s">
        <v>1850</v>
      </c>
      <c r="E190" s="43">
        <v>46125</v>
      </c>
      <c r="F190" s="26" t="s">
        <v>23</v>
      </c>
      <c r="G190" s="26" t="s">
        <v>24</v>
      </c>
      <c r="H190" s="26" t="s">
        <v>25</v>
      </c>
      <c r="I190" s="26" t="s">
        <v>26</v>
      </c>
      <c r="J190" s="26" t="s">
        <v>24</v>
      </c>
      <c r="K190" s="27"/>
      <c r="L190" s="28" t="s">
        <v>25</v>
      </c>
      <c r="M190" s="29" t="str">
        <f t="shared" si="10"/>
        <v>✓ OK</v>
      </c>
      <c r="N190" s="43">
        <v>46193</v>
      </c>
      <c r="O190" s="26" t="s">
        <v>23</v>
      </c>
      <c r="P190" s="26" t="s">
        <v>24</v>
      </c>
      <c r="Q190" s="26" t="s">
        <v>25</v>
      </c>
      <c r="R190" s="26" t="s">
        <v>26</v>
      </c>
      <c r="S190" s="26" t="s">
        <v>24</v>
      </c>
      <c r="T190" s="27"/>
      <c r="U190" s="28" t="s">
        <v>25</v>
      </c>
      <c r="V190" s="29" t="str">
        <f t="shared" si="11"/>
        <v>✓ OK</v>
      </c>
      <c r="W190" s="45">
        <v>46248</v>
      </c>
      <c r="X190" s="30" t="s">
        <v>23</v>
      </c>
      <c r="Y190" s="30" t="s">
        <v>24</v>
      </c>
      <c r="Z190" s="30" t="s">
        <v>25</v>
      </c>
      <c r="AA190" s="30" t="s">
        <v>26</v>
      </c>
      <c r="AB190" s="30" t="s">
        <v>24</v>
      </c>
      <c r="AC190" s="27"/>
      <c r="AD190" s="31" t="s">
        <v>25</v>
      </c>
      <c r="AE190" s="32" t="str">
        <f t="shared" si="12"/>
        <v>✓ OK</v>
      </c>
      <c r="AF190" s="33" t="s">
        <v>27</v>
      </c>
      <c r="AG190" s="33" t="s">
        <v>23</v>
      </c>
      <c r="AH190" s="33" t="s">
        <v>24</v>
      </c>
      <c r="AI190" s="33" t="s">
        <v>25</v>
      </c>
      <c r="AJ190" s="33" t="s">
        <v>26</v>
      </c>
      <c r="AK190" s="33" t="s">
        <v>24</v>
      </c>
      <c r="AL190" s="27"/>
      <c r="AM190" s="34" t="s">
        <v>25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8" customHeight="1" x14ac:dyDescent="0.3">
      <c r="A191" s="23">
        <v>187</v>
      </c>
      <c r="B191" s="24" t="s">
        <v>2221</v>
      </c>
      <c r="C191" s="25" t="s">
        <v>2222</v>
      </c>
      <c r="D191" s="23" t="s">
        <v>1850</v>
      </c>
      <c r="E191" s="43">
        <v>46125</v>
      </c>
      <c r="F191" s="26" t="s">
        <v>23</v>
      </c>
      <c r="G191" s="26" t="s">
        <v>24</v>
      </c>
      <c r="H191" s="26" t="s">
        <v>25</v>
      </c>
      <c r="I191" s="26" t="s">
        <v>26</v>
      </c>
      <c r="J191" s="26" t="s">
        <v>24</v>
      </c>
      <c r="K191" s="27"/>
      <c r="L191" s="28" t="s">
        <v>25</v>
      </c>
      <c r="M191" s="29" t="str">
        <f t="shared" si="10"/>
        <v>✓ OK</v>
      </c>
      <c r="N191" s="43">
        <v>46193</v>
      </c>
      <c r="O191" s="26" t="s">
        <v>23</v>
      </c>
      <c r="P191" s="26" t="s">
        <v>24</v>
      </c>
      <c r="Q191" s="26" t="s">
        <v>25</v>
      </c>
      <c r="R191" s="26" t="s">
        <v>26</v>
      </c>
      <c r="S191" s="26" t="s">
        <v>24</v>
      </c>
      <c r="T191" s="27"/>
      <c r="U191" s="28" t="s">
        <v>25</v>
      </c>
      <c r="V191" s="29" t="str">
        <f t="shared" si="11"/>
        <v>✓ OK</v>
      </c>
      <c r="W191" s="45">
        <v>46248</v>
      </c>
      <c r="X191" s="30" t="s">
        <v>23</v>
      </c>
      <c r="Y191" s="30" t="s">
        <v>24</v>
      </c>
      <c r="Z191" s="30" t="s">
        <v>25</v>
      </c>
      <c r="AA191" s="30" t="s">
        <v>26</v>
      </c>
      <c r="AB191" s="30" t="s">
        <v>24</v>
      </c>
      <c r="AC191" s="27"/>
      <c r="AD191" s="31" t="s">
        <v>25</v>
      </c>
      <c r="AE191" s="32" t="str">
        <f t="shared" si="12"/>
        <v>✓ OK</v>
      </c>
      <c r="AF191" s="33" t="s">
        <v>27</v>
      </c>
      <c r="AG191" s="33" t="s">
        <v>23</v>
      </c>
      <c r="AH191" s="33" t="s">
        <v>24</v>
      </c>
      <c r="AI191" s="33" t="s">
        <v>25</v>
      </c>
      <c r="AJ191" s="33" t="s">
        <v>26</v>
      </c>
      <c r="AK191" s="33" t="s">
        <v>24</v>
      </c>
      <c r="AL191" s="27"/>
      <c r="AM191" s="34" t="s">
        <v>25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8" customHeight="1" x14ac:dyDescent="0.3">
      <c r="A192" s="39">
        <v>188</v>
      </c>
      <c r="B192" s="40" t="s">
        <v>2223</v>
      </c>
      <c r="C192" s="41" t="s">
        <v>2224</v>
      </c>
      <c r="D192" s="39" t="s">
        <v>1850</v>
      </c>
      <c r="E192" s="43">
        <v>46125</v>
      </c>
      <c r="F192" s="26" t="s">
        <v>23</v>
      </c>
      <c r="G192" s="26" t="s">
        <v>24</v>
      </c>
      <c r="H192" s="26" t="s">
        <v>25</v>
      </c>
      <c r="I192" s="26" t="s">
        <v>26</v>
      </c>
      <c r="J192" s="26" t="s">
        <v>24</v>
      </c>
      <c r="K192" s="27"/>
      <c r="L192" s="28" t="s">
        <v>25</v>
      </c>
      <c r="M192" s="29" t="str">
        <f t="shared" si="10"/>
        <v>✓ OK</v>
      </c>
      <c r="N192" s="43">
        <v>46193</v>
      </c>
      <c r="O192" s="26" t="s">
        <v>23</v>
      </c>
      <c r="P192" s="26" t="s">
        <v>24</v>
      </c>
      <c r="Q192" s="26" t="s">
        <v>25</v>
      </c>
      <c r="R192" s="26" t="s">
        <v>26</v>
      </c>
      <c r="S192" s="26" t="s">
        <v>24</v>
      </c>
      <c r="T192" s="27"/>
      <c r="U192" s="28" t="s">
        <v>25</v>
      </c>
      <c r="V192" s="29" t="str">
        <f t="shared" si="11"/>
        <v>✓ OK</v>
      </c>
      <c r="W192" s="45">
        <v>46248</v>
      </c>
      <c r="X192" s="30" t="s">
        <v>23</v>
      </c>
      <c r="Y192" s="30" t="s">
        <v>24</v>
      </c>
      <c r="Z192" s="30" t="s">
        <v>25</v>
      </c>
      <c r="AA192" s="30" t="s">
        <v>26</v>
      </c>
      <c r="AB192" s="30" t="s">
        <v>24</v>
      </c>
      <c r="AC192" s="27"/>
      <c r="AD192" s="31" t="s">
        <v>25</v>
      </c>
      <c r="AE192" s="32" t="str">
        <f t="shared" si="12"/>
        <v>✓ OK</v>
      </c>
      <c r="AF192" s="33" t="s">
        <v>27</v>
      </c>
      <c r="AG192" s="33" t="s">
        <v>23</v>
      </c>
      <c r="AH192" s="33" t="s">
        <v>24</v>
      </c>
      <c r="AI192" s="33" t="s">
        <v>25</v>
      </c>
      <c r="AJ192" s="33" t="s">
        <v>26</v>
      </c>
      <c r="AK192" s="33" t="s">
        <v>24</v>
      </c>
      <c r="AL192" s="27"/>
      <c r="AM192" s="34" t="s">
        <v>25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8" customHeight="1" x14ac:dyDescent="0.3">
      <c r="A193" s="23">
        <v>189</v>
      </c>
      <c r="B193" s="24" t="s">
        <v>2225</v>
      </c>
      <c r="C193" s="25" t="s">
        <v>2226</v>
      </c>
      <c r="D193" s="23" t="s">
        <v>1850</v>
      </c>
      <c r="E193" s="43">
        <v>46125</v>
      </c>
      <c r="F193" s="26" t="s">
        <v>23</v>
      </c>
      <c r="G193" s="26" t="s">
        <v>24</v>
      </c>
      <c r="H193" s="26" t="s">
        <v>25</v>
      </c>
      <c r="I193" s="26" t="s">
        <v>26</v>
      </c>
      <c r="J193" s="26" t="s">
        <v>24</v>
      </c>
      <c r="K193" s="27"/>
      <c r="L193" s="28" t="s">
        <v>25</v>
      </c>
      <c r="M193" s="29" t="str">
        <f t="shared" si="10"/>
        <v>✓ OK</v>
      </c>
      <c r="N193" s="43">
        <v>46193</v>
      </c>
      <c r="O193" s="26" t="s">
        <v>23</v>
      </c>
      <c r="P193" s="26" t="s">
        <v>24</v>
      </c>
      <c r="Q193" s="26" t="s">
        <v>25</v>
      </c>
      <c r="R193" s="26" t="s">
        <v>26</v>
      </c>
      <c r="S193" s="26" t="s">
        <v>24</v>
      </c>
      <c r="T193" s="27"/>
      <c r="U193" s="28" t="s">
        <v>25</v>
      </c>
      <c r="V193" s="29" t="str">
        <f t="shared" si="11"/>
        <v>✓ OK</v>
      </c>
      <c r="W193" s="45">
        <v>46248</v>
      </c>
      <c r="X193" s="30" t="s">
        <v>23</v>
      </c>
      <c r="Y193" s="30" t="s">
        <v>24</v>
      </c>
      <c r="Z193" s="30" t="s">
        <v>25</v>
      </c>
      <c r="AA193" s="30" t="s">
        <v>26</v>
      </c>
      <c r="AB193" s="30" t="s">
        <v>24</v>
      </c>
      <c r="AC193" s="27"/>
      <c r="AD193" s="31" t="s">
        <v>25</v>
      </c>
      <c r="AE193" s="32" t="str">
        <f t="shared" si="12"/>
        <v>✓ OK</v>
      </c>
      <c r="AF193" s="33" t="s">
        <v>27</v>
      </c>
      <c r="AG193" s="33" t="s">
        <v>23</v>
      </c>
      <c r="AH193" s="33" t="s">
        <v>24</v>
      </c>
      <c r="AI193" s="33" t="s">
        <v>25</v>
      </c>
      <c r="AJ193" s="33" t="s">
        <v>26</v>
      </c>
      <c r="AK193" s="33" t="s">
        <v>24</v>
      </c>
      <c r="AL193" s="27"/>
      <c r="AM193" s="34" t="s">
        <v>25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8" customHeight="1" x14ac:dyDescent="0.3">
      <c r="A194" s="39">
        <v>190</v>
      </c>
      <c r="B194" s="40" t="s">
        <v>2227</v>
      </c>
      <c r="C194" s="41" t="s">
        <v>2228</v>
      </c>
      <c r="D194" s="39" t="s">
        <v>1850</v>
      </c>
      <c r="E194" s="43">
        <v>46125</v>
      </c>
      <c r="F194" s="26" t="s">
        <v>23</v>
      </c>
      <c r="G194" s="26" t="s">
        <v>24</v>
      </c>
      <c r="H194" s="26" t="s">
        <v>25</v>
      </c>
      <c r="I194" s="26" t="s">
        <v>26</v>
      </c>
      <c r="J194" s="26" t="s">
        <v>24</v>
      </c>
      <c r="K194" s="27"/>
      <c r="L194" s="28" t="s">
        <v>25</v>
      </c>
      <c r="M194" s="29" t="str">
        <f t="shared" si="10"/>
        <v>✓ OK</v>
      </c>
      <c r="N194" s="43">
        <v>46193</v>
      </c>
      <c r="O194" s="26" t="s">
        <v>23</v>
      </c>
      <c r="P194" s="26" t="s">
        <v>24</v>
      </c>
      <c r="Q194" s="26" t="s">
        <v>25</v>
      </c>
      <c r="R194" s="26" t="s">
        <v>26</v>
      </c>
      <c r="S194" s="26" t="s">
        <v>24</v>
      </c>
      <c r="T194" s="27"/>
      <c r="U194" s="28" t="s">
        <v>25</v>
      </c>
      <c r="V194" s="29" t="str">
        <f t="shared" si="11"/>
        <v>✓ OK</v>
      </c>
      <c r="W194" s="45">
        <v>46248</v>
      </c>
      <c r="X194" s="30" t="s">
        <v>23</v>
      </c>
      <c r="Y194" s="30" t="s">
        <v>24</v>
      </c>
      <c r="Z194" s="30" t="s">
        <v>25</v>
      </c>
      <c r="AA194" s="30" t="s">
        <v>26</v>
      </c>
      <c r="AB194" s="30" t="s">
        <v>24</v>
      </c>
      <c r="AC194" s="27"/>
      <c r="AD194" s="31" t="s">
        <v>25</v>
      </c>
      <c r="AE194" s="32" t="str">
        <f t="shared" si="12"/>
        <v>✓ OK</v>
      </c>
      <c r="AF194" s="33" t="s">
        <v>27</v>
      </c>
      <c r="AG194" s="33" t="s">
        <v>23</v>
      </c>
      <c r="AH194" s="33" t="s">
        <v>24</v>
      </c>
      <c r="AI194" s="33" t="s">
        <v>25</v>
      </c>
      <c r="AJ194" s="33" t="s">
        <v>26</v>
      </c>
      <c r="AK194" s="33" t="s">
        <v>24</v>
      </c>
      <c r="AL194" s="27"/>
      <c r="AM194" s="34" t="s">
        <v>25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8" customHeight="1" x14ac:dyDescent="0.3">
      <c r="A195" s="23">
        <v>191</v>
      </c>
      <c r="B195" s="24" t="s">
        <v>2229</v>
      </c>
      <c r="C195" s="25" t="s">
        <v>2230</v>
      </c>
      <c r="D195" s="23" t="s">
        <v>1850</v>
      </c>
      <c r="E195" s="43">
        <v>46125</v>
      </c>
      <c r="F195" s="26" t="s">
        <v>23</v>
      </c>
      <c r="G195" s="26" t="s">
        <v>24</v>
      </c>
      <c r="H195" s="26" t="s">
        <v>25</v>
      </c>
      <c r="I195" s="26" t="s">
        <v>26</v>
      </c>
      <c r="J195" s="26" t="s">
        <v>24</v>
      </c>
      <c r="K195" s="27"/>
      <c r="L195" s="28" t="s">
        <v>25</v>
      </c>
      <c r="M195" s="29" t="str">
        <f t="shared" si="10"/>
        <v>✓ OK</v>
      </c>
      <c r="N195" s="43">
        <v>46193</v>
      </c>
      <c r="O195" s="26" t="s">
        <v>23</v>
      </c>
      <c r="P195" s="26" t="s">
        <v>24</v>
      </c>
      <c r="Q195" s="26" t="s">
        <v>25</v>
      </c>
      <c r="R195" s="26" t="s">
        <v>26</v>
      </c>
      <c r="S195" s="26" t="s">
        <v>24</v>
      </c>
      <c r="T195" s="27"/>
      <c r="U195" s="28" t="s">
        <v>25</v>
      </c>
      <c r="V195" s="29" t="str">
        <f t="shared" si="11"/>
        <v>✓ OK</v>
      </c>
      <c r="W195" s="45">
        <v>46248</v>
      </c>
      <c r="X195" s="30" t="s">
        <v>23</v>
      </c>
      <c r="Y195" s="30" t="s">
        <v>24</v>
      </c>
      <c r="Z195" s="30" t="s">
        <v>25</v>
      </c>
      <c r="AA195" s="30" t="s">
        <v>26</v>
      </c>
      <c r="AB195" s="30" t="s">
        <v>24</v>
      </c>
      <c r="AC195" s="27"/>
      <c r="AD195" s="31" t="s">
        <v>25</v>
      </c>
      <c r="AE195" s="32" t="str">
        <f t="shared" si="12"/>
        <v>✓ OK</v>
      </c>
      <c r="AF195" s="33" t="s">
        <v>27</v>
      </c>
      <c r="AG195" s="33" t="s">
        <v>23</v>
      </c>
      <c r="AH195" s="33" t="s">
        <v>24</v>
      </c>
      <c r="AI195" s="33" t="s">
        <v>25</v>
      </c>
      <c r="AJ195" s="33" t="s">
        <v>26</v>
      </c>
      <c r="AK195" s="33" t="s">
        <v>24</v>
      </c>
      <c r="AL195" s="27"/>
      <c r="AM195" s="34" t="s">
        <v>25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8" customHeight="1" x14ac:dyDescent="0.3">
      <c r="A196" s="39">
        <v>192</v>
      </c>
      <c r="B196" s="40" t="s">
        <v>2231</v>
      </c>
      <c r="C196" s="41" t="s">
        <v>2232</v>
      </c>
      <c r="D196" s="39" t="s">
        <v>1850</v>
      </c>
      <c r="E196" s="43">
        <v>46125</v>
      </c>
      <c r="F196" s="26" t="s">
        <v>23</v>
      </c>
      <c r="G196" s="26" t="s">
        <v>24</v>
      </c>
      <c r="H196" s="26" t="s">
        <v>25</v>
      </c>
      <c r="I196" s="26" t="s">
        <v>26</v>
      </c>
      <c r="J196" s="26" t="s">
        <v>24</v>
      </c>
      <c r="K196" s="27"/>
      <c r="L196" s="28" t="s">
        <v>25</v>
      </c>
      <c r="M196" s="29" t="str">
        <f t="shared" si="10"/>
        <v>✓ OK</v>
      </c>
      <c r="N196" s="43">
        <v>46193</v>
      </c>
      <c r="O196" s="26" t="s">
        <v>23</v>
      </c>
      <c r="P196" s="26" t="s">
        <v>24</v>
      </c>
      <c r="Q196" s="26" t="s">
        <v>25</v>
      </c>
      <c r="R196" s="26" t="s">
        <v>26</v>
      </c>
      <c r="S196" s="26" t="s">
        <v>24</v>
      </c>
      <c r="T196" s="27"/>
      <c r="U196" s="28" t="s">
        <v>25</v>
      </c>
      <c r="V196" s="29" t="str">
        <f t="shared" si="11"/>
        <v>✓ OK</v>
      </c>
      <c r="W196" s="45">
        <v>46248</v>
      </c>
      <c r="X196" s="30" t="s">
        <v>23</v>
      </c>
      <c r="Y196" s="30" t="s">
        <v>24</v>
      </c>
      <c r="Z196" s="30" t="s">
        <v>25</v>
      </c>
      <c r="AA196" s="30" t="s">
        <v>26</v>
      </c>
      <c r="AB196" s="30" t="s">
        <v>24</v>
      </c>
      <c r="AC196" s="27"/>
      <c r="AD196" s="31" t="s">
        <v>25</v>
      </c>
      <c r="AE196" s="32" t="str">
        <f t="shared" si="12"/>
        <v>✓ OK</v>
      </c>
      <c r="AF196" s="33" t="s">
        <v>27</v>
      </c>
      <c r="AG196" s="33" t="s">
        <v>23</v>
      </c>
      <c r="AH196" s="33" t="s">
        <v>24</v>
      </c>
      <c r="AI196" s="33" t="s">
        <v>25</v>
      </c>
      <c r="AJ196" s="33" t="s">
        <v>26</v>
      </c>
      <c r="AK196" s="33" t="s">
        <v>24</v>
      </c>
      <c r="AL196" s="27"/>
      <c r="AM196" s="34" t="s">
        <v>25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8" customHeight="1" x14ac:dyDescent="0.3">
      <c r="A197" s="23">
        <v>193</v>
      </c>
      <c r="B197" s="24" t="s">
        <v>2233</v>
      </c>
      <c r="C197" s="25" t="s">
        <v>2234</v>
      </c>
      <c r="D197" s="23" t="s">
        <v>1850</v>
      </c>
      <c r="E197" s="43">
        <v>46125</v>
      </c>
      <c r="F197" s="26" t="s">
        <v>23</v>
      </c>
      <c r="G197" s="26" t="s">
        <v>24</v>
      </c>
      <c r="H197" s="26" t="s">
        <v>25</v>
      </c>
      <c r="I197" s="26" t="s">
        <v>26</v>
      </c>
      <c r="J197" s="26" t="s">
        <v>24</v>
      </c>
      <c r="K197" s="27"/>
      <c r="L197" s="28" t="s">
        <v>25</v>
      </c>
      <c r="M197" s="29" t="str">
        <f t="shared" ref="M197:M260" si="15">IF(E197="","",IF(H197="Yes","❌ Disc",IF(G197="No","⚠ Missing",IF(J197="Yes","✓ OK","⚠ Check"))))</f>
        <v>✓ OK</v>
      </c>
      <c r="N197" s="43">
        <v>46193</v>
      </c>
      <c r="O197" s="26" t="s">
        <v>23</v>
      </c>
      <c r="P197" s="26" t="s">
        <v>24</v>
      </c>
      <c r="Q197" s="26" t="s">
        <v>25</v>
      </c>
      <c r="R197" s="26" t="s">
        <v>26</v>
      </c>
      <c r="S197" s="26" t="s">
        <v>24</v>
      </c>
      <c r="T197" s="27"/>
      <c r="U197" s="28" t="s">
        <v>25</v>
      </c>
      <c r="V197" s="29" t="str">
        <f t="shared" ref="V197:V260" si="16">IF(N197="","",IF(Q197="Yes","❌ Disc",IF(P197="No","⚠ Missing",IF(S197="Yes","✓ OK","⚠ Check"))))</f>
        <v>✓ OK</v>
      </c>
      <c r="W197" s="45">
        <v>46248</v>
      </c>
      <c r="X197" s="30" t="s">
        <v>23</v>
      </c>
      <c r="Y197" s="30" t="s">
        <v>24</v>
      </c>
      <c r="Z197" s="30" t="s">
        <v>25</v>
      </c>
      <c r="AA197" s="30" t="s">
        <v>26</v>
      </c>
      <c r="AB197" s="30" t="s">
        <v>24</v>
      </c>
      <c r="AC197" s="27"/>
      <c r="AD197" s="31" t="s">
        <v>25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27</v>
      </c>
      <c r="AG197" s="33" t="s">
        <v>23</v>
      </c>
      <c r="AH197" s="33" t="s">
        <v>24</v>
      </c>
      <c r="AI197" s="33" t="s">
        <v>25</v>
      </c>
      <c r="AJ197" s="33" t="s">
        <v>26</v>
      </c>
      <c r="AK197" s="33" t="s">
        <v>24</v>
      </c>
      <c r="AL197" s="27"/>
      <c r="AM197" s="34" t="s">
        <v>25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9">
        <v>194</v>
      </c>
      <c r="B198" s="40" t="s">
        <v>2235</v>
      </c>
      <c r="C198" s="41" t="s">
        <v>2236</v>
      </c>
      <c r="D198" s="39" t="s">
        <v>1850</v>
      </c>
      <c r="E198" s="43">
        <v>46125</v>
      </c>
      <c r="F198" s="26" t="s">
        <v>23</v>
      </c>
      <c r="G198" s="26" t="s">
        <v>24</v>
      </c>
      <c r="H198" s="26" t="s">
        <v>25</v>
      </c>
      <c r="I198" s="26" t="s">
        <v>26</v>
      </c>
      <c r="J198" s="26" t="s">
        <v>24</v>
      </c>
      <c r="K198" s="27"/>
      <c r="L198" s="28" t="s">
        <v>25</v>
      </c>
      <c r="M198" s="29" t="str">
        <f t="shared" si="15"/>
        <v>✓ OK</v>
      </c>
      <c r="N198" s="43">
        <v>46193</v>
      </c>
      <c r="O198" s="26" t="s">
        <v>23</v>
      </c>
      <c r="P198" s="26" t="s">
        <v>24</v>
      </c>
      <c r="Q198" s="26" t="s">
        <v>25</v>
      </c>
      <c r="R198" s="26" t="s">
        <v>26</v>
      </c>
      <c r="S198" s="26" t="s">
        <v>24</v>
      </c>
      <c r="T198" s="27"/>
      <c r="U198" s="28" t="s">
        <v>25</v>
      </c>
      <c r="V198" s="29" t="str">
        <f t="shared" si="16"/>
        <v>✓ OK</v>
      </c>
      <c r="W198" s="45">
        <v>46248</v>
      </c>
      <c r="X198" s="30" t="s">
        <v>23</v>
      </c>
      <c r="Y198" s="30" t="s">
        <v>24</v>
      </c>
      <c r="Z198" s="30" t="s">
        <v>25</v>
      </c>
      <c r="AA198" s="30" t="s">
        <v>26</v>
      </c>
      <c r="AB198" s="30" t="s">
        <v>24</v>
      </c>
      <c r="AC198" s="27"/>
      <c r="AD198" s="31" t="s">
        <v>25</v>
      </c>
      <c r="AE198" s="32" t="str">
        <f t="shared" si="17"/>
        <v>✓ OK</v>
      </c>
      <c r="AF198" s="33" t="s">
        <v>27</v>
      </c>
      <c r="AG198" s="33" t="s">
        <v>23</v>
      </c>
      <c r="AH198" s="33" t="s">
        <v>24</v>
      </c>
      <c r="AI198" s="33" t="s">
        <v>25</v>
      </c>
      <c r="AJ198" s="33" t="s">
        <v>26</v>
      </c>
      <c r="AK198" s="33" t="s">
        <v>24</v>
      </c>
      <c r="AL198" s="27"/>
      <c r="AM198" s="34" t="s">
        <v>25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8" customHeight="1" x14ac:dyDescent="0.3">
      <c r="A199" s="23">
        <v>195</v>
      </c>
      <c r="B199" s="24" t="s">
        <v>2237</v>
      </c>
      <c r="C199" s="25" t="s">
        <v>2238</v>
      </c>
      <c r="D199" s="23" t="s">
        <v>1850</v>
      </c>
      <c r="E199" s="43">
        <v>46125</v>
      </c>
      <c r="F199" s="26" t="s">
        <v>23</v>
      </c>
      <c r="G199" s="26" t="s">
        <v>24</v>
      </c>
      <c r="H199" s="26" t="s">
        <v>25</v>
      </c>
      <c r="I199" s="26" t="s">
        <v>26</v>
      </c>
      <c r="J199" s="26" t="s">
        <v>24</v>
      </c>
      <c r="K199" s="27"/>
      <c r="L199" s="28" t="s">
        <v>25</v>
      </c>
      <c r="M199" s="29" t="str">
        <f t="shared" si="15"/>
        <v>✓ OK</v>
      </c>
      <c r="N199" s="43">
        <v>46193</v>
      </c>
      <c r="O199" s="26" t="s">
        <v>23</v>
      </c>
      <c r="P199" s="26" t="s">
        <v>24</v>
      </c>
      <c r="Q199" s="26" t="s">
        <v>25</v>
      </c>
      <c r="R199" s="26" t="s">
        <v>26</v>
      </c>
      <c r="S199" s="26" t="s">
        <v>24</v>
      </c>
      <c r="T199" s="27"/>
      <c r="U199" s="28" t="s">
        <v>25</v>
      </c>
      <c r="V199" s="29" t="str">
        <f t="shared" si="16"/>
        <v>✓ OK</v>
      </c>
      <c r="W199" s="45">
        <v>46248</v>
      </c>
      <c r="X199" s="30" t="s">
        <v>23</v>
      </c>
      <c r="Y199" s="30" t="s">
        <v>24</v>
      </c>
      <c r="Z199" s="30" t="s">
        <v>25</v>
      </c>
      <c r="AA199" s="30" t="s">
        <v>26</v>
      </c>
      <c r="AB199" s="30" t="s">
        <v>24</v>
      </c>
      <c r="AC199" s="27"/>
      <c r="AD199" s="31" t="s">
        <v>25</v>
      </c>
      <c r="AE199" s="32" t="str">
        <f t="shared" si="17"/>
        <v>✓ OK</v>
      </c>
      <c r="AF199" s="33" t="s">
        <v>27</v>
      </c>
      <c r="AG199" s="33" t="s">
        <v>23</v>
      </c>
      <c r="AH199" s="33" t="s">
        <v>24</v>
      </c>
      <c r="AI199" s="33" t="s">
        <v>25</v>
      </c>
      <c r="AJ199" s="33" t="s">
        <v>26</v>
      </c>
      <c r="AK199" s="33" t="s">
        <v>24</v>
      </c>
      <c r="AL199" s="27"/>
      <c r="AM199" s="34" t="s">
        <v>25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8" customHeight="1" x14ac:dyDescent="0.3">
      <c r="A200" s="39">
        <v>196</v>
      </c>
      <c r="B200" s="40" t="s">
        <v>2239</v>
      </c>
      <c r="C200" s="41" t="s">
        <v>2240</v>
      </c>
      <c r="D200" s="39" t="s">
        <v>1850</v>
      </c>
      <c r="E200" s="43">
        <v>46125</v>
      </c>
      <c r="F200" s="26" t="s">
        <v>23</v>
      </c>
      <c r="G200" s="26" t="s">
        <v>24</v>
      </c>
      <c r="H200" s="26" t="s">
        <v>25</v>
      </c>
      <c r="I200" s="26" t="s">
        <v>26</v>
      </c>
      <c r="J200" s="26" t="s">
        <v>24</v>
      </c>
      <c r="K200" s="27"/>
      <c r="L200" s="28" t="s">
        <v>25</v>
      </c>
      <c r="M200" s="29" t="str">
        <f t="shared" si="15"/>
        <v>✓ OK</v>
      </c>
      <c r="N200" s="43">
        <v>46193</v>
      </c>
      <c r="O200" s="26" t="s">
        <v>23</v>
      </c>
      <c r="P200" s="26" t="s">
        <v>24</v>
      </c>
      <c r="Q200" s="26" t="s">
        <v>25</v>
      </c>
      <c r="R200" s="26" t="s">
        <v>26</v>
      </c>
      <c r="S200" s="26" t="s">
        <v>24</v>
      </c>
      <c r="T200" s="27"/>
      <c r="U200" s="28" t="s">
        <v>25</v>
      </c>
      <c r="V200" s="29" t="str">
        <f t="shared" si="16"/>
        <v>✓ OK</v>
      </c>
      <c r="W200" s="45">
        <v>46248</v>
      </c>
      <c r="X200" s="30" t="s">
        <v>23</v>
      </c>
      <c r="Y200" s="30" t="s">
        <v>24</v>
      </c>
      <c r="Z200" s="30" t="s">
        <v>25</v>
      </c>
      <c r="AA200" s="30" t="s">
        <v>26</v>
      </c>
      <c r="AB200" s="30" t="s">
        <v>24</v>
      </c>
      <c r="AC200" s="27"/>
      <c r="AD200" s="31" t="s">
        <v>25</v>
      </c>
      <c r="AE200" s="32" t="str">
        <f t="shared" si="17"/>
        <v>✓ OK</v>
      </c>
      <c r="AF200" s="33" t="s">
        <v>27</v>
      </c>
      <c r="AG200" s="33" t="s">
        <v>23</v>
      </c>
      <c r="AH200" s="33" t="s">
        <v>24</v>
      </c>
      <c r="AI200" s="33" t="s">
        <v>25</v>
      </c>
      <c r="AJ200" s="33" t="s">
        <v>26</v>
      </c>
      <c r="AK200" s="33" t="s">
        <v>24</v>
      </c>
      <c r="AL200" s="27"/>
      <c r="AM200" s="34" t="s">
        <v>25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8" customHeight="1" x14ac:dyDescent="0.3">
      <c r="A201" s="23">
        <v>197</v>
      </c>
      <c r="B201" s="24" t="s">
        <v>2241</v>
      </c>
      <c r="C201" s="25" t="s">
        <v>2242</v>
      </c>
      <c r="D201" s="23" t="s">
        <v>1850</v>
      </c>
      <c r="E201" s="43">
        <v>46125</v>
      </c>
      <c r="F201" s="26" t="s">
        <v>23</v>
      </c>
      <c r="G201" s="26" t="s">
        <v>24</v>
      </c>
      <c r="H201" s="26" t="s">
        <v>25</v>
      </c>
      <c r="I201" s="26" t="s">
        <v>26</v>
      </c>
      <c r="J201" s="26" t="s">
        <v>24</v>
      </c>
      <c r="K201" s="27"/>
      <c r="L201" s="28" t="s">
        <v>25</v>
      </c>
      <c r="M201" s="29" t="str">
        <f t="shared" si="15"/>
        <v>✓ OK</v>
      </c>
      <c r="N201" s="43">
        <v>46193</v>
      </c>
      <c r="O201" s="26" t="s">
        <v>23</v>
      </c>
      <c r="P201" s="26" t="s">
        <v>24</v>
      </c>
      <c r="Q201" s="26" t="s">
        <v>25</v>
      </c>
      <c r="R201" s="26" t="s">
        <v>26</v>
      </c>
      <c r="S201" s="26" t="s">
        <v>24</v>
      </c>
      <c r="T201" s="27"/>
      <c r="U201" s="28" t="s">
        <v>25</v>
      </c>
      <c r="V201" s="29" t="str">
        <f t="shared" si="16"/>
        <v>✓ OK</v>
      </c>
      <c r="W201" s="45">
        <v>46248</v>
      </c>
      <c r="X201" s="30" t="s">
        <v>23</v>
      </c>
      <c r="Y201" s="30" t="s">
        <v>24</v>
      </c>
      <c r="Z201" s="30" t="s">
        <v>25</v>
      </c>
      <c r="AA201" s="30" t="s">
        <v>26</v>
      </c>
      <c r="AB201" s="30" t="s">
        <v>24</v>
      </c>
      <c r="AC201" s="27"/>
      <c r="AD201" s="31" t="s">
        <v>25</v>
      </c>
      <c r="AE201" s="32" t="str">
        <f t="shared" si="17"/>
        <v>✓ OK</v>
      </c>
      <c r="AF201" s="33" t="s">
        <v>27</v>
      </c>
      <c r="AG201" s="33" t="s">
        <v>23</v>
      </c>
      <c r="AH201" s="33" t="s">
        <v>24</v>
      </c>
      <c r="AI201" s="33" t="s">
        <v>25</v>
      </c>
      <c r="AJ201" s="33" t="s">
        <v>26</v>
      </c>
      <c r="AK201" s="33" t="s">
        <v>24</v>
      </c>
      <c r="AL201" s="27"/>
      <c r="AM201" s="34" t="s">
        <v>25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8" customHeight="1" x14ac:dyDescent="0.3">
      <c r="A202" s="39">
        <v>198</v>
      </c>
      <c r="B202" s="40" t="s">
        <v>2243</v>
      </c>
      <c r="C202" s="41" t="s">
        <v>2244</v>
      </c>
      <c r="D202" s="39" t="s">
        <v>1850</v>
      </c>
      <c r="E202" s="43">
        <v>46125</v>
      </c>
      <c r="F202" s="26" t="s">
        <v>23</v>
      </c>
      <c r="G202" s="26" t="s">
        <v>24</v>
      </c>
      <c r="H202" s="26" t="s">
        <v>25</v>
      </c>
      <c r="I202" s="26" t="s">
        <v>26</v>
      </c>
      <c r="J202" s="26" t="s">
        <v>24</v>
      </c>
      <c r="K202" s="27"/>
      <c r="L202" s="28" t="s">
        <v>25</v>
      </c>
      <c r="M202" s="29" t="str">
        <f t="shared" si="15"/>
        <v>✓ OK</v>
      </c>
      <c r="N202" s="43">
        <v>46193</v>
      </c>
      <c r="O202" s="26" t="s">
        <v>23</v>
      </c>
      <c r="P202" s="26" t="s">
        <v>24</v>
      </c>
      <c r="Q202" s="26" t="s">
        <v>25</v>
      </c>
      <c r="R202" s="26" t="s">
        <v>26</v>
      </c>
      <c r="S202" s="26" t="s">
        <v>24</v>
      </c>
      <c r="T202" s="27"/>
      <c r="U202" s="28" t="s">
        <v>25</v>
      </c>
      <c r="V202" s="29" t="str">
        <f t="shared" si="16"/>
        <v>✓ OK</v>
      </c>
      <c r="W202" s="45">
        <v>46248</v>
      </c>
      <c r="X202" s="30" t="s">
        <v>23</v>
      </c>
      <c r="Y202" s="30" t="s">
        <v>24</v>
      </c>
      <c r="Z202" s="30" t="s">
        <v>25</v>
      </c>
      <c r="AA202" s="30" t="s">
        <v>26</v>
      </c>
      <c r="AB202" s="30" t="s">
        <v>24</v>
      </c>
      <c r="AC202" s="27"/>
      <c r="AD202" s="31" t="s">
        <v>25</v>
      </c>
      <c r="AE202" s="32" t="str">
        <f t="shared" si="17"/>
        <v>✓ OK</v>
      </c>
      <c r="AF202" s="33" t="s">
        <v>27</v>
      </c>
      <c r="AG202" s="33" t="s">
        <v>23</v>
      </c>
      <c r="AH202" s="33" t="s">
        <v>24</v>
      </c>
      <c r="AI202" s="33" t="s">
        <v>25</v>
      </c>
      <c r="AJ202" s="33" t="s">
        <v>26</v>
      </c>
      <c r="AK202" s="33" t="s">
        <v>24</v>
      </c>
      <c r="AL202" s="27"/>
      <c r="AM202" s="34" t="s">
        <v>25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8" customHeight="1" x14ac:dyDescent="0.3">
      <c r="A203" s="23">
        <v>199</v>
      </c>
      <c r="B203" s="24" t="s">
        <v>2245</v>
      </c>
      <c r="C203" s="25" t="s">
        <v>2246</v>
      </c>
      <c r="D203" s="23" t="s">
        <v>1850</v>
      </c>
      <c r="E203" s="43">
        <v>46125</v>
      </c>
      <c r="F203" s="26" t="s">
        <v>23</v>
      </c>
      <c r="G203" s="26" t="s">
        <v>24</v>
      </c>
      <c r="H203" s="26" t="s">
        <v>25</v>
      </c>
      <c r="I203" s="26" t="s">
        <v>26</v>
      </c>
      <c r="J203" s="26" t="s">
        <v>24</v>
      </c>
      <c r="K203" s="27"/>
      <c r="L203" s="28" t="s">
        <v>25</v>
      </c>
      <c r="M203" s="29" t="str">
        <f t="shared" si="15"/>
        <v>✓ OK</v>
      </c>
      <c r="N203" s="43">
        <v>46193</v>
      </c>
      <c r="O203" s="26" t="s">
        <v>23</v>
      </c>
      <c r="P203" s="26" t="s">
        <v>24</v>
      </c>
      <c r="Q203" s="26" t="s">
        <v>25</v>
      </c>
      <c r="R203" s="26" t="s">
        <v>26</v>
      </c>
      <c r="S203" s="26" t="s">
        <v>24</v>
      </c>
      <c r="T203" s="27"/>
      <c r="U203" s="28" t="s">
        <v>25</v>
      </c>
      <c r="V203" s="29" t="str">
        <f t="shared" si="16"/>
        <v>✓ OK</v>
      </c>
      <c r="W203" s="45">
        <v>46248</v>
      </c>
      <c r="X203" s="30" t="s">
        <v>23</v>
      </c>
      <c r="Y203" s="30" t="s">
        <v>24</v>
      </c>
      <c r="Z203" s="30" t="s">
        <v>25</v>
      </c>
      <c r="AA203" s="30" t="s">
        <v>26</v>
      </c>
      <c r="AB203" s="30" t="s">
        <v>24</v>
      </c>
      <c r="AC203" s="27"/>
      <c r="AD203" s="31" t="s">
        <v>25</v>
      </c>
      <c r="AE203" s="32" t="str">
        <f t="shared" si="17"/>
        <v>✓ OK</v>
      </c>
      <c r="AF203" s="33" t="s">
        <v>27</v>
      </c>
      <c r="AG203" s="33" t="s">
        <v>23</v>
      </c>
      <c r="AH203" s="33" t="s">
        <v>24</v>
      </c>
      <c r="AI203" s="33" t="s">
        <v>25</v>
      </c>
      <c r="AJ203" s="33" t="s">
        <v>26</v>
      </c>
      <c r="AK203" s="33" t="s">
        <v>24</v>
      </c>
      <c r="AL203" s="27"/>
      <c r="AM203" s="34" t="s">
        <v>25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8" customHeight="1" x14ac:dyDescent="0.3">
      <c r="A204" s="39">
        <v>200</v>
      </c>
      <c r="B204" s="40" t="s">
        <v>2247</v>
      </c>
      <c r="C204" s="41" t="s">
        <v>2248</v>
      </c>
      <c r="D204" s="39" t="s">
        <v>1850</v>
      </c>
      <c r="E204" s="43">
        <v>46125</v>
      </c>
      <c r="F204" s="26" t="s">
        <v>23</v>
      </c>
      <c r="G204" s="26" t="s">
        <v>24</v>
      </c>
      <c r="H204" s="26" t="s">
        <v>25</v>
      </c>
      <c r="I204" s="26" t="s">
        <v>26</v>
      </c>
      <c r="J204" s="26" t="s">
        <v>24</v>
      </c>
      <c r="K204" s="27"/>
      <c r="L204" s="28" t="s">
        <v>25</v>
      </c>
      <c r="M204" s="29" t="str">
        <f t="shared" si="15"/>
        <v>✓ OK</v>
      </c>
      <c r="N204" s="43">
        <v>46193</v>
      </c>
      <c r="O204" s="26" t="s">
        <v>23</v>
      </c>
      <c r="P204" s="26" t="s">
        <v>24</v>
      </c>
      <c r="Q204" s="26" t="s">
        <v>25</v>
      </c>
      <c r="R204" s="26" t="s">
        <v>26</v>
      </c>
      <c r="S204" s="26" t="s">
        <v>24</v>
      </c>
      <c r="T204" s="27"/>
      <c r="U204" s="28" t="s">
        <v>25</v>
      </c>
      <c r="V204" s="29" t="str">
        <f t="shared" si="16"/>
        <v>✓ OK</v>
      </c>
      <c r="W204" s="45">
        <v>46248</v>
      </c>
      <c r="X204" s="30" t="s">
        <v>23</v>
      </c>
      <c r="Y204" s="30" t="s">
        <v>24</v>
      </c>
      <c r="Z204" s="30" t="s">
        <v>25</v>
      </c>
      <c r="AA204" s="30" t="s">
        <v>26</v>
      </c>
      <c r="AB204" s="30" t="s">
        <v>24</v>
      </c>
      <c r="AC204" s="27"/>
      <c r="AD204" s="31" t="s">
        <v>25</v>
      </c>
      <c r="AE204" s="32" t="str">
        <f t="shared" si="17"/>
        <v>✓ OK</v>
      </c>
      <c r="AF204" s="33" t="s">
        <v>27</v>
      </c>
      <c r="AG204" s="33" t="s">
        <v>23</v>
      </c>
      <c r="AH204" s="33" t="s">
        <v>24</v>
      </c>
      <c r="AI204" s="33" t="s">
        <v>25</v>
      </c>
      <c r="AJ204" s="33" t="s">
        <v>26</v>
      </c>
      <c r="AK204" s="33" t="s">
        <v>24</v>
      </c>
      <c r="AL204" s="27"/>
      <c r="AM204" s="34" t="s">
        <v>25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8" customHeight="1" x14ac:dyDescent="0.3">
      <c r="A205" s="23">
        <v>201</v>
      </c>
      <c r="B205" s="24" t="s">
        <v>2249</v>
      </c>
      <c r="C205" s="25" t="s">
        <v>2250</v>
      </c>
      <c r="D205" s="23" t="s">
        <v>1850</v>
      </c>
      <c r="E205" s="43">
        <v>46125</v>
      </c>
      <c r="F205" s="26" t="s">
        <v>23</v>
      </c>
      <c r="G205" s="26" t="s">
        <v>24</v>
      </c>
      <c r="H205" s="26" t="s">
        <v>25</v>
      </c>
      <c r="I205" s="26" t="s">
        <v>26</v>
      </c>
      <c r="J205" s="26" t="s">
        <v>24</v>
      </c>
      <c r="K205" s="27"/>
      <c r="L205" s="28" t="s">
        <v>25</v>
      </c>
      <c r="M205" s="29" t="str">
        <f t="shared" si="15"/>
        <v>✓ OK</v>
      </c>
      <c r="N205" s="43">
        <v>46193</v>
      </c>
      <c r="O205" s="26" t="s">
        <v>23</v>
      </c>
      <c r="P205" s="26" t="s">
        <v>24</v>
      </c>
      <c r="Q205" s="26" t="s">
        <v>25</v>
      </c>
      <c r="R205" s="26" t="s">
        <v>26</v>
      </c>
      <c r="S205" s="26" t="s">
        <v>24</v>
      </c>
      <c r="T205" s="27"/>
      <c r="U205" s="28" t="s">
        <v>25</v>
      </c>
      <c r="V205" s="29" t="str">
        <f t="shared" si="16"/>
        <v>✓ OK</v>
      </c>
      <c r="W205" s="45">
        <v>46248</v>
      </c>
      <c r="X205" s="30" t="s">
        <v>23</v>
      </c>
      <c r="Y205" s="30" t="s">
        <v>24</v>
      </c>
      <c r="Z205" s="30" t="s">
        <v>25</v>
      </c>
      <c r="AA205" s="30" t="s">
        <v>26</v>
      </c>
      <c r="AB205" s="30" t="s">
        <v>24</v>
      </c>
      <c r="AC205" s="27"/>
      <c r="AD205" s="31" t="s">
        <v>25</v>
      </c>
      <c r="AE205" s="32" t="str">
        <f t="shared" si="17"/>
        <v>✓ OK</v>
      </c>
      <c r="AF205" s="33" t="s">
        <v>27</v>
      </c>
      <c r="AG205" s="33" t="s">
        <v>23</v>
      </c>
      <c r="AH205" s="33" t="s">
        <v>24</v>
      </c>
      <c r="AI205" s="33" t="s">
        <v>25</v>
      </c>
      <c r="AJ205" s="33" t="s">
        <v>26</v>
      </c>
      <c r="AK205" s="33" t="s">
        <v>24</v>
      </c>
      <c r="AL205" s="27"/>
      <c r="AM205" s="34" t="s">
        <v>25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8" customHeight="1" x14ac:dyDescent="0.3">
      <c r="A206" s="39">
        <v>202</v>
      </c>
      <c r="B206" s="40" t="s">
        <v>2251</v>
      </c>
      <c r="C206" s="41" t="s">
        <v>2252</v>
      </c>
      <c r="D206" s="39" t="s">
        <v>1850</v>
      </c>
      <c r="E206" s="43">
        <v>46125</v>
      </c>
      <c r="F206" s="26" t="s">
        <v>23</v>
      </c>
      <c r="G206" s="26" t="s">
        <v>24</v>
      </c>
      <c r="H206" s="26" t="s">
        <v>25</v>
      </c>
      <c r="I206" s="26" t="s">
        <v>26</v>
      </c>
      <c r="J206" s="26" t="s">
        <v>24</v>
      </c>
      <c r="K206" s="27"/>
      <c r="L206" s="28" t="s">
        <v>25</v>
      </c>
      <c r="M206" s="29" t="str">
        <f t="shared" si="15"/>
        <v>✓ OK</v>
      </c>
      <c r="N206" s="43">
        <v>46193</v>
      </c>
      <c r="O206" s="26" t="s">
        <v>23</v>
      </c>
      <c r="P206" s="26" t="s">
        <v>24</v>
      </c>
      <c r="Q206" s="26" t="s">
        <v>25</v>
      </c>
      <c r="R206" s="26" t="s">
        <v>26</v>
      </c>
      <c r="S206" s="26" t="s">
        <v>24</v>
      </c>
      <c r="T206" s="27"/>
      <c r="U206" s="28" t="s">
        <v>25</v>
      </c>
      <c r="V206" s="29" t="str">
        <f t="shared" si="16"/>
        <v>✓ OK</v>
      </c>
      <c r="W206" s="45">
        <v>46248</v>
      </c>
      <c r="X206" s="30" t="s">
        <v>23</v>
      </c>
      <c r="Y206" s="30" t="s">
        <v>24</v>
      </c>
      <c r="Z206" s="30" t="s">
        <v>25</v>
      </c>
      <c r="AA206" s="30" t="s">
        <v>26</v>
      </c>
      <c r="AB206" s="30" t="s">
        <v>24</v>
      </c>
      <c r="AC206" s="27"/>
      <c r="AD206" s="31" t="s">
        <v>25</v>
      </c>
      <c r="AE206" s="32" t="str">
        <f t="shared" si="17"/>
        <v>✓ OK</v>
      </c>
      <c r="AF206" s="33" t="s">
        <v>27</v>
      </c>
      <c r="AG206" s="33" t="s">
        <v>23</v>
      </c>
      <c r="AH206" s="33" t="s">
        <v>24</v>
      </c>
      <c r="AI206" s="33" t="s">
        <v>25</v>
      </c>
      <c r="AJ206" s="33" t="s">
        <v>26</v>
      </c>
      <c r="AK206" s="33" t="s">
        <v>24</v>
      </c>
      <c r="AL206" s="27"/>
      <c r="AM206" s="34" t="s">
        <v>25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8" customHeight="1" x14ac:dyDescent="0.3">
      <c r="A207" s="23">
        <v>203</v>
      </c>
      <c r="B207" s="24" t="s">
        <v>2253</v>
      </c>
      <c r="C207" s="25" t="s">
        <v>2254</v>
      </c>
      <c r="D207" s="23" t="s">
        <v>1850</v>
      </c>
      <c r="E207" s="43">
        <v>46125</v>
      </c>
      <c r="F207" s="26" t="s">
        <v>23</v>
      </c>
      <c r="G207" s="26" t="s">
        <v>24</v>
      </c>
      <c r="H207" s="26" t="s">
        <v>25</v>
      </c>
      <c r="I207" s="26" t="s">
        <v>26</v>
      </c>
      <c r="J207" s="26" t="s">
        <v>24</v>
      </c>
      <c r="K207" s="27"/>
      <c r="L207" s="28" t="s">
        <v>25</v>
      </c>
      <c r="M207" s="29" t="str">
        <f t="shared" si="15"/>
        <v>✓ OK</v>
      </c>
      <c r="N207" s="43">
        <v>46193</v>
      </c>
      <c r="O207" s="26" t="s">
        <v>23</v>
      </c>
      <c r="P207" s="26" t="s">
        <v>24</v>
      </c>
      <c r="Q207" s="26" t="s">
        <v>25</v>
      </c>
      <c r="R207" s="26" t="s">
        <v>26</v>
      </c>
      <c r="S207" s="26" t="s">
        <v>24</v>
      </c>
      <c r="T207" s="27"/>
      <c r="U207" s="28" t="s">
        <v>25</v>
      </c>
      <c r="V207" s="29" t="str">
        <f t="shared" si="16"/>
        <v>✓ OK</v>
      </c>
      <c r="W207" s="45">
        <v>46248</v>
      </c>
      <c r="X207" s="30" t="s">
        <v>23</v>
      </c>
      <c r="Y207" s="30" t="s">
        <v>24</v>
      </c>
      <c r="Z207" s="30" t="s">
        <v>25</v>
      </c>
      <c r="AA207" s="30" t="s">
        <v>26</v>
      </c>
      <c r="AB207" s="30" t="s">
        <v>24</v>
      </c>
      <c r="AC207" s="27"/>
      <c r="AD207" s="31" t="s">
        <v>25</v>
      </c>
      <c r="AE207" s="32" t="str">
        <f t="shared" si="17"/>
        <v>✓ OK</v>
      </c>
      <c r="AF207" s="33" t="s">
        <v>27</v>
      </c>
      <c r="AG207" s="33" t="s">
        <v>23</v>
      </c>
      <c r="AH207" s="33" t="s">
        <v>24</v>
      </c>
      <c r="AI207" s="33" t="s">
        <v>25</v>
      </c>
      <c r="AJ207" s="33" t="s">
        <v>26</v>
      </c>
      <c r="AK207" s="33" t="s">
        <v>24</v>
      </c>
      <c r="AL207" s="27"/>
      <c r="AM207" s="34" t="s">
        <v>25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8" customHeight="1" x14ac:dyDescent="0.3">
      <c r="A208" s="39">
        <v>204</v>
      </c>
      <c r="B208" s="40" t="s">
        <v>2255</v>
      </c>
      <c r="C208" s="41" t="s">
        <v>2256</v>
      </c>
      <c r="D208" s="39" t="s">
        <v>1850</v>
      </c>
      <c r="E208" s="43">
        <v>46125</v>
      </c>
      <c r="F208" s="26" t="s">
        <v>23</v>
      </c>
      <c r="G208" s="26" t="s">
        <v>24</v>
      </c>
      <c r="H208" s="26" t="s">
        <v>25</v>
      </c>
      <c r="I208" s="26" t="s">
        <v>26</v>
      </c>
      <c r="J208" s="26" t="s">
        <v>24</v>
      </c>
      <c r="K208" s="27"/>
      <c r="L208" s="28" t="s">
        <v>25</v>
      </c>
      <c r="M208" s="29" t="str">
        <f t="shared" si="15"/>
        <v>✓ OK</v>
      </c>
      <c r="N208" s="43">
        <v>46193</v>
      </c>
      <c r="O208" s="26" t="s">
        <v>23</v>
      </c>
      <c r="P208" s="26" t="s">
        <v>24</v>
      </c>
      <c r="Q208" s="26" t="s">
        <v>25</v>
      </c>
      <c r="R208" s="26" t="s">
        <v>26</v>
      </c>
      <c r="S208" s="26" t="s">
        <v>24</v>
      </c>
      <c r="T208" s="27"/>
      <c r="U208" s="28" t="s">
        <v>25</v>
      </c>
      <c r="V208" s="29" t="str">
        <f t="shared" si="16"/>
        <v>✓ OK</v>
      </c>
      <c r="W208" s="45">
        <v>46248</v>
      </c>
      <c r="X208" s="30" t="s">
        <v>23</v>
      </c>
      <c r="Y208" s="30" t="s">
        <v>24</v>
      </c>
      <c r="Z208" s="30" t="s">
        <v>25</v>
      </c>
      <c r="AA208" s="30" t="s">
        <v>26</v>
      </c>
      <c r="AB208" s="30" t="s">
        <v>24</v>
      </c>
      <c r="AC208" s="27"/>
      <c r="AD208" s="31" t="s">
        <v>25</v>
      </c>
      <c r="AE208" s="32" t="str">
        <f t="shared" si="17"/>
        <v>✓ OK</v>
      </c>
      <c r="AF208" s="33" t="s">
        <v>27</v>
      </c>
      <c r="AG208" s="33" t="s">
        <v>23</v>
      </c>
      <c r="AH208" s="33" t="s">
        <v>24</v>
      </c>
      <c r="AI208" s="33" t="s">
        <v>25</v>
      </c>
      <c r="AJ208" s="33" t="s">
        <v>26</v>
      </c>
      <c r="AK208" s="33" t="s">
        <v>24</v>
      </c>
      <c r="AL208" s="27"/>
      <c r="AM208" s="34" t="s">
        <v>25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8" customHeight="1" x14ac:dyDescent="0.3">
      <c r="A209" s="23">
        <v>205</v>
      </c>
      <c r="B209" s="24" t="s">
        <v>2257</v>
      </c>
      <c r="C209" s="25" t="s">
        <v>2258</v>
      </c>
      <c r="D209" s="23" t="s">
        <v>1850</v>
      </c>
      <c r="E209" s="43">
        <v>46125</v>
      </c>
      <c r="F209" s="26" t="s">
        <v>23</v>
      </c>
      <c r="G209" s="26" t="s">
        <v>24</v>
      </c>
      <c r="H209" s="26" t="s">
        <v>25</v>
      </c>
      <c r="I209" s="26" t="s">
        <v>26</v>
      </c>
      <c r="J209" s="26" t="s">
        <v>24</v>
      </c>
      <c r="K209" s="27"/>
      <c r="L209" s="28" t="s">
        <v>25</v>
      </c>
      <c r="M209" s="29" t="str">
        <f t="shared" si="15"/>
        <v>✓ OK</v>
      </c>
      <c r="N209" s="43">
        <v>46193</v>
      </c>
      <c r="O209" s="26" t="s">
        <v>23</v>
      </c>
      <c r="P209" s="26" t="s">
        <v>24</v>
      </c>
      <c r="Q209" s="26" t="s">
        <v>25</v>
      </c>
      <c r="R209" s="26" t="s">
        <v>26</v>
      </c>
      <c r="S209" s="26" t="s">
        <v>24</v>
      </c>
      <c r="T209" s="27"/>
      <c r="U209" s="28" t="s">
        <v>25</v>
      </c>
      <c r="V209" s="29" t="str">
        <f t="shared" si="16"/>
        <v>✓ OK</v>
      </c>
      <c r="W209" s="45">
        <v>46248</v>
      </c>
      <c r="X209" s="30" t="s">
        <v>23</v>
      </c>
      <c r="Y209" s="30" t="s">
        <v>24</v>
      </c>
      <c r="Z209" s="30" t="s">
        <v>25</v>
      </c>
      <c r="AA209" s="30" t="s">
        <v>26</v>
      </c>
      <c r="AB209" s="30" t="s">
        <v>24</v>
      </c>
      <c r="AC209" s="27"/>
      <c r="AD209" s="31" t="s">
        <v>25</v>
      </c>
      <c r="AE209" s="32" t="str">
        <f t="shared" si="17"/>
        <v>✓ OK</v>
      </c>
      <c r="AF209" s="33" t="s">
        <v>27</v>
      </c>
      <c r="AG209" s="33" t="s">
        <v>23</v>
      </c>
      <c r="AH209" s="33" t="s">
        <v>24</v>
      </c>
      <c r="AI209" s="33" t="s">
        <v>25</v>
      </c>
      <c r="AJ209" s="33" t="s">
        <v>26</v>
      </c>
      <c r="AK209" s="33" t="s">
        <v>24</v>
      </c>
      <c r="AL209" s="27"/>
      <c r="AM209" s="34" t="s">
        <v>25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8" customHeight="1" x14ac:dyDescent="0.3">
      <c r="A210" s="39">
        <v>206</v>
      </c>
      <c r="B210" s="40" t="s">
        <v>2259</v>
      </c>
      <c r="C210" s="41" t="s">
        <v>2260</v>
      </c>
      <c r="D210" s="39" t="s">
        <v>1850</v>
      </c>
      <c r="E210" s="43">
        <v>46125</v>
      </c>
      <c r="F210" s="26" t="s">
        <v>23</v>
      </c>
      <c r="G210" s="26" t="s">
        <v>24</v>
      </c>
      <c r="H210" s="26" t="s">
        <v>25</v>
      </c>
      <c r="I210" s="26" t="s">
        <v>26</v>
      </c>
      <c r="J210" s="26" t="s">
        <v>24</v>
      </c>
      <c r="K210" s="27"/>
      <c r="L210" s="28" t="s">
        <v>25</v>
      </c>
      <c r="M210" s="29" t="str">
        <f t="shared" si="15"/>
        <v>✓ OK</v>
      </c>
      <c r="N210" s="43">
        <v>46193</v>
      </c>
      <c r="O210" s="26" t="s">
        <v>23</v>
      </c>
      <c r="P210" s="26" t="s">
        <v>24</v>
      </c>
      <c r="Q210" s="26" t="s">
        <v>25</v>
      </c>
      <c r="R210" s="26" t="s">
        <v>26</v>
      </c>
      <c r="S210" s="26" t="s">
        <v>24</v>
      </c>
      <c r="T210" s="27"/>
      <c r="U210" s="28" t="s">
        <v>25</v>
      </c>
      <c r="V210" s="29" t="str">
        <f t="shared" si="16"/>
        <v>✓ OK</v>
      </c>
      <c r="W210" s="45">
        <v>46248</v>
      </c>
      <c r="X210" s="30" t="s">
        <v>23</v>
      </c>
      <c r="Y210" s="30" t="s">
        <v>24</v>
      </c>
      <c r="Z210" s="30" t="s">
        <v>25</v>
      </c>
      <c r="AA210" s="30" t="s">
        <v>26</v>
      </c>
      <c r="AB210" s="30" t="s">
        <v>24</v>
      </c>
      <c r="AC210" s="27"/>
      <c r="AD210" s="31" t="s">
        <v>25</v>
      </c>
      <c r="AE210" s="32" t="str">
        <f t="shared" si="17"/>
        <v>✓ OK</v>
      </c>
      <c r="AF210" s="33" t="s">
        <v>27</v>
      </c>
      <c r="AG210" s="33" t="s">
        <v>23</v>
      </c>
      <c r="AH210" s="33" t="s">
        <v>24</v>
      </c>
      <c r="AI210" s="33" t="s">
        <v>25</v>
      </c>
      <c r="AJ210" s="33" t="s">
        <v>26</v>
      </c>
      <c r="AK210" s="33" t="s">
        <v>24</v>
      </c>
      <c r="AL210" s="27"/>
      <c r="AM210" s="34" t="s">
        <v>25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8" customHeight="1" x14ac:dyDescent="0.3">
      <c r="A211" s="23">
        <v>207</v>
      </c>
      <c r="B211" s="24" t="s">
        <v>2261</v>
      </c>
      <c r="C211" s="25" t="s">
        <v>2262</v>
      </c>
      <c r="D211" s="23" t="s">
        <v>1850</v>
      </c>
      <c r="E211" s="43">
        <v>46125</v>
      </c>
      <c r="F211" s="26" t="s">
        <v>23</v>
      </c>
      <c r="G211" s="26" t="s">
        <v>24</v>
      </c>
      <c r="H211" s="26" t="s">
        <v>25</v>
      </c>
      <c r="I211" s="26" t="s">
        <v>26</v>
      </c>
      <c r="J211" s="26" t="s">
        <v>24</v>
      </c>
      <c r="K211" s="27"/>
      <c r="L211" s="28" t="s">
        <v>25</v>
      </c>
      <c r="M211" s="29" t="str">
        <f t="shared" si="15"/>
        <v>✓ OK</v>
      </c>
      <c r="N211" s="43">
        <v>46193</v>
      </c>
      <c r="O211" s="26" t="s">
        <v>23</v>
      </c>
      <c r="P211" s="26" t="s">
        <v>24</v>
      </c>
      <c r="Q211" s="26" t="s">
        <v>25</v>
      </c>
      <c r="R211" s="26" t="s">
        <v>26</v>
      </c>
      <c r="S211" s="26" t="s">
        <v>24</v>
      </c>
      <c r="T211" s="27"/>
      <c r="U211" s="28" t="s">
        <v>25</v>
      </c>
      <c r="V211" s="29" t="str">
        <f t="shared" si="16"/>
        <v>✓ OK</v>
      </c>
      <c r="W211" s="45">
        <v>46248</v>
      </c>
      <c r="X211" s="30" t="s">
        <v>23</v>
      </c>
      <c r="Y211" s="30" t="s">
        <v>24</v>
      </c>
      <c r="Z211" s="30" t="s">
        <v>25</v>
      </c>
      <c r="AA211" s="30" t="s">
        <v>26</v>
      </c>
      <c r="AB211" s="30" t="s">
        <v>24</v>
      </c>
      <c r="AC211" s="27"/>
      <c r="AD211" s="31" t="s">
        <v>25</v>
      </c>
      <c r="AE211" s="32" t="str">
        <f t="shared" si="17"/>
        <v>✓ OK</v>
      </c>
      <c r="AF211" s="33" t="s">
        <v>27</v>
      </c>
      <c r="AG211" s="33" t="s">
        <v>23</v>
      </c>
      <c r="AH211" s="33" t="s">
        <v>24</v>
      </c>
      <c r="AI211" s="33" t="s">
        <v>25</v>
      </c>
      <c r="AJ211" s="33" t="s">
        <v>26</v>
      </c>
      <c r="AK211" s="33" t="s">
        <v>24</v>
      </c>
      <c r="AL211" s="27"/>
      <c r="AM211" s="34" t="s">
        <v>25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8" customHeight="1" x14ac:dyDescent="0.3">
      <c r="A212" s="39">
        <v>208</v>
      </c>
      <c r="B212" s="40" t="s">
        <v>2263</v>
      </c>
      <c r="C212" s="41" t="s">
        <v>2264</v>
      </c>
      <c r="D212" s="39" t="s">
        <v>1850</v>
      </c>
      <c r="E212" s="43">
        <v>46125</v>
      </c>
      <c r="F212" s="26" t="s">
        <v>23</v>
      </c>
      <c r="G212" s="26" t="s">
        <v>24</v>
      </c>
      <c r="H212" s="26" t="s">
        <v>25</v>
      </c>
      <c r="I212" s="26" t="s">
        <v>26</v>
      </c>
      <c r="J212" s="26" t="s">
        <v>24</v>
      </c>
      <c r="K212" s="27"/>
      <c r="L212" s="28" t="s">
        <v>25</v>
      </c>
      <c r="M212" s="29" t="str">
        <f t="shared" si="15"/>
        <v>✓ OK</v>
      </c>
      <c r="N212" s="43">
        <v>46193</v>
      </c>
      <c r="O212" s="26" t="s">
        <v>23</v>
      </c>
      <c r="P212" s="26" t="s">
        <v>24</v>
      </c>
      <c r="Q212" s="26" t="s">
        <v>25</v>
      </c>
      <c r="R212" s="26" t="s">
        <v>26</v>
      </c>
      <c r="S212" s="26" t="s">
        <v>24</v>
      </c>
      <c r="T212" s="27"/>
      <c r="U212" s="28" t="s">
        <v>25</v>
      </c>
      <c r="V212" s="29" t="str">
        <f t="shared" si="16"/>
        <v>✓ OK</v>
      </c>
      <c r="W212" s="45">
        <v>46248</v>
      </c>
      <c r="X212" s="30" t="s">
        <v>23</v>
      </c>
      <c r="Y212" s="30" t="s">
        <v>24</v>
      </c>
      <c r="Z212" s="30" t="s">
        <v>25</v>
      </c>
      <c r="AA212" s="30" t="s">
        <v>26</v>
      </c>
      <c r="AB212" s="30" t="s">
        <v>24</v>
      </c>
      <c r="AC212" s="27"/>
      <c r="AD212" s="31" t="s">
        <v>25</v>
      </c>
      <c r="AE212" s="32" t="str">
        <f t="shared" si="17"/>
        <v>✓ OK</v>
      </c>
      <c r="AF212" s="33" t="s">
        <v>27</v>
      </c>
      <c r="AG212" s="33" t="s">
        <v>23</v>
      </c>
      <c r="AH212" s="33" t="s">
        <v>24</v>
      </c>
      <c r="AI212" s="33" t="s">
        <v>25</v>
      </c>
      <c r="AJ212" s="33" t="s">
        <v>26</v>
      </c>
      <c r="AK212" s="33" t="s">
        <v>24</v>
      </c>
      <c r="AL212" s="27"/>
      <c r="AM212" s="34" t="s">
        <v>25</v>
      </c>
      <c r="AN212" s="35" t="str">
        <f t="shared" si="18"/>
        <v>✓ OK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8" customHeight="1" x14ac:dyDescent="0.3">
      <c r="A213" s="23">
        <v>209</v>
      </c>
      <c r="B213" s="24" t="s">
        <v>2265</v>
      </c>
      <c r="C213" s="25" t="s">
        <v>2266</v>
      </c>
      <c r="D213" s="23" t="s">
        <v>1850</v>
      </c>
      <c r="E213" s="43">
        <v>46125</v>
      </c>
      <c r="F213" s="26" t="s">
        <v>23</v>
      </c>
      <c r="G213" s="26" t="s">
        <v>24</v>
      </c>
      <c r="H213" s="26" t="s">
        <v>25</v>
      </c>
      <c r="I213" s="26" t="s">
        <v>26</v>
      </c>
      <c r="J213" s="26" t="s">
        <v>24</v>
      </c>
      <c r="K213" s="27"/>
      <c r="L213" s="28" t="s">
        <v>25</v>
      </c>
      <c r="M213" s="29" t="str">
        <f t="shared" si="15"/>
        <v>✓ OK</v>
      </c>
      <c r="N213" s="43">
        <v>46193</v>
      </c>
      <c r="O213" s="26" t="s">
        <v>23</v>
      </c>
      <c r="P213" s="26" t="s">
        <v>24</v>
      </c>
      <c r="Q213" s="26" t="s">
        <v>25</v>
      </c>
      <c r="R213" s="26" t="s">
        <v>26</v>
      </c>
      <c r="S213" s="26" t="s">
        <v>24</v>
      </c>
      <c r="T213" s="27"/>
      <c r="U213" s="28" t="s">
        <v>25</v>
      </c>
      <c r="V213" s="29" t="str">
        <f t="shared" si="16"/>
        <v>✓ OK</v>
      </c>
      <c r="W213" s="45">
        <v>46248</v>
      </c>
      <c r="X213" s="30" t="s">
        <v>23</v>
      </c>
      <c r="Y213" s="30" t="s">
        <v>24</v>
      </c>
      <c r="Z213" s="30" t="s">
        <v>25</v>
      </c>
      <c r="AA213" s="30" t="s">
        <v>26</v>
      </c>
      <c r="AB213" s="30" t="s">
        <v>24</v>
      </c>
      <c r="AC213" s="27"/>
      <c r="AD213" s="31" t="s">
        <v>25</v>
      </c>
      <c r="AE213" s="32" t="str">
        <f t="shared" si="17"/>
        <v>✓ OK</v>
      </c>
      <c r="AF213" s="33" t="s">
        <v>27</v>
      </c>
      <c r="AG213" s="33" t="s">
        <v>23</v>
      </c>
      <c r="AH213" s="33" t="s">
        <v>24</v>
      </c>
      <c r="AI213" s="33" t="s">
        <v>25</v>
      </c>
      <c r="AJ213" s="33" t="s">
        <v>26</v>
      </c>
      <c r="AK213" s="33" t="s">
        <v>24</v>
      </c>
      <c r="AL213" s="27"/>
      <c r="AM213" s="34" t="s">
        <v>25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8" customHeight="1" x14ac:dyDescent="0.3">
      <c r="A214" s="39">
        <v>210</v>
      </c>
      <c r="B214" s="40" t="s">
        <v>2267</v>
      </c>
      <c r="C214" s="41" t="s">
        <v>2268</v>
      </c>
      <c r="D214" s="39" t="s">
        <v>1850</v>
      </c>
      <c r="E214" s="43">
        <v>46125</v>
      </c>
      <c r="F214" s="26" t="s">
        <v>23</v>
      </c>
      <c r="G214" s="26" t="s">
        <v>24</v>
      </c>
      <c r="H214" s="26" t="s">
        <v>25</v>
      </c>
      <c r="I214" s="26" t="s">
        <v>26</v>
      </c>
      <c r="J214" s="26" t="s">
        <v>24</v>
      </c>
      <c r="K214" s="27"/>
      <c r="L214" s="28" t="s">
        <v>25</v>
      </c>
      <c r="M214" s="29" t="str">
        <f t="shared" si="15"/>
        <v>✓ OK</v>
      </c>
      <c r="N214" s="43">
        <v>46193</v>
      </c>
      <c r="O214" s="26" t="s">
        <v>23</v>
      </c>
      <c r="P214" s="26" t="s">
        <v>24</v>
      </c>
      <c r="Q214" s="26" t="s">
        <v>25</v>
      </c>
      <c r="R214" s="26" t="s">
        <v>26</v>
      </c>
      <c r="S214" s="26" t="s">
        <v>24</v>
      </c>
      <c r="T214" s="27"/>
      <c r="U214" s="28" t="s">
        <v>25</v>
      </c>
      <c r="V214" s="29" t="str">
        <f t="shared" si="16"/>
        <v>✓ OK</v>
      </c>
      <c r="W214" s="45">
        <v>46248</v>
      </c>
      <c r="X214" s="30" t="s">
        <v>23</v>
      </c>
      <c r="Y214" s="30" t="s">
        <v>24</v>
      </c>
      <c r="Z214" s="30" t="s">
        <v>25</v>
      </c>
      <c r="AA214" s="30" t="s">
        <v>26</v>
      </c>
      <c r="AB214" s="30" t="s">
        <v>24</v>
      </c>
      <c r="AC214" s="27"/>
      <c r="AD214" s="31" t="s">
        <v>25</v>
      </c>
      <c r="AE214" s="32" t="str">
        <f t="shared" si="17"/>
        <v>✓ OK</v>
      </c>
      <c r="AF214" s="33" t="s">
        <v>27</v>
      </c>
      <c r="AG214" s="33" t="s">
        <v>23</v>
      </c>
      <c r="AH214" s="33" t="s">
        <v>24</v>
      </c>
      <c r="AI214" s="33" t="s">
        <v>25</v>
      </c>
      <c r="AJ214" s="33" t="s">
        <v>26</v>
      </c>
      <c r="AK214" s="33" t="s">
        <v>24</v>
      </c>
      <c r="AL214" s="27"/>
      <c r="AM214" s="34" t="s">
        <v>25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8" customHeight="1" x14ac:dyDescent="0.3">
      <c r="A215" s="23">
        <v>211</v>
      </c>
      <c r="B215" s="24" t="s">
        <v>2269</v>
      </c>
      <c r="C215" s="25" t="s">
        <v>2270</v>
      </c>
      <c r="D215" s="23" t="s">
        <v>1850</v>
      </c>
      <c r="E215" s="43">
        <v>46125</v>
      </c>
      <c r="F215" s="26" t="s">
        <v>23</v>
      </c>
      <c r="G215" s="26" t="s">
        <v>24</v>
      </c>
      <c r="H215" s="26" t="s">
        <v>25</v>
      </c>
      <c r="I215" s="26" t="s">
        <v>26</v>
      </c>
      <c r="J215" s="26" t="s">
        <v>24</v>
      </c>
      <c r="K215" s="27"/>
      <c r="L215" s="28" t="s">
        <v>25</v>
      </c>
      <c r="M215" s="29" t="str">
        <f t="shared" si="15"/>
        <v>✓ OK</v>
      </c>
      <c r="N215" s="43">
        <v>46193</v>
      </c>
      <c r="O215" s="26" t="s">
        <v>23</v>
      </c>
      <c r="P215" s="26" t="s">
        <v>24</v>
      </c>
      <c r="Q215" s="26" t="s">
        <v>25</v>
      </c>
      <c r="R215" s="26" t="s">
        <v>26</v>
      </c>
      <c r="S215" s="26" t="s">
        <v>24</v>
      </c>
      <c r="T215" s="27"/>
      <c r="U215" s="28" t="s">
        <v>25</v>
      </c>
      <c r="V215" s="29" t="str">
        <f t="shared" si="16"/>
        <v>✓ OK</v>
      </c>
      <c r="W215" s="45">
        <v>46248</v>
      </c>
      <c r="X215" s="30" t="s">
        <v>23</v>
      </c>
      <c r="Y215" s="30" t="s">
        <v>24</v>
      </c>
      <c r="Z215" s="30" t="s">
        <v>25</v>
      </c>
      <c r="AA215" s="30" t="s">
        <v>26</v>
      </c>
      <c r="AB215" s="30" t="s">
        <v>24</v>
      </c>
      <c r="AC215" s="27"/>
      <c r="AD215" s="31" t="s">
        <v>25</v>
      </c>
      <c r="AE215" s="32" t="str">
        <f t="shared" si="17"/>
        <v>✓ OK</v>
      </c>
      <c r="AF215" s="33" t="s">
        <v>27</v>
      </c>
      <c r="AG215" s="33" t="s">
        <v>23</v>
      </c>
      <c r="AH215" s="33" t="s">
        <v>24</v>
      </c>
      <c r="AI215" s="33" t="s">
        <v>25</v>
      </c>
      <c r="AJ215" s="33" t="s">
        <v>26</v>
      </c>
      <c r="AK215" s="33" t="s">
        <v>24</v>
      </c>
      <c r="AL215" s="27"/>
      <c r="AM215" s="34" t="s">
        <v>25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8" customHeight="1" x14ac:dyDescent="0.3">
      <c r="A216" s="39">
        <v>212</v>
      </c>
      <c r="B216" s="40" t="s">
        <v>2271</v>
      </c>
      <c r="C216" s="41" t="s">
        <v>2272</v>
      </c>
      <c r="D216" s="39" t="s">
        <v>1850</v>
      </c>
      <c r="E216" s="43">
        <v>46125</v>
      </c>
      <c r="F216" s="26" t="s">
        <v>23</v>
      </c>
      <c r="G216" s="26" t="s">
        <v>24</v>
      </c>
      <c r="H216" s="26" t="s">
        <v>25</v>
      </c>
      <c r="I216" s="26" t="s">
        <v>26</v>
      </c>
      <c r="J216" s="26" t="s">
        <v>24</v>
      </c>
      <c r="K216" s="27"/>
      <c r="L216" s="28" t="s">
        <v>25</v>
      </c>
      <c r="M216" s="29" t="str">
        <f t="shared" si="15"/>
        <v>✓ OK</v>
      </c>
      <c r="N216" s="43">
        <v>46193</v>
      </c>
      <c r="O216" s="26" t="s">
        <v>23</v>
      </c>
      <c r="P216" s="26" t="s">
        <v>24</v>
      </c>
      <c r="Q216" s="26" t="s">
        <v>25</v>
      </c>
      <c r="R216" s="26" t="s">
        <v>26</v>
      </c>
      <c r="S216" s="26" t="s">
        <v>24</v>
      </c>
      <c r="T216" s="27"/>
      <c r="U216" s="28" t="s">
        <v>25</v>
      </c>
      <c r="V216" s="29" t="str">
        <f t="shared" si="16"/>
        <v>✓ OK</v>
      </c>
      <c r="W216" s="45">
        <v>46248</v>
      </c>
      <c r="X216" s="30" t="s">
        <v>23</v>
      </c>
      <c r="Y216" s="30" t="s">
        <v>24</v>
      </c>
      <c r="Z216" s="30" t="s">
        <v>25</v>
      </c>
      <c r="AA216" s="30" t="s">
        <v>26</v>
      </c>
      <c r="AB216" s="30" t="s">
        <v>24</v>
      </c>
      <c r="AC216" s="27"/>
      <c r="AD216" s="31" t="s">
        <v>25</v>
      </c>
      <c r="AE216" s="32" t="str">
        <f t="shared" si="17"/>
        <v>✓ OK</v>
      </c>
      <c r="AF216" s="33" t="s">
        <v>27</v>
      </c>
      <c r="AG216" s="33" t="s">
        <v>23</v>
      </c>
      <c r="AH216" s="33" t="s">
        <v>24</v>
      </c>
      <c r="AI216" s="33" t="s">
        <v>25</v>
      </c>
      <c r="AJ216" s="33" t="s">
        <v>26</v>
      </c>
      <c r="AK216" s="33" t="s">
        <v>24</v>
      </c>
      <c r="AL216" s="27"/>
      <c r="AM216" s="34" t="s">
        <v>25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8" customHeight="1" x14ac:dyDescent="0.3">
      <c r="A217" s="23">
        <v>213</v>
      </c>
      <c r="B217" s="24" t="s">
        <v>2273</v>
      </c>
      <c r="C217" s="25" t="s">
        <v>2274</v>
      </c>
      <c r="D217" s="23" t="s">
        <v>1850</v>
      </c>
      <c r="E217" s="43">
        <v>46125</v>
      </c>
      <c r="F217" s="26" t="s">
        <v>23</v>
      </c>
      <c r="G217" s="26" t="s">
        <v>24</v>
      </c>
      <c r="H217" s="26" t="s">
        <v>25</v>
      </c>
      <c r="I217" s="26" t="s">
        <v>26</v>
      </c>
      <c r="J217" s="26" t="s">
        <v>24</v>
      </c>
      <c r="K217" s="27"/>
      <c r="L217" s="28" t="s">
        <v>25</v>
      </c>
      <c r="M217" s="29" t="str">
        <f t="shared" si="15"/>
        <v>✓ OK</v>
      </c>
      <c r="N217" s="43">
        <v>46193</v>
      </c>
      <c r="O217" s="26" t="s">
        <v>23</v>
      </c>
      <c r="P217" s="26" t="s">
        <v>24</v>
      </c>
      <c r="Q217" s="26" t="s">
        <v>25</v>
      </c>
      <c r="R217" s="26" t="s">
        <v>26</v>
      </c>
      <c r="S217" s="26" t="s">
        <v>24</v>
      </c>
      <c r="T217" s="27"/>
      <c r="U217" s="28" t="s">
        <v>25</v>
      </c>
      <c r="V217" s="29" t="str">
        <f t="shared" si="16"/>
        <v>✓ OK</v>
      </c>
      <c r="W217" s="45">
        <v>46248</v>
      </c>
      <c r="X217" s="30" t="s">
        <v>23</v>
      </c>
      <c r="Y217" s="30" t="s">
        <v>24</v>
      </c>
      <c r="Z217" s="30" t="s">
        <v>25</v>
      </c>
      <c r="AA217" s="30" t="s">
        <v>26</v>
      </c>
      <c r="AB217" s="30" t="s">
        <v>24</v>
      </c>
      <c r="AC217" s="27"/>
      <c r="AD217" s="31" t="s">
        <v>25</v>
      </c>
      <c r="AE217" s="32" t="str">
        <f t="shared" si="17"/>
        <v>✓ OK</v>
      </c>
      <c r="AF217" s="33" t="s">
        <v>27</v>
      </c>
      <c r="AG217" s="33" t="s">
        <v>23</v>
      </c>
      <c r="AH217" s="33" t="s">
        <v>24</v>
      </c>
      <c r="AI217" s="33" t="s">
        <v>25</v>
      </c>
      <c r="AJ217" s="33" t="s">
        <v>26</v>
      </c>
      <c r="AK217" s="33" t="s">
        <v>24</v>
      </c>
      <c r="AL217" s="27"/>
      <c r="AM217" s="34" t="s">
        <v>25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8" customHeight="1" x14ac:dyDescent="0.3">
      <c r="A218" s="39">
        <v>214</v>
      </c>
      <c r="B218" s="40" t="s">
        <v>2275</v>
      </c>
      <c r="C218" s="41" t="s">
        <v>2276</v>
      </c>
      <c r="D218" s="39" t="s">
        <v>1850</v>
      </c>
      <c r="E218" s="43">
        <v>46125</v>
      </c>
      <c r="F218" s="26" t="s">
        <v>23</v>
      </c>
      <c r="G218" s="26" t="s">
        <v>24</v>
      </c>
      <c r="H218" s="26" t="s">
        <v>25</v>
      </c>
      <c r="I218" s="26" t="s">
        <v>26</v>
      </c>
      <c r="J218" s="26" t="s">
        <v>24</v>
      </c>
      <c r="K218" s="27"/>
      <c r="L218" s="28" t="s">
        <v>25</v>
      </c>
      <c r="M218" s="29" t="str">
        <f t="shared" si="15"/>
        <v>✓ OK</v>
      </c>
      <c r="N218" s="43">
        <v>46193</v>
      </c>
      <c r="O218" s="26" t="s">
        <v>23</v>
      </c>
      <c r="P218" s="26" t="s">
        <v>24</v>
      </c>
      <c r="Q218" s="26" t="s">
        <v>25</v>
      </c>
      <c r="R218" s="26" t="s">
        <v>26</v>
      </c>
      <c r="S218" s="26" t="s">
        <v>24</v>
      </c>
      <c r="T218" s="27"/>
      <c r="U218" s="28" t="s">
        <v>25</v>
      </c>
      <c r="V218" s="29" t="str">
        <f t="shared" si="16"/>
        <v>✓ OK</v>
      </c>
      <c r="W218" s="45">
        <v>46248</v>
      </c>
      <c r="X218" s="30" t="s">
        <v>23</v>
      </c>
      <c r="Y218" s="30" t="s">
        <v>24</v>
      </c>
      <c r="Z218" s="30" t="s">
        <v>25</v>
      </c>
      <c r="AA218" s="30" t="s">
        <v>26</v>
      </c>
      <c r="AB218" s="30" t="s">
        <v>24</v>
      </c>
      <c r="AC218" s="27"/>
      <c r="AD218" s="31" t="s">
        <v>25</v>
      </c>
      <c r="AE218" s="32" t="str">
        <f t="shared" si="17"/>
        <v>✓ OK</v>
      </c>
      <c r="AF218" s="33" t="s">
        <v>27</v>
      </c>
      <c r="AG218" s="33" t="s">
        <v>23</v>
      </c>
      <c r="AH218" s="33" t="s">
        <v>24</v>
      </c>
      <c r="AI218" s="33" t="s">
        <v>25</v>
      </c>
      <c r="AJ218" s="33" t="s">
        <v>26</v>
      </c>
      <c r="AK218" s="33" t="s">
        <v>24</v>
      </c>
      <c r="AL218" s="27"/>
      <c r="AM218" s="34" t="s">
        <v>25</v>
      </c>
      <c r="AN218" s="35" t="str">
        <f t="shared" si="18"/>
        <v>✓ OK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8" customHeight="1" x14ac:dyDescent="0.3">
      <c r="A219" s="23">
        <v>215</v>
      </c>
      <c r="B219" s="24" t="s">
        <v>2277</v>
      </c>
      <c r="C219" s="25" t="s">
        <v>2278</v>
      </c>
      <c r="D219" s="23" t="s">
        <v>1850</v>
      </c>
      <c r="E219" s="43">
        <v>46125</v>
      </c>
      <c r="F219" s="26" t="s">
        <v>23</v>
      </c>
      <c r="G219" s="26" t="s">
        <v>24</v>
      </c>
      <c r="H219" s="26" t="s">
        <v>25</v>
      </c>
      <c r="I219" s="26" t="s">
        <v>26</v>
      </c>
      <c r="J219" s="26" t="s">
        <v>24</v>
      </c>
      <c r="K219" s="27"/>
      <c r="L219" s="28" t="s">
        <v>25</v>
      </c>
      <c r="M219" s="29" t="str">
        <f t="shared" si="15"/>
        <v>✓ OK</v>
      </c>
      <c r="N219" s="43">
        <v>46193</v>
      </c>
      <c r="O219" s="26" t="s">
        <v>23</v>
      </c>
      <c r="P219" s="26" t="s">
        <v>24</v>
      </c>
      <c r="Q219" s="26" t="s">
        <v>25</v>
      </c>
      <c r="R219" s="26" t="s">
        <v>26</v>
      </c>
      <c r="S219" s="26" t="s">
        <v>24</v>
      </c>
      <c r="T219" s="27"/>
      <c r="U219" s="28" t="s">
        <v>25</v>
      </c>
      <c r="V219" s="29" t="str">
        <f t="shared" si="16"/>
        <v>✓ OK</v>
      </c>
      <c r="W219" s="45">
        <v>46248</v>
      </c>
      <c r="X219" s="30" t="s">
        <v>23</v>
      </c>
      <c r="Y219" s="30" t="s">
        <v>24</v>
      </c>
      <c r="Z219" s="30" t="s">
        <v>25</v>
      </c>
      <c r="AA219" s="30" t="s">
        <v>26</v>
      </c>
      <c r="AB219" s="30" t="s">
        <v>24</v>
      </c>
      <c r="AC219" s="27"/>
      <c r="AD219" s="31" t="s">
        <v>25</v>
      </c>
      <c r="AE219" s="32" t="str">
        <f t="shared" si="17"/>
        <v>✓ OK</v>
      </c>
      <c r="AF219" s="33" t="s">
        <v>27</v>
      </c>
      <c r="AG219" s="33" t="s">
        <v>23</v>
      </c>
      <c r="AH219" s="33" t="s">
        <v>24</v>
      </c>
      <c r="AI219" s="33" t="s">
        <v>25</v>
      </c>
      <c r="AJ219" s="33" t="s">
        <v>26</v>
      </c>
      <c r="AK219" s="33" t="s">
        <v>24</v>
      </c>
      <c r="AL219" s="27"/>
      <c r="AM219" s="34" t="s">
        <v>25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8" customHeight="1" x14ac:dyDescent="0.3">
      <c r="A220" s="39">
        <v>216</v>
      </c>
      <c r="B220" s="40" t="s">
        <v>2279</v>
      </c>
      <c r="C220" s="41" t="s">
        <v>2280</v>
      </c>
      <c r="D220" s="39" t="s">
        <v>1850</v>
      </c>
      <c r="E220" s="43">
        <v>46125</v>
      </c>
      <c r="F220" s="26" t="s">
        <v>23</v>
      </c>
      <c r="G220" s="26" t="s">
        <v>24</v>
      </c>
      <c r="H220" s="26" t="s">
        <v>25</v>
      </c>
      <c r="I220" s="26" t="s">
        <v>26</v>
      </c>
      <c r="J220" s="26" t="s">
        <v>24</v>
      </c>
      <c r="K220" s="27"/>
      <c r="L220" s="28" t="s">
        <v>25</v>
      </c>
      <c r="M220" s="29" t="str">
        <f t="shared" si="15"/>
        <v>✓ OK</v>
      </c>
      <c r="N220" s="43">
        <v>46193</v>
      </c>
      <c r="O220" s="26" t="s">
        <v>23</v>
      </c>
      <c r="P220" s="26" t="s">
        <v>24</v>
      </c>
      <c r="Q220" s="26" t="s">
        <v>25</v>
      </c>
      <c r="R220" s="26" t="s">
        <v>26</v>
      </c>
      <c r="S220" s="26" t="s">
        <v>24</v>
      </c>
      <c r="T220" s="27"/>
      <c r="U220" s="28" t="s">
        <v>25</v>
      </c>
      <c r="V220" s="29" t="str">
        <f t="shared" si="16"/>
        <v>✓ OK</v>
      </c>
      <c r="W220" s="45">
        <v>46248</v>
      </c>
      <c r="X220" s="30" t="s">
        <v>23</v>
      </c>
      <c r="Y220" s="30" t="s">
        <v>24</v>
      </c>
      <c r="Z220" s="30" t="s">
        <v>25</v>
      </c>
      <c r="AA220" s="30" t="s">
        <v>26</v>
      </c>
      <c r="AB220" s="30" t="s">
        <v>24</v>
      </c>
      <c r="AC220" s="27"/>
      <c r="AD220" s="31" t="s">
        <v>25</v>
      </c>
      <c r="AE220" s="32" t="str">
        <f t="shared" si="17"/>
        <v>✓ OK</v>
      </c>
      <c r="AF220" s="33" t="s">
        <v>27</v>
      </c>
      <c r="AG220" s="33" t="s">
        <v>23</v>
      </c>
      <c r="AH220" s="33" t="s">
        <v>24</v>
      </c>
      <c r="AI220" s="33" t="s">
        <v>25</v>
      </c>
      <c r="AJ220" s="33" t="s">
        <v>26</v>
      </c>
      <c r="AK220" s="33" t="s">
        <v>24</v>
      </c>
      <c r="AL220" s="27"/>
      <c r="AM220" s="34" t="s">
        <v>25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8" customHeight="1" x14ac:dyDescent="0.3">
      <c r="A221" s="23">
        <v>217</v>
      </c>
      <c r="B221" s="24" t="s">
        <v>2281</v>
      </c>
      <c r="C221" s="25" t="s">
        <v>2282</v>
      </c>
      <c r="D221" s="23" t="s">
        <v>1850</v>
      </c>
      <c r="E221" s="43">
        <v>46125</v>
      </c>
      <c r="F221" s="26" t="s">
        <v>23</v>
      </c>
      <c r="G221" s="26" t="s">
        <v>24</v>
      </c>
      <c r="H221" s="26" t="s">
        <v>25</v>
      </c>
      <c r="I221" s="26" t="s">
        <v>26</v>
      </c>
      <c r="J221" s="26" t="s">
        <v>24</v>
      </c>
      <c r="K221" s="27"/>
      <c r="L221" s="28" t="s">
        <v>25</v>
      </c>
      <c r="M221" s="29" t="str">
        <f t="shared" si="15"/>
        <v>✓ OK</v>
      </c>
      <c r="N221" s="43">
        <v>46193</v>
      </c>
      <c r="O221" s="26" t="s">
        <v>23</v>
      </c>
      <c r="P221" s="26" t="s">
        <v>24</v>
      </c>
      <c r="Q221" s="26" t="s">
        <v>25</v>
      </c>
      <c r="R221" s="26" t="s">
        <v>26</v>
      </c>
      <c r="S221" s="26" t="s">
        <v>24</v>
      </c>
      <c r="T221" s="27"/>
      <c r="U221" s="28" t="s">
        <v>25</v>
      </c>
      <c r="V221" s="29" t="str">
        <f t="shared" si="16"/>
        <v>✓ OK</v>
      </c>
      <c r="W221" s="45">
        <v>46248</v>
      </c>
      <c r="X221" s="30" t="s">
        <v>23</v>
      </c>
      <c r="Y221" s="30" t="s">
        <v>24</v>
      </c>
      <c r="Z221" s="30" t="s">
        <v>25</v>
      </c>
      <c r="AA221" s="30" t="s">
        <v>26</v>
      </c>
      <c r="AB221" s="30" t="s">
        <v>24</v>
      </c>
      <c r="AC221" s="27"/>
      <c r="AD221" s="31" t="s">
        <v>25</v>
      </c>
      <c r="AE221" s="32" t="str">
        <f t="shared" si="17"/>
        <v>✓ OK</v>
      </c>
      <c r="AF221" s="33" t="s">
        <v>27</v>
      </c>
      <c r="AG221" s="33" t="s">
        <v>23</v>
      </c>
      <c r="AH221" s="33" t="s">
        <v>24</v>
      </c>
      <c r="AI221" s="33" t="s">
        <v>25</v>
      </c>
      <c r="AJ221" s="33" t="s">
        <v>26</v>
      </c>
      <c r="AK221" s="33" t="s">
        <v>24</v>
      </c>
      <c r="AL221" s="27"/>
      <c r="AM221" s="34" t="s">
        <v>25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8" customHeight="1" x14ac:dyDescent="0.3">
      <c r="A222" s="39">
        <v>218</v>
      </c>
      <c r="B222" s="40" t="s">
        <v>2283</v>
      </c>
      <c r="C222" s="41" t="s">
        <v>2284</v>
      </c>
      <c r="D222" s="39" t="s">
        <v>1850</v>
      </c>
      <c r="E222" s="43">
        <v>46125</v>
      </c>
      <c r="F222" s="26" t="s">
        <v>23</v>
      </c>
      <c r="G222" s="26" t="s">
        <v>24</v>
      </c>
      <c r="H222" s="26" t="s">
        <v>25</v>
      </c>
      <c r="I222" s="26" t="s">
        <v>26</v>
      </c>
      <c r="J222" s="26" t="s">
        <v>24</v>
      </c>
      <c r="K222" s="27"/>
      <c r="L222" s="28" t="s">
        <v>25</v>
      </c>
      <c r="M222" s="29" t="str">
        <f t="shared" si="15"/>
        <v>✓ OK</v>
      </c>
      <c r="N222" s="43">
        <v>46193</v>
      </c>
      <c r="O222" s="26" t="s">
        <v>23</v>
      </c>
      <c r="P222" s="26" t="s">
        <v>24</v>
      </c>
      <c r="Q222" s="26" t="s">
        <v>25</v>
      </c>
      <c r="R222" s="26" t="s">
        <v>26</v>
      </c>
      <c r="S222" s="26" t="s">
        <v>24</v>
      </c>
      <c r="T222" s="27"/>
      <c r="U222" s="28" t="s">
        <v>25</v>
      </c>
      <c r="V222" s="29" t="str">
        <f t="shared" si="16"/>
        <v>✓ OK</v>
      </c>
      <c r="W222" s="45">
        <v>46248</v>
      </c>
      <c r="X222" s="30" t="s">
        <v>23</v>
      </c>
      <c r="Y222" s="30" t="s">
        <v>24</v>
      </c>
      <c r="Z222" s="30" t="s">
        <v>25</v>
      </c>
      <c r="AA222" s="30" t="s">
        <v>26</v>
      </c>
      <c r="AB222" s="30" t="s">
        <v>24</v>
      </c>
      <c r="AC222" s="27"/>
      <c r="AD222" s="31" t="s">
        <v>25</v>
      </c>
      <c r="AE222" s="32" t="str">
        <f t="shared" si="17"/>
        <v>✓ OK</v>
      </c>
      <c r="AF222" s="33" t="s">
        <v>27</v>
      </c>
      <c r="AG222" s="33" t="s">
        <v>23</v>
      </c>
      <c r="AH222" s="33" t="s">
        <v>24</v>
      </c>
      <c r="AI222" s="33" t="s">
        <v>25</v>
      </c>
      <c r="AJ222" s="33" t="s">
        <v>26</v>
      </c>
      <c r="AK222" s="33" t="s">
        <v>24</v>
      </c>
      <c r="AL222" s="27"/>
      <c r="AM222" s="34" t="s">
        <v>25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8" customHeight="1" x14ac:dyDescent="0.3">
      <c r="A223" s="23">
        <v>219</v>
      </c>
      <c r="B223" s="24" t="s">
        <v>2285</v>
      </c>
      <c r="C223" s="25" t="s">
        <v>2286</v>
      </c>
      <c r="D223" s="23" t="s">
        <v>1850</v>
      </c>
      <c r="E223" s="43">
        <v>46125</v>
      </c>
      <c r="F223" s="26" t="s">
        <v>23</v>
      </c>
      <c r="G223" s="26" t="s">
        <v>24</v>
      </c>
      <c r="H223" s="26" t="s">
        <v>25</v>
      </c>
      <c r="I223" s="26" t="s">
        <v>26</v>
      </c>
      <c r="J223" s="26" t="s">
        <v>24</v>
      </c>
      <c r="K223" s="27"/>
      <c r="L223" s="28" t="s">
        <v>25</v>
      </c>
      <c r="M223" s="29" t="str">
        <f t="shared" si="15"/>
        <v>✓ OK</v>
      </c>
      <c r="N223" s="43">
        <v>46193</v>
      </c>
      <c r="O223" s="26" t="s">
        <v>23</v>
      </c>
      <c r="P223" s="26" t="s">
        <v>24</v>
      </c>
      <c r="Q223" s="26" t="s">
        <v>25</v>
      </c>
      <c r="R223" s="26" t="s">
        <v>26</v>
      </c>
      <c r="S223" s="26" t="s">
        <v>24</v>
      </c>
      <c r="T223" s="27"/>
      <c r="U223" s="28" t="s">
        <v>25</v>
      </c>
      <c r="V223" s="29" t="str">
        <f t="shared" si="16"/>
        <v>✓ OK</v>
      </c>
      <c r="W223" s="45">
        <v>46248</v>
      </c>
      <c r="X223" s="30" t="s">
        <v>23</v>
      </c>
      <c r="Y223" s="30" t="s">
        <v>24</v>
      </c>
      <c r="Z223" s="30" t="s">
        <v>25</v>
      </c>
      <c r="AA223" s="30" t="s">
        <v>26</v>
      </c>
      <c r="AB223" s="30" t="s">
        <v>24</v>
      </c>
      <c r="AC223" s="27"/>
      <c r="AD223" s="31" t="s">
        <v>25</v>
      </c>
      <c r="AE223" s="32" t="str">
        <f t="shared" si="17"/>
        <v>✓ OK</v>
      </c>
      <c r="AF223" s="33" t="s">
        <v>27</v>
      </c>
      <c r="AG223" s="33" t="s">
        <v>23</v>
      </c>
      <c r="AH223" s="33" t="s">
        <v>24</v>
      </c>
      <c r="AI223" s="33" t="s">
        <v>25</v>
      </c>
      <c r="AJ223" s="33" t="s">
        <v>26</v>
      </c>
      <c r="AK223" s="33" t="s">
        <v>24</v>
      </c>
      <c r="AL223" s="27"/>
      <c r="AM223" s="34" t="s">
        <v>25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8" customHeight="1" x14ac:dyDescent="0.3">
      <c r="A224" s="39">
        <v>220</v>
      </c>
      <c r="B224" s="40" t="s">
        <v>2287</v>
      </c>
      <c r="C224" s="41" t="s">
        <v>2288</v>
      </c>
      <c r="D224" s="39" t="s">
        <v>1850</v>
      </c>
      <c r="E224" s="43">
        <v>46125</v>
      </c>
      <c r="F224" s="26" t="s">
        <v>23</v>
      </c>
      <c r="G224" s="26" t="s">
        <v>24</v>
      </c>
      <c r="H224" s="26" t="s">
        <v>25</v>
      </c>
      <c r="I224" s="26" t="s">
        <v>26</v>
      </c>
      <c r="J224" s="26" t="s">
        <v>24</v>
      </c>
      <c r="K224" s="27"/>
      <c r="L224" s="28" t="s">
        <v>25</v>
      </c>
      <c r="M224" s="29" t="str">
        <f t="shared" si="15"/>
        <v>✓ OK</v>
      </c>
      <c r="N224" s="43">
        <v>46193</v>
      </c>
      <c r="O224" s="26" t="s">
        <v>23</v>
      </c>
      <c r="P224" s="26" t="s">
        <v>24</v>
      </c>
      <c r="Q224" s="26" t="s">
        <v>25</v>
      </c>
      <c r="R224" s="26" t="s">
        <v>26</v>
      </c>
      <c r="S224" s="26" t="s">
        <v>24</v>
      </c>
      <c r="T224" s="27"/>
      <c r="U224" s="28" t="s">
        <v>25</v>
      </c>
      <c r="V224" s="29" t="str">
        <f t="shared" si="16"/>
        <v>✓ OK</v>
      </c>
      <c r="W224" s="45">
        <v>46248</v>
      </c>
      <c r="X224" s="30" t="s">
        <v>23</v>
      </c>
      <c r="Y224" s="30" t="s">
        <v>24</v>
      </c>
      <c r="Z224" s="30" t="s">
        <v>25</v>
      </c>
      <c r="AA224" s="30" t="s">
        <v>26</v>
      </c>
      <c r="AB224" s="30" t="s">
        <v>24</v>
      </c>
      <c r="AC224" s="27"/>
      <c r="AD224" s="31" t="s">
        <v>25</v>
      </c>
      <c r="AE224" s="32" t="str">
        <f t="shared" si="17"/>
        <v>✓ OK</v>
      </c>
      <c r="AF224" s="33" t="s">
        <v>27</v>
      </c>
      <c r="AG224" s="33" t="s">
        <v>23</v>
      </c>
      <c r="AH224" s="33" t="s">
        <v>24</v>
      </c>
      <c r="AI224" s="33" t="s">
        <v>25</v>
      </c>
      <c r="AJ224" s="33" t="s">
        <v>26</v>
      </c>
      <c r="AK224" s="33" t="s">
        <v>24</v>
      </c>
      <c r="AL224" s="27"/>
      <c r="AM224" s="34" t="s">
        <v>25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8" customHeight="1" x14ac:dyDescent="0.3">
      <c r="A225" s="23">
        <v>221</v>
      </c>
      <c r="B225" s="24" t="s">
        <v>2289</v>
      </c>
      <c r="C225" s="25" t="s">
        <v>2290</v>
      </c>
      <c r="D225" s="23" t="s">
        <v>1850</v>
      </c>
      <c r="E225" s="43">
        <v>46125</v>
      </c>
      <c r="F225" s="26" t="s">
        <v>23</v>
      </c>
      <c r="G225" s="26" t="s">
        <v>24</v>
      </c>
      <c r="H225" s="26" t="s">
        <v>25</v>
      </c>
      <c r="I225" s="26" t="s">
        <v>26</v>
      </c>
      <c r="J225" s="26" t="s">
        <v>24</v>
      </c>
      <c r="K225" s="27"/>
      <c r="L225" s="28" t="s">
        <v>25</v>
      </c>
      <c r="M225" s="29" t="str">
        <f t="shared" si="15"/>
        <v>✓ OK</v>
      </c>
      <c r="N225" s="43">
        <v>46193</v>
      </c>
      <c r="O225" s="26" t="s">
        <v>23</v>
      </c>
      <c r="P225" s="26" t="s">
        <v>24</v>
      </c>
      <c r="Q225" s="26" t="s">
        <v>25</v>
      </c>
      <c r="R225" s="26" t="s">
        <v>26</v>
      </c>
      <c r="S225" s="26" t="s">
        <v>24</v>
      </c>
      <c r="T225" s="27"/>
      <c r="U225" s="28" t="s">
        <v>25</v>
      </c>
      <c r="V225" s="29" t="str">
        <f t="shared" si="16"/>
        <v>✓ OK</v>
      </c>
      <c r="W225" s="45">
        <v>46248</v>
      </c>
      <c r="X225" s="30" t="s">
        <v>23</v>
      </c>
      <c r="Y225" s="30" t="s">
        <v>24</v>
      </c>
      <c r="Z225" s="30" t="s">
        <v>25</v>
      </c>
      <c r="AA225" s="30" t="s">
        <v>26</v>
      </c>
      <c r="AB225" s="30" t="s">
        <v>24</v>
      </c>
      <c r="AC225" s="27"/>
      <c r="AD225" s="31" t="s">
        <v>25</v>
      </c>
      <c r="AE225" s="32" t="str">
        <f t="shared" si="17"/>
        <v>✓ OK</v>
      </c>
      <c r="AF225" s="33" t="s">
        <v>27</v>
      </c>
      <c r="AG225" s="33" t="s">
        <v>23</v>
      </c>
      <c r="AH225" s="33" t="s">
        <v>24</v>
      </c>
      <c r="AI225" s="33" t="s">
        <v>25</v>
      </c>
      <c r="AJ225" s="33" t="s">
        <v>26</v>
      </c>
      <c r="AK225" s="33" t="s">
        <v>24</v>
      </c>
      <c r="AL225" s="27"/>
      <c r="AM225" s="34" t="s">
        <v>25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8" customHeight="1" x14ac:dyDescent="0.3">
      <c r="A226" s="39">
        <v>222</v>
      </c>
      <c r="B226" s="40" t="s">
        <v>2291</v>
      </c>
      <c r="C226" s="41" t="s">
        <v>2292</v>
      </c>
      <c r="D226" s="39" t="s">
        <v>1850</v>
      </c>
      <c r="E226" s="43">
        <v>46125</v>
      </c>
      <c r="F226" s="26" t="s">
        <v>23</v>
      </c>
      <c r="G226" s="26" t="s">
        <v>24</v>
      </c>
      <c r="H226" s="26" t="s">
        <v>25</v>
      </c>
      <c r="I226" s="26" t="s">
        <v>26</v>
      </c>
      <c r="J226" s="26" t="s">
        <v>24</v>
      </c>
      <c r="K226" s="27"/>
      <c r="L226" s="28" t="s">
        <v>25</v>
      </c>
      <c r="M226" s="29" t="str">
        <f t="shared" si="15"/>
        <v>✓ OK</v>
      </c>
      <c r="N226" s="43">
        <v>46193</v>
      </c>
      <c r="O226" s="26" t="s">
        <v>23</v>
      </c>
      <c r="P226" s="26" t="s">
        <v>24</v>
      </c>
      <c r="Q226" s="26" t="s">
        <v>25</v>
      </c>
      <c r="R226" s="26" t="s">
        <v>26</v>
      </c>
      <c r="S226" s="26" t="s">
        <v>24</v>
      </c>
      <c r="T226" s="27"/>
      <c r="U226" s="28" t="s">
        <v>25</v>
      </c>
      <c r="V226" s="29" t="str">
        <f t="shared" si="16"/>
        <v>✓ OK</v>
      </c>
      <c r="W226" s="45">
        <v>46248</v>
      </c>
      <c r="X226" s="30" t="s">
        <v>23</v>
      </c>
      <c r="Y226" s="30" t="s">
        <v>24</v>
      </c>
      <c r="Z226" s="30" t="s">
        <v>25</v>
      </c>
      <c r="AA226" s="30" t="s">
        <v>26</v>
      </c>
      <c r="AB226" s="30" t="s">
        <v>24</v>
      </c>
      <c r="AC226" s="27"/>
      <c r="AD226" s="31" t="s">
        <v>25</v>
      </c>
      <c r="AE226" s="32" t="str">
        <f t="shared" si="17"/>
        <v>✓ OK</v>
      </c>
      <c r="AF226" s="33" t="s">
        <v>27</v>
      </c>
      <c r="AG226" s="33" t="s">
        <v>23</v>
      </c>
      <c r="AH226" s="33" t="s">
        <v>24</v>
      </c>
      <c r="AI226" s="33" t="s">
        <v>25</v>
      </c>
      <c r="AJ226" s="33" t="s">
        <v>26</v>
      </c>
      <c r="AK226" s="33" t="s">
        <v>24</v>
      </c>
      <c r="AL226" s="27"/>
      <c r="AM226" s="34" t="s">
        <v>25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8" customHeight="1" x14ac:dyDescent="0.3">
      <c r="A227" s="23">
        <v>223</v>
      </c>
      <c r="B227" s="24" t="s">
        <v>2293</v>
      </c>
      <c r="C227" s="25" t="s">
        <v>2294</v>
      </c>
      <c r="D227" s="23" t="s">
        <v>1850</v>
      </c>
      <c r="E227" s="43">
        <v>46125</v>
      </c>
      <c r="F227" s="26" t="s">
        <v>23</v>
      </c>
      <c r="G227" s="26" t="s">
        <v>24</v>
      </c>
      <c r="H227" s="26" t="s">
        <v>25</v>
      </c>
      <c r="I227" s="26" t="s">
        <v>26</v>
      </c>
      <c r="J227" s="26" t="s">
        <v>24</v>
      </c>
      <c r="K227" s="27"/>
      <c r="L227" s="28" t="s">
        <v>25</v>
      </c>
      <c r="M227" s="29" t="str">
        <f t="shared" si="15"/>
        <v>✓ OK</v>
      </c>
      <c r="N227" s="43">
        <v>46193</v>
      </c>
      <c r="O227" s="26" t="s">
        <v>23</v>
      </c>
      <c r="P227" s="26" t="s">
        <v>24</v>
      </c>
      <c r="Q227" s="26" t="s">
        <v>25</v>
      </c>
      <c r="R227" s="26" t="s">
        <v>26</v>
      </c>
      <c r="S227" s="26" t="s">
        <v>24</v>
      </c>
      <c r="T227" s="27"/>
      <c r="U227" s="28" t="s">
        <v>25</v>
      </c>
      <c r="V227" s="29" t="str">
        <f t="shared" si="16"/>
        <v>✓ OK</v>
      </c>
      <c r="W227" s="45">
        <v>46248</v>
      </c>
      <c r="X227" s="30" t="s">
        <v>23</v>
      </c>
      <c r="Y227" s="30" t="s">
        <v>24</v>
      </c>
      <c r="Z227" s="30" t="s">
        <v>25</v>
      </c>
      <c r="AA227" s="30" t="s">
        <v>26</v>
      </c>
      <c r="AB227" s="30" t="s">
        <v>24</v>
      </c>
      <c r="AC227" s="27"/>
      <c r="AD227" s="31" t="s">
        <v>25</v>
      </c>
      <c r="AE227" s="32" t="str">
        <f t="shared" si="17"/>
        <v>✓ OK</v>
      </c>
      <c r="AF227" s="33" t="s">
        <v>27</v>
      </c>
      <c r="AG227" s="33" t="s">
        <v>23</v>
      </c>
      <c r="AH227" s="33" t="s">
        <v>24</v>
      </c>
      <c r="AI227" s="33" t="s">
        <v>25</v>
      </c>
      <c r="AJ227" s="33" t="s">
        <v>26</v>
      </c>
      <c r="AK227" s="33" t="s">
        <v>24</v>
      </c>
      <c r="AL227" s="27"/>
      <c r="AM227" s="34" t="s">
        <v>25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8" customHeight="1" x14ac:dyDescent="0.3">
      <c r="A228" s="39">
        <v>224</v>
      </c>
      <c r="B228" s="40" t="s">
        <v>2295</v>
      </c>
      <c r="C228" s="41" t="s">
        <v>2296</v>
      </c>
      <c r="D228" s="39" t="s">
        <v>1850</v>
      </c>
      <c r="E228" s="43">
        <v>46125</v>
      </c>
      <c r="F228" s="26" t="s">
        <v>23</v>
      </c>
      <c r="G228" s="26" t="s">
        <v>24</v>
      </c>
      <c r="H228" s="26" t="s">
        <v>25</v>
      </c>
      <c r="I228" s="26" t="s">
        <v>26</v>
      </c>
      <c r="J228" s="26" t="s">
        <v>24</v>
      </c>
      <c r="K228" s="27"/>
      <c r="L228" s="28" t="s">
        <v>25</v>
      </c>
      <c r="M228" s="29" t="str">
        <f t="shared" si="15"/>
        <v>✓ OK</v>
      </c>
      <c r="N228" s="43">
        <v>46193</v>
      </c>
      <c r="O228" s="26" t="s">
        <v>23</v>
      </c>
      <c r="P228" s="26" t="s">
        <v>24</v>
      </c>
      <c r="Q228" s="26" t="s">
        <v>25</v>
      </c>
      <c r="R228" s="26" t="s">
        <v>26</v>
      </c>
      <c r="S228" s="26" t="s">
        <v>24</v>
      </c>
      <c r="T228" s="27"/>
      <c r="U228" s="28" t="s">
        <v>25</v>
      </c>
      <c r="V228" s="29" t="str">
        <f t="shared" si="16"/>
        <v>✓ OK</v>
      </c>
      <c r="W228" s="45">
        <v>46248</v>
      </c>
      <c r="X228" s="30" t="s">
        <v>23</v>
      </c>
      <c r="Y228" s="30" t="s">
        <v>24</v>
      </c>
      <c r="Z228" s="30" t="s">
        <v>25</v>
      </c>
      <c r="AA228" s="30" t="s">
        <v>26</v>
      </c>
      <c r="AB228" s="30" t="s">
        <v>24</v>
      </c>
      <c r="AC228" s="27"/>
      <c r="AD228" s="31" t="s">
        <v>25</v>
      </c>
      <c r="AE228" s="32" t="str">
        <f t="shared" si="17"/>
        <v>✓ OK</v>
      </c>
      <c r="AF228" s="33" t="s">
        <v>27</v>
      </c>
      <c r="AG228" s="33" t="s">
        <v>23</v>
      </c>
      <c r="AH228" s="33" t="s">
        <v>24</v>
      </c>
      <c r="AI228" s="33" t="s">
        <v>25</v>
      </c>
      <c r="AJ228" s="33" t="s">
        <v>26</v>
      </c>
      <c r="AK228" s="33" t="s">
        <v>24</v>
      </c>
      <c r="AL228" s="27"/>
      <c r="AM228" s="34" t="s">
        <v>25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8" customHeight="1" x14ac:dyDescent="0.3">
      <c r="A229" s="23">
        <v>225</v>
      </c>
      <c r="B229" s="24" t="s">
        <v>2297</v>
      </c>
      <c r="C229" s="25" t="s">
        <v>2298</v>
      </c>
      <c r="D229" s="23" t="s">
        <v>1850</v>
      </c>
      <c r="E229" s="43">
        <v>46125</v>
      </c>
      <c r="F229" s="26" t="s">
        <v>23</v>
      </c>
      <c r="G229" s="26" t="s">
        <v>24</v>
      </c>
      <c r="H229" s="26" t="s">
        <v>25</v>
      </c>
      <c r="I229" s="26" t="s">
        <v>26</v>
      </c>
      <c r="J229" s="26" t="s">
        <v>24</v>
      </c>
      <c r="K229" s="27"/>
      <c r="L229" s="28" t="s">
        <v>25</v>
      </c>
      <c r="M229" s="29" t="str">
        <f t="shared" si="15"/>
        <v>✓ OK</v>
      </c>
      <c r="N229" s="43">
        <v>46193</v>
      </c>
      <c r="O229" s="26" t="s">
        <v>23</v>
      </c>
      <c r="P229" s="26" t="s">
        <v>24</v>
      </c>
      <c r="Q229" s="26" t="s">
        <v>25</v>
      </c>
      <c r="R229" s="26" t="s">
        <v>26</v>
      </c>
      <c r="S229" s="26" t="s">
        <v>24</v>
      </c>
      <c r="T229" s="27"/>
      <c r="U229" s="28" t="s">
        <v>25</v>
      </c>
      <c r="V229" s="29" t="str">
        <f t="shared" si="16"/>
        <v>✓ OK</v>
      </c>
      <c r="W229" s="45">
        <v>46248</v>
      </c>
      <c r="X229" s="30" t="s">
        <v>23</v>
      </c>
      <c r="Y229" s="30" t="s">
        <v>24</v>
      </c>
      <c r="Z229" s="30" t="s">
        <v>25</v>
      </c>
      <c r="AA229" s="30" t="s">
        <v>26</v>
      </c>
      <c r="AB229" s="30" t="s">
        <v>24</v>
      </c>
      <c r="AC229" s="27"/>
      <c r="AD229" s="31" t="s">
        <v>25</v>
      </c>
      <c r="AE229" s="32" t="str">
        <f t="shared" si="17"/>
        <v>✓ OK</v>
      </c>
      <c r="AF229" s="33" t="s">
        <v>27</v>
      </c>
      <c r="AG229" s="33" t="s">
        <v>23</v>
      </c>
      <c r="AH229" s="33" t="s">
        <v>24</v>
      </c>
      <c r="AI229" s="33" t="s">
        <v>25</v>
      </c>
      <c r="AJ229" s="33" t="s">
        <v>26</v>
      </c>
      <c r="AK229" s="33" t="s">
        <v>24</v>
      </c>
      <c r="AL229" s="27"/>
      <c r="AM229" s="34" t="s">
        <v>25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8" customHeight="1" x14ac:dyDescent="0.3">
      <c r="A230" s="39">
        <v>226</v>
      </c>
      <c r="B230" s="40" t="s">
        <v>2299</v>
      </c>
      <c r="C230" s="41" t="s">
        <v>2300</v>
      </c>
      <c r="D230" s="39" t="s">
        <v>1850</v>
      </c>
      <c r="E230" s="43">
        <v>46125</v>
      </c>
      <c r="F230" s="26" t="s">
        <v>23</v>
      </c>
      <c r="G230" s="26" t="s">
        <v>24</v>
      </c>
      <c r="H230" s="26" t="s">
        <v>25</v>
      </c>
      <c r="I230" s="26" t="s">
        <v>26</v>
      </c>
      <c r="J230" s="26" t="s">
        <v>24</v>
      </c>
      <c r="K230" s="27"/>
      <c r="L230" s="28" t="s">
        <v>25</v>
      </c>
      <c r="M230" s="29" t="str">
        <f t="shared" si="15"/>
        <v>✓ OK</v>
      </c>
      <c r="N230" s="43">
        <v>46193</v>
      </c>
      <c r="O230" s="26" t="s">
        <v>23</v>
      </c>
      <c r="P230" s="26" t="s">
        <v>24</v>
      </c>
      <c r="Q230" s="26" t="s">
        <v>25</v>
      </c>
      <c r="R230" s="26" t="s">
        <v>26</v>
      </c>
      <c r="S230" s="26" t="s">
        <v>24</v>
      </c>
      <c r="T230" s="27"/>
      <c r="U230" s="28" t="s">
        <v>25</v>
      </c>
      <c r="V230" s="29" t="str">
        <f t="shared" si="16"/>
        <v>✓ OK</v>
      </c>
      <c r="W230" s="45">
        <v>46248</v>
      </c>
      <c r="X230" s="30" t="s">
        <v>23</v>
      </c>
      <c r="Y230" s="30" t="s">
        <v>24</v>
      </c>
      <c r="Z230" s="30" t="s">
        <v>25</v>
      </c>
      <c r="AA230" s="30" t="s">
        <v>26</v>
      </c>
      <c r="AB230" s="30" t="s">
        <v>24</v>
      </c>
      <c r="AC230" s="27"/>
      <c r="AD230" s="31" t="s">
        <v>25</v>
      </c>
      <c r="AE230" s="32" t="str">
        <f t="shared" si="17"/>
        <v>✓ OK</v>
      </c>
      <c r="AF230" s="33" t="s">
        <v>27</v>
      </c>
      <c r="AG230" s="33" t="s">
        <v>23</v>
      </c>
      <c r="AH230" s="33" t="s">
        <v>24</v>
      </c>
      <c r="AI230" s="33" t="s">
        <v>25</v>
      </c>
      <c r="AJ230" s="33" t="s">
        <v>26</v>
      </c>
      <c r="AK230" s="33" t="s">
        <v>24</v>
      </c>
      <c r="AL230" s="27"/>
      <c r="AM230" s="34" t="s">
        <v>25</v>
      </c>
      <c r="AN230" s="35" t="str">
        <f t="shared" si="18"/>
        <v>✓ OK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8" customHeight="1" x14ac:dyDescent="0.3">
      <c r="A231" s="23">
        <v>227</v>
      </c>
      <c r="B231" s="24" t="s">
        <v>2301</v>
      </c>
      <c r="C231" s="25" t="s">
        <v>2302</v>
      </c>
      <c r="D231" s="23" t="s">
        <v>1850</v>
      </c>
      <c r="E231" s="43">
        <v>46125</v>
      </c>
      <c r="F231" s="26" t="s">
        <v>23</v>
      </c>
      <c r="G231" s="26" t="s">
        <v>24</v>
      </c>
      <c r="H231" s="26" t="s">
        <v>25</v>
      </c>
      <c r="I231" s="26" t="s">
        <v>26</v>
      </c>
      <c r="J231" s="26" t="s">
        <v>24</v>
      </c>
      <c r="K231" s="27"/>
      <c r="L231" s="28" t="s">
        <v>25</v>
      </c>
      <c r="M231" s="29" t="str">
        <f t="shared" si="15"/>
        <v>✓ OK</v>
      </c>
      <c r="N231" s="43">
        <v>46193</v>
      </c>
      <c r="O231" s="26" t="s">
        <v>23</v>
      </c>
      <c r="P231" s="26" t="s">
        <v>24</v>
      </c>
      <c r="Q231" s="26" t="s">
        <v>25</v>
      </c>
      <c r="R231" s="26" t="s">
        <v>26</v>
      </c>
      <c r="S231" s="26" t="s">
        <v>24</v>
      </c>
      <c r="T231" s="27"/>
      <c r="U231" s="28" t="s">
        <v>25</v>
      </c>
      <c r="V231" s="29" t="str">
        <f t="shared" si="16"/>
        <v>✓ OK</v>
      </c>
      <c r="W231" s="45">
        <v>46248</v>
      </c>
      <c r="X231" s="30" t="s">
        <v>23</v>
      </c>
      <c r="Y231" s="30" t="s">
        <v>24</v>
      </c>
      <c r="Z231" s="30" t="s">
        <v>25</v>
      </c>
      <c r="AA231" s="30" t="s">
        <v>26</v>
      </c>
      <c r="AB231" s="30" t="s">
        <v>24</v>
      </c>
      <c r="AC231" s="27"/>
      <c r="AD231" s="31" t="s">
        <v>25</v>
      </c>
      <c r="AE231" s="32" t="str">
        <f t="shared" si="17"/>
        <v>✓ OK</v>
      </c>
      <c r="AF231" s="33" t="s">
        <v>27</v>
      </c>
      <c r="AG231" s="33" t="s">
        <v>23</v>
      </c>
      <c r="AH231" s="33" t="s">
        <v>24</v>
      </c>
      <c r="AI231" s="33" t="s">
        <v>25</v>
      </c>
      <c r="AJ231" s="33" t="s">
        <v>26</v>
      </c>
      <c r="AK231" s="33" t="s">
        <v>24</v>
      </c>
      <c r="AL231" s="27"/>
      <c r="AM231" s="34" t="s">
        <v>25</v>
      </c>
      <c r="AN231" s="35" t="str">
        <f t="shared" si="18"/>
        <v>✓ OK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8" customHeight="1" x14ac:dyDescent="0.3">
      <c r="A232" s="39">
        <v>228</v>
      </c>
      <c r="B232" s="40" t="s">
        <v>2303</v>
      </c>
      <c r="C232" s="41" t="s">
        <v>2304</v>
      </c>
      <c r="D232" s="39" t="s">
        <v>1850</v>
      </c>
      <c r="E232" s="43">
        <v>46125</v>
      </c>
      <c r="F232" s="26" t="s">
        <v>23</v>
      </c>
      <c r="G232" s="26" t="s">
        <v>24</v>
      </c>
      <c r="H232" s="26" t="s">
        <v>25</v>
      </c>
      <c r="I232" s="26" t="s">
        <v>26</v>
      </c>
      <c r="J232" s="26" t="s">
        <v>24</v>
      </c>
      <c r="K232" s="27"/>
      <c r="L232" s="28" t="s">
        <v>25</v>
      </c>
      <c r="M232" s="29" t="str">
        <f t="shared" si="15"/>
        <v>✓ OK</v>
      </c>
      <c r="N232" s="43">
        <v>46193</v>
      </c>
      <c r="O232" s="26" t="s">
        <v>23</v>
      </c>
      <c r="P232" s="26" t="s">
        <v>24</v>
      </c>
      <c r="Q232" s="26" t="s">
        <v>25</v>
      </c>
      <c r="R232" s="26" t="s">
        <v>26</v>
      </c>
      <c r="S232" s="26" t="s">
        <v>24</v>
      </c>
      <c r="T232" s="27"/>
      <c r="U232" s="28" t="s">
        <v>25</v>
      </c>
      <c r="V232" s="29" t="str">
        <f t="shared" si="16"/>
        <v>✓ OK</v>
      </c>
      <c r="W232" s="45">
        <v>46248</v>
      </c>
      <c r="X232" s="30" t="s">
        <v>23</v>
      </c>
      <c r="Y232" s="30" t="s">
        <v>24</v>
      </c>
      <c r="Z232" s="30" t="s">
        <v>25</v>
      </c>
      <c r="AA232" s="30" t="s">
        <v>26</v>
      </c>
      <c r="AB232" s="30" t="s">
        <v>24</v>
      </c>
      <c r="AC232" s="27"/>
      <c r="AD232" s="31" t="s">
        <v>25</v>
      </c>
      <c r="AE232" s="32" t="str">
        <f t="shared" si="17"/>
        <v>✓ OK</v>
      </c>
      <c r="AF232" s="33" t="s">
        <v>27</v>
      </c>
      <c r="AG232" s="33" t="s">
        <v>23</v>
      </c>
      <c r="AH232" s="33" t="s">
        <v>24</v>
      </c>
      <c r="AI232" s="33" t="s">
        <v>25</v>
      </c>
      <c r="AJ232" s="33" t="s">
        <v>26</v>
      </c>
      <c r="AK232" s="33" t="s">
        <v>24</v>
      </c>
      <c r="AL232" s="27"/>
      <c r="AM232" s="34" t="s">
        <v>25</v>
      </c>
      <c r="AN232" s="35" t="str">
        <f t="shared" si="18"/>
        <v>✓ OK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8" customHeight="1" x14ac:dyDescent="0.3">
      <c r="A233" s="23">
        <v>229</v>
      </c>
      <c r="B233" s="24" t="s">
        <v>2305</v>
      </c>
      <c r="C233" s="25" t="s">
        <v>2306</v>
      </c>
      <c r="D233" s="23" t="s">
        <v>1850</v>
      </c>
      <c r="E233" s="43">
        <v>46125</v>
      </c>
      <c r="F233" s="26" t="s">
        <v>23</v>
      </c>
      <c r="G233" s="26" t="s">
        <v>24</v>
      </c>
      <c r="H233" s="26" t="s">
        <v>25</v>
      </c>
      <c r="I233" s="26" t="s">
        <v>26</v>
      </c>
      <c r="J233" s="26" t="s">
        <v>24</v>
      </c>
      <c r="K233" s="27"/>
      <c r="L233" s="28" t="s">
        <v>25</v>
      </c>
      <c r="M233" s="29" t="str">
        <f t="shared" si="15"/>
        <v>✓ OK</v>
      </c>
      <c r="N233" s="43">
        <v>46193</v>
      </c>
      <c r="O233" s="26" t="s">
        <v>23</v>
      </c>
      <c r="P233" s="26" t="s">
        <v>24</v>
      </c>
      <c r="Q233" s="26" t="s">
        <v>25</v>
      </c>
      <c r="R233" s="26" t="s">
        <v>26</v>
      </c>
      <c r="S233" s="26" t="s">
        <v>24</v>
      </c>
      <c r="T233" s="27"/>
      <c r="U233" s="28" t="s">
        <v>25</v>
      </c>
      <c r="V233" s="29" t="str">
        <f t="shared" si="16"/>
        <v>✓ OK</v>
      </c>
      <c r="W233" s="45">
        <v>46248</v>
      </c>
      <c r="X233" s="30" t="s">
        <v>23</v>
      </c>
      <c r="Y233" s="30" t="s">
        <v>24</v>
      </c>
      <c r="Z233" s="30" t="s">
        <v>25</v>
      </c>
      <c r="AA233" s="30" t="s">
        <v>26</v>
      </c>
      <c r="AB233" s="30" t="s">
        <v>24</v>
      </c>
      <c r="AC233" s="27"/>
      <c r="AD233" s="31" t="s">
        <v>25</v>
      </c>
      <c r="AE233" s="32" t="str">
        <f t="shared" si="17"/>
        <v>✓ OK</v>
      </c>
      <c r="AF233" s="33" t="s">
        <v>27</v>
      </c>
      <c r="AG233" s="33" t="s">
        <v>23</v>
      </c>
      <c r="AH233" s="33" t="s">
        <v>24</v>
      </c>
      <c r="AI233" s="33" t="s">
        <v>25</v>
      </c>
      <c r="AJ233" s="33" t="s">
        <v>26</v>
      </c>
      <c r="AK233" s="33" t="s">
        <v>24</v>
      </c>
      <c r="AL233" s="27"/>
      <c r="AM233" s="34" t="s">
        <v>25</v>
      </c>
      <c r="AN233" s="35" t="str">
        <f t="shared" si="18"/>
        <v>✓ OK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8" customHeight="1" x14ac:dyDescent="0.3">
      <c r="A234" s="39">
        <v>230</v>
      </c>
      <c r="B234" s="40" t="s">
        <v>2307</v>
      </c>
      <c r="C234" s="41" t="s">
        <v>2308</v>
      </c>
      <c r="D234" s="39" t="s">
        <v>1850</v>
      </c>
      <c r="E234" s="43">
        <v>46125</v>
      </c>
      <c r="F234" s="26" t="s">
        <v>23</v>
      </c>
      <c r="G234" s="26" t="s">
        <v>24</v>
      </c>
      <c r="H234" s="26" t="s">
        <v>25</v>
      </c>
      <c r="I234" s="26" t="s">
        <v>26</v>
      </c>
      <c r="J234" s="26" t="s">
        <v>24</v>
      </c>
      <c r="K234" s="27"/>
      <c r="L234" s="28" t="s">
        <v>25</v>
      </c>
      <c r="M234" s="29" t="str">
        <f t="shared" si="15"/>
        <v>✓ OK</v>
      </c>
      <c r="N234" s="43">
        <v>46193</v>
      </c>
      <c r="O234" s="26" t="s">
        <v>23</v>
      </c>
      <c r="P234" s="26" t="s">
        <v>24</v>
      </c>
      <c r="Q234" s="26" t="s">
        <v>25</v>
      </c>
      <c r="R234" s="26" t="s">
        <v>26</v>
      </c>
      <c r="S234" s="26" t="s">
        <v>24</v>
      </c>
      <c r="T234" s="27"/>
      <c r="U234" s="28" t="s">
        <v>25</v>
      </c>
      <c r="V234" s="29" t="str">
        <f t="shared" si="16"/>
        <v>✓ OK</v>
      </c>
      <c r="W234" s="45">
        <v>46248</v>
      </c>
      <c r="X234" s="30" t="s">
        <v>23</v>
      </c>
      <c r="Y234" s="30" t="s">
        <v>24</v>
      </c>
      <c r="Z234" s="30" t="s">
        <v>25</v>
      </c>
      <c r="AA234" s="30" t="s">
        <v>26</v>
      </c>
      <c r="AB234" s="30" t="s">
        <v>24</v>
      </c>
      <c r="AC234" s="27"/>
      <c r="AD234" s="31" t="s">
        <v>25</v>
      </c>
      <c r="AE234" s="32" t="str">
        <f t="shared" si="17"/>
        <v>✓ OK</v>
      </c>
      <c r="AF234" s="33" t="s">
        <v>27</v>
      </c>
      <c r="AG234" s="33" t="s">
        <v>23</v>
      </c>
      <c r="AH234" s="33" t="s">
        <v>24</v>
      </c>
      <c r="AI234" s="33" t="s">
        <v>25</v>
      </c>
      <c r="AJ234" s="33" t="s">
        <v>26</v>
      </c>
      <c r="AK234" s="33" t="s">
        <v>24</v>
      </c>
      <c r="AL234" s="27"/>
      <c r="AM234" s="34" t="s">
        <v>25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8" customHeight="1" x14ac:dyDescent="0.3">
      <c r="A235" s="23">
        <v>231</v>
      </c>
      <c r="B235" s="24" t="s">
        <v>2309</v>
      </c>
      <c r="C235" s="25" t="s">
        <v>2310</v>
      </c>
      <c r="D235" s="23" t="s">
        <v>1850</v>
      </c>
      <c r="E235" s="43">
        <v>46125</v>
      </c>
      <c r="F235" s="26" t="s">
        <v>23</v>
      </c>
      <c r="G235" s="26" t="s">
        <v>24</v>
      </c>
      <c r="H235" s="26" t="s">
        <v>25</v>
      </c>
      <c r="I235" s="26" t="s">
        <v>26</v>
      </c>
      <c r="J235" s="26" t="s">
        <v>24</v>
      </c>
      <c r="K235" s="27"/>
      <c r="L235" s="28" t="s">
        <v>25</v>
      </c>
      <c r="M235" s="29" t="str">
        <f t="shared" si="15"/>
        <v>✓ OK</v>
      </c>
      <c r="N235" s="43">
        <v>46193</v>
      </c>
      <c r="O235" s="26" t="s">
        <v>23</v>
      </c>
      <c r="P235" s="26" t="s">
        <v>24</v>
      </c>
      <c r="Q235" s="26" t="s">
        <v>25</v>
      </c>
      <c r="R235" s="26" t="s">
        <v>26</v>
      </c>
      <c r="S235" s="26" t="s">
        <v>24</v>
      </c>
      <c r="T235" s="27"/>
      <c r="U235" s="28" t="s">
        <v>25</v>
      </c>
      <c r="V235" s="29" t="str">
        <f t="shared" si="16"/>
        <v>✓ OK</v>
      </c>
      <c r="W235" s="45">
        <v>46248</v>
      </c>
      <c r="X235" s="30" t="s">
        <v>23</v>
      </c>
      <c r="Y235" s="30" t="s">
        <v>24</v>
      </c>
      <c r="Z235" s="30" t="s">
        <v>25</v>
      </c>
      <c r="AA235" s="30" t="s">
        <v>26</v>
      </c>
      <c r="AB235" s="30" t="s">
        <v>24</v>
      </c>
      <c r="AC235" s="27"/>
      <c r="AD235" s="31" t="s">
        <v>25</v>
      </c>
      <c r="AE235" s="32" t="str">
        <f t="shared" si="17"/>
        <v>✓ OK</v>
      </c>
      <c r="AF235" s="33" t="s">
        <v>27</v>
      </c>
      <c r="AG235" s="33" t="s">
        <v>23</v>
      </c>
      <c r="AH235" s="33" t="s">
        <v>24</v>
      </c>
      <c r="AI235" s="33" t="s">
        <v>25</v>
      </c>
      <c r="AJ235" s="33" t="s">
        <v>26</v>
      </c>
      <c r="AK235" s="33" t="s">
        <v>24</v>
      </c>
      <c r="AL235" s="27"/>
      <c r="AM235" s="34" t="s">
        <v>25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8" customHeight="1" x14ac:dyDescent="0.3">
      <c r="A236" s="39">
        <v>232</v>
      </c>
      <c r="B236" s="40" t="s">
        <v>2311</v>
      </c>
      <c r="C236" s="41" t="s">
        <v>2312</v>
      </c>
      <c r="D236" s="39" t="s">
        <v>1850</v>
      </c>
      <c r="E236" s="43">
        <v>46125</v>
      </c>
      <c r="F236" s="26" t="s">
        <v>23</v>
      </c>
      <c r="G236" s="26" t="s">
        <v>24</v>
      </c>
      <c r="H236" s="26" t="s">
        <v>25</v>
      </c>
      <c r="I236" s="26" t="s">
        <v>26</v>
      </c>
      <c r="J236" s="26" t="s">
        <v>24</v>
      </c>
      <c r="K236" s="27"/>
      <c r="L236" s="28" t="s">
        <v>25</v>
      </c>
      <c r="M236" s="29" t="str">
        <f t="shared" si="15"/>
        <v>✓ OK</v>
      </c>
      <c r="N236" s="43">
        <v>46193</v>
      </c>
      <c r="O236" s="26" t="s">
        <v>23</v>
      </c>
      <c r="P236" s="26" t="s">
        <v>24</v>
      </c>
      <c r="Q236" s="26" t="s">
        <v>25</v>
      </c>
      <c r="R236" s="26" t="s">
        <v>26</v>
      </c>
      <c r="S236" s="26" t="s">
        <v>24</v>
      </c>
      <c r="T236" s="27"/>
      <c r="U236" s="28" t="s">
        <v>25</v>
      </c>
      <c r="V236" s="29" t="str">
        <f t="shared" si="16"/>
        <v>✓ OK</v>
      </c>
      <c r="W236" s="45">
        <v>46248</v>
      </c>
      <c r="X236" s="30" t="s">
        <v>23</v>
      </c>
      <c r="Y236" s="30" t="s">
        <v>24</v>
      </c>
      <c r="Z236" s="30" t="s">
        <v>25</v>
      </c>
      <c r="AA236" s="30" t="s">
        <v>26</v>
      </c>
      <c r="AB236" s="30" t="s">
        <v>24</v>
      </c>
      <c r="AC236" s="27"/>
      <c r="AD236" s="31" t="s">
        <v>25</v>
      </c>
      <c r="AE236" s="32" t="str">
        <f t="shared" si="17"/>
        <v>✓ OK</v>
      </c>
      <c r="AF236" s="33" t="s">
        <v>27</v>
      </c>
      <c r="AG236" s="33" t="s">
        <v>23</v>
      </c>
      <c r="AH236" s="33" t="s">
        <v>24</v>
      </c>
      <c r="AI236" s="33" t="s">
        <v>25</v>
      </c>
      <c r="AJ236" s="33" t="s">
        <v>26</v>
      </c>
      <c r="AK236" s="33" t="s">
        <v>24</v>
      </c>
      <c r="AL236" s="27"/>
      <c r="AM236" s="34" t="s">
        <v>25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8" customHeight="1" x14ac:dyDescent="0.3">
      <c r="A237" s="23">
        <v>233</v>
      </c>
      <c r="B237" s="24" t="s">
        <v>2313</v>
      </c>
      <c r="C237" s="25" t="s">
        <v>2314</v>
      </c>
      <c r="D237" s="23" t="s">
        <v>1850</v>
      </c>
      <c r="E237" s="43">
        <v>46125</v>
      </c>
      <c r="F237" s="26" t="s">
        <v>23</v>
      </c>
      <c r="G237" s="26" t="s">
        <v>24</v>
      </c>
      <c r="H237" s="26" t="s">
        <v>25</v>
      </c>
      <c r="I237" s="26" t="s">
        <v>26</v>
      </c>
      <c r="J237" s="26" t="s">
        <v>24</v>
      </c>
      <c r="K237" s="27"/>
      <c r="L237" s="28" t="s">
        <v>25</v>
      </c>
      <c r="M237" s="29" t="str">
        <f t="shared" si="15"/>
        <v>✓ OK</v>
      </c>
      <c r="N237" s="43">
        <v>46193</v>
      </c>
      <c r="O237" s="26" t="s">
        <v>23</v>
      </c>
      <c r="P237" s="26" t="s">
        <v>24</v>
      </c>
      <c r="Q237" s="26" t="s">
        <v>25</v>
      </c>
      <c r="R237" s="26" t="s">
        <v>26</v>
      </c>
      <c r="S237" s="26" t="s">
        <v>24</v>
      </c>
      <c r="T237" s="27"/>
      <c r="U237" s="28" t="s">
        <v>25</v>
      </c>
      <c r="V237" s="29" t="str">
        <f t="shared" si="16"/>
        <v>✓ OK</v>
      </c>
      <c r="W237" s="45">
        <v>46248</v>
      </c>
      <c r="X237" s="30" t="s">
        <v>23</v>
      </c>
      <c r="Y237" s="30" t="s">
        <v>24</v>
      </c>
      <c r="Z237" s="30" t="s">
        <v>25</v>
      </c>
      <c r="AA237" s="30" t="s">
        <v>26</v>
      </c>
      <c r="AB237" s="30" t="s">
        <v>24</v>
      </c>
      <c r="AC237" s="27"/>
      <c r="AD237" s="31" t="s">
        <v>25</v>
      </c>
      <c r="AE237" s="32" t="str">
        <f t="shared" si="17"/>
        <v>✓ OK</v>
      </c>
      <c r="AF237" s="33" t="s">
        <v>27</v>
      </c>
      <c r="AG237" s="33" t="s">
        <v>23</v>
      </c>
      <c r="AH237" s="33" t="s">
        <v>24</v>
      </c>
      <c r="AI237" s="33" t="s">
        <v>25</v>
      </c>
      <c r="AJ237" s="33" t="s">
        <v>26</v>
      </c>
      <c r="AK237" s="33" t="s">
        <v>24</v>
      </c>
      <c r="AL237" s="27"/>
      <c r="AM237" s="34" t="s">
        <v>25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8" customHeight="1" x14ac:dyDescent="0.3">
      <c r="A238" s="39">
        <v>234</v>
      </c>
      <c r="B238" s="40" t="s">
        <v>2315</v>
      </c>
      <c r="C238" s="41" t="s">
        <v>2316</v>
      </c>
      <c r="D238" s="39" t="s">
        <v>1850</v>
      </c>
      <c r="E238" s="43">
        <v>46125</v>
      </c>
      <c r="F238" s="26" t="s">
        <v>23</v>
      </c>
      <c r="G238" s="26" t="s">
        <v>24</v>
      </c>
      <c r="H238" s="26" t="s">
        <v>25</v>
      </c>
      <c r="I238" s="26" t="s">
        <v>26</v>
      </c>
      <c r="J238" s="26" t="s">
        <v>24</v>
      </c>
      <c r="K238" s="27"/>
      <c r="L238" s="28" t="s">
        <v>25</v>
      </c>
      <c r="M238" s="29" t="str">
        <f t="shared" si="15"/>
        <v>✓ OK</v>
      </c>
      <c r="N238" s="43">
        <v>46193</v>
      </c>
      <c r="O238" s="26" t="s">
        <v>23</v>
      </c>
      <c r="P238" s="26" t="s">
        <v>24</v>
      </c>
      <c r="Q238" s="26" t="s">
        <v>25</v>
      </c>
      <c r="R238" s="26" t="s">
        <v>26</v>
      </c>
      <c r="S238" s="26" t="s">
        <v>24</v>
      </c>
      <c r="T238" s="27"/>
      <c r="U238" s="28" t="s">
        <v>25</v>
      </c>
      <c r="V238" s="29" t="str">
        <f t="shared" si="16"/>
        <v>✓ OK</v>
      </c>
      <c r="W238" s="45">
        <v>46248</v>
      </c>
      <c r="X238" s="30" t="s">
        <v>23</v>
      </c>
      <c r="Y238" s="30" t="s">
        <v>24</v>
      </c>
      <c r="Z238" s="30" t="s">
        <v>25</v>
      </c>
      <c r="AA238" s="30" t="s">
        <v>26</v>
      </c>
      <c r="AB238" s="30" t="s">
        <v>24</v>
      </c>
      <c r="AC238" s="27"/>
      <c r="AD238" s="31" t="s">
        <v>25</v>
      </c>
      <c r="AE238" s="32" t="str">
        <f t="shared" si="17"/>
        <v>✓ OK</v>
      </c>
      <c r="AF238" s="33" t="s">
        <v>27</v>
      </c>
      <c r="AG238" s="33" t="s">
        <v>23</v>
      </c>
      <c r="AH238" s="33" t="s">
        <v>24</v>
      </c>
      <c r="AI238" s="33" t="s">
        <v>25</v>
      </c>
      <c r="AJ238" s="33" t="s">
        <v>26</v>
      </c>
      <c r="AK238" s="33" t="s">
        <v>24</v>
      </c>
      <c r="AL238" s="27"/>
      <c r="AM238" s="34" t="s">
        <v>25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8" customHeight="1" x14ac:dyDescent="0.3">
      <c r="A239" s="23">
        <v>235</v>
      </c>
      <c r="B239" s="24" t="s">
        <v>2317</v>
      </c>
      <c r="C239" s="25" t="s">
        <v>2318</v>
      </c>
      <c r="D239" s="23" t="s">
        <v>1850</v>
      </c>
      <c r="E239" s="43">
        <v>46125</v>
      </c>
      <c r="F239" s="26" t="s">
        <v>23</v>
      </c>
      <c r="G239" s="26" t="s">
        <v>24</v>
      </c>
      <c r="H239" s="26" t="s">
        <v>25</v>
      </c>
      <c r="I239" s="26" t="s">
        <v>26</v>
      </c>
      <c r="J239" s="26" t="s">
        <v>24</v>
      </c>
      <c r="K239" s="27"/>
      <c r="L239" s="28" t="s">
        <v>25</v>
      </c>
      <c r="M239" s="29" t="str">
        <f t="shared" si="15"/>
        <v>✓ OK</v>
      </c>
      <c r="N239" s="43">
        <v>46193</v>
      </c>
      <c r="O239" s="26" t="s">
        <v>23</v>
      </c>
      <c r="P239" s="26" t="s">
        <v>24</v>
      </c>
      <c r="Q239" s="26" t="s">
        <v>25</v>
      </c>
      <c r="R239" s="26" t="s">
        <v>26</v>
      </c>
      <c r="S239" s="26" t="s">
        <v>24</v>
      </c>
      <c r="T239" s="27"/>
      <c r="U239" s="28" t="s">
        <v>25</v>
      </c>
      <c r="V239" s="29" t="str">
        <f t="shared" si="16"/>
        <v>✓ OK</v>
      </c>
      <c r="W239" s="45">
        <v>46248</v>
      </c>
      <c r="X239" s="30" t="s">
        <v>23</v>
      </c>
      <c r="Y239" s="30" t="s">
        <v>24</v>
      </c>
      <c r="Z239" s="30" t="s">
        <v>25</v>
      </c>
      <c r="AA239" s="30" t="s">
        <v>26</v>
      </c>
      <c r="AB239" s="30" t="s">
        <v>24</v>
      </c>
      <c r="AC239" s="27"/>
      <c r="AD239" s="31" t="s">
        <v>25</v>
      </c>
      <c r="AE239" s="32" t="str">
        <f t="shared" si="17"/>
        <v>✓ OK</v>
      </c>
      <c r="AF239" s="33" t="s">
        <v>27</v>
      </c>
      <c r="AG239" s="33" t="s">
        <v>23</v>
      </c>
      <c r="AH239" s="33" t="s">
        <v>24</v>
      </c>
      <c r="AI239" s="33" t="s">
        <v>25</v>
      </c>
      <c r="AJ239" s="33" t="s">
        <v>26</v>
      </c>
      <c r="AK239" s="33" t="s">
        <v>24</v>
      </c>
      <c r="AL239" s="27"/>
      <c r="AM239" s="34" t="s">
        <v>25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8" customHeight="1" x14ac:dyDescent="0.3">
      <c r="A240" s="39">
        <v>236</v>
      </c>
      <c r="B240" s="40" t="s">
        <v>2319</v>
      </c>
      <c r="C240" s="41" t="s">
        <v>2320</v>
      </c>
      <c r="D240" s="39" t="s">
        <v>1850</v>
      </c>
      <c r="E240" s="43">
        <v>46125</v>
      </c>
      <c r="F240" s="26" t="s">
        <v>23</v>
      </c>
      <c r="G240" s="26" t="s">
        <v>24</v>
      </c>
      <c r="H240" s="26" t="s">
        <v>25</v>
      </c>
      <c r="I240" s="26" t="s">
        <v>26</v>
      </c>
      <c r="J240" s="26" t="s">
        <v>24</v>
      </c>
      <c r="K240" s="27"/>
      <c r="L240" s="28" t="s">
        <v>25</v>
      </c>
      <c r="M240" s="29" t="str">
        <f t="shared" si="15"/>
        <v>✓ OK</v>
      </c>
      <c r="N240" s="43">
        <v>46193</v>
      </c>
      <c r="O240" s="26" t="s">
        <v>23</v>
      </c>
      <c r="P240" s="26" t="s">
        <v>24</v>
      </c>
      <c r="Q240" s="26" t="s">
        <v>25</v>
      </c>
      <c r="R240" s="26" t="s">
        <v>26</v>
      </c>
      <c r="S240" s="26" t="s">
        <v>24</v>
      </c>
      <c r="T240" s="27"/>
      <c r="U240" s="28" t="s">
        <v>25</v>
      </c>
      <c r="V240" s="29" t="str">
        <f t="shared" si="16"/>
        <v>✓ OK</v>
      </c>
      <c r="W240" s="45">
        <v>46248</v>
      </c>
      <c r="X240" s="30" t="s">
        <v>23</v>
      </c>
      <c r="Y240" s="30" t="s">
        <v>24</v>
      </c>
      <c r="Z240" s="30" t="s">
        <v>25</v>
      </c>
      <c r="AA240" s="30" t="s">
        <v>26</v>
      </c>
      <c r="AB240" s="30" t="s">
        <v>24</v>
      </c>
      <c r="AC240" s="27"/>
      <c r="AD240" s="31" t="s">
        <v>25</v>
      </c>
      <c r="AE240" s="32" t="str">
        <f t="shared" si="17"/>
        <v>✓ OK</v>
      </c>
      <c r="AF240" s="33" t="s">
        <v>27</v>
      </c>
      <c r="AG240" s="33" t="s">
        <v>23</v>
      </c>
      <c r="AH240" s="33" t="s">
        <v>24</v>
      </c>
      <c r="AI240" s="33" t="s">
        <v>25</v>
      </c>
      <c r="AJ240" s="33" t="s">
        <v>26</v>
      </c>
      <c r="AK240" s="33" t="s">
        <v>24</v>
      </c>
      <c r="AL240" s="27"/>
      <c r="AM240" s="34" t="s">
        <v>25</v>
      </c>
      <c r="AN240" s="35" t="str">
        <f t="shared" si="18"/>
        <v>✓ OK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8" customHeight="1" x14ac:dyDescent="0.3">
      <c r="A241" s="23">
        <v>237</v>
      </c>
      <c r="B241" s="24" t="s">
        <v>2321</v>
      </c>
      <c r="C241" s="25" t="s">
        <v>2322</v>
      </c>
      <c r="D241" s="23" t="s">
        <v>1850</v>
      </c>
      <c r="E241" s="43">
        <v>46125</v>
      </c>
      <c r="F241" s="26" t="s">
        <v>23</v>
      </c>
      <c r="G241" s="26" t="s">
        <v>24</v>
      </c>
      <c r="H241" s="26" t="s">
        <v>25</v>
      </c>
      <c r="I241" s="26" t="s">
        <v>26</v>
      </c>
      <c r="J241" s="26" t="s">
        <v>24</v>
      </c>
      <c r="K241" s="27"/>
      <c r="L241" s="28" t="s">
        <v>25</v>
      </c>
      <c r="M241" s="29" t="str">
        <f t="shared" si="15"/>
        <v>✓ OK</v>
      </c>
      <c r="N241" s="43">
        <v>46193</v>
      </c>
      <c r="O241" s="26" t="s">
        <v>23</v>
      </c>
      <c r="P241" s="26" t="s">
        <v>24</v>
      </c>
      <c r="Q241" s="26" t="s">
        <v>25</v>
      </c>
      <c r="R241" s="26" t="s">
        <v>26</v>
      </c>
      <c r="S241" s="26" t="s">
        <v>24</v>
      </c>
      <c r="T241" s="27"/>
      <c r="U241" s="28" t="s">
        <v>25</v>
      </c>
      <c r="V241" s="29" t="str">
        <f t="shared" si="16"/>
        <v>✓ OK</v>
      </c>
      <c r="W241" s="45">
        <v>46248</v>
      </c>
      <c r="X241" s="30" t="s">
        <v>23</v>
      </c>
      <c r="Y241" s="30" t="s">
        <v>24</v>
      </c>
      <c r="Z241" s="30" t="s">
        <v>25</v>
      </c>
      <c r="AA241" s="30" t="s">
        <v>26</v>
      </c>
      <c r="AB241" s="30" t="s">
        <v>24</v>
      </c>
      <c r="AC241" s="27"/>
      <c r="AD241" s="31" t="s">
        <v>25</v>
      </c>
      <c r="AE241" s="32" t="str">
        <f t="shared" si="17"/>
        <v>✓ OK</v>
      </c>
      <c r="AF241" s="33" t="s">
        <v>27</v>
      </c>
      <c r="AG241" s="33" t="s">
        <v>23</v>
      </c>
      <c r="AH241" s="33" t="s">
        <v>24</v>
      </c>
      <c r="AI241" s="33" t="s">
        <v>25</v>
      </c>
      <c r="AJ241" s="33" t="s">
        <v>26</v>
      </c>
      <c r="AK241" s="33" t="s">
        <v>24</v>
      </c>
      <c r="AL241" s="27"/>
      <c r="AM241" s="34" t="s">
        <v>25</v>
      </c>
      <c r="AN241" s="35" t="str">
        <f t="shared" si="18"/>
        <v>✓ OK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8" customHeight="1" x14ac:dyDescent="0.3">
      <c r="A242" s="39">
        <v>238</v>
      </c>
      <c r="B242" s="40" t="s">
        <v>2323</v>
      </c>
      <c r="C242" s="41" t="s">
        <v>2324</v>
      </c>
      <c r="D242" s="39" t="s">
        <v>1850</v>
      </c>
      <c r="E242" s="43">
        <v>46125</v>
      </c>
      <c r="F242" s="26" t="s">
        <v>23</v>
      </c>
      <c r="G242" s="26" t="s">
        <v>24</v>
      </c>
      <c r="H242" s="26" t="s">
        <v>25</v>
      </c>
      <c r="I242" s="26" t="s">
        <v>26</v>
      </c>
      <c r="J242" s="26" t="s">
        <v>24</v>
      </c>
      <c r="K242" s="27"/>
      <c r="L242" s="28" t="s">
        <v>25</v>
      </c>
      <c r="M242" s="29" t="str">
        <f t="shared" si="15"/>
        <v>✓ OK</v>
      </c>
      <c r="N242" s="43">
        <v>46193</v>
      </c>
      <c r="O242" s="26" t="s">
        <v>23</v>
      </c>
      <c r="P242" s="26" t="s">
        <v>24</v>
      </c>
      <c r="Q242" s="26" t="s">
        <v>25</v>
      </c>
      <c r="R242" s="26" t="s">
        <v>26</v>
      </c>
      <c r="S242" s="26" t="s">
        <v>24</v>
      </c>
      <c r="T242" s="27"/>
      <c r="U242" s="28" t="s">
        <v>25</v>
      </c>
      <c r="V242" s="29" t="str">
        <f t="shared" si="16"/>
        <v>✓ OK</v>
      </c>
      <c r="W242" s="45">
        <v>46248</v>
      </c>
      <c r="X242" s="30" t="s">
        <v>23</v>
      </c>
      <c r="Y242" s="30" t="s">
        <v>24</v>
      </c>
      <c r="Z242" s="30" t="s">
        <v>25</v>
      </c>
      <c r="AA242" s="30" t="s">
        <v>26</v>
      </c>
      <c r="AB242" s="30" t="s">
        <v>24</v>
      </c>
      <c r="AC242" s="27"/>
      <c r="AD242" s="31" t="s">
        <v>25</v>
      </c>
      <c r="AE242" s="32" t="str">
        <f t="shared" si="17"/>
        <v>✓ OK</v>
      </c>
      <c r="AF242" s="33" t="s">
        <v>27</v>
      </c>
      <c r="AG242" s="33" t="s">
        <v>23</v>
      </c>
      <c r="AH242" s="33" t="s">
        <v>24</v>
      </c>
      <c r="AI242" s="33" t="s">
        <v>25</v>
      </c>
      <c r="AJ242" s="33" t="s">
        <v>26</v>
      </c>
      <c r="AK242" s="33" t="s">
        <v>24</v>
      </c>
      <c r="AL242" s="27"/>
      <c r="AM242" s="34" t="s">
        <v>25</v>
      </c>
      <c r="AN242" s="35" t="str">
        <f t="shared" si="18"/>
        <v>✓ OK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8" customHeight="1" x14ac:dyDescent="0.3">
      <c r="A243" s="23">
        <v>239</v>
      </c>
      <c r="B243" s="24" t="s">
        <v>2325</v>
      </c>
      <c r="C243" s="25" t="s">
        <v>2326</v>
      </c>
      <c r="D243" s="23" t="s">
        <v>1850</v>
      </c>
      <c r="E243" s="43">
        <v>46125</v>
      </c>
      <c r="F243" s="26" t="s">
        <v>23</v>
      </c>
      <c r="G243" s="26" t="s">
        <v>24</v>
      </c>
      <c r="H243" s="26" t="s">
        <v>25</v>
      </c>
      <c r="I243" s="26" t="s">
        <v>26</v>
      </c>
      <c r="J243" s="26" t="s">
        <v>24</v>
      </c>
      <c r="K243" s="27"/>
      <c r="L243" s="28" t="s">
        <v>25</v>
      </c>
      <c r="M243" s="29" t="str">
        <f t="shared" si="15"/>
        <v>✓ OK</v>
      </c>
      <c r="N243" s="43">
        <v>46193</v>
      </c>
      <c r="O243" s="26" t="s">
        <v>23</v>
      </c>
      <c r="P243" s="26" t="s">
        <v>24</v>
      </c>
      <c r="Q243" s="26" t="s">
        <v>25</v>
      </c>
      <c r="R243" s="26" t="s">
        <v>26</v>
      </c>
      <c r="S243" s="26" t="s">
        <v>24</v>
      </c>
      <c r="T243" s="27"/>
      <c r="U243" s="28" t="s">
        <v>25</v>
      </c>
      <c r="V243" s="29" t="str">
        <f t="shared" si="16"/>
        <v>✓ OK</v>
      </c>
      <c r="W243" s="45">
        <v>46248</v>
      </c>
      <c r="X243" s="30" t="s">
        <v>23</v>
      </c>
      <c r="Y243" s="30" t="s">
        <v>24</v>
      </c>
      <c r="Z243" s="30" t="s">
        <v>25</v>
      </c>
      <c r="AA243" s="30" t="s">
        <v>26</v>
      </c>
      <c r="AB243" s="30" t="s">
        <v>24</v>
      </c>
      <c r="AC243" s="27"/>
      <c r="AD243" s="31" t="s">
        <v>25</v>
      </c>
      <c r="AE243" s="32" t="str">
        <f t="shared" si="17"/>
        <v>✓ OK</v>
      </c>
      <c r="AF243" s="33" t="s">
        <v>27</v>
      </c>
      <c r="AG243" s="33" t="s">
        <v>23</v>
      </c>
      <c r="AH243" s="33" t="s">
        <v>24</v>
      </c>
      <c r="AI243" s="33" t="s">
        <v>25</v>
      </c>
      <c r="AJ243" s="33" t="s">
        <v>26</v>
      </c>
      <c r="AK243" s="33" t="s">
        <v>24</v>
      </c>
      <c r="AL243" s="27"/>
      <c r="AM243" s="34" t="s">
        <v>25</v>
      </c>
      <c r="AN243" s="35" t="str">
        <f t="shared" si="18"/>
        <v>✓ OK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8" customHeight="1" x14ac:dyDescent="0.3">
      <c r="A244" s="39">
        <v>240</v>
      </c>
      <c r="B244" s="40" t="s">
        <v>2327</v>
      </c>
      <c r="C244" s="41" t="s">
        <v>2328</v>
      </c>
      <c r="D244" s="39" t="s">
        <v>1850</v>
      </c>
      <c r="E244" s="43">
        <v>46125</v>
      </c>
      <c r="F244" s="26" t="s">
        <v>23</v>
      </c>
      <c r="G244" s="26" t="s">
        <v>24</v>
      </c>
      <c r="H244" s="26" t="s">
        <v>25</v>
      </c>
      <c r="I244" s="26" t="s">
        <v>26</v>
      </c>
      <c r="J244" s="26" t="s">
        <v>24</v>
      </c>
      <c r="K244" s="27"/>
      <c r="L244" s="28" t="s">
        <v>25</v>
      </c>
      <c r="M244" s="29" t="str">
        <f t="shared" si="15"/>
        <v>✓ OK</v>
      </c>
      <c r="N244" s="43">
        <v>46193</v>
      </c>
      <c r="O244" s="26" t="s">
        <v>23</v>
      </c>
      <c r="P244" s="26" t="s">
        <v>24</v>
      </c>
      <c r="Q244" s="26" t="s">
        <v>25</v>
      </c>
      <c r="R244" s="26" t="s">
        <v>26</v>
      </c>
      <c r="S244" s="26" t="s">
        <v>24</v>
      </c>
      <c r="T244" s="27"/>
      <c r="U244" s="28" t="s">
        <v>25</v>
      </c>
      <c r="V244" s="29" t="str">
        <f t="shared" si="16"/>
        <v>✓ OK</v>
      </c>
      <c r="W244" s="45">
        <v>46248</v>
      </c>
      <c r="X244" s="30" t="s">
        <v>23</v>
      </c>
      <c r="Y244" s="30" t="s">
        <v>24</v>
      </c>
      <c r="Z244" s="30" t="s">
        <v>25</v>
      </c>
      <c r="AA244" s="30" t="s">
        <v>26</v>
      </c>
      <c r="AB244" s="30" t="s">
        <v>24</v>
      </c>
      <c r="AC244" s="27"/>
      <c r="AD244" s="31" t="s">
        <v>25</v>
      </c>
      <c r="AE244" s="32" t="str">
        <f t="shared" si="17"/>
        <v>✓ OK</v>
      </c>
      <c r="AF244" s="33" t="s">
        <v>27</v>
      </c>
      <c r="AG244" s="33" t="s">
        <v>23</v>
      </c>
      <c r="AH244" s="33" t="s">
        <v>24</v>
      </c>
      <c r="AI244" s="33" t="s">
        <v>25</v>
      </c>
      <c r="AJ244" s="33" t="s">
        <v>26</v>
      </c>
      <c r="AK244" s="33" t="s">
        <v>24</v>
      </c>
      <c r="AL244" s="27"/>
      <c r="AM244" s="34" t="s">
        <v>25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8" customHeight="1" x14ac:dyDescent="0.3">
      <c r="A245" s="23">
        <v>241</v>
      </c>
      <c r="B245" s="24" t="s">
        <v>2329</v>
      </c>
      <c r="C245" s="25" t="s">
        <v>2330</v>
      </c>
      <c r="D245" s="23" t="s">
        <v>1850</v>
      </c>
      <c r="E245" s="43">
        <v>46125</v>
      </c>
      <c r="F245" s="26" t="s">
        <v>23</v>
      </c>
      <c r="G245" s="26" t="s">
        <v>24</v>
      </c>
      <c r="H245" s="26" t="s">
        <v>25</v>
      </c>
      <c r="I245" s="26" t="s">
        <v>26</v>
      </c>
      <c r="J245" s="26" t="s">
        <v>24</v>
      </c>
      <c r="K245" s="27"/>
      <c r="L245" s="28" t="s">
        <v>25</v>
      </c>
      <c r="M245" s="29" t="str">
        <f t="shared" si="15"/>
        <v>✓ OK</v>
      </c>
      <c r="N245" s="43">
        <v>46193</v>
      </c>
      <c r="O245" s="26" t="s">
        <v>23</v>
      </c>
      <c r="P245" s="26" t="s">
        <v>24</v>
      </c>
      <c r="Q245" s="26" t="s">
        <v>25</v>
      </c>
      <c r="R245" s="26" t="s">
        <v>26</v>
      </c>
      <c r="S245" s="26" t="s">
        <v>24</v>
      </c>
      <c r="T245" s="27"/>
      <c r="U245" s="28" t="s">
        <v>25</v>
      </c>
      <c r="V245" s="29" t="str">
        <f t="shared" si="16"/>
        <v>✓ OK</v>
      </c>
      <c r="W245" s="45">
        <v>46248</v>
      </c>
      <c r="X245" s="30" t="s">
        <v>23</v>
      </c>
      <c r="Y245" s="30" t="s">
        <v>24</v>
      </c>
      <c r="Z245" s="30" t="s">
        <v>25</v>
      </c>
      <c r="AA245" s="30" t="s">
        <v>26</v>
      </c>
      <c r="AB245" s="30" t="s">
        <v>24</v>
      </c>
      <c r="AC245" s="27"/>
      <c r="AD245" s="31" t="s">
        <v>25</v>
      </c>
      <c r="AE245" s="32" t="str">
        <f t="shared" si="17"/>
        <v>✓ OK</v>
      </c>
      <c r="AF245" s="33" t="s">
        <v>27</v>
      </c>
      <c r="AG245" s="33" t="s">
        <v>23</v>
      </c>
      <c r="AH245" s="33" t="s">
        <v>24</v>
      </c>
      <c r="AI245" s="33" t="s">
        <v>25</v>
      </c>
      <c r="AJ245" s="33" t="s">
        <v>26</v>
      </c>
      <c r="AK245" s="33" t="s">
        <v>24</v>
      </c>
      <c r="AL245" s="27"/>
      <c r="AM245" s="34" t="s">
        <v>25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8" customHeight="1" x14ac:dyDescent="0.3">
      <c r="A246" s="39">
        <v>242</v>
      </c>
      <c r="B246" s="40" t="s">
        <v>2331</v>
      </c>
      <c r="C246" s="41" t="s">
        <v>2332</v>
      </c>
      <c r="D246" s="39" t="s">
        <v>1850</v>
      </c>
      <c r="E246" s="43">
        <v>46125</v>
      </c>
      <c r="F246" s="26" t="s">
        <v>23</v>
      </c>
      <c r="G246" s="26" t="s">
        <v>24</v>
      </c>
      <c r="H246" s="26" t="s">
        <v>25</v>
      </c>
      <c r="I246" s="26" t="s">
        <v>26</v>
      </c>
      <c r="J246" s="26" t="s">
        <v>24</v>
      </c>
      <c r="K246" s="27"/>
      <c r="L246" s="28" t="s">
        <v>25</v>
      </c>
      <c r="M246" s="29" t="str">
        <f t="shared" si="15"/>
        <v>✓ OK</v>
      </c>
      <c r="N246" s="43">
        <v>46193</v>
      </c>
      <c r="O246" s="26" t="s">
        <v>23</v>
      </c>
      <c r="P246" s="26" t="s">
        <v>24</v>
      </c>
      <c r="Q246" s="26" t="s">
        <v>25</v>
      </c>
      <c r="R246" s="26" t="s">
        <v>26</v>
      </c>
      <c r="S246" s="26" t="s">
        <v>24</v>
      </c>
      <c r="T246" s="27"/>
      <c r="U246" s="28" t="s">
        <v>25</v>
      </c>
      <c r="V246" s="29" t="str">
        <f t="shared" si="16"/>
        <v>✓ OK</v>
      </c>
      <c r="W246" s="45">
        <v>46248</v>
      </c>
      <c r="X246" s="30" t="s">
        <v>23</v>
      </c>
      <c r="Y246" s="30" t="s">
        <v>24</v>
      </c>
      <c r="Z246" s="30" t="s">
        <v>25</v>
      </c>
      <c r="AA246" s="30" t="s">
        <v>26</v>
      </c>
      <c r="AB246" s="30" t="s">
        <v>24</v>
      </c>
      <c r="AC246" s="27"/>
      <c r="AD246" s="31" t="s">
        <v>25</v>
      </c>
      <c r="AE246" s="32" t="str">
        <f t="shared" si="17"/>
        <v>✓ OK</v>
      </c>
      <c r="AF246" s="33" t="s">
        <v>27</v>
      </c>
      <c r="AG246" s="33" t="s">
        <v>23</v>
      </c>
      <c r="AH246" s="33" t="s">
        <v>24</v>
      </c>
      <c r="AI246" s="33" t="s">
        <v>25</v>
      </c>
      <c r="AJ246" s="33" t="s">
        <v>26</v>
      </c>
      <c r="AK246" s="33" t="s">
        <v>24</v>
      </c>
      <c r="AL246" s="27"/>
      <c r="AM246" s="34" t="s">
        <v>25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8" customHeight="1" x14ac:dyDescent="0.3">
      <c r="A247" s="23">
        <v>243</v>
      </c>
      <c r="B247" s="24" t="s">
        <v>2333</v>
      </c>
      <c r="C247" s="25" t="s">
        <v>2334</v>
      </c>
      <c r="D247" s="23" t="s">
        <v>1850</v>
      </c>
      <c r="E247" s="43">
        <v>46125</v>
      </c>
      <c r="F247" s="26" t="s">
        <v>23</v>
      </c>
      <c r="G247" s="26" t="s">
        <v>24</v>
      </c>
      <c r="H247" s="26" t="s">
        <v>25</v>
      </c>
      <c r="I247" s="26" t="s">
        <v>26</v>
      </c>
      <c r="J247" s="26" t="s">
        <v>24</v>
      </c>
      <c r="K247" s="27"/>
      <c r="L247" s="28" t="s">
        <v>25</v>
      </c>
      <c r="M247" s="29" t="str">
        <f t="shared" si="15"/>
        <v>✓ OK</v>
      </c>
      <c r="N247" s="43">
        <v>46193</v>
      </c>
      <c r="O247" s="26" t="s">
        <v>23</v>
      </c>
      <c r="P247" s="26" t="s">
        <v>24</v>
      </c>
      <c r="Q247" s="26" t="s">
        <v>25</v>
      </c>
      <c r="R247" s="26" t="s">
        <v>26</v>
      </c>
      <c r="S247" s="26" t="s">
        <v>24</v>
      </c>
      <c r="T247" s="27"/>
      <c r="U247" s="28" t="s">
        <v>25</v>
      </c>
      <c r="V247" s="29" t="str">
        <f t="shared" si="16"/>
        <v>✓ OK</v>
      </c>
      <c r="W247" s="45">
        <v>46248</v>
      </c>
      <c r="X247" s="30" t="s">
        <v>23</v>
      </c>
      <c r="Y247" s="30" t="s">
        <v>24</v>
      </c>
      <c r="Z247" s="30" t="s">
        <v>25</v>
      </c>
      <c r="AA247" s="30" t="s">
        <v>26</v>
      </c>
      <c r="AB247" s="30" t="s">
        <v>24</v>
      </c>
      <c r="AC247" s="27"/>
      <c r="AD247" s="31" t="s">
        <v>25</v>
      </c>
      <c r="AE247" s="32" t="str">
        <f t="shared" si="17"/>
        <v>✓ OK</v>
      </c>
      <c r="AF247" s="33" t="s">
        <v>27</v>
      </c>
      <c r="AG247" s="33" t="s">
        <v>23</v>
      </c>
      <c r="AH247" s="33" t="s">
        <v>24</v>
      </c>
      <c r="AI247" s="33" t="s">
        <v>25</v>
      </c>
      <c r="AJ247" s="33" t="s">
        <v>26</v>
      </c>
      <c r="AK247" s="33" t="s">
        <v>24</v>
      </c>
      <c r="AL247" s="27"/>
      <c r="AM247" s="34" t="s">
        <v>25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8" customHeight="1" x14ac:dyDescent="0.3">
      <c r="A248" s="39">
        <v>244</v>
      </c>
      <c r="B248" s="40" t="s">
        <v>2335</v>
      </c>
      <c r="C248" s="41" t="s">
        <v>2336</v>
      </c>
      <c r="D248" s="39" t="s">
        <v>1850</v>
      </c>
      <c r="E248" s="43">
        <v>46125</v>
      </c>
      <c r="F248" s="26" t="s">
        <v>23</v>
      </c>
      <c r="G248" s="26" t="s">
        <v>24</v>
      </c>
      <c r="H248" s="26" t="s">
        <v>25</v>
      </c>
      <c r="I248" s="26" t="s">
        <v>26</v>
      </c>
      <c r="J248" s="26" t="s">
        <v>24</v>
      </c>
      <c r="K248" s="27"/>
      <c r="L248" s="28" t="s">
        <v>25</v>
      </c>
      <c r="M248" s="29" t="str">
        <f t="shared" si="15"/>
        <v>✓ OK</v>
      </c>
      <c r="N248" s="43">
        <v>46193</v>
      </c>
      <c r="O248" s="26" t="s">
        <v>23</v>
      </c>
      <c r="P248" s="26" t="s">
        <v>24</v>
      </c>
      <c r="Q248" s="26" t="s">
        <v>25</v>
      </c>
      <c r="R248" s="26" t="s">
        <v>26</v>
      </c>
      <c r="S248" s="26" t="s">
        <v>24</v>
      </c>
      <c r="T248" s="27"/>
      <c r="U248" s="28" t="s">
        <v>25</v>
      </c>
      <c r="V248" s="29" t="str">
        <f t="shared" si="16"/>
        <v>✓ OK</v>
      </c>
      <c r="W248" s="45">
        <v>46248</v>
      </c>
      <c r="X248" s="30" t="s">
        <v>23</v>
      </c>
      <c r="Y248" s="30" t="s">
        <v>24</v>
      </c>
      <c r="Z248" s="30" t="s">
        <v>25</v>
      </c>
      <c r="AA248" s="30" t="s">
        <v>26</v>
      </c>
      <c r="AB248" s="30" t="s">
        <v>24</v>
      </c>
      <c r="AC248" s="27"/>
      <c r="AD248" s="31" t="s">
        <v>25</v>
      </c>
      <c r="AE248" s="32" t="str">
        <f t="shared" si="17"/>
        <v>✓ OK</v>
      </c>
      <c r="AF248" s="33" t="s">
        <v>27</v>
      </c>
      <c r="AG248" s="33" t="s">
        <v>23</v>
      </c>
      <c r="AH248" s="33" t="s">
        <v>24</v>
      </c>
      <c r="AI248" s="33" t="s">
        <v>25</v>
      </c>
      <c r="AJ248" s="33" t="s">
        <v>26</v>
      </c>
      <c r="AK248" s="33" t="s">
        <v>24</v>
      </c>
      <c r="AL248" s="27"/>
      <c r="AM248" s="34" t="s">
        <v>25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8" customHeight="1" x14ac:dyDescent="0.3">
      <c r="A249" s="23">
        <v>245</v>
      </c>
      <c r="B249" s="24" t="s">
        <v>2337</v>
      </c>
      <c r="C249" s="25" t="s">
        <v>2338</v>
      </c>
      <c r="D249" s="23" t="s">
        <v>1850</v>
      </c>
      <c r="E249" s="43">
        <v>46125</v>
      </c>
      <c r="F249" s="26" t="s">
        <v>23</v>
      </c>
      <c r="G249" s="26" t="s">
        <v>24</v>
      </c>
      <c r="H249" s="26" t="s">
        <v>25</v>
      </c>
      <c r="I249" s="26" t="s">
        <v>26</v>
      </c>
      <c r="J249" s="26" t="s">
        <v>24</v>
      </c>
      <c r="K249" s="27"/>
      <c r="L249" s="28" t="s">
        <v>25</v>
      </c>
      <c r="M249" s="29" t="str">
        <f t="shared" si="15"/>
        <v>✓ OK</v>
      </c>
      <c r="N249" s="43">
        <v>46193</v>
      </c>
      <c r="O249" s="26" t="s">
        <v>23</v>
      </c>
      <c r="P249" s="26" t="s">
        <v>24</v>
      </c>
      <c r="Q249" s="26" t="s">
        <v>25</v>
      </c>
      <c r="R249" s="26" t="s">
        <v>26</v>
      </c>
      <c r="S249" s="26" t="s">
        <v>24</v>
      </c>
      <c r="T249" s="27"/>
      <c r="U249" s="28" t="s">
        <v>25</v>
      </c>
      <c r="V249" s="29" t="str">
        <f t="shared" si="16"/>
        <v>✓ OK</v>
      </c>
      <c r="W249" s="45">
        <v>46248</v>
      </c>
      <c r="X249" s="30" t="s">
        <v>23</v>
      </c>
      <c r="Y249" s="30" t="s">
        <v>24</v>
      </c>
      <c r="Z249" s="30" t="s">
        <v>25</v>
      </c>
      <c r="AA249" s="30" t="s">
        <v>26</v>
      </c>
      <c r="AB249" s="30" t="s">
        <v>24</v>
      </c>
      <c r="AC249" s="27"/>
      <c r="AD249" s="31" t="s">
        <v>25</v>
      </c>
      <c r="AE249" s="32" t="str">
        <f t="shared" si="17"/>
        <v>✓ OK</v>
      </c>
      <c r="AF249" s="33" t="s">
        <v>27</v>
      </c>
      <c r="AG249" s="33" t="s">
        <v>23</v>
      </c>
      <c r="AH249" s="33" t="s">
        <v>24</v>
      </c>
      <c r="AI249" s="33" t="s">
        <v>25</v>
      </c>
      <c r="AJ249" s="33" t="s">
        <v>26</v>
      </c>
      <c r="AK249" s="33" t="s">
        <v>24</v>
      </c>
      <c r="AL249" s="27"/>
      <c r="AM249" s="34" t="s">
        <v>25</v>
      </c>
      <c r="AN249" s="35" t="str">
        <f t="shared" si="18"/>
        <v>✓ OK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8" customHeight="1" x14ac:dyDescent="0.3">
      <c r="A250" s="39">
        <v>246</v>
      </c>
      <c r="B250" s="40" t="s">
        <v>2339</v>
      </c>
      <c r="C250" s="41" t="s">
        <v>2340</v>
      </c>
      <c r="D250" s="39" t="s">
        <v>1850</v>
      </c>
      <c r="E250" s="43">
        <v>46125</v>
      </c>
      <c r="F250" s="26" t="s">
        <v>23</v>
      </c>
      <c r="G250" s="26" t="s">
        <v>24</v>
      </c>
      <c r="H250" s="26" t="s">
        <v>25</v>
      </c>
      <c r="I250" s="26" t="s">
        <v>26</v>
      </c>
      <c r="J250" s="26" t="s">
        <v>24</v>
      </c>
      <c r="K250" s="27"/>
      <c r="L250" s="28" t="s">
        <v>25</v>
      </c>
      <c r="M250" s="29" t="str">
        <f t="shared" si="15"/>
        <v>✓ OK</v>
      </c>
      <c r="N250" s="43">
        <v>46193</v>
      </c>
      <c r="O250" s="26" t="s">
        <v>23</v>
      </c>
      <c r="P250" s="26" t="s">
        <v>24</v>
      </c>
      <c r="Q250" s="26" t="s">
        <v>25</v>
      </c>
      <c r="R250" s="26" t="s">
        <v>26</v>
      </c>
      <c r="S250" s="26" t="s">
        <v>24</v>
      </c>
      <c r="T250" s="27"/>
      <c r="U250" s="28" t="s">
        <v>25</v>
      </c>
      <c r="V250" s="29" t="str">
        <f t="shared" si="16"/>
        <v>✓ OK</v>
      </c>
      <c r="W250" s="45">
        <v>46248</v>
      </c>
      <c r="X250" s="30" t="s">
        <v>23</v>
      </c>
      <c r="Y250" s="30" t="s">
        <v>24</v>
      </c>
      <c r="Z250" s="30" t="s">
        <v>25</v>
      </c>
      <c r="AA250" s="30" t="s">
        <v>26</v>
      </c>
      <c r="AB250" s="30" t="s">
        <v>24</v>
      </c>
      <c r="AC250" s="27"/>
      <c r="AD250" s="31" t="s">
        <v>25</v>
      </c>
      <c r="AE250" s="32" t="str">
        <f t="shared" si="17"/>
        <v>✓ OK</v>
      </c>
      <c r="AF250" s="33" t="s">
        <v>27</v>
      </c>
      <c r="AG250" s="33" t="s">
        <v>23</v>
      </c>
      <c r="AH250" s="33" t="s">
        <v>24</v>
      </c>
      <c r="AI250" s="33" t="s">
        <v>25</v>
      </c>
      <c r="AJ250" s="33" t="s">
        <v>26</v>
      </c>
      <c r="AK250" s="33" t="s">
        <v>24</v>
      </c>
      <c r="AL250" s="27"/>
      <c r="AM250" s="34" t="s">
        <v>25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8" customHeight="1" x14ac:dyDescent="0.3">
      <c r="A251" s="23">
        <v>247</v>
      </c>
      <c r="B251" s="24" t="s">
        <v>2341</v>
      </c>
      <c r="C251" s="25" t="s">
        <v>2342</v>
      </c>
      <c r="D251" s="23" t="s">
        <v>1850</v>
      </c>
      <c r="E251" s="43">
        <v>46125</v>
      </c>
      <c r="F251" s="26" t="s">
        <v>23</v>
      </c>
      <c r="G251" s="26" t="s">
        <v>24</v>
      </c>
      <c r="H251" s="26" t="s">
        <v>25</v>
      </c>
      <c r="I251" s="26" t="s">
        <v>26</v>
      </c>
      <c r="J251" s="26" t="s">
        <v>24</v>
      </c>
      <c r="K251" s="27"/>
      <c r="L251" s="28" t="s">
        <v>25</v>
      </c>
      <c r="M251" s="29" t="str">
        <f t="shared" si="15"/>
        <v>✓ OK</v>
      </c>
      <c r="N251" s="43">
        <v>46193</v>
      </c>
      <c r="O251" s="26" t="s">
        <v>23</v>
      </c>
      <c r="P251" s="26" t="s">
        <v>24</v>
      </c>
      <c r="Q251" s="26" t="s">
        <v>25</v>
      </c>
      <c r="R251" s="26" t="s">
        <v>26</v>
      </c>
      <c r="S251" s="26" t="s">
        <v>24</v>
      </c>
      <c r="T251" s="27"/>
      <c r="U251" s="28" t="s">
        <v>25</v>
      </c>
      <c r="V251" s="29" t="str">
        <f t="shared" si="16"/>
        <v>✓ OK</v>
      </c>
      <c r="W251" s="45">
        <v>46248</v>
      </c>
      <c r="X251" s="30" t="s">
        <v>23</v>
      </c>
      <c r="Y251" s="30" t="s">
        <v>24</v>
      </c>
      <c r="Z251" s="30" t="s">
        <v>25</v>
      </c>
      <c r="AA251" s="30" t="s">
        <v>26</v>
      </c>
      <c r="AB251" s="30" t="s">
        <v>24</v>
      </c>
      <c r="AC251" s="27"/>
      <c r="AD251" s="31" t="s">
        <v>25</v>
      </c>
      <c r="AE251" s="32" t="str">
        <f t="shared" si="17"/>
        <v>✓ OK</v>
      </c>
      <c r="AF251" s="33" t="s">
        <v>27</v>
      </c>
      <c r="AG251" s="33" t="s">
        <v>23</v>
      </c>
      <c r="AH251" s="33" t="s">
        <v>24</v>
      </c>
      <c r="AI251" s="33" t="s">
        <v>25</v>
      </c>
      <c r="AJ251" s="33" t="s">
        <v>26</v>
      </c>
      <c r="AK251" s="33" t="s">
        <v>24</v>
      </c>
      <c r="AL251" s="27"/>
      <c r="AM251" s="34" t="s">
        <v>25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8" customHeight="1" x14ac:dyDescent="0.3">
      <c r="A252" s="39">
        <v>248</v>
      </c>
      <c r="B252" s="40" t="s">
        <v>2343</v>
      </c>
      <c r="C252" s="41" t="s">
        <v>2344</v>
      </c>
      <c r="D252" s="39" t="s">
        <v>1850</v>
      </c>
      <c r="E252" s="43">
        <v>46125</v>
      </c>
      <c r="F252" s="26" t="s">
        <v>23</v>
      </c>
      <c r="G252" s="26" t="s">
        <v>24</v>
      </c>
      <c r="H252" s="26" t="s">
        <v>25</v>
      </c>
      <c r="I252" s="26" t="s">
        <v>26</v>
      </c>
      <c r="J252" s="26" t="s">
        <v>24</v>
      </c>
      <c r="K252" s="27"/>
      <c r="L252" s="28" t="s">
        <v>25</v>
      </c>
      <c r="M252" s="29" t="str">
        <f t="shared" si="15"/>
        <v>✓ OK</v>
      </c>
      <c r="N252" s="43">
        <v>46193</v>
      </c>
      <c r="O252" s="26" t="s">
        <v>23</v>
      </c>
      <c r="P252" s="26" t="s">
        <v>24</v>
      </c>
      <c r="Q252" s="26" t="s">
        <v>25</v>
      </c>
      <c r="R252" s="26" t="s">
        <v>26</v>
      </c>
      <c r="S252" s="26" t="s">
        <v>24</v>
      </c>
      <c r="T252" s="27"/>
      <c r="U252" s="28" t="s">
        <v>25</v>
      </c>
      <c r="V252" s="29" t="str">
        <f t="shared" si="16"/>
        <v>✓ OK</v>
      </c>
      <c r="W252" s="45">
        <v>46248</v>
      </c>
      <c r="X252" s="30" t="s">
        <v>23</v>
      </c>
      <c r="Y252" s="30" t="s">
        <v>24</v>
      </c>
      <c r="Z252" s="30" t="s">
        <v>25</v>
      </c>
      <c r="AA252" s="30" t="s">
        <v>26</v>
      </c>
      <c r="AB252" s="30" t="s">
        <v>24</v>
      </c>
      <c r="AC252" s="27"/>
      <c r="AD252" s="31" t="s">
        <v>25</v>
      </c>
      <c r="AE252" s="32" t="str">
        <f t="shared" si="17"/>
        <v>✓ OK</v>
      </c>
      <c r="AF252" s="33" t="s">
        <v>27</v>
      </c>
      <c r="AG252" s="33" t="s">
        <v>23</v>
      </c>
      <c r="AH252" s="33" t="s">
        <v>24</v>
      </c>
      <c r="AI252" s="33" t="s">
        <v>25</v>
      </c>
      <c r="AJ252" s="33" t="s">
        <v>26</v>
      </c>
      <c r="AK252" s="33" t="s">
        <v>24</v>
      </c>
      <c r="AL252" s="27"/>
      <c r="AM252" s="34" t="s">
        <v>25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8" customHeight="1" x14ac:dyDescent="0.3">
      <c r="A253" s="23">
        <v>249</v>
      </c>
      <c r="B253" s="24" t="s">
        <v>2345</v>
      </c>
      <c r="C253" s="25" t="s">
        <v>2346</v>
      </c>
      <c r="D253" s="23" t="s">
        <v>1850</v>
      </c>
      <c r="E253" s="43">
        <v>46125</v>
      </c>
      <c r="F253" s="26" t="s">
        <v>23</v>
      </c>
      <c r="G253" s="26" t="s">
        <v>24</v>
      </c>
      <c r="H253" s="26" t="s">
        <v>25</v>
      </c>
      <c r="I253" s="26" t="s">
        <v>26</v>
      </c>
      <c r="J253" s="26" t="s">
        <v>24</v>
      </c>
      <c r="K253" s="27"/>
      <c r="L253" s="28" t="s">
        <v>25</v>
      </c>
      <c r="M253" s="29" t="str">
        <f t="shared" si="15"/>
        <v>✓ OK</v>
      </c>
      <c r="N253" s="43">
        <v>46193</v>
      </c>
      <c r="O253" s="26" t="s">
        <v>23</v>
      </c>
      <c r="P253" s="26" t="s">
        <v>24</v>
      </c>
      <c r="Q253" s="26" t="s">
        <v>25</v>
      </c>
      <c r="R253" s="26" t="s">
        <v>26</v>
      </c>
      <c r="S253" s="26" t="s">
        <v>24</v>
      </c>
      <c r="T253" s="27"/>
      <c r="U253" s="28" t="s">
        <v>25</v>
      </c>
      <c r="V253" s="29" t="str">
        <f t="shared" si="16"/>
        <v>✓ OK</v>
      </c>
      <c r="W253" s="45">
        <v>46248</v>
      </c>
      <c r="X253" s="30" t="s">
        <v>23</v>
      </c>
      <c r="Y253" s="30" t="s">
        <v>24</v>
      </c>
      <c r="Z253" s="30" t="s">
        <v>25</v>
      </c>
      <c r="AA253" s="30" t="s">
        <v>26</v>
      </c>
      <c r="AB253" s="30" t="s">
        <v>24</v>
      </c>
      <c r="AC253" s="27"/>
      <c r="AD253" s="31" t="s">
        <v>25</v>
      </c>
      <c r="AE253" s="32" t="str">
        <f t="shared" si="17"/>
        <v>✓ OK</v>
      </c>
      <c r="AF253" s="33" t="s">
        <v>27</v>
      </c>
      <c r="AG253" s="33" t="s">
        <v>23</v>
      </c>
      <c r="AH253" s="33" t="s">
        <v>24</v>
      </c>
      <c r="AI253" s="33" t="s">
        <v>25</v>
      </c>
      <c r="AJ253" s="33" t="s">
        <v>26</v>
      </c>
      <c r="AK253" s="33" t="s">
        <v>24</v>
      </c>
      <c r="AL253" s="27"/>
      <c r="AM253" s="34" t="s">
        <v>25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8" customHeight="1" x14ac:dyDescent="0.3">
      <c r="A254" s="39">
        <v>250</v>
      </c>
      <c r="B254" s="40" t="s">
        <v>2347</v>
      </c>
      <c r="C254" s="41" t="s">
        <v>2348</v>
      </c>
      <c r="D254" s="39" t="s">
        <v>1850</v>
      </c>
      <c r="E254" s="43">
        <v>46125</v>
      </c>
      <c r="F254" s="26" t="s">
        <v>23</v>
      </c>
      <c r="G254" s="26" t="s">
        <v>24</v>
      </c>
      <c r="H254" s="26" t="s">
        <v>25</v>
      </c>
      <c r="I254" s="26" t="s">
        <v>26</v>
      </c>
      <c r="J254" s="26" t="s">
        <v>24</v>
      </c>
      <c r="K254" s="27"/>
      <c r="L254" s="28" t="s">
        <v>25</v>
      </c>
      <c r="M254" s="29" t="str">
        <f t="shared" si="15"/>
        <v>✓ OK</v>
      </c>
      <c r="N254" s="43">
        <v>46193</v>
      </c>
      <c r="O254" s="26" t="s">
        <v>23</v>
      </c>
      <c r="P254" s="26" t="s">
        <v>24</v>
      </c>
      <c r="Q254" s="26" t="s">
        <v>25</v>
      </c>
      <c r="R254" s="26" t="s">
        <v>26</v>
      </c>
      <c r="S254" s="26" t="s">
        <v>24</v>
      </c>
      <c r="T254" s="27"/>
      <c r="U254" s="28" t="s">
        <v>25</v>
      </c>
      <c r="V254" s="29" t="str">
        <f t="shared" si="16"/>
        <v>✓ OK</v>
      </c>
      <c r="W254" s="45">
        <v>46248</v>
      </c>
      <c r="X254" s="30" t="s">
        <v>23</v>
      </c>
      <c r="Y254" s="30" t="s">
        <v>24</v>
      </c>
      <c r="Z254" s="30" t="s">
        <v>25</v>
      </c>
      <c r="AA254" s="30" t="s">
        <v>26</v>
      </c>
      <c r="AB254" s="30" t="s">
        <v>24</v>
      </c>
      <c r="AC254" s="27"/>
      <c r="AD254" s="31" t="s">
        <v>25</v>
      </c>
      <c r="AE254" s="32" t="str">
        <f t="shared" si="17"/>
        <v>✓ OK</v>
      </c>
      <c r="AF254" s="33" t="s">
        <v>27</v>
      </c>
      <c r="AG254" s="33" t="s">
        <v>23</v>
      </c>
      <c r="AH254" s="33" t="s">
        <v>24</v>
      </c>
      <c r="AI254" s="33" t="s">
        <v>25</v>
      </c>
      <c r="AJ254" s="33" t="s">
        <v>26</v>
      </c>
      <c r="AK254" s="33" t="s">
        <v>24</v>
      </c>
      <c r="AL254" s="27"/>
      <c r="AM254" s="34" t="s">
        <v>25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8" customHeight="1" x14ac:dyDescent="0.3">
      <c r="A255" s="23">
        <v>251</v>
      </c>
      <c r="B255" s="24" t="s">
        <v>2349</v>
      </c>
      <c r="C255" s="25" t="s">
        <v>2350</v>
      </c>
      <c r="D255" s="23" t="s">
        <v>1850</v>
      </c>
      <c r="E255" s="43">
        <v>46125</v>
      </c>
      <c r="F255" s="26" t="s">
        <v>23</v>
      </c>
      <c r="G255" s="26" t="s">
        <v>24</v>
      </c>
      <c r="H255" s="26" t="s">
        <v>25</v>
      </c>
      <c r="I255" s="26" t="s">
        <v>26</v>
      </c>
      <c r="J255" s="26" t="s">
        <v>24</v>
      </c>
      <c r="K255" s="27"/>
      <c r="L255" s="28" t="s">
        <v>25</v>
      </c>
      <c r="M255" s="29" t="str">
        <f t="shared" si="15"/>
        <v>✓ OK</v>
      </c>
      <c r="N255" s="43">
        <v>46193</v>
      </c>
      <c r="O255" s="26" t="s">
        <v>23</v>
      </c>
      <c r="P255" s="26" t="s">
        <v>24</v>
      </c>
      <c r="Q255" s="26" t="s">
        <v>25</v>
      </c>
      <c r="R255" s="26" t="s">
        <v>26</v>
      </c>
      <c r="S255" s="26" t="s">
        <v>24</v>
      </c>
      <c r="T255" s="27"/>
      <c r="U255" s="28" t="s">
        <v>25</v>
      </c>
      <c r="V255" s="29" t="str">
        <f t="shared" si="16"/>
        <v>✓ OK</v>
      </c>
      <c r="W255" s="45">
        <v>46248</v>
      </c>
      <c r="X255" s="30" t="s">
        <v>23</v>
      </c>
      <c r="Y255" s="30" t="s">
        <v>24</v>
      </c>
      <c r="Z255" s="30" t="s">
        <v>25</v>
      </c>
      <c r="AA255" s="30" t="s">
        <v>26</v>
      </c>
      <c r="AB255" s="30" t="s">
        <v>24</v>
      </c>
      <c r="AC255" s="27"/>
      <c r="AD255" s="31" t="s">
        <v>25</v>
      </c>
      <c r="AE255" s="32" t="str">
        <f t="shared" si="17"/>
        <v>✓ OK</v>
      </c>
      <c r="AF255" s="33" t="s">
        <v>27</v>
      </c>
      <c r="AG255" s="33" t="s">
        <v>23</v>
      </c>
      <c r="AH255" s="33" t="s">
        <v>24</v>
      </c>
      <c r="AI255" s="33" t="s">
        <v>25</v>
      </c>
      <c r="AJ255" s="33" t="s">
        <v>26</v>
      </c>
      <c r="AK255" s="33" t="s">
        <v>24</v>
      </c>
      <c r="AL255" s="27"/>
      <c r="AM255" s="34" t="s">
        <v>25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8" customHeight="1" x14ac:dyDescent="0.3">
      <c r="A256" s="39">
        <v>252</v>
      </c>
      <c r="B256" s="40" t="s">
        <v>2351</v>
      </c>
      <c r="C256" s="41" t="s">
        <v>2352</v>
      </c>
      <c r="D256" s="39" t="s">
        <v>1850</v>
      </c>
      <c r="E256" s="43">
        <v>46125</v>
      </c>
      <c r="F256" s="26" t="s">
        <v>23</v>
      </c>
      <c r="G256" s="26" t="s">
        <v>24</v>
      </c>
      <c r="H256" s="26" t="s">
        <v>25</v>
      </c>
      <c r="I256" s="26" t="s">
        <v>26</v>
      </c>
      <c r="J256" s="26" t="s">
        <v>24</v>
      </c>
      <c r="K256" s="27"/>
      <c r="L256" s="28" t="s">
        <v>25</v>
      </c>
      <c r="M256" s="29" t="str">
        <f t="shared" si="15"/>
        <v>✓ OK</v>
      </c>
      <c r="N256" s="43">
        <v>46193</v>
      </c>
      <c r="O256" s="26" t="s">
        <v>23</v>
      </c>
      <c r="P256" s="26" t="s">
        <v>24</v>
      </c>
      <c r="Q256" s="26" t="s">
        <v>25</v>
      </c>
      <c r="R256" s="26" t="s">
        <v>26</v>
      </c>
      <c r="S256" s="26" t="s">
        <v>24</v>
      </c>
      <c r="T256" s="27"/>
      <c r="U256" s="28" t="s">
        <v>25</v>
      </c>
      <c r="V256" s="29" t="str">
        <f t="shared" si="16"/>
        <v>✓ OK</v>
      </c>
      <c r="W256" s="45">
        <v>46248</v>
      </c>
      <c r="X256" s="30" t="s">
        <v>23</v>
      </c>
      <c r="Y256" s="30" t="s">
        <v>24</v>
      </c>
      <c r="Z256" s="30" t="s">
        <v>25</v>
      </c>
      <c r="AA256" s="30" t="s">
        <v>26</v>
      </c>
      <c r="AB256" s="30" t="s">
        <v>24</v>
      </c>
      <c r="AC256" s="27"/>
      <c r="AD256" s="31" t="s">
        <v>25</v>
      </c>
      <c r="AE256" s="32" t="str">
        <f t="shared" si="17"/>
        <v>✓ OK</v>
      </c>
      <c r="AF256" s="33" t="s">
        <v>27</v>
      </c>
      <c r="AG256" s="33" t="s">
        <v>23</v>
      </c>
      <c r="AH256" s="33" t="s">
        <v>24</v>
      </c>
      <c r="AI256" s="33" t="s">
        <v>25</v>
      </c>
      <c r="AJ256" s="33" t="s">
        <v>26</v>
      </c>
      <c r="AK256" s="33" t="s">
        <v>24</v>
      </c>
      <c r="AL256" s="27"/>
      <c r="AM256" s="34" t="s">
        <v>25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8" customHeight="1" x14ac:dyDescent="0.3">
      <c r="A257" s="23">
        <v>253</v>
      </c>
      <c r="B257" s="24" t="s">
        <v>2353</v>
      </c>
      <c r="C257" s="25" t="s">
        <v>2354</v>
      </c>
      <c r="D257" s="23" t="s">
        <v>1850</v>
      </c>
      <c r="E257" s="43">
        <v>46125</v>
      </c>
      <c r="F257" s="26" t="s">
        <v>23</v>
      </c>
      <c r="G257" s="26" t="s">
        <v>24</v>
      </c>
      <c r="H257" s="26" t="s">
        <v>25</v>
      </c>
      <c r="I257" s="26" t="s">
        <v>26</v>
      </c>
      <c r="J257" s="26" t="s">
        <v>24</v>
      </c>
      <c r="K257" s="27"/>
      <c r="L257" s="28" t="s">
        <v>25</v>
      </c>
      <c r="M257" s="29" t="str">
        <f t="shared" si="15"/>
        <v>✓ OK</v>
      </c>
      <c r="N257" s="43">
        <v>46193</v>
      </c>
      <c r="O257" s="26" t="s">
        <v>23</v>
      </c>
      <c r="P257" s="26" t="s">
        <v>24</v>
      </c>
      <c r="Q257" s="26" t="s">
        <v>25</v>
      </c>
      <c r="R257" s="26" t="s">
        <v>26</v>
      </c>
      <c r="S257" s="26" t="s">
        <v>24</v>
      </c>
      <c r="T257" s="27"/>
      <c r="U257" s="28" t="s">
        <v>25</v>
      </c>
      <c r="V257" s="29" t="str">
        <f t="shared" si="16"/>
        <v>✓ OK</v>
      </c>
      <c r="W257" s="45">
        <v>46248</v>
      </c>
      <c r="X257" s="30" t="s">
        <v>23</v>
      </c>
      <c r="Y257" s="30" t="s">
        <v>24</v>
      </c>
      <c r="Z257" s="30" t="s">
        <v>25</v>
      </c>
      <c r="AA257" s="30" t="s">
        <v>26</v>
      </c>
      <c r="AB257" s="30" t="s">
        <v>24</v>
      </c>
      <c r="AC257" s="27"/>
      <c r="AD257" s="31" t="s">
        <v>25</v>
      </c>
      <c r="AE257" s="32" t="str">
        <f t="shared" si="17"/>
        <v>✓ OK</v>
      </c>
      <c r="AF257" s="33" t="s">
        <v>27</v>
      </c>
      <c r="AG257" s="33" t="s">
        <v>23</v>
      </c>
      <c r="AH257" s="33" t="s">
        <v>24</v>
      </c>
      <c r="AI257" s="33" t="s">
        <v>25</v>
      </c>
      <c r="AJ257" s="33" t="s">
        <v>26</v>
      </c>
      <c r="AK257" s="33" t="s">
        <v>24</v>
      </c>
      <c r="AL257" s="27"/>
      <c r="AM257" s="34" t="s">
        <v>25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8" customHeight="1" x14ac:dyDescent="0.3">
      <c r="A258" s="39">
        <v>254</v>
      </c>
      <c r="B258" s="40" t="s">
        <v>2355</v>
      </c>
      <c r="C258" s="41" t="s">
        <v>2356</v>
      </c>
      <c r="D258" s="39" t="s">
        <v>1850</v>
      </c>
      <c r="E258" s="43">
        <v>46125</v>
      </c>
      <c r="F258" s="26" t="s">
        <v>23</v>
      </c>
      <c r="G258" s="26" t="s">
        <v>24</v>
      </c>
      <c r="H258" s="26" t="s">
        <v>25</v>
      </c>
      <c r="I258" s="26" t="s">
        <v>26</v>
      </c>
      <c r="J258" s="26" t="s">
        <v>24</v>
      </c>
      <c r="K258" s="27"/>
      <c r="L258" s="28" t="s">
        <v>25</v>
      </c>
      <c r="M258" s="29" t="str">
        <f t="shared" si="15"/>
        <v>✓ OK</v>
      </c>
      <c r="N258" s="43">
        <v>46193</v>
      </c>
      <c r="O258" s="26" t="s">
        <v>23</v>
      </c>
      <c r="P258" s="26" t="s">
        <v>24</v>
      </c>
      <c r="Q258" s="26" t="s">
        <v>25</v>
      </c>
      <c r="R258" s="26" t="s">
        <v>26</v>
      </c>
      <c r="S258" s="26" t="s">
        <v>24</v>
      </c>
      <c r="T258" s="27"/>
      <c r="U258" s="28" t="s">
        <v>25</v>
      </c>
      <c r="V258" s="29" t="str">
        <f t="shared" si="16"/>
        <v>✓ OK</v>
      </c>
      <c r="W258" s="45">
        <v>46248</v>
      </c>
      <c r="X258" s="30" t="s">
        <v>23</v>
      </c>
      <c r="Y258" s="30" t="s">
        <v>24</v>
      </c>
      <c r="Z258" s="30" t="s">
        <v>25</v>
      </c>
      <c r="AA258" s="30" t="s">
        <v>26</v>
      </c>
      <c r="AB258" s="30" t="s">
        <v>24</v>
      </c>
      <c r="AC258" s="27"/>
      <c r="AD258" s="31" t="s">
        <v>25</v>
      </c>
      <c r="AE258" s="32" t="str">
        <f t="shared" si="17"/>
        <v>✓ OK</v>
      </c>
      <c r="AF258" s="33" t="s">
        <v>27</v>
      </c>
      <c r="AG258" s="33" t="s">
        <v>23</v>
      </c>
      <c r="AH258" s="33" t="s">
        <v>24</v>
      </c>
      <c r="AI258" s="33" t="s">
        <v>25</v>
      </c>
      <c r="AJ258" s="33" t="s">
        <v>26</v>
      </c>
      <c r="AK258" s="33" t="s">
        <v>24</v>
      </c>
      <c r="AL258" s="27"/>
      <c r="AM258" s="34" t="s">
        <v>25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8" customHeight="1" x14ac:dyDescent="0.3">
      <c r="A259" s="23">
        <v>255</v>
      </c>
      <c r="B259" s="24" t="s">
        <v>2357</v>
      </c>
      <c r="C259" s="25" t="s">
        <v>2358</v>
      </c>
      <c r="D259" s="23" t="s">
        <v>1850</v>
      </c>
      <c r="E259" s="43">
        <v>46125</v>
      </c>
      <c r="F259" s="26" t="s">
        <v>23</v>
      </c>
      <c r="G259" s="26" t="s">
        <v>24</v>
      </c>
      <c r="H259" s="26" t="s">
        <v>25</v>
      </c>
      <c r="I259" s="26" t="s">
        <v>26</v>
      </c>
      <c r="J259" s="26" t="s">
        <v>24</v>
      </c>
      <c r="K259" s="27"/>
      <c r="L259" s="28" t="s">
        <v>25</v>
      </c>
      <c r="M259" s="29" t="str">
        <f t="shared" si="15"/>
        <v>✓ OK</v>
      </c>
      <c r="N259" s="43">
        <v>46193</v>
      </c>
      <c r="O259" s="26" t="s">
        <v>23</v>
      </c>
      <c r="P259" s="26" t="s">
        <v>24</v>
      </c>
      <c r="Q259" s="26" t="s">
        <v>25</v>
      </c>
      <c r="R259" s="26" t="s">
        <v>26</v>
      </c>
      <c r="S259" s="26" t="s">
        <v>24</v>
      </c>
      <c r="T259" s="27"/>
      <c r="U259" s="28" t="s">
        <v>25</v>
      </c>
      <c r="V259" s="29" t="str">
        <f t="shared" si="16"/>
        <v>✓ OK</v>
      </c>
      <c r="W259" s="45">
        <v>46248</v>
      </c>
      <c r="X259" s="30" t="s">
        <v>23</v>
      </c>
      <c r="Y259" s="30" t="s">
        <v>24</v>
      </c>
      <c r="Z259" s="30" t="s">
        <v>25</v>
      </c>
      <c r="AA259" s="30" t="s">
        <v>26</v>
      </c>
      <c r="AB259" s="30" t="s">
        <v>24</v>
      </c>
      <c r="AC259" s="27"/>
      <c r="AD259" s="31" t="s">
        <v>25</v>
      </c>
      <c r="AE259" s="32" t="str">
        <f t="shared" si="17"/>
        <v>✓ OK</v>
      </c>
      <c r="AF259" s="33" t="s">
        <v>27</v>
      </c>
      <c r="AG259" s="33" t="s">
        <v>23</v>
      </c>
      <c r="AH259" s="33" t="s">
        <v>24</v>
      </c>
      <c r="AI259" s="33" t="s">
        <v>25</v>
      </c>
      <c r="AJ259" s="33" t="s">
        <v>26</v>
      </c>
      <c r="AK259" s="33" t="s">
        <v>24</v>
      </c>
      <c r="AL259" s="27"/>
      <c r="AM259" s="34" t="s">
        <v>25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8" customHeight="1" x14ac:dyDescent="0.3">
      <c r="A260" s="39">
        <v>256</v>
      </c>
      <c r="B260" s="40" t="s">
        <v>2359</v>
      </c>
      <c r="C260" s="41" t="s">
        <v>2360</v>
      </c>
      <c r="D260" s="39" t="s">
        <v>1850</v>
      </c>
      <c r="E260" s="43">
        <v>46125</v>
      </c>
      <c r="F260" s="26" t="s">
        <v>23</v>
      </c>
      <c r="G260" s="26" t="s">
        <v>24</v>
      </c>
      <c r="H260" s="26" t="s">
        <v>25</v>
      </c>
      <c r="I260" s="26" t="s">
        <v>26</v>
      </c>
      <c r="J260" s="26" t="s">
        <v>24</v>
      </c>
      <c r="K260" s="27"/>
      <c r="L260" s="28" t="s">
        <v>25</v>
      </c>
      <c r="M260" s="29" t="str">
        <f t="shared" si="15"/>
        <v>✓ OK</v>
      </c>
      <c r="N260" s="43">
        <v>46193</v>
      </c>
      <c r="O260" s="26" t="s">
        <v>23</v>
      </c>
      <c r="P260" s="26" t="s">
        <v>24</v>
      </c>
      <c r="Q260" s="26" t="s">
        <v>25</v>
      </c>
      <c r="R260" s="26" t="s">
        <v>26</v>
      </c>
      <c r="S260" s="26" t="s">
        <v>24</v>
      </c>
      <c r="T260" s="27"/>
      <c r="U260" s="28" t="s">
        <v>25</v>
      </c>
      <c r="V260" s="29" t="str">
        <f t="shared" si="16"/>
        <v>✓ OK</v>
      </c>
      <c r="W260" s="45">
        <v>46248</v>
      </c>
      <c r="X260" s="30" t="s">
        <v>23</v>
      </c>
      <c r="Y260" s="30" t="s">
        <v>24</v>
      </c>
      <c r="Z260" s="30" t="s">
        <v>25</v>
      </c>
      <c r="AA260" s="30" t="s">
        <v>26</v>
      </c>
      <c r="AB260" s="30" t="s">
        <v>24</v>
      </c>
      <c r="AC260" s="27"/>
      <c r="AD260" s="31" t="s">
        <v>25</v>
      </c>
      <c r="AE260" s="32" t="str">
        <f t="shared" si="17"/>
        <v>✓ OK</v>
      </c>
      <c r="AF260" s="33" t="s">
        <v>27</v>
      </c>
      <c r="AG260" s="33" t="s">
        <v>23</v>
      </c>
      <c r="AH260" s="33" t="s">
        <v>24</v>
      </c>
      <c r="AI260" s="33" t="s">
        <v>25</v>
      </c>
      <c r="AJ260" s="33" t="s">
        <v>26</v>
      </c>
      <c r="AK260" s="33" t="s">
        <v>24</v>
      </c>
      <c r="AL260" s="27"/>
      <c r="AM260" s="34" t="s">
        <v>25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8" customHeight="1" x14ac:dyDescent="0.3">
      <c r="A261" s="23">
        <v>257</v>
      </c>
      <c r="B261" s="24" t="s">
        <v>2361</v>
      </c>
      <c r="C261" s="25" t="s">
        <v>2362</v>
      </c>
      <c r="D261" s="23" t="s">
        <v>1850</v>
      </c>
      <c r="E261" s="43">
        <v>46125</v>
      </c>
      <c r="F261" s="26" t="s">
        <v>23</v>
      </c>
      <c r="G261" s="26" t="s">
        <v>24</v>
      </c>
      <c r="H261" s="26" t="s">
        <v>25</v>
      </c>
      <c r="I261" s="26" t="s">
        <v>26</v>
      </c>
      <c r="J261" s="26" t="s">
        <v>24</v>
      </c>
      <c r="K261" s="27"/>
      <c r="L261" s="28" t="s">
        <v>25</v>
      </c>
      <c r="M261" s="29" t="str">
        <f t="shared" ref="M261:M324" si="20">IF(E261="","",IF(H261="Yes","❌ Disc",IF(G261="No","⚠ Missing",IF(J261="Yes","✓ OK","⚠ Check"))))</f>
        <v>✓ OK</v>
      </c>
      <c r="N261" s="43">
        <v>46193</v>
      </c>
      <c r="O261" s="26" t="s">
        <v>23</v>
      </c>
      <c r="P261" s="26" t="s">
        <v>24</v>
      </c>
      <c r="Q261" s="26" t="s">
        <v>25</v>
      </c>
      <c r="R261" s="26" t="s">
        <v>26</v>
      </c>
      <c r="S261" s="26" t="s">
        <v>24</v>
      </c>
      <c r="T261" s="27"/>
      <c r="U261" s="28" t="s">
        <v>25</v>
      </c>
      <c r="V261" s="29" t="str">
        <f t="shared" ref="V261:V324" si="21">IF(N261="","",IF(Q261="Yes","❌ Disc",IF(P261="No","⚠ Missing",IF(S261="Yes","✓ OK","⚠ Check"))))</f>
        <v>✓ OK</v>
      </c>
      <c r="W261" s="45">
        <v>46248</v>
      </c>
      <c r="X261" s="30" t="s">
        <v>23</v>
      </c>
      <c r="Y261" s="30" t="s">
        <v>24</v>
      </c>
      <c r="Z261" s="30" t="s">
        <v>25</v>
      </c>
      <c r="AA261" s="30" t="s">
        <v>26</v>
      </c>
      <c r="AB261" s="30" t="s">
        <v>24</v>
      </c>
      <c r="AC261" s="27"/>
      <c r="AD261" s="31" t="s">
        <v>25</v>
      </c>
      <c r="AE261" s="32" t="str">
        <f t="shared" ref="AE261:AE324" si="22">IF(W261="","",IF(Z261="Yes","❌ Disc",IF(Y261="No","⚠ Missing",IF(AB261="Yes","✓ OK","⚠ Check"))))</f>
        <v>✓ OK</v>
      </c>
      <c r="AF261" s="33" t="s">
        <v>27</v>
      </c>
      <c r="AG261" s="33" t="s">
        <v>23</v>
      </c>
      <c r="AH261" s="33" t="s">
        <v>24</v>
      </c>
      <c r="AI261" s="33" t="s">
        <v>25</v>
      </c>
      <c r="AJ261" s="33" t="s">
        <v>26</v>
      </c>
      <c r="AK261" s="33" t="s">
        <v>24</v>
      </c>
      <c r="AL261" s="27"/>
      <c r="AM261" s="34" t="s">
        <v>25</v>
      </c>
      <c r="AN261" s="35" t="str">
        <f t="shared" ref="AN261:AN324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324" si="24">IF(AO261="","",IF(AR261="Yes","❌ Disc",IF(AQ261="No","⚠ Missing",IF(AT261="Yes","✓ OK","⚠ Check"))))</f>
        <v/>
      </c>
    </row>
    <row r="262" spans="1:49" ht="18" customHeight="1" x14ac:dyDescent="0.3">
      <c r="A262" s="39">
        <v>258</v>
      </c>
      <c r="B262" s="40" t="s">
        <v>2363</v>
      </c>
      <c r="C262" s="41" t="s">
        <v>2364</v>
      </c>
      <c r="D262" s="39" t="s">
        <v>1850</v>
      </c>
      <c r="E262" s="43">
        <v>46125</v>
      </c>
      <c r="F262" s="26" t="s">
        <v>23</v>
      </c>
      <c r="G262" s="26" t="s">
        <v>24</v>
      </c>
      <c r="H262" s="26" t="s">
        <v>25</v>
      </c>
      <c r="I262" s="26" t="s">
        <v>26</v>
      </c>
      <c r="J262" s="26" t="s">
        <v>24</v>
      </c>
      <c r="K262" s="27"/>
      <c r="L262" s="28" t="s">
        <v>25</v>
      </c>
      <c r="M262" s="29" t="str">
        <f t="shared" si="20"/>
        <v>✓ OK</v>
      </c>
      <c r="N262" s="43">
        <v>46193</v>
      </c>
      <c r="O262" s="26" t="s">
        <v>23</v>
      </c>
      <c r="P262" s="26" t="s">
        <v>24</v>
      </c>
      <c r="Q262" s="26" t="s">
        <v>25</v>
      </c>
      <c r="R262" s="26" t="s">
        <v>26</v>
      </c>
      <c r="S262" s="26" t="s">
        <v>24</v>
      </c>
      <c r="T262" s="27"/>
      <c r="U262" s="28" t="s">
        <v>25</v>
      </c>
      <c r="V262" s="29" t="str">
        <f t="shared" si="21"/>
        <v>✓ OK</v>
      </c>
      <c r="W262" s="45">
        <v>46248</v>
      </c>
      <c r="X262" s="30" t="s">
        <v>23</v>
      </c>
      <c r="Y262" s="30" t="s">
        <v>24</v>
      </c>
      <c r="Z262" s="30" t="s">
        <v>25</v>
      </c>
      <c r="AA262" s="30" t="s">
        <v>26</v>
      </c>
      <c r="AB262" s="30" t="s">
        <v>24</v>
      </c>
      <c r="AC262" s="27"/>
      <c r="AD262" s="31" t="s">
        <v>25</v>
      </c>
      <c r="AE262" s="32" t="str">
        <f t="shared" si="22"/>
        <v>✓ OK</v>
      </c>
      <c r="AF262" s="33" t="s">
        <v>27</v>
      </c>
      <c r="AG262" s="33" t="s">
        <v>23</v>
      </c>
      <c r="AH262" s="33" t="s">
        <v>24</v>
      </c>
      <c r="AI262" s="33" t="s">
        <v>25</v>
      </c>
      <c r="AJ262" s="33" t="s">
        <v>26</v>
      </c>
      <c r="AK262" s="33" t="s">
        <v>24</v>
      </c>
      <c r="AL262" s="27"/>
      <c r="AM262" s="34" t="s">
        <v>25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8" customHeight="1" x14ac:dyDescent="0.3">
      <c r="A263" s="23">
        <v>259</v>
      </c>
      <c r="B263" s="24" t="s">
        <v>2365</v>
      </c>
      <c r="C263" s="25" t="s">
        <v>2366</v>
      </c>
      <c r="D263" s="23" t="s">
        <v>1850</v>
      </c>
      <c r="E263" s="43">
        <v>46125</v>
      </c>
      <c r="F263" s="26" t="s">
        <v>23</v>
      </c>
      <c r="G263" s="26" t="s">
        <v>24</v>
      </c>
      <c r="H263" s="26" t="s">
        <v>25</v>
      </c>
      <c r="I263" s="26" t="s">
        <v>26</v>
      </c>
      <c r="J263" s="26" t="s">
        <v>24</v>
      </c>
      <c r="K263" s="27"/>
      <c r="L263" s="28" t="s">
        <v>25</v>
      </c>
      <c r="M263" s="29" t="str">
        <f t="shared" si="20"/>
        <v>✓ OK</v>
      </c>
      <c r="N263" s="43">
        <v>46193</v>
      </c>
      <c r="O263" s="26" t="s">
        <v>23</v>
      </c>
      <c r="P263" s="26" t="s">
        <v>24</v>
      </c>
      <c r="Q263" s="26" t="s">
        <v>25</v>
      </c>
      <c r="R263" s="26" t="s">
        <v>26</v>
      </c>
      <c r="S263" s="26" t="s">
        <v>24</v>
      </c>
      <c r="T263" s="27"/>
      <c r="U263" s="28" t="s">
        <v>25</v>
      </c>
      <c r="V263" s="29" t="str">
        <f t="shared" si="21"/>
        <v>✓ OK</v>
      </c>
      <c r="W263" s="45">
        <v>46248</v>
      </c>
      <c r="X263" s="30" t="s">
        <v>23</v>
      </c>
      <c r="Y263" s="30" t="s">
        <v>24</v>
      </c>
      <c r="Z263" s="30" t="s">
        <v>25</v>
      </c>
      <c r="AA263" s="30" t="s">
        <v>26</v>
      </c>
      <c r="AB263" s="30" t="s">
        <v>24</v>
      </c>
      <c r="AC263" s="27"/>
      <c r="AD263" s="31" t="s">
        <v>25</v>
      </c>
      <c r="AE263" s="32" t="str">
        <f t="shared" si="22"/>
        <v>✓ OK</v>
      </c>
      <c r="AF263" s="33" t="s">
        <v>27</v>
      </c>
      <c r="AG263" s="33" t="s">
        <v>23</v>
      </c>
      <c r="AH263" s="33" t="s">
        <v>24</v>
      </c>
      <c r="AI263" s="33" t="s">
        <v>25</v>
      </c>
      <c r="AJ263" s="33" t="s">
        <v>26</v>
      </c>
      <c r="AK263" s="33" t="s">
        <v>24</v>
      </c>
      <c r="AL263" s="27"/>
      <c r="AM263" s="34" t="s">
        <v>25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8" customHeight="1" x14ac:dyDescent="0.3">
      <c r="A264" s="39">
        <v>260</v>
      </c>
      <c r="B264" s="40" t="s">
        <v>2367</v>
      </c>
      <c r="C264" s="41" t="s">
        <v>2368</v>
      </c>
      <c r="D264" s="39" t="s">
        <v>1850</v>
      </c>
      <c r="E264" s="43">
        <v>46125</v>
      </c>
      <c r="F264" s="26" t="s">
        <v>23</v>
      </c>
      <c r="G264" s="26" t="s">
        <v>24</v>
      </c>
      <c r="H264" s="26" t="s">
        <v>25</v>
      </c>
      <c r="I264" s="26" t="s">
        <v>26</v>
      </c>
      <c r="J264" s="26" t="s">
        <v>24</v>
      </c>
      <c r="K264" s="27"/>
      <c r="L264" s="28" t="s">
        <v>25</v>
      </c>
      <c r="M264" s="29" t="str">
        <f t="shared" si="20"/>
        <v>✓ OK</v>
      </c>
      <c r="N264" s="43">
        <v>46193</v>
      </c>
      <c r="O264" s="26" t="s">
        <v>23</v>
      </c>
      <c r="P264" s="26" t="s">
        <v>24</v>
      </c>
      <c r="Q264" s="26" t="s">
        <v>25</v>
      </c>
      <c r="R264" s="26" t="s">
        <v>26</v>
      </c>
      <c r="S264" s="26" t="s">
        <v>24</v>
      </c>
      <c r="T264" s="27"/>
      <c r="U264" s="28" t="s">
        <v>25</v>
      </c>
      <c r="V264" s="29" t="str">
        <f t="shared" si="21"/>
        <v>✓ OK</v>
      </c>
      <c r="W264" s="45">
        <v>46248</v>
      </c>
      <c r="X264" s="30" t="s">
        <v>23</v>
      </c>
      <c r="Y264" s="30" t="s">
        <v>24</v>
      </c>
      <c r="Z264" s="30" t="s">
        <v>25</v>
      </c>
      <c r="AA264" s="30" t="s">
        <v>26</v>
      </c>
      <c r="AB264" s="30" t="s">
        <v>24</v>
      </c>
      <c r="AC264" s="27"/>
      <c r="AD264" s="31" t="s">
        <v>25</v>
      </c>
      <c r="AE264" s="32" t="str">
        <f t="shared" si="22"/>
        <v>✓ OK</v>
      </c>
      <c r="AF264" s="33" t="s">
        <v>27</v>
      </c>
      <c r="AG264" s="33" t="s">
        <v>23</v>
      </c>
      <c r="AH264" s="33" t="s">
        <v>24</v>
      </c>
      <c r="AI264" s="33" t="s">
        <v>25</v>
      </c>
      <c r="AJ264" s="33" t="s">
        <v>26</v>
      </c>
      <c r="AK264" s="33" t="s">
        <v>24</v>
      </c>
      <c r="AL264" s="27"/>
      <c r="AM264" s="34" t="s">
        <v>25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8" customHeight="1" x14ac:dyDescent="0.3">
      <c r="A265" s="23">
        <v>261</v>
      </c>
      <c r="B265" s="24" t="s">
        <v>2369</v>
      </c>
      <c r="C265" s="25" t="s">
        <v>2370</v>
      </c>
      <c r="D265" s="23" t="s">
        <v>1850</v>
      </c>
      <c r="E265" s="43">
        <v>46125</v>
      </c>
      <c r="F265" s="26" t="s">
        <v>23</v>
      </c>
      <c r="G265" s="26" t="s">
        <v>24</v>
      </c>
      <c r="H265" s="26" t="s">
        <v>25</v>
      </c>
      <c r="I265" s="26" t="s">
        <v>26</v>
      </c>
      <c r="J265" s="26" t="s">
        <v>24</v>
      </c>
      <c r="K265" s="27"/>
      <c r="L265" s="28" t="s">
        <v>25</v>
      </c>
      <c r="M265" s="29" t="str">
        <f t="shared" si="20"/>
        <v>✓ OK</v>
      </c>
      <c r="N265" s="43">
        <v>46193</v>
      </c>
      <c r="O265" s="26" t="s">
        <v>23</v>
      </c>
      <c r="P265" s="26" t="s">
        <v>24</v>
      </c>
      <c r="Q265" s="26" t="s">
        <v>25</v>
      </c>
      <c r="R265" s="26" t="s">
        <v>26</v>
      </c>
      <c r="S265" s="26" t="s">
        <v>24</v>
      </c>
      <c r="T265" s="27"/>
      <c r="U265" s="28" t="s">
        <v>25</v>
      </c>
      <c r="V265" s="29" t="str">
        <f t="shared" si="21"/>
        <v>✓ OK</v>
      </c>
      <c r="W265" s="45">
        <v>46248</v>
      </c>
      <c r="X265" s="30" t="s">
        <v>23</v>
      </c>
      <c r="Y265" s="30" t="s">
        <v>24</v>
      </c>
      <c r="Z265" s="30" t="s">
        <v>25</v>
      </c>
      <c r="AA265" s="30" t="s">
        <v>26</v>
      </c>
      <c r="AB265" s="30" t="s">
        <v>24</v>
      </c>
      <c r="AC265" s="27"/>
      <c r="AD265" s="31" t="s">
        <v>25</v>
      </c>
      <c r="AE265" s="32" t="str">
        <f t="shared" si="22"/>
        <v>✓ OK</v>
      </c>
      <c r="AF265" s="33" t="s">
        <v>27</v>
      </c>
      <c r="AG265" s="33" t="s">
        <v>23</v>
      </c>
      <c r="AH265" s="33" t="s">
        <v>24</v>
      </c>
      <c r="AI265" s="33" t="s">
        <v>25</v>
      </c>
      <c r="AJ265" s="33" t="s">
        <v>26</v>
      </c>
      <c r="AK265" s="33" t="s">
        <v>24</v>
      </c>
      <c r="AL265" s="27"/>
      <c r="AM265" s="34" t="s">
        <v>25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8" customHeight="1" x14ac:dyDescent="0.3">
      <c r="A266" s="39">
        <v>262</v>
      </c>
      <c r="B266" s="40" t="s">
        <v>2371</v>
      </c>
      <c r="C266" s="41" t="s">
        <v>2372</v>
      </c>
      <c r="D266" s="39" t="s">
        <v>1850</v>
      </c>
      <c r="E266" s="43">
        <v>46125</v>
      </c>
      <c r="F266" s="26" t="s">
        <v>23</v>
      </c>
      <c r="G266" s="26" t="s">
        <v>24</v>
      </c>
      <c r="H266" s="26" t="s">
        <v>25</v>
      </c>
      <c r="I266" s="26" t="s">
        <v>26</v>
      </c>
      <c r="J266" s="26" t="s">
        <v>24</v>
      </c>
      <c r="K266" s="27"/>
      <c r="L266" s="28" t="s">
        <v>25</v>
      </c>
      <c r="M266" s="29" t="str">
        <f t="shared" si="20"/>
        <v>✓ OK</v>
      </c>
      <c r="N266" s="43">
        <v>46193</v>
      </c>
      <c r="O266" s="26" t="s">
        <v>23</v>
      </c>
      <c r="P266" s="26" t="s">
        <v>24</v>
      </c>
      <c r="Q266" s="26" t="s">
        <v>25</v>
      </c>
      <c r="R266" s="26" t="s">
        <v>26</v>
      </c>
      <c r="S266" s="26" t="s">
        <v>24</v>
      </c>
      <c r="T266" s="27"/>
      <c r="U266" s="28" t="s">
        <v>25</v>
      </c>
      <c r="V266" s="29" t="str">
        <f t="shared" si="21"/>
        <v>✓ OK</v>
      </c>
      <c r="W266" s="45">
        <v>46248</v>
      </c>
      <c r="X266" s="30" t="s">
        <v>23</v>
      </c>
      <c r="Y266" s="30" t="s">
        <v>24</v>
      </c>
      <c r="Z266" s="30" t="s">
        <v>25</v>
      </c>
      <c r="AA266" s="30" t="s">
        <v>26</v>
      </c>
      <c r="AB266" s="30" t="s">
        <v>24</v>
      </c>
      <c r="AC266" s="27"/>
      <c r="AD266" s="31" t="s">
        <v>25</v>
      </c>
      <c r="AE266" s="32" t="str">
        <f t="shared" si="22"/>
        <v>✓ OK</v>
      </c>
      <c r="AF266" s="33" t="s">
        <v>27</v>
      </c>
      <c r="AG266" s="33" t="s">
        <v>23</v>
      </c>
      <c r="AH266" s="33" t="s">
        <v>24</v>
      </c>
      <c r="AI266" s="33" t="s">
        <v>25</v>
      </c>
      <c r="AJ266" s="33" t="s">
        <v>26</v>
      </c>
      <c r="AK266" s="33" t="s">
        <v>24</v>
      </c>
      <c r="AL266" s="27"/>
      <c r="AM266" s="34" t="s">
        <v>25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8" customHeight="1" x14ac:dyDescent="0.3">
      <c r="A267" s="23">
        <v>263</v>
      </c>
      <c r="B267" s="24" t="s">
        <v>2373</v>
      </c>
      <c r="C267" s="25" t="s">
        <v>2374</v>
      </c>
      <c r="D267" s="23" t="s">
        <v>1850</v>
      </c>
      <c r="E267" s="43">
        <v>46125</v>
      </c>
      <c r="F267" s="26" t="s">
        <v>23</v>
      </c>
      <c r="G267" s="26" t="s">
        <v>24</v>
      </c>
      <c r="H267" s="26" t="s">
        <v>25</v>
      </c>
      <c r="I267" s="26" t="s">
        <v>26</v>
      </c>
      <c r="J267" s="26" t="s">
        <v>24</v>
      </c>
      <c r="K267" s="27"/>
      <c r="L267" s="28" t="s">
        <v>25</v>
      </c>
      <c r="M267" s="29" t="str">
        <f t="shared" si="20"/>
        <v>✓ OK</v>
      </c>
      <c r="N267" s="43">
        <v>46193</v>
      </c>
      <c r="O267" s="26" t="s">
        <v>23</v>
      </c>
      <c r="P267" s="26" t="s">
        <v>24</v>
      </c>
      <c r="Q267" s="26" t="s">
        <v>25</v>
      </c>
      <c r="R267" s="26" t="s">
        <v>26</v>
      </c>
      <c r="S267" s="26" t="s">
        <v>24</v>
      </c>
      <c r="T267" s="27"/>
      <c r="U267" s="28" t="s">
        <v>25</v>
      </c>
      <c r="V267" s="29" t="str">
        <f t="shared" si="21"/>
        <v>✓ OK</v>
      </c>
      <c r="W267" s="45">
        <v>46248</v>
      </c>
      <c r="X267" s="30" t="s">
        <v>23</v>
      </c>
      <c r="Y267" s="30" t="s">
        <v>24</v>
      </c>
      <c r="Z267" s="30" t="s">
        <v>25</v>
      </c>
      <c r="AA267" s="30" t="s">
        <v>26</v>
      </c>
      <c r="AB267" s="30" t="s">
        <v>24</v>
      </c>
      <c r="AC267" s="27"/>
      <c r="AD267" s="31" t="s">
        <v>25</v>
      </c>
      <c r="AE267" s="32" t="str">
        <f t="shared" si="22"/>
        <v>✓ OK</v>
      </c>
      <c r="AF267" s="33" t="s">
        <v>27</v>
      </c>
      <c r="AG267" s="33" t="s">
        <v>23</v>
      </c>
      <c r="AH267" s="33" t="s">
        <v>24</v>
      </c>
      <c r="AI267" s="33" t="s">
        <v>25</v>
      </c>
      <c r="AJ267" s="33" t="s">
        <v>26</v>
      </c>
      <c r="AK267" s="33" t="s">
        <v>24</v>
      </c>
      <c r="AL267" s="27"/>
      <c r="AM267" s="34" t="s">
        <v>25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8" customHeight="1" x14ac:dyDescent="0.3">
      <c r="A268" s="39">
        <v>264</v>
      </c>
      <c r="B268" s="40" t="s">
        <v>2375</v>
      </c>
      <c r="C268" s="41" t="s">
        <v>2376</v>
      </c>
      <c r="D268" s="39" t="s">
        <v>1850</v>
      </c>
      <c r="E268" s="43">
        <v>46125</v>
      </c>
      <c r="F268" s="26" t="s">
        <v>23</v>
      </c>
      <c r="G268" s="26" t="s">
        <v>24</v>
      </c>
      <c r="H268" s="26" t="s">
        <v>25</v>
      </c>
      <c r="I268" s="26" t="s">
        <v>26</v>
      </c>
      <c r="J268" s="26" t="s">
        <v>24</v>
      </c>
      <c r="K268" s="27"/>
      <c r="L268" s="28" t="s">
        <v>25</v>
      </c>
      <c r="M268" s="29" t="str">
        <f t="shared" si="20"/>
        <v>✓ OK</v>
      </c>
      <c r="N268" s="43">
        <v>46193</v>
      </c>
      <c r="O268" s="26" t="s">
        <v>23</v>
      </c>
      <c r="P268" s="26" t="s">
        <v>24</v>
      </c>
      <c r="Q268" s="26" t="s">
        <v>25</v>
      </c>
      <c r="R268" s="26" t="s">
        <v>26</v>
      </c>
      <c r="S268" s="26" t="s">
        <v>24</v>
      </c>
      <c r="T268" s="27"/>
      <c r="U268" s="28" t="s">
        <v>25</v>
      </c>
      <c r="V268" s="29" t="str">
        <f t="shared" si="21"/>
        <v>✓ OK</v>
      </c>
      <c r="W268" s="45">
        <v>46248</v>
      </c>
      <c r="X268" s="30" t="s">
        <v>23</v>
      </c>
      <c r="Y268" s="30" t="s">
        <v>24</v>
      </c>
      <c r="Z268" s="30" t="s">
        <v>25</v>
      </c>
      <c r="AA268" s="30" t="s">
        <v>26</v>
      </c>
      <c r="AB268" s="30" t="s">
        <v>24</v>
      </c>
      <c r="AC268" s="27"/>
      <c r="AD268" s="31" t="s">
        <v>25</v>
      </c>
      <c r="AE268" s="32" t="str">
        <f t="shared" si="22"/>
        <v>✓ OK</v>
      </c>
      <c r="AF268" s="33" t="s">
        <v>27</v>
      </c>
      <c r="AG268" s="33" t="s">
        <v>23</v>
      </c>
      <c r="AH268" s="33" t="s">
        <v>24</v>
      </c>
      <c r="AI268" s="33" t="s">
        <v>25</v>
      </c>
      <c r="AJ268" s="33" t="s">
        <v>26</v>
      </c>
      <c r="AK268" s="33" t="s">
        <v>24</v>
      </c>
      <c r="AL268" s="27"/>
      <c r="AM268" s="34" t="s">
        <v>25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8" customHeight="1" x14ac:dyDescent="0.3">
      <c r="A269" s="23">
        <v>265</v>
      </c>
      <c r="B269" s="24" t="s">
        <v>2377</v>
      </c>
      <c r="C269" s="25" t="s">
        <v>2378</v>
      </c>
      <c r="D269" s="23" t="s">
        <v>1850</v>
      </c>
      <c r="E269" s="43">
        <v>46125</v>
      </c>
      <c r="F269" s="26" t="s">
        <v>23</v>
      </c>
      <c r="G269" s="26" t="s">
        <v>24</v>
      </c>
      <c r="H269" s="26" t="s">
        <v>25</v>
      </c>
      <c r="I269" s="26" t="s">
        <v>26</v>
      </c>
      <c r="J269" s="26" t="s">
        <v>24</v>
      </c>
      <c r="K269" s="27"/>
      <c r="L269" s="28" t="s">
        <v>25</v>
      </c>
      <c r="M269" s="29" t="str">
        <f t="shared" si="20"/>
        <v>✓ OK</v>
      </c>
      <c r="N269" s="43">
        <v>46193</v>
      </c>
      <c r="O269" s="26" t="s">
        <v>23</v>
      </c>
      <c r="P269" s="26" t="s">
        <v>24</v>
      </c>
      <c r="Q269" s="26" t="s">
        <v>25</v>
      </c>
      <c r="R269" s="26" t="s">
        <v>26</v>
      </c>
      <c r="S269" s="26" t="s">
        <v>24</v>
      </c>
      <c r="T269" s="27"/>
      <c r="U269" s="28" t="s">
        <v>25</v>
      </c>
      <c r="V269" s="29" t="str">
        <f t="shared" si="21"/>
        <v>✓ OK</v>
      </c>
      <c r="W269" s="45">
        <v>46248</v>
      </c>
      <c r="X269" s="30" t="s">
        <v>23</v>
      </c>
      <c r="Y269" s="30" t="s">
        <v>24</v>
      </c>
      <c r="Z269" s="30" t="s">
        <v>25</v>
      </c>
      <c r="AA269" s="30" t="s">
        <v>26</v>
      </c>
      <c r="AB269" s="30" t="s">
        <v>24</v>
      </c>
      <c r="AC269" s="27"/>
      <c r="AD269" s="31" t="s">
        <v>25</v>
      </c>
      <c r="AE269" s="32" t="str">
        <f t="shared" si="22"/>
        <v>✓ OK</v>
      </c>
      <c r="AF269" s="33" t="s">
        <v>27</v>
      </c>
      <c r="AG269" s="33" t="s">
        <v>23</v>
      </c>
      <c r="AH269" s="33" t="s">
        <v>24</v>
      </c>
      <c r="AI269" s="33" t="s">
        <v>25</v>
      </c>
      <c r="AJ269" s="33" t="s">
        <v>26</v>
      </c>
      <c r="AK269" s="33" t="s">
        <v>24</v>
      </c>
      <c r="AL269" s="27"/>
      <c r="AM269" s="34" t="s">
        <v>25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8" customHeight="1" x14ac:dyDescent="0.3">
      <c r="A270" s="39">
        <v>266</v>
      </c>
      <c r="B270" s="40" t="s">
        <v>2379</v>
      </c>
      <c r="C270" s="41" t="s">
        <v>2380</v>
      </c>
      <c r="D270" s="39" t="s">
        <v>1850</v>
      </c>
      <c r="E270" s="43">
        <v>46125</v>
      </c>
      <c r="F270" s="26" t="s">
        <v>23</v>
      </c>
      <c r="G270" s="26" t="s">
        <v>24</v>
      </c>
      <c r="H270" s="26" t="s">
        <v>25</v>
      </c>
      <c r="I270" s="26" t="s">
        <v>26</v>
      </c>
      <c r="J270" s="26" t="s">
        <v>24</v>
      </c>
      <c r="K270" s="27"/>
      <c r="L270" s="28" t="s">
        <v>25</v>
      </c>
      <c r="M270" s="29" t="str">
        <f t="shared" si="20"/>
        <v>✓ OK</v>
      </c>
      <c r="N270" s="43">
        <v>46193</v>
      </c>
      <c r="O270" s="26" t="s">
        <v>23</v>
      </c>
      <c r="P270" s="26" t="s">
        <v>24</v>
      </c>
      <c r="Q270" s="26" t="s">
        <v>25</v>
      </c>
      <c r="R270" s="26" t="s">
        <v>26</v>
      </c>
      <c r="S270" s="26" t="s">
        <v>24</v>
      </c>
      <c r="T270" s="27"/>
      <c r="U270" s="28" t="s">
        <v>25</v>
      </c>
      <c r="V270" s="29" t="str">
        <f t="shared" si="21"/>
        <v>✓ OK</v>
      </c>
      <c r="W270" s="45">
        <v>46248</v>
      </c>
      <c r="X270" s="30" t="s">
        <v>23</v>
      </c>
      <c r="Y270" s="30" t="s">
        <v>24</v>
      </c>
      <c r="Z270" s="30" t="s">
        <v>25</v>
      </c>
      <c r="AA270" s="30" t="s">
        <v>26</v>
      </c>
      <c r="AB270" s="30" t="s">
        <v>24</v>
      </c>
      <c r="AC270" s="27"/>
      <c r="AD270" s="31" t="s">
        <v>25</v>
      </c>
      <c r="AE270" s="32" t="str">
        <f t="shared" si="22"/>
        <v>✓ OK</v>
      </c>
      <c r="AF270" s="33" t="s">
        <v>27</v>
      </c>
      <c r="AG270" s="33" t="s">
        <v>23</v>
      </c>
      <c r="AH270" s="33" t="s">
        <v>24</v>
      </c>
      <c r="AI270" s="33" t="s">
        <v>25</v>
      </c>
      <c r="AJ270" s="33" t="s">
        <v>26</v>
      </c>
      <c r="AK270" s="33" t="s">
        <v>24</v>
      </c>
      <c r="AL270" s="27"/>
      <c r="AM270" s="34" t="s">
        <v>25</v>
      </c>
      <c r="AN270" s="35" t="str">
        <f t="shared" si="23"/>
        <v>✓ OK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8" customHeight="1" x14ac:dyDescent="0.3">
      <c r="A271" s="23">
        <v>267</v>
      </c>
      <c r="B271" s="24" t="s">
        <v>2381</v>
      </c>
      <c r="C271" s="25" t="s">
        <v>2382</v>
      </c>
      <c r="D271" s="23" t="s">
        <v>1850</v>
      </c>
      <c r="E271" s="43">
        <v>46125</v>
      </c>
      <c r="F271" s="26" t="s">
        <v>23</v>
      </c>
      <c r="G271" s="26" t="s">
        <v>24</v>
      </c>
      <c r="H271" s="26" t="s">
        <v>25</v>
      </c>
      <c r="I271" s="26" t="s">
        <v>26</v>
      </c>
      <c r="J271" s="26" t="s">
        <v>24</v>
      </c>
      <c r="K271" s="27"/>
      <c r="L271" s="28" t="s">
        <v>25</v>
      </c>
      <c r="M271" s="29" t="str">
        <f t="shared" si="20"/>
        <v>✓ OK</v>
      </c>
      <c r="N271" s="43">
        <v>46193</v>
      </c>
      <c r="O271" s="26" t="s">
        <v>23</v>
      </c>
      <c r="P271" s="26" t="s">
        <v>24</v>
      </c>
      <c r="Q271" s="26" t="s">
        <v>25</v>
      </c>
      <c r="R271" s="26" t="s">
        <v>26</v>
      </c>
      <c r="S271" s="26" t="s">
        <v>24</v>
      </c>
      <c r="T271" s="27"/>
      <c r="U271" s="28" t="s">
        <v>25</v>
      </c>
      <c r="V271" s="29" t="str">
        <f t="shared" si="21"/>
        <v>✓ OK</v>
      </c>
      <c r="W271" s="45">
        <v>46248</v>
      </c>
      <c r="X271" s="30" t="s">
        <v>23</v>
      </c>
      <c r="Y271" s="30" t="s">
        <v>24</v>
      </c>
      <c r="Z271" s="30" t="s">
        <v>25</v>
      </c>
      <c r="AA271" s="30" t="s">
        <v>26</v>
      </c>
      <c r="AB271" s="30" t="s">
        <v>24</v>
      </c>
      <c r="AC271" s="27"/>
      <c r="AD271" s="31" t="s">
        <v>25</v>
      </c>
      <c r="AE271" s="32" t="str">
        <f t="shared" si="22"/>
        <v>✓ OK</v>
      </c>
      <c r="AF271" s="33" t="s">
        <v>27</v>
      </c>
      <c r="AG271" s="33" t="s">
        <v>23</v>
      </c>
      <c r="AH271" s="33" t="s">
        <v>24</v>
      </c>
      <c r="AI271" s="33" t="s">
        <v>25</v>
      </c>
      <c r="AJ271" s="33" t="s">
        <v>26</v>
      </c>
      <c r="AK271" s="33" t="s">
        <v>24</v>
      </c>
      <c r="AL271" s="27"/>
      <c r="AM271" s="34" t="s">
        <v>25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8" customHeight="1" x14ac:dyDescent="0.3">
      <c r="A272" s="39">
        <v>268</v>
      </c>
      <c r="B272" s="40" t="s">
        <v>2383</v>
      </c>
      <c r="C272" s="41" t="s">
        <v>2384</v>
      </c>
      <c r="D272" s="39" t="s">
        <v>1850</v>
      </c>
      <c r="E272" s="43">
        <v>46125</v>
      </c>
      <c r="F272" s="26" t="s">
        <v>23</v>
      </c>
      <c r="G272" s="26" t="s">
        <v>24</v>
      </c>
      <c r="H272" s="26" t="s">
        <v>25</v>
      </c>
      <c r="I272" s="26" t="s">
        <v>26</v>
      </c>
      <c r="J272" s="26" t="s">
        <v>24</v>
      </c>
      <c r="K272" s="27"/>
      <c r="L272" s="28" t="s">
        <v>25</v>
      </c>
      <c r="M272" s="29" t="str">
        <f t="shared" si="20"/>
        <v>✓ OK</v>
      </c>
      <c r="N272" s="43">
        <v>46193</v>
      </c>
      <c r="O272" s="26" t="s">
        <v>23</v>
      </c>
      <c r="P272" s="26" t="s">
        <v>24</v>
      </c>
      <c r="Q272" s="26" t="s">
        <v>25</v>
      </c>
      <c r="R272" s="26" t="s">
        <v>26</v>
      </c>
      <c r="S272" s="26" t="s">
        <v>24</v>
      </c>
      <c r="T272" s="27"/>
      <c r="U272" s="28" t="s">
        <v>25</v>
      </c>
      <c r="V272" s="29" t="str">
        <f t="shared" si="21"/>
        <v>✓ OK</v>
      </c>
      <c r="W272" s="45">
        <v>46248</v>
      </c>
      <c r="X272" s="30" t="s">
        <v>23</v>
      </c>
      <c r="Y272" s="30" t="s">
        <v>24</v>
      </c>
      <c r="Z272" s="30" t="s">
        <v>25</v>
      </c>
      <c r="AA272" s="30" t="s">
        <v>26</v>
      </c>
      <c r="AB272" s="30" t="s">
        <v>24</v>
      </c>
      <c r="AC272" s="27"/>
      <c r="AD272" s="31" t="s">
        <v>25</v>
      </c>
      <c r="AE272" s="32" t="str">
        <f t="shared" si="22"/>
        <v>✓ OK</v>
      </c>
      <c r="AF272" s="33" t="s">
        <v>27</v>
      </c>
      <c r="AG272" s="33" t="s">
        <v>23</v>
      </c>
      <c r="AH272" s="33" t="s">
        <v>24</v>
      </c>
      <c r="AI272" s="33" t="s">
        <v>25</v>
      </c>
      <c r="AJ272" s="33" t="s">
        <v>26</v>
      </c>
      <c r="AK272" s="33" t="s">
        <v>24</v>
      </c>
      <c r="AL272" s="27"/>
      <c r="AM272" s="34" t="s">
        <v>25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8" customHeight="1" x14ac:dyDescent="0.3">
      <c r="A273" s="23">
        <v>269</v>
      </c>
      <c r="B273" s="24" t="s">
        <v>2385</v>
      </c>
      <c r="C273" s="25" t="s">
        <v>2386</v>
      </c>
      <c r="D273" s="23" t="s">
        <v>1850</v>
      </c>
      <c r="E273" s="43">
        <v>46125</v>
      </c>
      <c r="F273" s="26" t="s">
        <v>23</v>
      </c>
      <c r="G273" s="26" t="s">
        <v>24</v>
      </c>
      <c r="H273" s="26" t="s">
        <v>25</v>
      </c>
      <c r="I273" s="26" t="s">
        <v>26</v>
      </c>
      <c r="J273" s="26" t="s">
        <v>24</v>
      </c>
      <c r="K273" s="27"/>
      <c r="L273" s="28" t="s">
        <v>25</v>
      </c>
      <c r="M273" s="29" t="str">
        <f t="shared" si="20"/>
        <v>✓ OK</v>
      </c>
      <c r="N273" s="43">
        <v>46193</v>
      </c>
      <c r="O273" s="26" t="s">
        <v>23</v>
      </c>
      <c r="P273" s="26" t="s">
        <v>24</v>
      </c>
      <c r="Q273" s="26" t="s">
        <v>25</v>
      </c>
      <c r="R273" s="26" t="s">
        <v>26</v>
      </c>
      <c r="S273" s="26" t="s">
        <v>24</v>
      </c>
      <c r="T273" s="27"/>
      <c r="U273" s="28" t="s">
        <v>25</v>
      </c>
      <c r="V273" s="29" t="str">
        <f t="shared" si="21"/>
        <v>✓ OK</v>
      </c>
      <c r="W273" s="45">
        <v>46248</v>
      </c>
      <c r="X273" s="30" t="s">
        <v>23</v>
      </c>
      <c r="Y273" s="30" t="s">
        <v>24</v>
      </c>
      <c r="Z273" s="30" t="s">
        <v>25</v>
      </c>
      <c r="AA273" s="30" t="s">
        <v>26</v>
      </c>
      <c r="AB273" s="30" t="s">
        <v>24</v>
      </c>
      <c r="AC273" s="27"/>
      <c r="AD273" s="31" t="s">
        <v>25</v>
      </c>
      <c r="AE273" s="32" t="str">
        <f t="shared" si="22"/>
        <v>✓ OK</v>
      </c>
      <c r="AF273" s="33" t="s">
        <v>27</v>
      </c>
      <c r="AG273" s="33" t="s">
        <v>23</v>
      </c>
      <c r="AH273" s="33" t="s">
        <v>24</v>
      </c>
      <c r="AI273" s="33" t="s">
        <v>25</v>
      </c>
      <c r="AJ273" s="33" t="s">
        <v>26</v>
      </c>
      <c r="AK273" s="33" t="s">
        <v>24</v>
      </c>
      <c r="AL273" s="27"/>
      <c r="AM273" s="34" t="s">
        <v>25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8" customHeight="1" x14ac:dyDescent="0.3">
      <c r="A274" s="39">
        <v>270</v>
      </c>
      <c r="B274" s="40" t="s">
        <v>2387</v>
      </c>
      <c r="C274" s="41" t="s">
        <v>2388</v>
      </c>
      <c r="D274" s="39" t="s">
        <v>1850</v>
      </c>
      <c r="E274" s="43">
        <v>46125</v>
      </c>
      <c r="F274" s="26" t="s">
        <v>23</v>
      </c>
      <c r="G274" s="26" t="s">
        <v>24</v>
      </c>
      <c r="H274" s="26" t="s">
        <v>25</v>
      </c>
      <c r="I274" s="26" t="s">
        <v>26</v>
      </c>
      <c r="J274" s="26" t="s">
        <v>24</v>
      </c>
      <c r="K274" s="27"/>
      <c r="L274" s="28" t="s">
        <v>25</v>
      </c>
      <c r="M274" s="29" t="str">
        <f t="shared" si="20"/>
        <v>✓ OK</v>
      </c>
      <c r="N274" s="43">
        <v>46193</v>
      </c>
      <c r="O274" s="26" t="s">
        <v>23</v>
      </c>
      <c r="P274" s="26" t="s">
        <v>24</v>
      </c>
      <c r="Q274" s="26" t="s">
        <v>25</v>
      </c>
      <c r="R274" s="26" t="s">
        <v>26</v>
      </c>
      <c r="S274" s="26" t="s">
        <v>24</v>
      </c>
      <c r="T274" s="27"/>
      <c r="U274" s="28" t="s">
        <v>25</v>
      </c>
      <c r="V274" s="29" t="str">
        <f t="shared" si="21"/>
        <v>✓ OK</v>
      </c>
      <c r="W274" s="45">
        <v>46248</v>
      </c>
      <c r="X274" s="30" t="s">
        <v>23</v>
      </c>
      <c r="Y274" s="30" t="s">
        <v>24</v>
      </c>
      <c r="Z274" s="30" t="s">
        <v>25</v>
      </c>
      <c r="AA274" s="30" t="s">
        <v>26</v>
      </c>
      <c r="AB274" s="30" t="s">
        <v>24</v>
      </c>
      <c r="AC274" s="27"/>
      <c r="AD274" s="31" t="s">
        <v>25</v>
      </c>
      <c r="AE274" s="32" t="str">
        <f t="shared" si="22"/>
        <v>✓ OK</v>
      </c>
      <c r="AF274" s="33" t="s">
        <v>27</v>
      </c>
      <c r="AG274" s="33" t="s">
        <v>23</v>
      </c>
      <c r="AH274" s="33" t="s">
        <v>24</v>
      </c>
      <c r="AI274" s="33" t="s">
        <v>25</v>
      </c>
      <c r="AJ274" s="33" t="s">
        <v>26</v>
      </c>
      <c r="AK274" s="33" t="s">
        <v>24</v>
      </c>
      <c r="AL274" s="27"/>
      <c r="AM274" s="34" t="s">
        <v>25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8" customHeight="1" x14ac:dyDescent="0.3">
      <c r="A275" s="23">
        <v>271</v>
      </c>
      <c r="B275" s="24" t="s">
        <v>2389</v>
      </c>
      <c r="C275" s="25" t="s">
        <v>2390</v>
      </c>
      <c r="D275" s="23" t="s">
        <v>1850</v>
      </c>
      <c r="E275" s="43">
        <v>46125</v>
      </c>
      <c r="F275" s="26" t="s">
        <v>23</v>
      </c>
      <c r="G275" s="26" t="s">
        <v>24</v>
      </c>
      <c r="H275" s="26" t="s">
        <v>25</v>
      </c>
      <c r="I275" s="26" t="s">
        <v>26</v>
      </c>
      <c r="J275" s="26" t="s">
        <v>24</v>
      </c>
      <c r="K275" s="27"/>
      <c r="L275" s="28" t="s">
        <v>25</v>
      </c>
      <c r="M275" s="29" t="str">
        <f t="shared" si="20"/>
        <v>✓ OK</v>
      </c>
      <c r="N275" s="43">
        <v>46193</v>
      </c>
      <c r="O275" s="26" t="s">
        <v>23</v>
      </c>
      <c r="P275" s="26" t="s">
        <v>24</v>
      </c>
      <c r="Q275" s="26" t="s">
        <v>25</v>
      </c>
      <c r="R275" s="26" t="s">
        <v>26</v>
      </c>
      <c r="S275" s="26" t="s">
        <v>24</v>
      </c>
      <c r="T275" s="27"/>
      <c r="U275" s="28" t="s">
        <v>25</v>
      </c>
      <c r="V275" s="29" t="str">
        <f t="shared" si="21"/>
        <v>✓ OK</v>
      </c>
      <c r="W275" s="45">
        <v>46248</v>
      </c>
      <c r="X275" s="30" t="s">
        <v>23</v>
      </c>
      <c r="Y275" s="30" t="s">
        <v>24</v>
      </c>
      <c r="Z275" s="30" t="s">
        <v>25</v>
      </c>
      <c r="AA275" s="30" t="s">
        <v>26</v>
      </c>
      <c r="AB275" s="30" t="s">
        <v>24</v>
      </c>
      <c r="AC275" s="27"/>
      <c r="AD275" s="31" t="s">
        <v>25</v>
      </c>
      <c r="AE275" s="32" t="str">
        <f t="shared" si="22"/>
        <v>✓ OK</v>
      </c>
      <c r="AF275" s="33" t="s">
        <v>27</v>
      </c>
      <c r="AG275" s="33" t="s">
        <v>23</v>
      </c>
      <c r="AH275" s="33" t="s">
        <v>24</v>
      </c>
      <c r="AI275" s="33" t="s">
        <v>25</v>
      </c>
      <c r="AJ275" s="33" t="s">
        <v>26</v>
      </c>
      <c r="AK275" s="33" t="s">
        <v>24</v>
      </c>
      <c r="AL275" s="27"/>
      <c r="AM275" s="34" t="s">
        <v>25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8" customHeight="1" x14ac:dyDescent="0.3">
      <c r="A276" s="39">
        <v>272</v>
      </c>
      <c r="B276" s="40" t="s">
        <v>2391</v>
      </c>
      <c r="C276" s="41" t="s">
        <v>2392</v>
      </c>
      <c r="D276" s="39" t="s">
        <v>1850</v>
      </c>
      <c r="E276" s="43">
        <v>46125</v>
      </c>
      <c r="F276" s="26" t="s">
        <v>23</v>
      </c>
      <c r="G276" s="26" t="s">
        <v>24</v>
      </c>
      <c r="H276" s="26" t="s">
        <v>25</v>
      </c>
      <c r="I276" s="26" t="s">
        <v>26</v>
      </c>
      <c r="J276" s="26" t="s">
        <v>24</v>
      </c>
      <c r="K276" s="27"/>
      <c r="L276" s="28" t="s">
        <v>25</v>
      </c>
      <c r="M276" s="29" t="str">
        <f t="shared" si="20"/>
        <v>✓ OK</v>
      </c>
      <c r="N276" s="43">
        <v>46193</v>
      </c>
      <c r="O276" s="26" t="s">
        <v>23</v>
      </c>
      <c r="P276" s="26" t="s">
        <v>24</v>
      </c>
      <c r="Q276" s="26" t="s">
        <v>25</v>
      </c>
      <c r="R276" s="26" t="s">
        <v>26</v>
      </c>
      <c r="S276" s="26" t="s">
        <v>24</v>
      </c>
      <c r="T276" s="27"/>
      <c r="U276" s="28" t="s">
        <v>25</v>
      </c>
      <c r="V276" s="29" t="str">
        <f t="shared" si="21"/>
        <v>✓ OK</v>
      </c>
      <c r="W276" s="45">
        <v>46248</v>
      </c>
      <c r="X276" s="30" t="s">
        <v>23</v>
      </c>
      <c r="Y276" s="30" t="s">
        <v>24</v>
      </c>
      <c r="Z276" s="30" t="s">
        <v>25</v>
      </c>
      <c r="AA276" s="30" t="s">
        <v>26</v>
      </c>
      <c r="AB276" s="30" t="s">
        <v>24</v>
      </c>
      <c r="AC276" s="27"/>
      <c r="AD276" s="31" t="s">
        <v>25</v>
      </c>
      <c r="AE276" s="32" t="str">
        <f t="shared" si="22"/>
        <v>✓ OK</v>
      </c>
      <c r="AF276" s="33" t="s">
        <v>27</v>
      </c>
      <c r="AG276" s="33" t="s">
        <v>23</v>
      </c>
      <c r="AH276" s="33" t="s">
        <v>24</v>
      </c>
      <c r="AI276" s="33" t="s">
        <v>25</v>
      </c>
      <c r="AJ276" s="33" t="s">
        <v>26</v>
      </c>
      <c r="AK276" s="33" t="s">
        <v>24</v>
      </c>
      <c r="AL276" s="27"/>
      <c r="AM276" s="34" t="s">
        <v>25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8" customHeight="1" x14ac:dyDescent="0.3">
      <c r="A277" s="23">
        <v>273</v>
      </c>
      <c r="B277" s="24" t="s">
        <v>2393</v>
      </c>
      <c r="C277" s="25" t="s">
        <v>2394</v>
      </c>
      <c r="D277" s="23" t="s">
        <v>1850</v>
      </c>
      <c r="E277" s="43">
        <v>46125</v>
      </c>
      <c r="F277" s="26" t="s">
        <v>23</v>
      </c>
      <c r="G277" s="26" t="s">
        <v>24</v>
      </c>
      <c r="H277" s="26" t="s">
        <v>25</v>
      </c>
      <c r="I277" s="26" t="s">
        <v>26</v>
      </c>
      <c r="J277" s="26" t="s">
        <v>24</v>
      </c>
      <c r="K277" s="27"/>
      <c r="L277" s="28" t="s">
        <v>25</v>
      </c>
      <c r="M277" s="29" t="str">
        <f t="shared" si="20"/>
        <v>✓ OK</v>
      </c>
      <c r="N277" s="43">
        <v>46193</v>
      </c>
      <c r="O277" s="26" t="s">
        <v>23</v>
      </c>
      <c r="P277" s="26" t="s">
        <v>24</v>
      </c>
      <c r="Q277" s="26" t="s">
        <v>25</v>
      </c>
      <c r="R277" s="26" t="s">
        <v>26</v>
      </c>
      <c r="S277" s="26" t="s">
        <v>24</v>
      </c>
      <c r="T277" s="27"/>
      <c r="U277" s="28" t="s">
        <v>25</v>
      </c>
      <c r="V277" s="29" t="str">
        <f t="shared" si="21"/>
        <v>✓ OK</v>
      </c>
      <c r="W277" s="45">
        <v>46248</v>
      </c>
      <c r="X277" s="30" t="s">
        <v>23</v>
      </c>
      <c r="Y277" s="30" t="s">
        <v>24</v>
      </c>
      <c r="Z277" s="30" t="s">
        <v>25</v>
      </c>
      <c r="AA277" s="30" t="s">
        <v>26</v>
      </c>
      <c r="AB277" s="30" t="s">
        <v>24</v>
      </c>
      <c r="AC277" s="27"/>
      <c r="AD277" s="31" t="s">
        <v>25</v>
      </c>
      <c r="AE277" s="32" t="str">
        <f t="shared" si="22"/>
        <v>✓ OK</v>
      </c>
      <c r="AF277" s="33" t="s">
        <v>27</v>
      </c>
      <c r="AG277" s="33" t="s">
        <v>23</v>
      </c>
      <c r="AH277" s="33" t="s">
        <v>24</v>
      </c>
      <c r="AI277" s="33" t="s">
        <v>25</v>
      </c>
      <c r="AJ277" s="33" t="s">
        <v>26</v>
      </c>
      <c r="AK277" s="33" t="s">
        <v>24</v>
      </c>
      <c r="AL277" s="27"/>
      <c r="AM277" s="34" t="s">
        <v>25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8" customHeight="1" x14ac:dyDescent="0.3">
      <c r="A278" s="39">
        <v>274</v>
      </c>
      <c r="B278" s="40" t="s">
        <v>2395</v>
      </c>
      <c r="C278" s="41" t="s">
        <v>2396</v>
      </c>
      <c r="D278" s="39" t="s">
        <v>1850</v>
      </c>
      <c r="E278" s="43">
        <v>46125</v>
      </c>
      <c r="F278" s="26" t="s">
        <v>23</v>
      </c>
      <c r="G278" s="26" t="s">
        <v>24</v>
      </c>
      <c r="H278" s="26" t="s">
        <v>25</v>
      </c>
      <c r="I278" s="26" t="s">
        <v>26</v>
      </c>
      <c r="J278" s="26" t="s">
        <v>24</v>
      </c>
      <c r="K278" s="27"/>
      <c r="L278" s="28" t="s">
        <v>25</v>
      </c>
      <c r="M278" s="29" t="str">
        <f t="shared" si="20"/>
        <v>✓ OK</v>
      </c>
      <c r="N278" s="43">
        <v>46193</v>
      </c>
      <c r="O278" s="26" t="s">
        <v>23</v>
      </c>
      <c r="P278" s="26" t="s">
        <v>24</v>
      </c>
      <c r="Q278" s="26" t="s">
        <v>25</v>
      </c>
      <c r="R278" s="26" t="s">
        <v>26</v>
      </c>
      <c r="S278" s="26" t="s">
        <v>24</v>
      </c>
      <c r="T278" s="27"/>
      <c r="U278" s="28" t="s">
        <v>25</v>
      </c>
      <c r="V278" s="29" t="str">
        <f t="shared" si="21"/>
        <v>✓ OK</v>
      </c>
      <c r="W278" s="45">
        <v>46248</v>
      </c>
      <c r="X278" s="30" t="s">
        <v>23</v>
      </c>
      <c r="Y278" s="30" t="s">
        <v>24</v>
      </c>
      <c r="Z278" s="30" t="s">
        <v>25</v>
      </c>
      <c r="AA278" s="30" t="s">
        <v>26</v>
      </c>
      <c r="AB278" s="30" t="s">
        <v>24</v>
      </c>
      <c r="AC278" s="27"/>
      <c r="AD278" s="31" t="s">
        <v>25</v>
      </c>
      <c r="AE278" s="32" t="str">
        <f t="shared" si="22"/>
        <v>✓ OK</v>
      </c>
      <c r="AF278" s="33" t="s">
        <v>27</v>
      </c>
      <c r="AG278" s="33" t="s">
        <v>23</v>
      </c>
      <c r="AH278" s="33" t="s">
        <v>24</v>
      </c>
      <c r="AI278" s="33" t="s">
        <v>25</v>
      </c>
      <c r="AJ278" s="33" t="s">
        <v>26</v>
      </c>
      <c r="AK278" s="33" t="s">
        <v>24</v>
      </c>
      <c r="AL278" s="27"/>
      <c r="AM278" s="34" t="s">
        <v>25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8" customHeight="1" x14ac:dyDescent="0.3">
      <c r="A279" s="23">
        <v>275</v>
      </c>
      <c r="B279" s="24" t="s">
        <v>2397</v>
      </c>
      <c r="C279" s="25" t="s">
        <v>2398</v>
      </c>
      <c r="D279" s="23" t="s">
        <v>1850</v>
      </c>
      <c r="E279" s="43">
        <v>46125</v>
      </c>
      <c r="F279" s="26" t="s">
        <v>23</v>
      </c>
      <c r="G279" s="26" t="s">
        <v>24</v>
      </c>
      <c r="H279" s="26" t="s">
        <v>25</v>
      </c>
      <c r="I279" s="26" t="s">
        <v>26</v>
      </c>
      <c r="J279" s="26" t="s">
        <v>24</v>
      </c>
      <c r="K279" s="27"/>
      <c r="L279" s="28" t="s">
        <v>25</v>
      </c>
      <c r="M279" s="29" t="str">
        <f t="shared" si="20"/>
        <v>✓ OK</v>
      </c>
      <c r="N279" s="43">
        <v>46193</v>
      </c>
      <c r="O279" s="26" t="s">
        <v>23</v>
      </c>
      <c r="P279" s="26" t="s">
        <v>24</v>
      </c>
      <c r="Q279" s="26" t="s">
        <v>25</v>
      </c>
      <c r="R279" s="26" t="s">
        <v>26</v>
      </c>
      <c r="S279" s="26" t="s">
        <v>24</v>
      </c>
      <c r="T279" s="27"/>
      <c r="U279" s="28" t="s">
        <v>25</v>
      </c>
      <c r="V279" s="29" t="str">
        <f t="shared" si="21"/>
        <v>✓ OK</v>
      </c>
      <c r="W279" s="45">
        <v>46248</v>
      </c>
      <c r="X279" s="30" t="s">
        <v>23</v>
      </c>
      <c r="Y279" s="30" t="s">
        <v>24</v>
      </c>
      <c r="Z279" s="30" t="s">
        <v>25</v>
      </c>
      <c r="AA279" s="30" t="s">
        <v>26</v>
      </c>
      <c r="AB279" s="30" t="s">
        <v>24</v>
      </c>
      <c r="AC279" s="27"/>
      <c r="AD279" s="31" t="s">
        <v>25</v>
      </c>
      <c r="AE279" s="32" t="str">
        <f t="shared" si="22"/>
        <v>✓ OK</v>
      </c>
      <c r="AF279" s="33" t="s">
        <v>27</v>
      </c>
      <c r="AG279" s="33" t="s">
        <v>23</v>
      </c>
      <c r="AH279" s="33" t="s">
        <v>24</v>
      </c>
      <c r="AI279" s="33" t="s">
        <v>25</v>
      </c>
      <c r="AJ279" s="33" t="s">
        <v>26</v>
      </c>
      <c r="AK279" s="33" t="s">
        <v>24</v>
      </c>
      <c r="AL279" s="27"/>
      <c r="AM279" s="34" t="s">
        <v>25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8" customHeight="1" x14ac:dyDescent="0.3">
      <c r="A280" s="39">
        <v>276</v>
      </c>
      <c r="B280" s="40" t="s">
        <v>2399</v>
      </c>
      <c r="C280" s="41" t="s">
        <v>2400</v>
      </c>
      <c r="D280" s="39" t="s">
        <v>1850</v>
      </c>
      <c r="E280" s="43">
        <v>46125</v>
      </c>
      <c r="F280" s="26" t="s">
        <v>23</v>
      </c>
      <c r="G280" s="26" t="s">
        <v>24</v>
      </c>
      <c r="H280" s="26" t="s">
        <v>25</v>
      </c>
      <c r="I280" s="26" t="s">
        <v>26</v>
      </c>
      <c r="J280" s="26" t="s">
        <v>24</v>
      </c>
      <c r="K280" s="27"/>
      <c r="L280" s="28" t="s">
        <v>25</v>
      </c>
      <c r="M280" s="29" t="str">
        <f t="shared" si="20"/>
        <v>✓ OK</v>
      </c>
      <c r="N280" s="43">
        <v>46193</v>
      </c>
      <c r="O280" s="26" t="s">
        <v>23</v>
      </c>
      <c r="P280" s="26" t="s">
        <v>24</v>
      </c>
      <c r="Q280" s="26" t="s">
        <v>25</v>
      </c>
      <c r="R280" s="26" t="s">
        <v>26</v>
      </c>
      <c r="S280" s="26" t="s">
        <v>24</v>
      </c>
      <c r="T280" s="27"/>
      <c r="U280" s="28" t="s">
        <v>25</v>
      </c>
      <c r="V280" s="29" t="str">
        <f t="shared" si="21"/>
        <v>✓ OK</v>
      </c>
      <c r="W280" s="45">
        <v>46248</v>
      </c>
      <c r="X280" s="30" t="s">
        <v>23</v>
      </c>
      <c r="Y280" s="30" t="s">
        <v>24</v>
      </c>
      <c r="Z280" s="30" t="s">
        <v>25</v>
      </c>
      <c r="AA280" s="30" t="s">
        <v>26</v>
      </c>
      <c r="AB280" s="30" t="s">
        <v>24</v>
      </c>
      <c r="AC280" s="27"/>
      <c r="AD280" s="31" t="s">
        <v>25</v>
      </c>
      <c r="AE280" s="32" t="str">
        <f t="shared" si="22"/>
        <v>✓ OK</v>
      </c>
      <c r="AF280" s="33" t="s">
        <v>27</v>
      </c>
      <c r="AG280" s="33" t="s">
        <v>23</v>
      </c>
      <c r="AH280" s="33" t="s">
        <v>24</v>
      </c>
      <c r="AI280" s="33" t="s">
        <v>25</v>
      </c>
      <c r="AJ280" s="33" t="s">
        <v>26</v>
      </c>
      <c r="AK280" s="33" t="s">
        <v>24</v>
      </c>
      <c r="AL280" s="27"/>
      <c r="AM280" s="34" t="s">
        <v>25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8" customHeight="1" x14ac:dyDescent="0.3">
      <c r="A281" s="23">
        <v>277</v>
      </c>
      <c r="B281" s="24" t="s">
        <v>2401</v>
      </c>
      <c r="C281" s="25" t="s">
        <v>2402</v>
      </c>
      <c r="D281" s="23" t="s">
        <v>1850</v>
      </c>
      <c r="E281" s="43">
        <v>46125</v>
      </c>
      <c r="F281" s="26" t="s">
        <v>23</v>
      </c>
      <c r="G281" s="26" t="s">
        <v>24</v>
      </c>
      <c r="H281" s="26" t="s">
        <v>25</v>
      </c>
      <c r="I281" s="26" t="s">
        <v>26</v>
      </c>
      <c r="J281" s="26" t="s">
        <v>24</v>
      </c>
      <c r="K281" s="27"/>
      <c r="L281" s="28" t="s">
        <v>25</v>
      </c>
      <c r="M281" s="29" t="str">
        <f t="shared" si="20"/>
        <v>✓ OK</v>
      </c>
      <c r="N281" s="43">
        <v>46193</v>
      </c>
      <c r="O281" s="26" t="s">
        <v>23</v>
      </c>
      <c r="P281" s="26" t="s">
        <v>24</v>
      </c>
      <c r="Q281" s="26" t="s">
        <v>25</v>
      </c>
      <c r="R281" s="26" t="s">
        <v>26</v>
      </c>
      <c r="S281" s="26" t="s">
        <v>24</v>
      </c>
      <c r="T281" s="27"/>
      <c r="U281" s="28" t="s">
        <v>25</v>
      </c>
      <c r="V281" s="29" t="str">
        <f t="shared" si="21"/>
        <v>✓ OK</v>
      </c>
      <c r="W281" s="45">
        <v>46248</v>
      </c>
      <c r="X281" s="30" t="s">
        <v>23</v>
      </c>
      <c r="Y281" s="30" t="s">
        <v>24</v>
      </c>
      <c r="Z281" s="30" t="s">
        <v>25</v>
      </c>
      <c r="AA281" s="30" t="s">
        <v>26</v>
      </c>
      <c r="AB281" s="30" t="s">
        <v>24</v>
      </c>
      <c r="AC281" s="27"/>
      <c r="AD281" s="31" t="s">
        <v>25</v>
      </c>
      <c r="AE281" s="32" t="str">
        <f t="shared" si="22"/>
        <v>✓ OK</v>
      </c>
      <c r="AF281" s="33" t="s">
        <v>27</v>
      </c>
      <c r="AG281" s="33" t="s">
        <v>23</v>
      </c>
      <c r="AH281" s="33" t="s">
        <v>24</v>
      </c>
      <c r="AI281" s="33" t="s">
        <v>25</v>
      </c>
      <c r="AJ281" s="33" t="s">
        <v>26</v>
      </c>
      <c r="AK281" s="33" t="s">
        <v>24</v>
      </c>
      <c r="AL281" s="27"/>
      <c r="AM281" s="34" t="s">
        <v>25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8" customHeight="1" x14ac:dyDescent="0.3">
      <c r="A282" s="39">
        <v>278</v>
      </c>
      <c r="B282" s="40" t="s">
        <v>2403</v>
      </c>
      <c r="C282" s="41" t="s">
        <v>2404</v>
      </c>
      <c r="D282" s="39" t="s">
        <v>1850</v>
      </c>
      <c r="E282" s="43">
        <v>46125</v>
      </c>
      <c r="F282" s="26" t="s">
        <v>23</v>
      </c>
      <c r="G282" s="26" t="s">
        <v>24</v>
      </c>
      <c r="H282" s="26" t="s">
        <v>25</v>
      </c>
      <c r="I282" s="26" t="s">
        <v>26</v>
      </c>
      <c r="J282" s="26" t="s">
        <v>24</v>
      </c>
      <c r="K282" s="27"/>
      <c r="L282" s="28" t="s">
        <v>25</v>
      </c>
      <c r="M282" s="29" t="str">
        <f t="shared" si="20"/>
        <v>✓ OK</v>
      </c>
      <c r="N282" s="43">
        <v>46193</v>
      </c>
      <c r="O282" s="26" t="s">
        <v>23</v>
      </c>
      <c r="P282" s="26" t="s">
        <v>24</v>
      </c>
      <c r="Q282" s="26" t="s">
        <v>25</v>
      </c>
      <c r="R282" s="26" t="s">
        <v>26</v>
      </c>
      <c r="S282" s="26" t="s">
        <v>24</v>
      </c>
      <c r="T282" s="27"/>
      <c r="U282" s="28" t="s">
        <v>25</v>
      </c>
      <c r="V282" s="29" t="str">
        <f t="shared" si="21"/>
        <v>✓ OK</v>
      </c>
      <c r="W282" s="45">
        <v>46248</v>
      </c>
      <c r="X282" s="30" t="s">
        <v>23</v>
      </c>
      <c r="Y282" s="30" t="s">
        <v>24</v>
      </c>
      <c r="Z282" s="30" t="s">
        <v>25</v>
      </c>
      <c r="AA282" s="30" t="s">
        <v>26</v>
      </c>
      <c r="AB282" s="30" t="s">
        <v>24</v>
      </c>
      <c r="AC282" s="27"/>
      <c r="AD282" s="31" t="s">
        <v>25</v>
      </c>
      <c r="AE282" s="32" t="str">
        <f t="shared" si="22"/>
        <v>✓ OK</v>
      </c>
      <c r="AF282" s="33" t="s">
        <v>27</v>
      </c>
      <c r="AG282" s="33" t="s">
        <v>23</v>
      </c>
      <c r="AH282" s="33" t="s">
        <v>24</v>
      </c>
      <c r="AI282" s="33" t="s">
        <v>25</v>
      </c>
      <c r="AJ282" s="33" t="s">
        <v>26</v>
      </c>
      <c r="AK282" s="33" t="s">
        <v>24</v>
      </c>
      <c r="AL282" s="27"/>
      <c r="AM282" s="34" t="s">
        <v>25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8" customHeight="1" x14ac:dyDescent="0.3">
      <c r="A283" s="23">
        <v>279</v>
      </c>
      <c r="B283" s="24" t="s">
        <v>2405</v>
      </c>
      <c r="C283" s="25" t="s">
        <v>2406</v>
      </c>
      <c r="D283" s="23" t="s">
        <v>1850</v>
      </c>
      <c r="E283" s="43">
        <v>46125</v>
      </c>
      <c r="F283" s="26" t="s">
        <v>23</v>
      </c>
      <c r="G283" s="26" t="s">
        <v>24</v>
      </c>
      <c r="H283" s="26" t="s">
        <v>25</v>
      </c>
      <c r="I283" s="26" t="s">
        <v>26</v>
      </c>
      <c r="J283" s="26" t="s">
        <v>24</v>
      </c>
      <c r="K283" s="27"/>
      <c r="L283" s="28" t="s">
        <v>25</v>
      </c>
      <c r="M283" s="29" t="str">
        <f t="shared" si="20"/>
        <v>✓ OK</v>
      </c>
      <c r="N283" s="43">
        <v>46193</v>
      </c>
      <c r="O283" s="26" t="s">
        <v>23</v>
      </c>
      <c r="P283" s="26" t="s">
        <v>24</v>
      </c>
      <c r="Q283" s="26" t="s">
        <v>25</v>
      </c>
      <c r="R283" s="26" t="s">
        <v>26</v>
      </c>
      <c r="S283" s="26" t="s">
        <v>24</v>
      </c>
      <c r="T283" s="27"/>
      <c r="U283" s="28" t="s">
        <v>25</v>
      </c>
      <c r="V283" s="29" t="str">
        <f t="shared" si="21"/>
        <v>✓ OK</v>
      </c>
      <c r="W283" s="45">
        <v>46248</v>
      </c>
      <c r="X283" s="30" t="s">
        <v>23</v>
      </c>
      <c r="Y283" s="30" t="s">
        <v>24</v>
      </c>
      <c r="Z283" s="30" t="s">
        <v>25</v>
      </c>
      <c r="AA283" s="30" t="s">
        <v>26</v>
      </c>
      <c r="AB283" s="30" t="s">
        <v>24</v>
      </c>
      <c r="AC283" s="27"/>
      <c r="AD283" s="31" t="s">
        <v>25</v>
      </c>
      <c r="AE283" s="32" t="str">
        <f t="shared" si="22"/>
        <v>✓ OK</v>
      </c>
      <c r="AF283" s="33" t="s">
        <v>27</v>
      </c>
      <c r="AG283" s="33" t="s">
        <v>23</v>
      </c>
      <c r="AH283" s="33" t="s">
        <v>24</v>
      </c>
      <c r="AI283" s="33" t="s">
        <v>25</v>
      </c>
      <c r="AJ283" s="33" t="s">
        <v>26</v>
      </c>
      <c r="AK283" s="33" t="s">
        <v>24</v>
      </c>
      <c r="AL283" s="27"/>
      <c r="AM283" s="34" t="s">
        <v>25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8" customHeight="1" x14ac:dyDescent="0.3">
      <c r="A284" s="39">
        <v>280</v>
      </c>
      <c r="B284" s="40" t="s">
        <v>2407</v>
      </c>
      <c r="C284" s="41" t="s">
        <v>2408</v>
      </c>
      <c r="D284" s="39" t="s">
        <v>1850</v>
      </c>
      <c r="E284" s="43">
        <v>46125</v>
      </c>
      <c r="F284" s="26" t="s">
        <v>23</v>
      </c>
      <c r="G284" s="26" t="s">
        <v>24</v>
      </c>
      <c r="H284" s="26" t="s">
        <v>25</v>
      </c>
      <c r="I284" s="26" t="s">
        <v>26</v>
      </c>
      <c r="J284" s="26" t="s">
        <v>24</v>
      </c>
      <c r="K284" s="27"/>
      <c r="L284" s="28" t="s">
        <v>25</v>
      </c>
      <c r="M284" s="29" t="str">
        <f t="shared" si="20"/>
        <v>✓ OK</v>
      </c>
      <c r="N284" s="43">
        <v>46193</v>
      </c>
      <c r="O284" s="26" t="s">
        <v>23</v>
      </c>
      <c r="P284" s="26" t="s">
        <v>24</v>
      </c>
      <c r="Q284" s="26" t="s">
        <v>25</v>
      </c>
      <c r="R284" s="26" t="s">
        <v>26</v>
      </c>
      <c r="S284" s="26" t="s">
        <v>24</v>
      </c>
      <c r="T284" s="27"/>
      <c r="U284" s="28" t="s">
        <v>25</v>
      </c>
      <c r="V284" s="29" t="str">
        <f t="shared" si="21"/>
        <v>✓ OK</v>
      </c>
      <c r="W284" s="45">
        <v>46248</v>
      </c>
      <c r="X284" s="30" t="s">
        <v>23</v>
      </c>
      <c r="Y284" s="30" t="s">
        <v>24</v>
      </c>
      <c r="Z284" s="30" t="s">
        <v>25</v>
      </c>
      <c r="AA284" s="30" t="s">
        <v>26</v>
      </c>
      <c r="AB284" s="30" t="s">
        <v>24</v>
      </c>
      <c r="AC284" s="27"/>
      <c r="AD284" s="31" t="s">
        <v>25</v>
      </c>
      <c r="AE284" s="32" t="str">
        <f t="shared" si="22"/>
        <v>✓ OK</v>
      </c>
      <c r="AF284" s="33" t="s">
        <v>27</v>
      </c>
      <c r="AG284" s="33" t="s">
        <v>23</v>
      </c>
      <c r="AH284" s="33" t="s">
        <v>24</v>
      </c>
      <c r="AI284" s="33" t="s">
        <v>25</v>
      </c>
      <c r="AJ284" s="33" t="s">
        <v>26</v>
      </c>
      <c r="AK284" s="33" t="s">
        <v>24</v>
      </c>
      <c r="AL284" s="27"/>
      <c r="AM284" s="34" t="s">
        <v>25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8" customHeight="1" x14ac:dyDescent="0.3">
      <c r="A285" s="23">
        <v>281</v>
      </c>
      <c r="B285" s="24" t="s">
        <v>2409</v>
      </c>
      <c r="C285" s="25" t="s">
        <v>2410</v>
      </c>
      <c r="D285" s="23" t="s">
        <v>1850</v>
      </c>
      <c r="E285" s="43">
        <v>46125</v>
      </c>
      <c r="F285" s="26" t="s">
        <v>23</v>
      </c>
      <c r="G285" s="26" t="s">
        <v>24</v>
      </c>
      <c r="H285" s="26" t="s">
        <v>25</v>
      </c>
      <c r="I285" s="26" t="s">
        <v>26</v>
      </c>
      <c r="J285" s="26" t="s">
        <v>24</v>
      </c>
      <c r="K285" s="27"/>
      <c r="L285" s="28" t="s">
        <v>25</v>
      </c>
      <c r="M285" s="29" t="str">
        <f t="shared" si="20"/>
        <v>✓ OK</v>
      </c>
      <c r="N285" s="43">
        <v>46193</v>
      </c>
      <c r="O285" s="26" t="s">
        <v>23</v>
      </c>
      <c r="P285" s="26" t="s">
        <v>24</v>
      </c>
      <c r="Q285" s="26" t="s">
        <v>25</v>
      </c>
      <c r="R285" s="26" t="s">
        <v>26</v>
      </c>
      <c r="S285" s="26" t="s">
        <v>24</v>
      </c>
      <c r="T285" s="27"/>
      <c r="U285" s="28" t="s">
        <v>25</v>
      </c>
      <c r="V285" s="29" t="str">
        <f t="shared" si="21"/>
        <v>✓ OK</v>
      </c>
      <c r="W285" s="45">
        <v>46248</v>
      </c>
      <c r="X285" s="30" t="s">
        <v>23</v>
      </c>
      <c r="Y285" s="30" t="s">
        <v>24</v>
      </c>
      <c r="Z285" s="30" t="s">
        <v>25</v>
      </c>
      <c r="AA285" s="30" t="s">
        <v>26</v>
      </c>
      <c r="AB285" s="30" t="s">
        <v>24</v>
      </c>
      <c r="AC285" s="27"/>
      <c r="AD285" s="31" t="s">
        <v>25</v>
      </c>
      <c r="AE285" s="32" t="str">
        <f t="shared" si="22"/>
        <v>✓ OK</v>
      </c>
      <c r="AF285" s="33" t="s">
        <v>27</v>
      </c>
      <c r="AG285" s="33" t="s">
        <v>23</v>
      </c>
      <c r="AH285" s="33" t="s">
        <v>24</v>
      </c>
      <c r="AI285" s="33" t="s">
        <v>25</v>
      </c>
      <c r="AJ285" s="33" t="s">
        <v>26</v>
      </c>
      <c r="AK285" s="33" t="s">
        <v>24</v>
      </c>
      <c r="AL285" s="27"/>
      <c r="AM285" s="34" t="s">
        <v>25</v>
      </c>
      <c r="AN285" s="35" t="str">
        <f t="shared" si="23"/>
        <v>✓ OK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8" customHeight="1" x14ac:dyDescent="0.3">
      <c r="A286" s="39">
        <v>282</v>
      </c>
      <c r="B286" s="40" t="s">
        <v>2411</v>
      </c>
      <c r="C286" s="41" t="s">
        <v>2412</v>
      </c>
      <c r="D286" s="39" t="s">
        <v>1850</v>
      </c>
      <c r="E286" s="43">
        <v>46125</v>
      </c>
      <c r="F286" s="26" t="s">
        <v>23</v>
      </c>
      <c r="G286" s="26" t="s">
        <v>24</v>
      </c>
      <c r="H286" s="26" t="s">
        <v>25</v>
      </c>
      <c r="I286" s="26" t="s">
        <v>26</v>
      </c>
      <c r="J286" s="26" t="s">
        <v>24</v>
      </c>
      <c r="K286" s="27"/>
      <c r="L286" s="28" t="s">
        <v>25</v>
      </c>
      <c r="M286" s="29" t="str">
        <f t="shared" si="20"/>
        <v>✓ OK</v>
      </c>
      <c r="N286" s="43">
        <v>46193</v>
      </c>
      <c r="O286" s="26" t="s">
        <v>23</v>
      </c>
      <c r="P286" s="26" t="s">
        <v>24</v>
      </c>
      <c r="Q286" s="26" t="s">
        <v>25</v>
      </c>
      <c r="R286" s="26" t="s">
        <v>26</v>
      </c>
      <c r="S286" s="26" t="s">
        <v>24</v>
      </c>
      <c r="T286" s="27"/>
      <c r="U286" s="28" t="s">
        <v>25</v>
      </c>
      <c r="V286" s="29" t="str">
        <f t="shared" si="21"/>
        <v>✓ OK</v>
      </c>
      <c r="W286" s="45">
        <v>46248</v>
      </c>
      <c r="X286" s="30" t="s">
        <v>23</v>
      </c>
      <c r="Y286" s="30" t="s">
        <v>24</v>
      </c>
      <c r="Z286" s="30" t="s">
        <v>25</v>
      </c>
      <c r="AA286" s="30" t="s">
        <v>26</v>
      </c>
      <c r="AB286" s="30" t="s">
        <v>24</v>
      </c>
      <c r="AC286" s="27"/>
      <c r="AD286" s="31" t="s">
        <v>25</v>
      </c>
      <c r="AE286" s="32" t="str">
        <f t="shared" si="22"/>
        <v>✓ OK</v>
      </c>
      <c r="AF286" s="33" t="s">
        <v>27</v>
      </c>
      <c r="AG286" s="33" t="s">
        <v>23</v>
      </c>
      <c r="AH286" s="33" t="s">
        <v>24</v>
      </c>
      <c r="AI286" s="33" t="s">
        <v>25</v>
      </c>
      <c r="AJ286" s="33" t="s">
        <v>26</v>
      </c>
      <c r="AK286" s="33" t="s">
        <v>24</v>
      </c>
      <c r="AL286" s="27"/>
      <c r="AM286" s="34" t="s">
        <v>25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8" customHeight="1" x14ac:dyDescent="0.3">
      <c r="A287" s="23">
        <v>283</v>
      </c>
      <c r="B287" s="24" t="s">
        <v>2413</v>
      </c>
      <c r="C287" s="25" t="s">
        <v>2414</v>
      </c>
      <c r="D287" s="23" t="s">
        <v>1850</v>
      </c>
      <c r="E287" s="43">
        <v>46125</v>
      </c>
      <c r="F287" s="26" t="s">
        <v>23</v>
      </c>
      <c r="G287" s="26" t="s">
        <v>24</v>
      </c>
      <c r="H287" s="26" t="s">
        <v>25</v>
      </c>
      <c r="I287" s="26" t="s">
        <v>26</v>
      </c>
      <c r="J287" s="26" t="s">
        <v>24</v>
      </c>
      <c r="K287" s="27"/>
      <c r="L287" s="28" t="s">
        <v>25</v>
      </c>
      <c r="M287" s="29" t="str">
        <f t="shared" si="20"/>
        <v>✓ OK</v>
      </c>
      <c r="N287" s="43">
        <v>46193</v>
      </c>
      <c r="O287" s="26" t="s">
        <v>23</v>
      </c>
      <c r="P287" s="26" t="s">
        <v>24</v>
      </c>
      <c r="Q287" s="26" t="s">
        <v>25</v>
      </c>
      <c r="R287" s="26" t="s">
        <v>26</v>
      </c>
      <c r="S287" s="26" t="s">
        <v>24</v>
      </c>
      <c r="T287" s="27"/>
      <c r="U287" s="28" t="s">
        <v>25</v>
      </c>
      <c r="V287" s="29" t="str">
        <f t="shared" si="21"/>
        <v>✓ OK</v>
      </c>
      <c r="W287" s="45">
        <v>46248</v>
      </c>
      <c r="X287" s="30" t="s">
        <v>23</v>
      </c>
      <c r="Y287" s="30" t="s">
        <v>24</v>
      </c>
      <c r="Z287" s="30" t="s">
        <v>25</v>
      </c>
      <c r="AA287" s="30" t="s">
        <v>26</v>
      </c>
      <c r="AB287" s="30" t="s">
        <v>24</v>
      </c>
      <c r="AC287" s="27"/>
      <c r="AD287" s="31" t="s">
        <v>25</v>
      </c>
      <c r="AE287" s="32" t="str">
        <f t="shared" si="22"/>
        <v>✓ OK</v>
      </c>
      <c r="AF287" s="33" t="s">
        <v>27</v>
      </c>
      <c r="AG287" s="33" t="s">
        <v>23</v>
      </c>
      <c r="AH287" s="33" t="s">
        <v>24</v>
      </c>
      <c r="AI287" s="33" t="s">
        <v>25</v>
      </c>
      <c r="AJ287" s="33" t="s">
        <v>26</v>
      </c>
      <c r="AK287" s="33" t="s">
        <v>24</v>
      </c>
      <c r="AL287" s="27"/>
      <c r="AM287" s="34" t="s">
        <v>25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8" customHeight="1" x14ac:dyDescent="0.3">
      <c r="A288" s="39">
        <v>284</v>
      </c>
      <c r="B288" s="40" t="s">
        <v>2415</v>
      </c>
      <c r="C288" s="41" t="s">
        <v>2416</v>
      </c>
      <c r="D288" s="39" t="s">
        <v>1850</v>
      </c>
      <c r="E288" s="43">
        <v>46125</v>
      </c>
      <c r="F288" s="26" t="s">
        <v>23</v>
      </c>
      <c r="G288" s="26" t="s">
        <v>24</v>
      </c>
      <c r="H288" s="26" t="s">
        <v>25</v>
      </c>
      <c r="I288" s="26" t="s">
        <v>26</v>
      </c>
      <c r="J288" s="26" t="s">
        <v>24</v>
      </c>
      <c r="K288" s="27"/>
      <c r="L288" s="28" t="s">
        <v>25</v>
      </c>
      <c r="M288" s="29" t="str">
        <f t="shared" si="20"/>
        <v>✓ OK</v>
      </c>
      <c r="N288" s="43">
        <v>46193</v>
      </c>
      <c r="O288" s="26" t="s">
        <v>23</v>
      </c>
      <c r="P288" s="26" t="s">
        <v>24</v>
      </c>
      <c r="Q288" s="26" t="s">
        <v>25</v>
      </c>
      <c r="R288" s="26" t="s">
        <v>26</v>
      </c>
      <c r="S288" s="26" t="s">
        <v>24</v>
      </c>
      <c r="T288" s="27"/>
      <c r="U288" s="28" t="s">
        <v>25</v>
      </c>
      <c r="V288" s="29" t="str">
        <f t="shared" si="21"/>
        <v>✓ OK</v>
      </c>
      <c r="W288" s="45">
        <v>46248</v>
      </c>
      <c r="X288" s="30" t="s">
        <v>23</v>
      </c>
      <c r="Y288" s="30" t="s">
        <v>24</v>
      </c>
      <c r="Z288" s="30" t="s">
        <v>25</v>
      </c>
      <c r="AA288" s="30" t="s">
        <v>26</v>
      </c>
      <c r="AB288" s="30" t="s">
        <v>24</v>
      </c>
      <c r="AC288" s="27"/>
      <c r="AD288" s="31" t="s">
        <v>25</v>
      </c>
      <c r="AE288" s="32" t="str">
        <f t="shared" si="22"/>
        <v>✓ OK</v>
      </c>
      <c r="AF288" s="33" t="s">
        <v>27</v>
      </c>
      <c r="AG288" s="33" t="s">
        <v>23</v>
      </c>
      <c r="AH288" s="33" t="s">
        <v>24</v>
      </c>
      <c r="AI288" s="33" t="s">
        <v>25</v>
      </c>
      <c r="AJ288" s="33" t="s">
        <v>26</v>
      </c>
      <c r="AK288" s="33" t="s">
        <v>24</v>
      </c>
      <c r="AL288" s="27"/>
      <c r="AM288" s="34" t="s">
        <v>25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8" customHeight="1" x14ac:dyDescent="0.3">
      <c r="A289" s="23">
        <v>285</v>
      </c>
      <c r="B289" s="24" t="s">
        <v>2417</v>
      </c>
      <c r="C289" s="25" t="s">
        <v>2418</v>
      </c>
      <c r="D289" s="23" t="s">
        <v>1850</v>
      </c>
      <c r="E289" s="43">
        <v>46125</v>
      </c>
      <c r="F289" s="26" t="s">
        <v>23</v>
      </c>
      <c r="G289" s="26" t="s">
        <v>24</v>
      </c>
      <c r="H289" s="26" t="s">
        <v>25</v>
      </c>
      <c r="I289" s="26" t="s">
        <v>26</v>
      </c>
      <c r="J289" s="26" t="s">
        <v>24</v>
      </c>
      <c r="K289" s="27"/>
      <c r="L289" s="28" t="s">
        <v>25</v>
      </c>
      <c r="M289" s="29" t="str">
        <f t="shared" si="20"/>
        <v>✓ OK</v>
      </c>
      <c r="N289" s="43">
        <v>46193</v>
      </c>
      <c r="O289" s="26" t="s">
        <v>23</v>
      </c>
      <c r="P289" s="26" t="s">
        <v>24</v>
      </c>
      <c r="Q289" s="26" t="s">
        <v>25</v>
      </c>
      <c r="R289" s="26" t="s">
        <v>26</v>
      </c>
      <c r="S289" s="26" t="s">
        <v>24</v>
      </c>
      <c r="T289" s="27"/>
      <c r="U289" s="28" t="s">
        <v>25</v>
      </c>
      <c r="V289" s="29" t="str">
        <f t="shared" si="21"/>
        <v>✓ OK</v>
      </c>
      <c r="W289" s="45">
        <v>46248</v>
      </c>
      <c r="X289" s="30" t="s">
        <v>23</v>
      </c>
      <c r="Y289" s="30" t="s">
        <v>24</v>
      </c>
      <c r="Z289" s="30" t="s">
        <v>25</v>
      </c>
      <c r="AA289" s="30" t="s">
        <v>26</v>
      </c>
      <c r="AB289" s="30" t="s">
        <v>24</v>
      </c>
      <c r="AC289" s="27"/>
      <c r="AD289" s="31" t="s">
        <v>25</v>
      </c>
      <c r="AE289" s="32" t="str">
        <f t="shared" si="22"/>
        <v>✓ OK</v>
      </c>
      <c r="AF289" s="33" t="s">
        <v>27</v>
      </c>
      <c r="AG289" s="33" t="s">
        <v>23</v>
      </c>
      <c r="AH289" s="33" t="s">
        <v>24</v>
      </c>
      <c r="AI289" s="33" t="s">
        <v>25</v>
      </c>
      <c r="AJ289" s="33" t="s">
        <v>26</v>
      </c>
      <c r="AK289" s="33" t="s">
        <v>24</v>
      </c>
      <c r="AL289" s="27"/>
      <c r="AM289" s="34" t="s">
        <v>25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8" customHeight="1" x14ac:dyDescent="0.3">
      <c r="A290" s="39">
        <v>286</v>
      </c>
      <c r="B290" s="40" t="s">
        <v>2419</v>
      </c>
      <c r="C290" s="41" t="s">
        <v>2420</v>
      </c>
      <c r="D290" s="39" t="s">
        <v>1850</v>
      </c>
      <c r="E290" s="43">
        <v>46125</v>
      </c>
      <c r="F290" s="26" t="s">
        <v>23</v>
      </c>
      <c r="G290" s="26" t="s">
        <v>24</v>
      </c>
      <c r="H290" s="26" t="s">
        <v>25</v>
      </c>
      <c r="I290" s="26" t="s">
        <v>26</v>
      </c>
      <c r="J290" s="26" t="s">
        <v>24</v>
      </c>
      <c r="K290" s="27"/>
      <c r="L290" s="28" t="s">
        <v>25</v>
      </c>
      <c r="M290" s="29" t="str">
        <f t="shared" si="20"/>
        <v>✓ OK</v>
      </c>
      <c r="N290" s="43">
        <v>46193</v>
      </c>
      <c r="O290" s="26" t="s">
        <v>23</v>
      </c>
      <c r="P290" s="26" t="s">
        <v>24</v>
      </c>
      <c r="Q290" s="26" t="s">
        <v>25</v>
      </c>
      <c r="R290" s="26" t="s">
        <v>26</v>
      </c>
      <c r="S290" s="26" t="s">
        <v>24</v>
      </c>
      <c r="T290" s="27"/>
      <c r="U290" s="28" t="s">
        <v>25</v>
      </c>
      <c r="V290" s="29" t="str">
        <f t="shared" si="21"/>
        <v>✓ OK</v>
      </c>
      <c r="W290" s="45">
        <v>46248</v>
      </c>
      <c r="X290" s="30" t="s">
        <v>23</v>
      </c>
      <c r="Y290" s="30" t="s">
        <v>24</v>
      </c>
      <c r="Z290" s="30" t="s">
        <v>25</v>
      </c>
      <c r="AA290" s="30" t="s">
        <v>26</v>
      </c>
      <c r="AB290" s="30" t="s">
        <v>24</v>
      </c>
      <c r="AC290" s="27"/>
      <c r="AD290" s="31" t="s">
        <v>25</v>
      </c>
      <c r="AE290" s="32" t="str">
        <f t="shared" si="22"/>
        <v>✓ OK</v>
      </c>
      <c r="AF290" s="33" t="s">
        <v>27</v>
      </c>
      <c r="AG290" s="33" t="s">
        <v>23</v>
      </c>
      <c r="AH290" s="33" t="s">
        <v>24</v>
      </c>
      <c r="AI290" s="33" t="s">
        <v>25</v>
      </c>
      <c r="AJ290" s="33" t="s">
        <v>26</v>
      </c>
      <c r="AK290" s="33" t="s">
        <v>24</v>
      </c>
      <c r="AL290" s="27"/>
      <c r="AM290" s="34" t="s">
        <v>25</v>
      </c>
      <c r="AN290" s="35" t="str">
        <f t="shared" si="23"/>
        <v>✓ OK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8" customHeight="1" x14ac:dyDescent="0.3">
      <c r="A291" s="23">
        <v>287</v>
      </c>
      <c r="B291" s="24" t="s">
        <v>2421</v>
      </c>
      <c r="C291" s="25" t="s">
        <v>2422</v>
      </c>
      <c r="D291" s="23" t="s">
        <v>1850</v>
      </c>
      <c r="E291" s="43">
        <v>46125</v>
      </c>
      <c r="F291" s="26" t="s">
        <v>23</v>
      </c>
      <c r="G291" s="26" t="s">
        <v>24</v>
      </c>
      <c r="H291" s="26" t="s">
        <v>25</v>
      </c>
      <c r="I291" s="26" t="s">
        <v>26</v>
      </c>
      <c r="J291" s="26" t="s">
        <v>24</v>
      </c>
      <c r="K291" s="27"/>
      <c r="L291" s="28" t="s">
        <v>25</v>
      </c>
      <c r="M291" s="29" t="str">
        <f t="shared" si="20"/>
        <v>✓ OK</v>
      </c>
      <c r="N291" s="43">
        <v>46193</v>
      </c>
      <c r="O291" s="26" t="s">
        <v>23</v>
      </c>
      <c r="P291" s="26" t="s">
        <v>24</v>
      </c>
      <c r="Q291" s="26" t="s">
        <v>25</v>
      </c>
      <c r="R291" s="26" t="s">
        <v>26</v>
      </c>
      <c r="S291" s="26" t="s">
        <v>24</v>
      </c>
      <c r="T291" s="27"/>
      <c r="U291" s="28" t="s">
        <v>25</v>
      </c>
      <c r="V291" s="29" t="str">
        <f t="shared" si="21"/>
        <v>✓ OK</v>
      </c>
      <c r="W291" s="45">
        <v>46248</v>
      </c>
      <c r="X291" s="30" t="s">
        <v>23</v>
      </c>
      <c r="Y291" s="30" t="s">
        <v>24</v>
      </c>
      <c r="Z291" s="30" t="s">
        <v>25</v>
      </c>
      <c r="AA291" s="30" t="s">
        <v>26</v>
      </c>
      <c r="AB291" s="30" t="s">
        <v>24</v>
      </c>
      <c r="AC291" s="27"/>
      <c r="AD291" s="31" t="s">
        <v>25</v>
      </c>
      <c r="AE291" s="32" t="str">
        <f t="shared" si="22"/>
        <v>✓ OK</v>
      </c>
      <c r="AF291" s="33" t="s">
        <v>27</v>
      </c>
      <c r="AG291" s="33" t="s">
        <v>23</v>
      </c>
      <c r="AH291" s="33" t="s">
        <v>24</v>
      </c>
      <c r="AI291" s="33" t="s">
        <v>25</v>
      </c>
      <c r="AJ291" s="33" t="s">
        <v>26</v>
      </c>
      <c r="AK291" s="33" t="s">
        <v>24</v>
      </c>
      <c r="AL291" s="27"/>
      <c r="AM291" s="34" t="s">
        <v>25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8" customHeight="1" x14ac:dyDescent="0.3">
      <c r="A292" s="39">
        <v>288</v>
      </c>
      <c r="B292" s="40" t="s">
        <v>2423</v>
      </c>
      <c r="C292" s="41" t="s">
        <v>2424</v>
      </c>
      <c r="D292" s="39" t="s">
        <v>1850</v>
      </c>
      <c r="E292" s="43">
        <v>46125</v>
      </c>
      <c r="F292" s="26" t="s">
        <v>23</v>
      </c>
      <c r="G292" s="26" t="s">
        <v>24</v>
      </c>
      <c r="H292" s="26" t="s">
        <v>25</v>
      </c>
      <c r="I292" s="26" t="s">
        <v>26</v>
      </c>
      <c r="J292" s="26" t="s">
        <v>24</v>
      </c>
      <c r="K292" s="27"/>
      <c r="L292" s="28" t="s">
        <v>25</v>
      </c>
      <c r="M292" s="29" t="str">
        <f t="shared" si="20"/>
        <v>✓ OK</v>
      </c>
      <c r="N292" s="43">
        <v>46193</v>
      </c>
      <c r="O292" s="26" t="s">
        <v>23</v>
      </c>
      <c r="P292" s="26" t="s">
        <v>24</v>
      </c>
      <c r="Q292" s="26" t="s">
        <v>25</v>
      </c>
      <c r="R292" s="26" t="s">
        <v>26</v>
      </c>
      <c r="S292" s="26" t="s">
        <v>24</v>
      </c>
      <c r="T292" s="27"/>
      <c r="U292" s="28" t="s">
        <v>25</v>
      </c>
      <c r="V292" s="29" t="str">
        <f t="shared" si="21"/>
        <v>✓ OK</v>
      </c>
      <c r="W292" s="45">
        <v>46248</v>
      </c>
      <c r="X292" s="30" t="s">
        <v>23</v>
      </c>
      <c r="Y292" s="30" t="s">
        <v>24</v>
      </c>
      <c r="Z292" s="30" t="s">
        <v>25</v>
      </c>
      <c r="AA292" s="30" t="s">
        <v>26</v>
      </c>
      <c r="AB292" s="30" t="s">
        <v>24</v>
      </c>
      <c r="AC292" s="27"/>
      <c r="AD292" s="31" t="s">
        <v>25</v>
      </c>
      <c r="AE292" s="32" t="str">
        <f t="shared" si="22"/>
        <v>✓ OK</v>
      </c>
      <c r="AF292" s="33" t="s">
        <v>27</v>
      </c>
      <c r="AG292" s="33" t="s">
        <v>23</v>
      </c>
      <c r="AH292" s="33" t="s">
        <v>24</v>
      </c>
      <c r="AI292" s="33" t="s">
        <v>25</v>
      </c>
      <c r="AJ292" s="33" t="s">
        <v>26</v>
      </c>
      <c r="AK292" s="33" t="s">
        <v>24</v>
      </c>
      <c r="AL292" s="27"/>
      <c r="AM292" s="34" t="s">
        <v>25</v>
      </c>
      <c r="AN292" s="35" t="str">
        <f t="shared" si="23"/>
        <v>✓ OK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  <row r="293" spans="1:49" ht="18" customHeight="1" x14ac:dyDescent="0.3">
      <c r="A293" s="23">
        <v>289</v>
      </c>
      <c r="B293" s="24" t="s">
        <v>2425</v>
      </c>
      <c r="C293" s="25" t="s">
        <v>2426</v>
      </c>
      <c r="D293" s="23" t="s">
        <v>1850</v>
      </c>
      <c r="E293" s="43">
        <v>46125</v>
      </c>
      <c r="F293" s="26" t="s">
        <v>23</v>
      </c>
      <c r="G293" s="26" t="s">
        <v>24</v>
      </c>
      <c r="H293" s="26" t="s">
        <v>25</v>
      </c>
      <c r="I293" s="26" t="s">
        <v>26</v>
      </c>
      <c r="J293" s="26" t="s">
        <v>24</v>
      </c>
      <c r="K293" s="27"/>
      <c r="L293" s="28" t="s">
        <v>25</v>
      </c>
      <c r="M293" s="29" t="str">
        <f t="shared" si="20"/>
        <v>✓ OK</v>
      </c>
      <c r="N293" s="43">
        <v>46193</v>
      </c>
      <c r="O293" s="26" t="s">
        <v>23</v>
      </c>
      <c r="P293" s="26" t="s">
        <v>24</v>
      </c>
      <c r="Q293" s="26" t="s">
        <v>25</v>
      </c>
      <c r="R293" s="26" t="s">
        <v>26</v>
      </c>
      <c r="S293" s="26" t="s">
        <v>24</v>
      </c>
      <c r="T293" s="27"/>
      <c r="U293" s="28" t="s">
        <v>25</v>
      </c>
      <c r="V293" s="29" t="str">
        <f t="shared" si="21"/>
        <v>✓ OK</v>
      </c>
      <c r="W293" s="45">
        <v>46248</v>
      </c>
      <c r="X293" s="30" t="s">
        <v>23</v>
      </c>
      <c r="Y293" s="30" t="s">
        <v>24</v>
      </c>
      <c r="Z293" s="30" t="s">
        <v>25</v>
      </c>
      <c r="AA293" s="30" t="s">
        <v>26</v>
      </c>
      <c r="AB293" s="30" t="s">
        <v>24</v>
      </c>
      <c r="AC293" s="27"/>
      <c r="AD293" s="31" t="s">
        <v>25</v>
      </c>
      <c r="AE293" s="32" t="str">
        <f t="shared" si="22"/>
        <v>✓ OK</v>
      </c>
      <c r="AF293" s="33" t="s">
        <v>27</v>
      </c>
      <c r="AG293" s="33" t="s">
        <v>23</v>
      </c>
      <c r="AH293" s="33" t="s">
        <v>24</v>
      </c>
      <c r="AI293" s="33" t="s">
        <v>25</v>
      </c>
      <c r="AJ293" s="33" t="s">
        <v>26</v>
      </c>
      <c r="AK293" s="33" t="s">
        <v>24</v>
      </c>
      <c r="AL293" s="27"/>
      <c r="AM293" s="34" t="s">
        <v>25</v>
      </c>
      <c r="AN293" s="35" t="str">
        <f t="shared" si="23"/>
        <v>✓ OK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si="24"/>
        <v/>
      </c>
    </row>
    <row r="294" spans="1:49" ht="18" customHeight="1" x14ac:dyDescent="0.3">
      <c r="A294" s="39">
        <v>290</v>
      </c>
      <c r="B294" s="40" t="s">
        <v>2427</v>
      </c>
      <c r="C294" s="41" t="s">
        <v>2428</v>
      </c>
      <c r="D294" s="39" t="s">
        <v>1850</v>
      </c>
      <c r="E294" s="43">
        <v>46125</v>
      </c>
      <c r="F294" s="26" t="s">
        <v>23</v>
      </c>
      <c r="G294" s="26" t="s">
        <v>24</v>
      </c>
      <c r="H294" s="26" t="s">
        <v>25</v>
      </c>
      <c r="I294" s="26" t="s">
        <v>26</v>
      </c>
      <c r="J294" s="26" t="s">
        <v>24</v>
      </c>
      <c r="K294" s="27"/>
      <c r="L294" s="28" t="s">
        <v>25</v>
      </c>
      <c r="M294" s="29" t="str">
        <f t="shared" si="20"/>
        <v>✓ OK</v>
      </c>
      <c r="N294" s="43">
        <v>46193</v>
      </c>
      <c r="O294" s="26" t="s">
        <v>23</v>
      </c>
      <c r="P294" s="26" t="s">
        <v>24</v>
      </c>
      <c r="Q294" s="26" t="s">
        <v>25</v>
      </c>
      <c r="R294" s="26" t="s">
        <v>26</v>
      </c>
      <c r="S294" s="26" t="s">
        <v>24</v>
      </c>
      <c r="T294" s="27"/>
      <c r="U294" s="28" t="s">
        <v>25</v>
      </c>
      <c r="V294" s="29" t="str">
        <f t="shared" si="21"/>
        <v>✓ OK</v>
      </c>
      <c r="W294" s="45">
        <v>46248</v>
      </c>
      <c r="X294" s="30" t="s">
        <v>23</v>
      </c>
      <c r="Y294" s="30" t="s">
        <v>24</v>
      </c>
      <c r="Z294" s="30" t="s">
        <v>25</v>
      </c>
      <c r="AA294" s="30" t="s">
        <v>26</v>
      </c>
      <c r="AB294" s="30" t="s">
        <v>24</v>
      </c>
      <c r="AC294" s="27"/>
      <c r="AD294" s="31" t="s">
        <v>25</v>
      </c>
      <c r="AE294" s="32" t="str">
        <f t="shared" si="22"/>
        <v>✓ OK</v>
      </c>
      <c r="AF294" s="33" t="s">
        <v>27</v>
      </c>
      <c r="AG294" s="33" t="s">
        <v>23</v>
      </c>
      <c r="AH294" s="33" t="s">
        <v>24</v>
      </c>
      <c r="AI294" s="33" t="s">
        <v>25</v>
      </c>
      <c r="AJ294" s="33" t="s">
        <v>26</v>
      </c>
      <c r="AK294" s="33" t="s">
        <v>24</v>
      </c>
      <c r="AL294" s="27"/>
      <c r="AM294" s="34" t="s">
        <v>25</v>
      </c>
      <c r="AN294" s="35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4"/>
        <v/>
      </c>
    </row>
    <row r="295" spans="1:49" ht="18" customHeight="1" x14ac:dyDescent="0.3">
      <c r="A295" s="23">
        <v>291</v>
      </c>
      <c r="B295" s="24" t="s">
        <v>2429</v>
      </c>
      <c r="C295" s="25" t="s">
        <v>2430</v>
      </c>
      <c r="D295" s="23" t="s">
        <v>1850</v>
      </c>
      <c r="E295" s="43">
        <v>46125</v>
      </c>
      <c r="F295" s="26" t="s">
        <v>23</v>
      </c>
      <c r="G295" s="26" t="s">
        <v>24</v>
      </c>
      <c r="H295" s="26" t="s">
        <v>25</v>
      </c>
      <c r="I295" s="26" t="s">
        <v>26</v>
      </c>
      <c r="J295" s="26" t="s">
        <v>24</v>
      </c>
      <c r="K295" s="27"/>
      <c r="L295" s="28" t="s">
        <v>25</v>
      </c>
      <c r="M295" s="29" t="str">
        <f t="shared" si="20"/>
        <v>✓ OK</v>
      </c>
      <c r="N295" s="43">
        <v>46193</v>
      </c>
      <c r="O295" s="26" t="s">
        <v>23</v>
      </c>
      <c r="P295" s="26" t="s">
        <v>24</v>
      </c>
      <c r="Q295" s="26" t="s">
        <v>25</v>
      </c>
      <c r="R295" s="26" t="s">
        <v>26</v>
      </c>
      <c r="S295" s="26" t="s">
        <v>24</v>
      </c>
      <c r="T295" s="27"/>
      <c r="U295" s="28" t="s">
        <v>25</v>
      </c>
      <c r="V295" s="29" t="str">
        <f t="shared" si="21"/>
        <v>✓ OK</v>
      </c>
      <c r="W295" s="45">
        <v>46248</v>
      </c>
      <c r="X295" s="30" t="s">
        <v>23</v>
      </c>
      <c r="Y295" s="30" t="s">
        <v>24</v>
      </c>
      <c r="Z295" s="30" t="s">
        <v>25</v>
      </c>
      <c r="AA295" s="30" t="s">
        <v>26</v>
      </c>
      <c r="AB295" s="30" t="s">
        <v>24</v>
      </c>
      <c r="AC295" s="27"/>
      <c r="AD295" s="31" t="s">
        <v>25</v>
      </c>
      <c r="AE295" s="32" t="str">
        <f t="shared" si="22"/>
        <v>✓ OK</v>
      </c>
      <c r="AF295" s="33" t="s">
        <v>27</v>
      </c>
      <c r="AG295" s="33" t="s">
        <v>23</v>
      </c>
      <c r="AH295" s="33" t="s">
        <v>24</v>
      </c>
      <c r="AI295" s="33" t="s">
        <v>25</v>
      </c>
      <c r="AJ295" s="33" t="s">
        <v>26</v>
      </c>
      <c r="AK295" s="33" t="s">
        <v>24</v>
      </c>
      <c r="AL295" s="27"/>
      <c r="AM295" s="34" t="s">
        <v>25</v>
      </c>
      <c r="AN295" s="35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4"/>
        <v/>
      </c>
    </row>
    <row r="296" spans="1:49" ht="18" customHeight="1" x14ac:dyDescent="0.3">
      <c r="A296" s="39">
        <v>292</v>
      </c>
      <c r="B296" s="40" t="s">
        <v>2431</v>
      </c>
      <c r="C296" s="41" t="s">
        <v>2432</v>
      </c>
      <c r="D296" s="39" t="s">
        <v>1850</v>
      </c>
      <c r="E296" s="43">
        <v>46125</v>
      </c>
      <c r="F296" s="26" t="s">
        <v>23</v>
      </c>
      <c r="G296" s="26" t="s">
        <v>24</v>
      </c>
      <c r="H296" s="26" t="s">
        <v>25</v>
      </c>
      <c r="I296" s="26" t="s">
        <v>26</v>
      </c>
      <c r="J296" s="26" t="s">
        <v>24</v>
      </c>
      <c r="K296" s="27"/>
      <c r="L296" s="28" t="s">
        <v>25</v>
      </c>
      <c r="M296" s="29" t="str">
        <f t="shared" si="20"/>
        <v>✓ OK</v>
      </c>
      <c r="N296" s="43">
        <v>46193</v>
      </c>
      <c r="O296" s="26" t="s">
        <v>23</v>
      </c>
      <c r="P296" s="26" t="s">
        <v>24</v>
      </c>
      <c r="Q296" s="26" t="s">
        <v>25</v>
      </c>
      <c r="R296" s="26" t="s">
        <v>26</v>
      </c>
      <c r="S296" s="26" t="s">
        <v>24</v>
      </c>
      <c r="T296" s="27"/>
      <c r="U296" s="28" t="s">
        <v>25</v>
      </c>
      <c r="V296" s="29" t="str">
        <f t="shared" si="21"/>
        <v>✓ OK</v>
      </c>
      <c r="W296" s="45">
        <v>46248</v>
      </c>
      <c r="X296" s="30" t="s">
        <v>23</v>
      </c>
      <c r="Y296" s="30" t="s">
        <v>24</v>
      </c>
      <c r="Z296" s="30" t="s">
        <v>25</v>
      </c>
      <c r="AA296" s="30" t="s">
        <v>26</v>
      </c>
      <c r="AB296" s="30" t="s">
        <v>24</v>
      </c>
      <c r="AC296" s="27"/>
      <c r="AD296" s="31" t="s">
        <v>25</v>
      </c>
      <c r="AE296" s="32" t="str">
        <f t="shared" si="22"/>
        <v>✓ OK</v>
      </c>
      <c r="AF296" s="33" t="s">
        <v>27</v>
      </c>
      <c r="AG296" s="33" t="s">
        <v>23</v>
      </c>
      <c r="AH296" s="33" t="s">
        <v>24</v>
      </c>
      <c r="AI296" s="33" t="s">
        <v>25</v>
      </c>
      <c r="AJ296" s="33" t="s">
        <v>26</v>
      </c>
      <c r="AK296" s="33" t="s">
        <v>24</v>
      </c>
      <c r="AL296" s="27"/>
      <c r="AM296" s="34" t="s">
        <v>25</v>
      </c>
      <c r="AN296" s="35" t="str">
        <f t="shared" si="23"/>
        <v>✓ OK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4"/>
        <v/>
      </c>
    </row>
    <row r="297" spans="1:49" ht="18" customHeight="1" x14ac:dyDescent="0.3">
      <c r="A297" s="23">
        <v>293</v>
      </c>
      <c r="B297" s="24" t="s">
        <v>2433</v>
      </c>
      <c r="C297" s="25" t="s">
        <v>2434</v>
      </c>
      <c r="D297" s="23" t="s">
        <v>1850</v>
      </c>
      <c r="E297" s="43">
        <v>46125</v>
      </c>
      <c r="F297" s="26" t="s">
        <v>23</v>
      </c>
      <c r="G297" s="26" t="s">
        <v>25</v>
      </c>
      <c r="H297" s="26" t="s">
        <v>25</v>
      </c>
      <c r="I297" s="26" t="s">
        <v>735</v>
      </c>
      <c r="J297" s="26" t="s">
        <v>25</v>
      </c>
      <c r="K297" s="27"/>
      <c r="L297" s="28" t="s">
        <v>24</v>
      </c>
      <c r="M297" s="29" t="str">
        <f t="shared" si="20"/>
        <v>⚠ Missing</v>
      </c>
      <c r="N297" s="43">
        <v>46193</v>
      </c>
      <c r="O297" s="26" t="s">
        <v>23</v>
      </c>
      <c r="P297" s="26" t="s">
        <v>25</v>
      </c>
      <c r="Q297" s="26" t="s">
        <v>25</v>
      </c>
      <c r="R297" s="26" t="s">
        <v>735</v>
      </c>
      <c r="S297" s="26" t="s">
        <v>25</v>
      </c>
      <c r="T297" s="27"/>
      <c r="U297" s="28" t="s">
        <v>24</v>
      </c>
      <c r="V297" s="29" t="str">
        <f t="shared" si="21"/>
        <v>⚠ Missing</v>
      </c>
      <c r="W297" s="45">
        <v>46248</v>
      </c>
      <c r="X297" s="30" t="s">
        <v>23</v>
      </c>
      <c r="Y297" s="30" t="s">
        <v>25</v>
      </c>
      <c r="Z297" s="30" t="s">
        <v>25</v>
      </c>
      <c r="AA297" s="30" t="s">
        <v>735</v>
      </c>
      <c r="AB297" s="30" t="s">
        <v>25</v>
      </c>
      <c r="AC297" s="27"/>
      <c r="AD297" s="31" t="s">
        <v>24</v>
      </c>
      <c r="AE297" s="32" t="str">
        <f t="shared" si="22"/>
        <v>⚠ Missing</v>
      </c>
      <c r="AF297" s="33" t="s">
        <v>27</v>
      </c>
      <c r="AG297" s="33" t="s">
        <v>23</v>
      </c>
      <c r="AH297" s="33" t="s">
        <v>25</v>
      </c>
      <c r="AI297" s="33" t="s">
        <v>25</v>
      </c>
      <c r="AJ297" s="33" t="s">
        <v>735</v>
      </c>
      <c r="AK297" s="33" t="s">
        <v>25</v>
      </c>
      <c r="AL297" s="27"/>
      <c r="AM297" s="34" t="s">
        <v>24</v>
      </c>
      <c r="AN297" s="35" t="str">
        <f t="shared" si="23"/>
        <v>⚠ Missing</v>
      </c>
      <c r="AO297" s="36"/>
      <c r="AP297" s="36"/>
      <c r="AQ297" s="36"/>
      <c r="AR297" s="36"/>
      <c r="AS297" s="36"/>
      <c r="AT297" s="36"/>
      <c r="AU297" s="27"/>
      <c r="AV297" s="37"/>
      <c r="AW297" s="38" t="str">
        <f t="shared" si="24"/>
        <v/>
      </c>
    </row>
    <row r="298" spans="1:49" ht="18" customHeight="1" x14ac:dyDescent="0.3">
      <c r="A298" s="39">
        <v>294</v>
      </c>
      <c r="B298" s="40" t="s">
        <v>2435</v>
      </c>
      <c r="C298" s="41" t="s">
        <v>2436</v>
      </c>
      <c r="D298" s="39" t="s">
        <v>1850</v>
      </c>
      <c r="E298" s="43">
        <v>46125</v>
      </c>
      <c r="F298" s="26" t="s">
        <v>23</v>
      </c>
      <c r="G298" s="26" t="s">
        <v>25</v>
      </c>
      <c r="H298" s="26" t="s">
        <v>25</v>
      </c>
      <c r="I298" s="26" t="s">
        <v>735</v>
      </c>
      <c r="J298" s="26" t="s">
        <v>25</v>
      </c>
      <c r="K298" s="27"/>
      <c r="L298" s="28" t="s">
        <v>24</v>
      </c>
      <c r="M298" s="29" t="str">
        <f t="shared" si="20"/>
        <v>⚠ Missing</v>
      </c>
      <c r="N298" s="43">
        <v>46193</v>
      </c>
      <c r="O298" s="26" t="s">
        <v>23</v>
      </c>
      <c r="P298" s="26" t="s">
        <v>25</v>
      </c>
      <c r="Q298" s="26" t="s">
        <v>25</v>
      </c>
      <c r="R298" s="26" t="s">
        <v>735</v>
      </c>
      <c r="S298" s="26" t="s">
        <v>25</v>
      </c>
      <c r="T298" s="27"/>
      <c r="U298" s="28" t="s">
        <v>24</v>
      </c>
      <c r="V298" s="29" t="str">
        <f t="shared" si="21"/>
        <v>⚠ Missing</v>
      </c>
      <c r="W298" s="45">
        <v>46248</v>
      </c>
      <c r="X298" s="30" t="s">
        <v>23</v>
      </c>
      <c r="Y298" s="30" t="s">
        <v>25</v>
      </c>
      <c r="Z298" s="30" t="s">
        <v>25</v>
      </c>
      <c r="AA298" s="30" t="s">
        <v>735</v>
      </c>
      <c r="AB298" s="30" t="s">
        <v>25</v>
      </c>
      <c r="AC298" s="27"/>
      <c r="AD298" s="31" t="s">
        <v>24</v>
      </c>
      <c r="AE298" s="32" t="str">
        <f t="shared" si="22"/>
        <v>⚠ Missing</v>
      </c>
      <c r="AF298" s="33" t="s">
        <v>27</v>
      </c>
      <c r="AG298" s="33" t="s">
        <v>23</v>
      </c>
      <c r="AH298" s="33" t="s">
        <v>25</v>
      </c>
      <c r="AI298" s="33" t="s">
        <v>25</v>
      </c>
      <c r="AJ298" s="33" t="s">
        <v>735</v>
      </c>
      <c r="AK298" s="33" t="s">
        <v>25</v>
      </c>
      <c r="AL298" s="27"/>
      <c r="AM298" s="34" t="s">
        <v>24</v>
      </c>
      <c r="AN298" s="35" t="str">
        <f t="shared" si="23"/>
        <v>⚠ Missing</v>
      </c>
      <c r="AO298" s="36"/>
      <c r="AP298" s="36"/>
      <c r="AQ298" s="36"/>
      <c r="AR298" s="36"/>
      <c r="AS298" s="36"/>
      <c r="AT298" s="36"/>
      <c r="AU298" s="27"/>
      <c r="AV298" s="37"/>
      <c r="AW298" s="38" t="str">
        <f t="shared" si="24"/>
        <v/>
      </c>
    </row>
    <row r="299" spans="1:49" ht="18" customHeight="1" x14ac:dyDescent="0.3">
      <c r="A299" s="23">
        <v>295</v>
      </c>
      <c r="B299" s="24" t="s">
        <v>2437</v>
      </c>
      <c r="C299" s="25" t="s">
        <v>2438</v>
      </c>
      <c r="D299" s="23" t="s">
        <v>1850</v>
      </c>
      <c r="E299" s="43">
        <v>46125</v>
      </c>
      <c r="F299" s="26" t="s">
        <v>23</v>
      </c>
      <c r="G299" s="26" t="s">
        <v>25</v>
      </c>
      <c r="H299" s="26" t="s">
        <v>25</v>
      </c>
      <c r="I299" s="26" t="s">
        <v>735</v>
      </c>
      <c r="J299" s="26" t="s">
        <v>25</v>
      </c>
      <c r="K299" s="27"/>
      <c r="L299" s="28" t="s">
        <v>24</v>
      </c>
      <c r="M299" s="29" t="str">
        <f t="shared" si="20"/>
        <v>⚠ Missing</v>
      </c>
      <c r="N299" s="43">
        <v>46193</v>
      </c>
      <c r="O299" s="26" t="s">
        <v>23</v>
      </c>
      <c r="P299" s="26" t="s">
        <v>25</v>
      </c>
      <c r="Q299" s="26" t="s">
        <v>25</v>
      </c>
      <c r="R299" s="26" t="s">
        <v>735</v>
      </c>
      <c r="S299" s="26" t="s">
        <v>25</v>
      </c>
      <c r="T299" s="27"/>
      <c r="U299" s="28" t="s">
        <v>24</v>
      </c>
      <c r="V299" s="29" t="str">
        <f t="shared" si="21"/>
        <v>⚠ Missing</v>
      </c>
      <c r="W299" s="45">
        <v>46248</v>
      </c>
      <c r="X299" s="30" t="s">
        <v>23</v>
      </c>
      <c r="Y299" s="30" t="s">
        <v>25</v>
      </c>
      <c r="Z299" s="30" t="s">
        <v>25</v>
      </c>
      <c r="AA299" s="30" t="s">
        <v>735</v>
      </c>
      <c r="AB299" s="30" t="s">
        <v>25</v>
      </c>
      <c r="AC299" s="27"/>
      <c r="AD299" s="31" t="s">
        <v>24</v>
      </c>
      <c r="AE299" s="32" t="str">
        <f t="shared" si="22"/>
        <v>⚠ Missing</v>
      </c>
      <c r="AF299" s="33" t="s">
        <v>27</v>
      </c>
      <c r="AG299" s="33" t="s">
        <v>23</v>
      </c>
      <c r="AH299" s="33" t="s">
        <v>25</v>
      </c>
      <c r="AI299" s="33" t="s">
        <v>25</v>
      </c>
      <c r="AJ299" s="33" t="s">
        <v>735</v>
      </c>
      <c r="AK299" s="33" t="s">
        <v>25</v>
      </c>
      <c r="AL299" s="27"/>
      <c r="AM299" s="34" t="s">
        <v>24</v>
      </c>
      <c r="AN299" s="35" t="str">
        <f t="shared" si="23"/>
        <v>⚠ Missing</v>
      </c>
      <c r="AO299" s="36"/>
      <c r="AP299" s="36"/>
      <c r="AQ299" s="36"/>
      <c r="AR299" s="36"/>
      <c r="AS299" s="36"/>
      <c r="AT299" s="36"/>
      <c r="AU299" s="27"/>
      <c r="AV299" s="37"/>
      <c r="AW299" s="38" t="str">
        <f t="shared" si="24"/>
        <v/>
      </c>
    </row>
    <row r="300" spans="1:49" ht="18" customHeight="1" x14ac:dyDescent="0.3">
      <c r="A300" s="39">
        <v>296</v>
      </c>
      <c r="B300" s="40" t="s">
        <v>2439</v>
      </c>
      <c r="C300" s="41" t="s">
        <v>2440</v>
      </c>
      <c r="D300" s="39" t="s">
        <v>1850</v>
      </c>
      <c r="E300" s="43">
        <v>46125</v>
      </c>
      <c r="F300" s="26" t="s">
        <v>23</v>
      </c>
      <c r="G300" s="26" t="s">
        <v>24</v>
      </c>
      <c r="H300" s="26" t="s">
        <v>25</v>
      </c>
      <c r="I300" s="26" t="s">
        <v>26</v>
      </c>
      <c r="J300" s="26" t="s">
        <v>24</v>
      </c>
      <c r="K300" s="27"/>
      <c r="L300" s="28" t="s">
        <v>25</v>
      </c>
      <c r="M300" s="29" t="str">
        <f t="shared" si="20"/>
        <v>✓ OK</v>
      </c>
      <c r="N300" s="43">
        <v>46193</v>
      </c>
      <c r="O300" s="26" t="s">
        <v>23</v>
      </c>
      <c r="P300" s="26" t="s">
        <v>24</v>
      </c>
      <c r="Q300" s="26" t="s">
        <v>25</v>
      </c>
      <c r="R300" s="26" t="s">
        <v>26</v>
      </c>
      <c r="S300" s="26" t="s">
        <v>24</v>
      </c>
      <c r="T300" s="27"/>
      <c r="U300" s="28" t="s">
        <v>25</v>
      </c>
      <c r="V300" s="29" t="str">
        <f t="shared" si="21"/>
        <v>✓ OK</v>
      </c>
      <c r="W300" s="45">
        <v>46248</v>
      </c>
      <c r="X300" s="30" t="s">
        <v>23</v>
      </c>
      <c r="Y300" s="30" t="s">
        <v>24</v>
      </c>
      <c r="Z300" s="30" t="s">
        <v>25</v>
      </c>
      <c r="AA300" s="30" t="s">
        <v>26</v>
      </c>
      <c r="AB300" s="30" t="s">
        <v>24</v>
      </c>
      <c r="AC300" s="27"/>
      <c r="AD300" s="31" t="s">
        <v>25</v>
      </c>
      <c r="AE300" s="32" t="str">
        <f t="shared" si="22"/>
        <v>✓ OK</v>
      </c>
      <c r="AF300" s="33" t="s">
        <v>27</v>
      </c>
      <c r="AG300" s="33" t="s">
        <v>23</v>
      </c>
      <c r="AH300" s="33" t="s">
        <v>24</v>
      </c>
      <c r="AI300" s="33" t="s">
        <v>25</v>
      </c>
      <c r="AJ300" s="33" t="s">
        <v>26</v>
      </c>
      <c r="AK300" s="33" t="s">
        <v>24</v>
      </c>
      <c r="AL300" s="27"/>
      <c r="AM300" s="34" t="s">
        <v>25</v>
      </c>
      <c r="AN300" s="35" t="str">
        <f t="shared" si="23"/>
        <v>✓ OK</v>
      </c>
      <c r="AO300" s="36"/>
      <c r="AP300" s="36"/>
      <c r="AQ300" s="36"/>
      <c r="AR300" s="36"/>
      <c r="AS300" s="36"/>
      <c r="AT300" s="36"/>
      <c r="AU300" s="27"/>
      <c r="AV300" s="37"/>
      <c r="AW300" s="38" t="str">
        <f t="shared" si="24"/>
        <v/>
      </c>
    </row>
    <row r="301" spans="1:49" ht="18" customHeight="1" x14ac:dyDescent="0.3">
      <c r="A301" s="23">
        <v>297</v>
      </c>
      <c r="B301" s="24" t="s">
        <v>2441</v>
      </c>
      <c r="C301" s="25" t="s">
        <v>2442</v>
      </c>
      <c r="D301" s="23" t="s">
        <v>1850</v>
      </c>
      <c r="E301" s="43">
        <v>46125</v>
      </c>
      <c r="F301" s="26" t="s">
        <v>23</v>
      </c>
      <c r="G301" s="26" t="s">
        <v>24</v>
      </c>
      <c r="H301" s="26" t="s">
        <v>25</v>
      </c>
      <c r="I301" s="26" t="s">
        <v>26</v>
      </c>
      <c r="J301" s="26" t="s">
        <v>24</v>
      </c>
      <c r="K301" s="27"/>
      <c r="L301" s="28" t="s">
        <v>25</v>
      </c>
      <c r="M301" s="29" t="str">
        <f t="shared" si="20"/>
        <v>✓ OK</v>
      </c>
      <c r="N301" s="43">
        <v>46193</v>
      </c>
      <c r="O301" s="26" t="s">
        <v>23</v>
      </c>
      <c r="P301" s="26" t="s">
        <v>24</v>
      </c>
      <c r="Q301" s="26" t="s">
        <v>25</v>
      </c>
      <c r="R301" s="26" t="s">
        <v>26</v>
      </c>
      <c r="S301" s="26" t="s">
        <v>24</v>
      </c>
      <c r="T301" s="27"/>
      <c r="U301" s="28" t="s">
        <v>25</v>
      </c>
      <c r="V301" s="29" t="str">
        <f t="shared" si="21"/>
        <v>✓ OK</v>
      </c>
      <c r="W301" s="45">
        <v>46248</v>
      </c>
      <c r="X301" s="30" t="s">
        <v>23</v>
      </c>
      <c r="Y301" s="30" t="s">
        <v>24</v>
      </c>
      <c r="Z301" s="30" t="s">
        <v>25</v>
      </c>
      <c r="AA301" s="30" t="s">
        <v>26</v>
      </c>
      <c r="AB301" s="30" t="s">
        <v>24</v>
      </c>
      <c r="AC301" s="27"/>
      <c r="AD301" s="31" t="s">
        <v>25</v>
      </c>
      <c r="AE301" s="32" t="str">
        <f t="shared" si="22"/>
        <v>✓ OK</v>
      </c>
      <c r="AF301" s="33" t="s">
        <v>27</v>
      </c>
      <c r="AG301" s="33" t="s">
        <v>23</v>
      </c>
      <c r="AH301" s="33" t="s">
        <v>24</v>
      </c>
      <c r="AI301" s="33" t="s">
        <v>25</v>
      </c>
      <c r="AJ301" s="33" t="s">
        <v>26</v>
      </c>
      <c r="AK301" s="33" t="s">
        <v>24</v>
      </c>
      <c r="AL301" s="27"/>
      <c r="AM301" s="34" t="s">
        <v>25</v>
      </c>
      <c r="AN301" s="35" t="str">
        <f t="shared" si="23"/>
        <v>✓ OK</v>
      </c>
      <c r="AO301" s="36"/>
      <c r="AP301" s="36"/>
      <c r="AQ301" s="36"/>
      <c r="AR301" s="36"/>
      <c r="AS301" s="36"/>
      <c r="AT301" s="36"/>
      <c r="AU301" s="27"/>
      <c r="AV301" s="37"/>
      <c r="AW301" s="38" t="str">
        <f t="shared" si="24"/>
        <v/>
      </c>
    </row>
    <row r="302" spans="1:49" ht="18" customHeight="1" x14ac:dyDescent="0.3">
      <c r="A302" s="39">
        <v>298</v>
      </c>
      <c r="B302" s="40" t="s">
        <v>2443</v>
      </c>
      <c r="C302" s="41" t="s">
        <v>2444</v>
      </c>
      <c r="D302" s="39" t="s">
        <v>1850</v>
      </c>
      <c r="E302" s="43">
        <v>46125</v>
      </c>
      <c r="F302" s="26" t="s">
        <v>23</v>
      </c>
      <c r="G302" s="26" t="s">
        <v>24</v>
      </c>
      <c r="H302" s="26" t="s">
        <v>25</v>
      </c>
      <c r="I302" s="26" t="s">
        <v>26</v>
      </c>
      <c r="J302" s="26" t="s">
        <v>24</v>
      </c>
      <c r="K302" s="27"/>
      <c r="L302" s="28" t="s">
        <v>25</v>
      </c>
      <c r="M302" s="29" t="str">
        <f t="shared" si="20"/>
        <v>✓ OK</v>
      </c>
      <c r="N302" s="43">
        <v>46193</v>
      </c>
      <c r="O302" s="26" t="s">
        <v>23</v>
      </c>
      <c r="P302" s="26" t="s">
        <v>24</v>
      </c>
      <c r="Q302" s="26" t="s">
        <v>25</v>
      </c>
      <c r="R302" s="26" t="s">
        <v>26</v>
      </c>
      <c r="S302" s="26" t="s">
        <v>24</v>
      </c>
      <c r="T302" s="27"/>
      <c r="U302" s="28" t="s">
        <v>25</v>
      </c>
      <c r="V302" s="29" t="str">
        <f t="shared" si="21"/>
        <v>✓ OK</v>
      </c>
      <c r="W302" s="45">
        <v>46248</v>
      </c>
      <c r="X302" s="30" t="s">
        <v>23</v>
      </c>
      <c r="Y302" s="30" t="s">
        <v>24</v>
      </c>
      <c r="Z302" s="30" t="s">
        <v>25</v>
      </c>
      <c r="AA302" s="30" t="s">
        <v>26</v>
      </c>
      <c r="AB302" s="30" t="s">
        <v>24</v>
      </c>
      <c r="AC302" s="27"/>
      <c r="AD302" s="31" t="s">
        <v>25</v>
      </c>
      <c r="AE302" s="32" t="str">
        <f t="shared" si="22"/>
        <v>✓ OK</v>
      </c>
      <c r="AF302" s="33" t="s">
        <v>27</v>
      </c>
      <c r="AG302" s="33" t="s">
        <v>23</v>
      </c>
      <c r="AH302" s="33" t="s">
        <v>24</v>
      </c>
      <c r="AI302" s="33" t="s">
        <v>25</v>
      </c>
      <c r="AJ302" s="33" t="s">
        <v>26</v>
      </c>
      <c r="AK302" s="33" t="s">
        <v>24</v>
      </c>
      <c r="AL302" s="27"/>
      <c r="AM302" s="34" t="s">
        <v>25</v>
      </c>
      <c r="AN302" s="35" t="str">
        <f t="shared" si="23"/>
        <v>✓ OK</v>
      </c>
      <c r="AO302" s="36"/>
      <c r="AP302" s="36"/>
      <c r="AQ302" s="36"/>
      <c r="AR302" s="36"/>
      <c r="AS302" s="36"/>
      <c r="AT302" s="36"/>
      <c r="AU302" s="27"/>
      <c r="AV302" s="37"/>
      <c r="AW302" s="38" t="str">
        <f t="shared" si="24"/>
        <v/>
      </c>
    </row>
    <row r="303" spans="1:49" ht="18" customHeight="1" x14ac:dyDescent="0.3">
      <c r="A303" s="23">
        <v>299</v>
      </c>
      <c r="B303" s="24" t="s">
        <v>2445</v>
      </c>
      <c r="C303" s="25" t="s">
        <v>2446</v>
      </c>
      <c r="D303" s="23" t="s">
        <v>1850</v>
      </c>
      <c r="E303" s="43">
        <v>46125</v>
      </c>
      <c r="F303" s="26" t="s">
        <v>23</v>
      </c>
      <c r="G303" s="26" t="s">
        <v>24</v>
      </c>
      <c r="H303" s="26" t="s">
        <v>25</v>
      </c>
      <c r="I303" s="26" t="s">
        <v>26</v>
      </c>
      <c r="J303" s="26" t="s">
        <v>24</v>
      </c>
      <c r="K303" s="27"/>
      <c r="L303" s="28" t="s">
        <v>25</v>
      </c>
      <c r="M303" s="29" t="str">
        <f t="shared" si="20"/>
        <v>✓ OK</v>
      </c>
      <c r="N303" s="43">
        <v>46193</v>
      </c>
      <c r="O303" s="26" t="s">
        <v>23</v>
      </c>
      <c r="P303" s="26" t="s">
        <v>24</v>
      </c>
      <c r="Q303" s="26" t="s">
        <v>25</v>
      </c>
      <c r="R303" s="26" t="s">
        <v>26</v>
      </c>
      <c r="S303" s="26" t="s">
        <v>24</v>
      </c>
      <c r="T303" s="27"/>
      <c r="U303" s="28" t="s">
        <v>25</v>
      </c>
      <c r="V303" s="29" t="str">
        <f t="shared" si="21"/>
        <v>✓ OK</v>
      </c>
      <c r="W303" s="45">
        <v>46248</v>
      </c>
      <c r="X303" s="30" t="s">
        <v>23</v>
      </c>
      <c r="Y303" s="30" t="s">
        <v>24</v>
      </c>
      <c r="Z303" s="30" t="s">
        <v>25</v>
      </c>
      <c r="AA303" s="30" t="s">
        <v>26</v>
      </c>
      <c r="AB303" s="30" t="s">
        <v>24</v>
      </c>
      <c r="AC303" s="27"/>
      <c r="AD303" s="31" t="s">
        <v>25</v>
      </c>
      <c r="AE303" s="32" t="str">
        <f t="shared" si="22"/>
        <v>✓ OK</v>
      </c>
      <c r="AF303" s="33" t="s">
        <v>27</v>
      </c>
      <c r="AG303" s="33" t="s">
        <v>23</v>
      </c>
      <c r="AH303" s="33" t="s">
        <v>24</v>
      </c>
      <c r="AI303" s="33" t="s">
        <v>25</v>
      </c>
      <c r="AJ303" s="33" t="s">
        <v>26</v>
      </c>
      <c r="AK303" s="33" t="s">
        <v>24</v>
      </c>
      <c r="AL303" s="27"/>
      <c r="AM303" s="34" t="s">
        <v>25</v>
      </c>
      <c r="AN303" s="35" t="str">
        <f t="shared" si="23"/>
        <v>✓ OK</v>
      </c>
      <c r="AO303" s="36"/>
      <c r="AP303" s="36"/>
      <c r="AQ303" s="36"/>
      <c r="AR303" s="36"/>
      <c r="AS303" s="36"/>
      <c r="AT303" s="36"/>
      <c r="AU303" s="27"/>
      <c r="AV303" s="37"/>
      <c r="AW303" s="38" t="str">
        <f t="shared" si="24"/>
        <v/>
      </c>
    </row>
    <row r="304" spans="1:49" ht="18" customHeight="1" x14ac:dyDescent="0.3">
      <c r="A304" s="39">
        <v>300</v>
      </c>
      <c r="B304" s="40" t="s">
        <v>2447</v>
      </c>
      <c r="C304" s="41" t="s">
        <v>2448</v>
      </c>
      <c r="D304" s="39" t="s">
        <v>1850</v>
      </c>
      <c r="E304" s="43">
        <v>46125</v>
      </c>
      <c r="F304" s="26" t="s">
        <v>23</v>
      </c>
      <c r="G304" s="26" t="s">
        <v>24</v>
      </c>
      <c r="H304" s="26" t="s">
        <v>25</v>
      </c>
      <c r="I304" s="26" t="s">
        <v>26</v>
      </c>
      <c r="J304" s="26" t="s">
        <v>24</v>
      </c>
      <c r="K304" s="27"/>
      <c r="L304" s="28" t="s">
        <v>25</v>
      </c>
      <c r="M304" s="29" t="str">
        <f t="shared" si="20"/>
        <v>✓ OK</v>
      </c>
      <c r="N304" s="43">
        <v>46193</v>
      </c>
      <c r="O304" s="26" t="s">
        <v>23</v>
      </c>
      <c r="P304" s="26" t="s">
        <v>24</v>
      </c>
      <c r="Q304" s="26" t="s">
        <v>25</v>
      </c>
      <c r="R304" s="26" t="s">
        <v>26</v>
      </c>
      <c r="S304" s="26" t="s">
        <v>24</v>
      </c>
      <c r="T304" s="27"/>
      <c r="U304" s="28" t="s">
        <v>25</v>
      </c>
      <c r="V304" s="29" t="str">
        <f t="shared" si="21"/>
        <v>✓ OK</v>
      </c>
      <c r="W304" s="45">
        <v>46248</v>
      </c>
      <c r="X304" s="30" t="s">
        <v>23</v>
      </c>
      <c r="Y304" s="30" t="s">
        <v>24</v>
      </c>
      <c r="Z304" s="30" t="s">
        <v>25</v>
      </c>
      <c r="AA304" s="30" t="s">
        <v>26</v>
      </c>
      <c r="AB304" s="30" t="s">
        <v>24</v>
      </c>
      <c r="AC304" s="27"/>
      <c r="AD304" s="31" t="s">
        <v>25</v>
      </c>
      <c r="AE304" s="32" t="str">
        <f t="shared" si="22"/>
        <v>✓ OK</v>
      </c>
      <c r="AF304" s="33" t="s">
        <v>27</v>
      </c>
      <c r="AG304" s="33" t="s">
        <v>23</v>
      </c>
      <c r="AH304" s="33" t="s">
        <v>24</v>
      </c>
      <c r="AI304" s="33" t="s">
        <v>25</v>
      </c>
      <c r="AJ304" s="33" t="s">
        <v>26</v>
      </c>
      <c r="AK304" s="33" t="s">
        <v>24</v>
      </c>
      <c r="AL304" s="27"/>
      <c r="AM304" s="34" t="s">
        <v>25</v>
      </c>
      <c r="AN304" s="35" t="str">
        <f t="shared" si="23"/>
        <v>✓ OK</v>
      </c>
      <c r="AO304" s="36"/>
      <c r="AP304" s="36"/>
      <c r="AQ304" s="36"/>
      <c r="AR304" s="36"/>
      <c r="AS304" s="36"/>
      <c r="AT304" s="36"/>
      <c r="AU304" s="27"/>
      <c r="AV304" s="37"/>
      <c r="AW304" s="38" t="str">
        <f t="shared" si="24"/>
        <v/>
      </c>
    </row>
    <row r="305" spans="1:49" ht="18" customHeight="1" x14ac:dyDescent="0.3">
      <c r="A305" s="23">
        <v>301</v>
      </c>
      <c r="B305" s="24" t="s">
        <v>2449</v>
      </c>
      <c r="C305" s="25" t="s">
        <v>2450</v>
      </c>
      <c r="D305" s="23" t="s">
        <v>1850</v>
      </c>
      <c r="E305" s="43">
        <v>46125</v>
      </c>
      <c r="F305" s="26" t="s">
        <v>23</v>
      </c>
      <c r="G305" s="26" t="s">
        <v>24</v>
      </c>
      <c r="H305" s="26" t="s">
        <v>25</v>
      </c>
      <c r="I305" s="26" t="s">
        <v>26</v>
      </c>
      <c r="J305" s="26" t="s">
        <v>24</v>
      </c>
      <c r="K305" s="27"/>
      <c r="L305" s="28" t="s">
        <v>25</v>
      </c>
      <c r="M305" s="29" t="str">
        <f t="shared" si="20"/>
        <v>✓ OK</v>
      </c>
      <c r="N305" s="43">
        <v>46193</v>
      </c>
      <c r="O305" s="26" t="s">
        <v>23</v>
      </c>
      <c r="P305" s="26" t="s">
        <v>24</v>
      </c>
      <c r="Q305" s="26" t="s">
        <v>25</v>
      </c>
      <c r="R305" s="26" t="s">
        <v>26</v>
      </c>
      <c r="S305" s="26" t="s">
        <v>24</v>
      </c>
      <c r="T305" s="27"/>
      <c r="U305" s="28" t="s">
        <v>25</v>
      </c>
      <c r="V305" s="29" t="str">
        <f t="shared" si="21"/>
        <v>✓ OK</v>
      </c>
      <c r="W305" s="45">
        <v>46248</v>
      </c>
      <c r="X305" s="30" t="s">
        <v>23</v>
      </c>
      <c r="Y305" s="30" t="s">
        <v>24</v>
      </c>
      <c r="Z305" s="30" t="s">
        <v>25</v>
      </c>
      <c r="AA305" s="30" t="s">
        <v>26</v>
      </c>
      <c r="AB305" s="30" t="s">
        <v>24</v>
      </c>
      <c r="AC305" s="27"/>
      <c r="AD305" s="31" t="s">
        <v>25</v>
      </c>
      <c r="AE305" s="32" t="str">
        <f t="shared" si="22"/>
        <v>✓ OK</v>
      </c>
      <c r="AF305" s="33" t="s">
        <v>27</v>
      </c>
      <c r="AG305" s="33" t="s">
        <v>23</v>
      </c>
      <c r="AH305" s="33" t="s">
        <v>24</v>
      </c>
      <c r="AI305" s="33" t="s">
        <v>25</v>
      </c>
      <c r="AJ305" s="33" t="s">
        <v>26</v>
      </c>
      <c r="AK305" s="33" t="s">
        <v>24</v>
      </c>
      <c r="AL305" s="27"/>
      <c r="AM305" s="34" t="s">
        <v>25</v>
      </c>
      <c r="AN305" s="35" t="str">
        <f t="shared" si="23"/>
        <v>✓ OK</v>
      </c>
      <c r="AO305" s="36"/>
      <c r="AP305" s="36"/>
      <c r="AQ305" s="36"/>
      <c r="AR305" s="36"/>
      <c r="AS305" s="36"/>
      <c r="AT305" s="36"/>
      <c r="AU305" s="27"/>
      <c r="AV305" s="37"/>
      <c r="AW305" s="38" t="str">
        <f t="shared" si="24"/>
        <v/>
      </c>
    </row>
    <row r="306" spans="1:49" ht="18" customHeight="1" x14ac:dyDescent="0.3">
      <c r="A306" s="39">
        <v>302</v>
      </c>
      <c r="B306" s="40" t="s">
        <v>2451</v>
      </c>
      <c r="C306" s="41" t="s">
        <v>2452</v>
      </c>
      <c r="D306" s="39" t="s">
        <v>1850</v>
      </c>
      <c r="E306" s="43">
        <v>46125</v>
      </c>
      <c r="F306" s="26" t="s">
        <v>23</v>
      </c>
      <c r="G306" s="26" t="s">
        <v>24</v>
      </c>
      <c r="H306" s="26" t="s">
        <v>25</v>
      </c>
      <c r="I306" s="26" t="s">
        <v>26</v>
      </c>
      <c r="J306" s="26" t="s">
        <v>24</v>
      </c>
      <c r="K306" s="27"/>
      <c r="L306" s="28" t="s">
        <v>25</v>
      </c>
      <c r="M306" s="29" t="str">
        <f t="shared" si="20"/>
        <v>✓ OK</v>
      </c>
      <c r="N306" s="43">
        <v>46193</v>
      </c>
      <c r="O306" s="26" t="s">
        <v>23</v>
      </c>
      <c r="P306" s="26" t="s">
        <v>24</v>
      </c>
      <c r="Q306" s="26" t="s">
        <v>25</v>
      </c>
      <c r="R306" s="26" t="s">
        <v>26</v>
      </c>
      <c r="S306" s="26" t="s">
        <v>24</v>
      </c>
      <c r="T306" s="27"/>
      <c r="U306" s="28" t="s">
        <v>25</v>
      </c>
      <c r="V306" s="29" t="str">
        <f t="shared" si="21"/>
        <v>✓ OK</v>
      </c>
      <c r="W306" s="45">
        <v>46248</v>
      </c>
      <c r="X306" s="30" t="s">
        <v>23</v>
      </c>
      <c r="Y306" s="30" t="s">
        <v>24</v>
      </c>
      <c r="Z306" s="30" t="s">
        <v>25</v>
      </c>
      <c r="AA306" s="30" t="s">
        <v>26</v>
      </c>
      <c r="AB306" s="30" t="s">
        <v>24</v>
      </c>
      <c r="AC306" s="27"/>
      <c r="AD306" s="31" t="s">
        <v>25</v>
      </c>
      <c r="AE306" s="32" t="str">
        <f t="shared" si="22"/>
        <v>✓ OK</v>
      </c>
      <c r="AF306" s="33" t="s">
        <v>27</v>
      </c>
      <c r="AG306" s="33" t="s">
        <v>23</v>
      </c>
      <c r="AH306" s="33" t="s">
        <v>24</v>
      </c>
      <c r="AI306" s="33" t="s">
        <v>25</v>
      </c>
      <c r="AJ306" s="33" t="s">
        <v>26</v>
      </c>
      <c r="AK306" s="33" t="s">
        <v>24</v>
      </c>
      <c r="AL306" s="27"/>
      <c r="AM306" s="34" t="s">
        <v>25</v>
      </c>
      <c r="AN306" s="35" t="str">
        <f t="shared" si="23"/>
        <v>✓ OK</v>
      </c>
      <c r="AO306" s="36"/>
      <c r="AP306" s="36"/>
      <c r="AQ306" s="36"/>
      <c r="AR306" s="36"/>
      <c r="AS306" s="36"/>
      <c r="AT306" s="36"/>
      <c r="AU306" s="27"/>
      <c r="AV306" s="37"/>
      <c r="AW306" s="38" t="str">
        <f t="shared" si="24"/>
        <v/>
      </c>
    </row>
    <row r="307" spans="1:49" ht="18" customHeight="1" x14ac:dyDescent="0.3">
      <c r="A307" s="23">
        <v>303</v>
      </c>
      <c r="B307" s="24" t="s">
        <v>2453</v>
      </c>
      <c r="C307" s="25" t="s">
        <v>2454</v>
      </c>
      <c r="D307" s="23" t="s">
        <v>1850</v>
      </c>
      <c r="E307" s="43">
        <v>46125</v>
      </c>
      <c r="F307" s="26" t="s">
        <v>23</v>
      </c>
      <c r="G307" s="26" t="s">
        <v>24</v>
      </c>
      <c r="H307" s="26" t="s">
        <v>25</v>
      </c>
      <c r="I307" s="26" t="s">
        <v>26</v>
      </c>
      <c r="J307" s="26" t="s">
        <v>24</v>
      </c>
      <c r="K307" s="27"/>
      <c r="L307" s="28" t="s">
        <v>25</v>
      </c>
      <c r="M307" s="29" t="str">
        <f t="shared" si="20"/>
        <v>✓ OK</v>
      </c>
      <c r="N307" s="43">
        <v>46193</v>
      </c>
      <c r="O307" s="26" t="s">
        <v>23</v>
      </c>
      <c r="P307" s="26" t="s">
        <v>24</v>
      </c>
      <c r="Q307" s="26" t="s">
        <v>25</v>
      </c>
      <c r="R307" s="26" t="s">
        <v>26</v>
      </c>
      <c r="S307" s="26" t="s">
        <v>24</v>
      </c>
      <c r="T307" s="27"/>
      <c r="U307" s="28" t="s">
        <v>25</v>
      </c>
      <c r="V307" s="29" t="str">
        <f t="shared" si="21"/>
        <v>✓ OK</v>
      </c>
      <c r="W307" s="45">
        <v>46248</v>
      </c>
      <c r="X307" s="30" t="s">
        <v>23</v>
      </c>
      <c r="Y307" s="30" t="s">
        <v>24</v>
      </c>
      <c r="Z307" s="30" t="s">
        <v>25</v>
      </c>
      <c r="AA307" s="30" t="s">
        <v>26</v>
      </c>
      <c r="AB307" s="30" t="s">
        <v>24</v>
      </c>
      <c r="AC307" s="27"/>
      <c r="AD307" s="31" t="s">
        <v>25</v>
      </c>
      <c r="AE307" s="32" t="str">
        <f t="shared" si="22"/>
        <v>✓ OK</v>
      </c>
      <c r="AF307" s="33" t="s">
        <v>27</v>
      </c>
      <c r="AG307" s="33" t="s">
        <v>23</v>
      </c>
      <c r="AH307" s="33" t="s">
        <v>24</v>
      </c>
      <c r="AI307" s="33" t="s">
        <v>25</v>
      </c>
      <c r="AJ307" s="33" t="s">
        <v>26</v>
      </c>
      <c r="AK307" s="33" t="s">
        <v>24</v>
      </c>
      <c r="AL307" s="27"/>
      <c r="AM307" s="34" t="s">
        <v>25</v>
      </c>
      <c r="AN307" s="35" t="str">
        <f t="shared" si="23"/>
        <v>✓ OK</v>
      </c>
      <c r="AO307" s="36"/>
      <c r="AP307" s="36"/>
      <c r="AQ307" s="36"/>
      <c r="AR307" s="36"/>
      <c r="AS307" s="36"/>
      <c r="AT307" s="36"/>
      <c r="AU307" s="27"/>
      <c r="AV307" s="37"/>
      <c r="AW307" s="38" t="str">
        <f t="shared" si="24"/>
        <v/>
      </c>
    </row>
    <row r="308" spans="1:49" ht="18" customHeight="1" x14ac:dyDescent="0.3">
      <c r="A308" s="39">
        <v>304</v>
      </c>
      <c r="B308" s="40" t="s">
        <v>2455</v>
      </c>
      <c r="C308" s="41" t="s">
        <v>2456</v>
      </c>
      <c r="D308" s="39" t="s">
        <v>1850</v>
      </c>
      <c r="E308" s="43">
        <v>46125</v>
      </c>
      <c r="F308" s="26" t="s">
        <v>23</v>
      </c>
      <c r="G308" s="26" t="s">
        <v>24</v>
      </c>
      <c r="H308" s="26" t="s">
        <v>25</v>
      </c>
      <c r="I308" s="26" t="s">
        <v>26</v>
      </c>
      <c r="J308" s="26" t="s">
        <v>24</v>
      </c>
      <c r="K308" s="27"/>
      <c r="L308" s="28" t="s">
        <v>25</v>
      </c>
      <c r="M308" s="29" t="str">
        <f t="shared" si="20"/>
        <v>✓ OK</v>
      </c>
      <c r="N308" s="43">
        <v>46193</v>
      </c>
      <c r="O308" s="26" t="s">
        <v>23</v>
      </c>
      <c r="P308" s="26" t="s">
        <v>24</v>
      </c>
      <c r="Q308" s="26" t="s">
        <v>25</v>
      </c>
      <c r="R308" s="26" t="s">
        <v>26</v>
      </c>
      <c r="S308" s="26" t="s">
        <v>24</v>
      </c>
      <c r="T308" s="27"/>
      <c r="U308" s="28" t="s">
        <v>25</v>
      </c>
      <c r="V308" s="29" t="str">
        <f t="shared" si="21"/>
        <v>✓ OK</v>
      </c>
      <c r="W308" s="45">
        <v>46248</v>
      </c>
      <c r="X308" s="30" t="s">
        <v>23</v>
      </c>
      <c r="Y308" s="30" t="s">
        <v>24</v>
      </c>
      <c r="Z308" s="30" t="s">
        <v>25</v>
      </c>
      <c r="AA308" s="30" t="s">
        <v>26</v>
      </c>
      <c r="AB308" s="30" t="s">
        <v>24</v>
      </c>
      <c r="AC308" s="27"/>
      <c r="AD308" s="31" t="s">
        <v>25</v>
      </c>
      <c r="AE308" s="32" t="str">
        <f t="shared" si="22"/>
        <v>✓ OK</v>
      </c>
      <c r="AF308" s="33" t="s">
        <v>27</v>
      </c>
      <c r="AG308" s="33" t="s">
        <v>23</v>
      </c>
      <c r="AH308" s="33" t="s">
        <v>24</v>
      </c>
      <c r="AI308" s="33" t="s">
        <v>25</v>
      </c>
      <c r="AJ308" s="33" t="s">
        <v>26</v>
      </c>
      <c r="AK308" s="33" t="s">
        <v>24</v>
      </c>
      <c r="AL308" s="27"/>
      <c r="AM308" s="34" t="s">
        <v>25</v>
      </c>
      <c r="AN308" s="35" t="str">
        <f t="shared" si="23"/>
        <v>✓ OK</v>
      </c>
      <c r="AO308" s="36"/>
      <c r="AP308" s="36"/>
      <c r="AQ308" s="36"/>
      <c r="AR308" s="36"/>
      <c r="AS308" s="36"/>
      <c r="AT308" s="36"/>
      <c r="AU308" s="27"/>
      <c r="AV308" s="37"/>
      <c r="AW308" s="38" t="str">
        <f t="shared" si="24"/>
        <v/>
      </c>
    </row>
    <row r="309" spans="1:49" ht="18" customHeight="1" x14ac:dyDescent="0.3">
      <c r="A309" s="23">
        <v>305</v>
      </c>
      <c r="B309" s="24" t="s">
        <v>2457</v>
      </c>
      <c r="C309" s="25" t="s">
        <v>2458</v>
      </c>
      <c r="D309" s="23" t="s">
        <v>1850</v>
      </c>
      <c r="E309" s="43">
        <v>46125</v>
      </c>
      <c r="F309" s="26" t="s">
        <v>23</v>
      </c>
      <c r="G309" s="26" t="s">
        <v>24</v>
      </c>
      <c r="H309" s="26" t="s">
        <v>25</v>
      </c>
      <c r="I309" s="26" t="s">
        <v>26</v>
      </c>
      <c r="J309" s="26" t="s">
        <v>24</v>
      </c>
      <c r="K309" s="27"/>
      <c r="L309" s="28" t="s">
        <v>25</v>
      </c>
      <c r="M309" s="29" t="str">
        <f t="shared" si="20"/>
        <v>✓ OK</v>
      </c>
      <c r="N309" s="43">
        <v>46193</v>
      </c>
      <c r="O309" s="26" t="s">
        <v>23</v>
      </c>
      <c r="P309" s="26" t="s">
        <v>24</v>
      </c>
      <c r="Q309" s="26" t="s">
        <v>25</v>
      </c>
      <c r="R309" s="26" t="s">
        <v>26</v>
      </c>
      <c r="S309" s="26" t="s">
        <v>24</v>
      </c>
      <c r="T309" s="27"/>
      <c r="U309" s="28" t="s">
        <v>25</v>
      </c>
      <c r="V309" s="29" t="str">
        <f t="shared" si="21"/>
        <v>✓ OK</v>
      </c>
      <c r="W309" s="45">
        <v>46248</v>
      </c>
      <c r="X309" s="30" t="s">
        <v>23</v>
      </c>
      <c r="Y309" s="30" t="s">
        <v>24</v>
      </c>
      <c r="Z309" s="30" t="s">
        <v>25</v>
      </c>
      <c r="AA309" s="30" t="s">
        <v>26</v>
      </c>
      <c r="AB309" s="30" t="s">
        <v>24</v>
      </c>
      <c r="AC309" s="27"/>
      <c r="AD309" s="31" t="s">
        <v>25</v>
      </c>
      <c r="AE309" s="32" t="str">
        <f t="shared" si="22"/>
        <v>✓ OK</v>
      </c>
      <c r="AF309" s="33" t="s">
        <v>27</v>
      </c>
      <c r="AG309" s="33" t="s">
        <v>23</v>
      </c>
      <c r="AH309" s="33" t="s">
        <v>24</v>
      </c>
      <c r="AI309" s="33" t="s">
        <v>25</v>
      </c>
      <c r="AJ309" s="33" t="s">
        <v>26</v>
      </c>
      <c r="AK309" s="33" t="s">
        <v>24</v>
      </c>
      <c r="AL309" s="27"/>
      <c r="AM309" s="34" t="s">
        <v>25</v>
      </c>
      <c r="AN309" s="35" t="str">
        <f t="shared" si="23"/>
        <v>✓ OK</v>
      </c>
      <c r="AO309" s="36"/>
      <c r="AP309" s="36"/>
      <c r="AQ309" s="36"/>
      <c r="AR309" s="36"/>
      <c r="AS309" s="36"/>
      <c r="AT309" s="36"/>
      <c r="AU309" s="27"/>
      <c r="AV309" s="37"/>
      <c r="AW309" s="38" t="str">
        <f t="shared" si="24"/>
        <v/>
      </c>
    </row>
    <row r="310" spans="1:49" ht="18" customHeight="1" x14ac:dyDescent="0.3">
      <c r="A310" s="39">
        <v>306</v>
      </c>
      <c r="B310" s="40" t="s">
        <v>2459</v>
      </c>
      <c r="C310" s="41" t="s">
        <v>2460</v>
      </c>
      <c r="D310" s="39" t="s">
        <v>1850</v>
      </c>
      <c r="E310" s="43">
        <v>46125</v>
      </c>
      <c r="F310" s="26" t="s">
        <v>23</v>
      </c>
      <c r="G310" s="26" t="s">
        <v>24</v>
      </c>
      <c r="H310" s="26" t="s">
        <v>25</v>
      </c>
      <c r="I310" s="26" t="s">
        <v>26</v>
      </c>
      <c r="J310" s="26" t="s">
        <v>24</v>
      </c>
      <c r="K310" s="27"/>
      <c r="L310" s="28" t="s">
        <v>25</v>
      </c>
      <c r="M310" s="29" t="str">
        <f t="shared" si="20"/>
        <v>✓ OK</v>
      </c>
      <c r="N310" s="43">
        <v>46193</v>
      </c>
      <c r="O310" s="26" t="s">
        <v>23</v>
      </c>
      <c r="P310" s="26" t="s">
        <v>24</v>
      </c>
      <c r="Q310" s="26" t="s">
        <v>25</v>
      </c>
      <c r="R310" s="26" t="s">
        <v>26</v>
      </c>
      <c r="S310" s="26" t="s">
        <v>24</v>
      </c>
      <c r="T310" s="27"/>
      <c r="U310" s="28" t="s">
        <v>25</v>
      </c>
      <c r="V310" s="29" t="str">
        <f t="shared" si="21"/>
        <v>✓ OK</v>
      </c>
      <c r="W310" s="45">
        <v>46248</v>
      </c>
      <c r="X310" s="30" t="s">
        <v>23</v>
      </c>
      <c r="Y310" s="30" t="s">
        <v>24</v>
      </c>
      <c r="Z310" s="30" t="s">
        <v>25</v>
      </c>
      <c r="AA310" s="30" t="s">
        <v>26</v>
      </c>
      <c r="AB310" s="30" t="s">
        <v>24</v>
      </c>
      <c r="AC310" s="27"/>
      <c r="AD310" s="31" t="s">
        <v>25</v>
      </c>
      <c r="AE310" s="32" t="str">
        <f t="shared" si="22"/>
        <v>✓ OK</v>
      </c>
      <c r="AF310" s="33" t="s">
        <v>27</v>
      </c>
      <c r="AG310" s="33" t="s">
        <v>23</v>
      </c>
      <c r="AH310" s="33" t="s">
        <v>24</v>
      </c>
      <c r="AI310" s="33" t="s">
        <v>25</v>
      </c>
      <c r="AJ310" s="33" t="s">
        <v>26</v>
      </c>
      <c r="AK310" s="33" t="s">
        <v>24</v>
      </c>
      <c r="AL310" s="27"/>
      <c r="AM310" s="34" t="s">
        <v>25</v>
      </c>
      <c r="AN310" s="35" t="str">
        <f t="shared" si="23"/>
        <v>✓ OK</v>
      </c>
      <c r="AO310" s="36"/>
      <c r="AP310" s="36"/>
      <c r="AQ310" s="36"/>
      <c r="AR310" s="36"/>
      <c r="AS310" s="36"/>
      <c r="AT310" s="36"/>
      <c r="AU310" s="27"/>
      <c r="AV310" s="37"/>
      <c r="AW310" s="38" t="str">
        <f t="shared" si="24"/>
        <v/>
      </c>
    </row>
    <row r="311" spans="1:49" ht="18" customHeight="1" x14ac:dyDescent="0.3">
      <c r="A311" s="23">
        <v>307</v>
      </c>
      <c r="B311" s="24" t="s">
        <v>2461</v>
      </c>
      <c r="C311" s="25" t="s">
        <v>2462</v>
      </c>
      <c r="D311" s="23" t="s">
        <v>1850</v>
      </c>
      <c r="E311" s="43">
        <v>46125</v>
      </c>
      <c r="F311" s="26" t="s">
        <v>23</v>
      </c>
      <c r="G311" s="26" t="s">
        <v>24</v>
      </c>
      <c r="H311" s="26" t="s">
        <v>25</v>
      </c>
      <c r="I311" s="26" t="s">
        <v>26</v>
      </c>
      <c r="J311" s="26" t="s">
        <v>24</v>
      </c>
      <c r="K311" s="27"/>
      <c r="L311" s="28" t="s">
        <v>25</v>
      </c>
      <c r="M311" s="29" t="str">
        <f t="shared" si="20"/>
        <v>✓ OK</v>
      </c>
      <c r="N311" s="43">
        <v>46193</v>
      </c>
      <c r="O311" s="26" t="s">
        <v>23</v>
      </c>
      <c r="P311" s="26" t="s">
        <v>24</v>
      </c>
      <c r="Q311" s="26" t="s">
        <v>25</v>
      </c>
      <c r="R311" s="26" t="s">
        <v>26</v>
      </c>
      <c r="S311" s="26" t="s">
        <v>24</v>
      </c>
      <c r="T311" s="27"/>
      <c r="U311" s="28" t="s">
        <v>25</v>
      </c>
      <c r="V311" s="29" t="str">
        <f t="shared" si="21"/>
        <v>✓ OK</v>
      </c>
      <c r="W311" s="45">
        <v>46248</v>
      </c>
      <c r="X311" s="30" t="s">
        <v>23</v>
      </c>
      <c r="Y311" s="30" t="s">
        <v>24</v>
      </c>
      <c r="Z311" s="30" t="s">
        <v>25</v>
      </c>
      <c r="AA311" s="30" t="s">
        <v>26</v>
      </c>
      <c r="AB311" s="30" t="s">
        <v>24</v>
      </c>
      <c r="AC311" s="27"/>
      <c r="AD311" s="31" t="s">
        <v>25</v>
      </c>
      <c r="AE311" s="32" t="str">
        <f t="shared" si="22"/>
        <v>✓ OK</v>
      </c>
      <c r="AF311" s="33" t="s">
        <v>27</v>
      </c>
      <c r="AG311" s="33" t="s">
        <v>23</v>
      </c>
      <c r="AH311" s="33" t="s">
        <v>24</v>
      </c>
      <c r="AI311" s="33" t="s">
        <v>25</v>
      </c>
      <c r="AJ311" s="33" t="s">
        <v>26</v>
      </c>
      <c r="AK311" s="33" t="s">
        <v>24</v>
      </c>
      <c r="AL311" s="27"/>
      <c r="AM311" s="34" t="s">
        <v>25</v>
      </c>
      <c r="AN311" s="35" t="str">
        <f t="shared" si="23"/>
        <v>✓ OK</v>
      </c>
      <c r="AO311" s="36"/>
      <c r="AP311" s="36"/>
      <c r="AQ311" s="36"/>
      <c r="AR311" s="36"/>
      <c r="AS311" s="36"/>
      <c r="AT311" s="36"/>
      <c r="AU311" s="27"/>
      <c r="AV311" s="37"/>
      <c r="AW311" s="38" t="str">
        <f t="shared" si="24"/>
        <v/>
      </c>
    </row>
    <row r="312" spans="1:49" ht="18" customHeight="1" x14ac:dyDescent="0.3">
      <c r="A312" s="39">
        <v>308</v>
      </c>
      <c r="B312" s="40" t="s">
        <v>2463</v>
      </c>
      <c r="C312" s="41" t="s">
        <v>2464</v>
      </c>
      <c r="D312" s="39" t="s">
        <v>1850</v>
      </c>
      <c r="E312" s="43">
        <v>46125</v>
      </c>
      <c r="F312" s="26" t="s">
        <v>23</v>
      </c>
      <c r="G312" s="26" t="s">
        <v>24</v>
      </c>
      <c r="H312" s="26" t="s">
        <v>25</v>
      </c>
      <c r="I312" s="26" t="s">
        <v>26</v>
      </c>
      <c r="J312" s="26" t="s">
        <v>24</v>
      </c>
      <c r="K312" s="27"/>
      <c r="L312" s="28" t="s">
        <v>25</v>
      </c>
      <c r="M312" s="29" t="str">
        <f t="shared" si="20"/>
        <v>✓ OK</v>
      </c>
      <c r="N312" s="43">
        <v>46193</v>
      </c>
      <c r="O312" s="26" t="s">
        <v>23</v>
      </c>
      <c r="P312" s="26" t="s">
        <v>24</v>
      </c>
      <c r="Q312" s="26" t="s">
        <v>25</v>
      </c>
      <c r="R312" s="26" t="s">
        <v>26</v>
      </c>
      <c r="S312" s="26" t="s">
        <v>24</v>
      </c>
      <c r="T312" s="27"/>
      <c r="U312" s="28" t="s">
        <v>25</v>
      </c>
      <c r="V312" s="29" t="str">
        <f t="shared" si="21"/>
        <v>✓ OK</v>
      </c>
      <c r="W312" s="45">
        <v>46248</v>
      </c>
      <c r="X312" s="30" t="s">
        <v>23</v>
      </c>
      <c r="Y312" s="30" t="s">
        <v>24</v>
      </c>
      <c r="Z312" s="30" t="s">
        <v>25</v>
      </c>
      <c r="AA312" s="30" t="s">
        <v>26</v>
      </c>
      <c r="AB312" s="30" t="s">
        <v>24</v>
      </c>
      <c r="AC312" s="27"/>
      <c r="AD312" s="31" t="s">
        <v>25</v>
      </c>
      <c r="AE312" s="32" t="str">
        <f t="shared" si="22"/>
        <v>✓ OK</v>
      </c>
      <c r="AF312" s="33" t="s">
        <v>27</v>
      </c>
      <c r="AG312" s="33" t="s">
        <v>23</v>
      </c>
      <c r="AH312" s="33" t="s">
        <v>24</v>
      </c>
      <c r="AI312" s="33" t="s">
        <v>25</v>
      </c>
      <c r="AJ312" s="33" t="s">
        <v>26</v>
      </c>
      <c r="AK312" s="33" t="s">
        <v>24</v>
      </c>
      <c r="AL312" s="27"/>
      <c r="AM312" s="34" t="s">
        <v>25</v>
      </c>
      <c r="AN312" s="35" t="str">
        <f t="shared" si="23"/>
        <v>✓ OK</v>
      </c>
      <c r="AO312" s="36"/>
      <c r="AP312" s="36"/>
      <c r="AQ312" s="36"/>
      <c r="AR312" s="36"/>
      <c r="AS312" s="36"/>
      <c r="AT312" s="36"/>
      <c r="AU312" s="27"/>
      <c r="AV312" s="37"/>
      <c r="AW312" s="38" t="str">
        <f t="shared" si="24"/>
        <v/>
      </c>
    </row>
    <row r="313" spans="1:49" ht="18" customHeight="1" x14ac:dyDescent="0.3">
      <c r="A313" s="23">
        <v>309</v>
      </c>
      <c r="B313" s="24" t="s">
        <v>2465</v>
      </c>
      <c r="C313" s="25" t="s">
        <v>2466</v>
      </c>
      <c r="D313" s="23" t="s">
        <v>1850</v>
      </c>
      <c r="E313" s="43">
        <v>46125</v>
      </c>
      <c r="F313" s="26" t="s">
        <v>23</v>
      </c>
      <c r="G313" s="26" t="s">
        <v>24</v>
      </c>
      <c r="H313" s="26" t="s">
        <v>25</v>
      </c>
      <c r="I313" s="26" t="s">
        <v>26</v>
      </c>
      <c r="J313" s="26" t="s">
        <v>24</v>
      </c>
      <c r="K313" s="27"/>
      <c r="L313" s="28" t="s">
        <v>25</v>
      </c>
      <c r="M313" s="29" t="str">
        <f t="shared" si="20"/>
        <v>✓ OK</v>
      </c>
      <c r="N313" s="43">
        <v>46193</v>
      </c>
      <c r="O313" s="26" t="s">
        <v>23</v>
      </c>
      <c r="P313" s="26" t="s">
        <v>24</v>
      </c>
      <c r="Q313" s="26" t="s">
        <v>25</v>
      </c>
      <c r="R313" s="26" t="s">
        <v>26</v>
      </c>
      <c r="S313" s="26" t="s">
        <v>24</v>
      </c>
      <c r="T313" s="27"/>
      <c r="U313" s="28" t="s">
        <v>25</v>
      </c>
      <c r="V313" s="29" t="str">
        <f t="shared" si="21"/>
        <v>✓ OK</v>
      </c>
      <c r="W313" s="45">
        <v>46248</v>
      </c>
      <c r="X313" s="30" t="s">
        <v>23</v>
      </c>
      <c r="Y313" s="30" t="s">
        <v>24</v>
      </c>
      <c r="Z313" s="30" t="s">
        <v>25</v>
      </c>
      <c r="AA313" s="30" t="s">
        <v>26</v>
      </c>
      <c r="AB313" s="30" t="s">
        <v>24</v>
      </c>
      <c r="AC313" s="27"/>
      <c r="AD313" s="31" t="s">
        <v>25</v>
      </c>
      <c r="AE313" s="32" t="str">
        <f t="shared" si="22"/>
        <v>✓ OK</v>
      </c>
      <c r="AF313" s="33" t="s">
        <v>27</v>
      </c>
      <c r="AG313" s="33" t="s">
        <v>23</v>
      </c>
      <c r="AH313" s="33" t="s">
        <v>24</v>
      </c>
      <c r="AI313" s="33" t="s">
        <v>25</v>
      </c>
      <c r="AJ313" s="33" t="s">
        <v>26</v>
      </c>
      <c r="AK313" s="33" t="s">
        <v>24</v>
      </c>
      <c r="AL313" s="27"/>
      <c r="AM313" s="34" t="s">
        <v>25</v>
      </c>
      <c r="AN313" s="35" t="str">
        <f t="shared" si="23"/>
        <v>✓ OK</v>
      </c>
      <c r="AO313" s="36"/>
      <c r="AP313" s="36"/>
      <c r="AQ313" s="36"/>
      <c r="AR313" s="36"/>
      <c r="AS313" s="36"/>
      <c r="AT313" s="36"/>
      <c r="AU313" s="27"/>
      <c r="AV313" s="37"/>
      <c r="AW313" s="38" t="str">
        <f t="shared" si="24"/>
        <v/>
      </c>
    </row>
    <row r="314" spans="1:49" ht="18" customHeight="1" x14ac:dyDescent="0.3">
      <c r="A314" s="39">
        <v>310</v>
      </c>
      <c r="B314" s="40" t="s">
        <v>2467</v>
      </c>
      <c r="C314" s="41" t="s">
        <v>2468</v>
      </c>
      <c r="D314" s="39" t="s">
        <v>1850</v>
      </c>
      <c r="E314" s="43">
        <v>46125</v>
      </c>
      <c r="F314" s="26" t="s">
        <v>23</v>
      </c>
      <c r="G314" s="26" t="s">
        <v>24</v>
      </c>
      <c r="H314" s="26" t="s">
        <v>25</v>
      </c>
      <c r="I314" s="26" t="s">
        <v>26</v>
      </c>
      <c r="J314" s="26" t="s">
        <v>24</v>
      </c>
      <c r="K314" s="27"/>
      <c r="L314" s="28" t="s">
        <v>25</v>
      </c>
      <c r="M314" s="29" t="str">
        <f t="shared" si="20"/>
        <v>✓ OK</v>
      </c>
      <c r="N314" s="43">
        <v>46193</v>
      </c>
      <c r="O314" s="26" t="s">
        <v>23</v>
      </c>
      <c r="P314" s="26" t="s">
        <v>24</v>
      </c>
      <c r="Q314" s="26" t="s">
        <v>25</v>
      </c>
      <c r="R314" s="26" t="s">
        <v>26</v>
      </c>
      <c r="S314" s="26" t="s">
        <v>24</v>
      </c>
      <c r="T314" s="27"/>
      <c r="U314" s="28" t="s">
        <v>25</v>
      </c>
      <c r="V314" s="29" t="str">
        <f t="shared" si="21"/>
        <v>✓ OK</v>
      </c>
      <c r="W314" s="45">
        <v>46248</v>
      </c>
      <c r="X314" s="30" t="s">
        <v>23</v>
      </c>
      <c r="Y314" s="30" t="s">
        <v>24</v>
      </c>
      <c r="Z314" s="30" t="s">
        <v>25</v>
      </c>
      <c r="AA314" s="30" t="s">
        <v>26</v>
      </c>
      <c r="AB314" s="30" t="s">
        <v>24</v>
      </c>
      <c r="AC314" s="27"/>
      <c r="AD314" s="31" t="s">
        <v>25</v>
      </c>
      <c r="AE314" s="32" t="str">
        <f t="shared" si="22"/>
        <v>✓ OK</v>
      </c>
      <c r="AF314" s="33" t="s">
        <v>27</v>
      </c>
      <c r="AG314" s="33" t="s">
        <v>23</v>
      </c>
      <c r="AH314" s="33" t="s">
        <v>24</v>
      </c>
      <c r="AI314" s="33" t="s">
        <v>25</v>
      </c>
      <c r="AJ314" s="33" t="s">
        <v>26</v>
      </c>
      <c r="AK314" s="33" t="s">
        <v>24</v>
      </c>
      <c r="AL314" s="27"/>
      <c r="AM314" s="34" t="s">
        <v>25</v>
      </c>
      <c r="AN314" s="35" t="str">
        <f t="shared" si="23"/>
        <v>✓ OK</v>
      </c>
      <c r="AO314" s="36"/>
      <c r="AP314" s="36"/>
      <c r="AQ314" s="36"/>
      <c r="AR314" s="36"/>
      <c r="AS314" s="36"/>
      <c r="AT314" s="36"/>
      <c r="AU314" s="27"/>
      <c r="AV314" s="37"/>
      <c r="AW314" s="38" t="str">
        <f t="shared" si="24"/>
        <v/>
      </c>
    </row>
    <row r="315" spans="1:49" ht="18" customHeight="1" x14ac:dyDescent="0.3">
      <c r="A315" s="23">
        <v>311</v>
      </c>
      <c r="B315" s="24" t="s">
        <v>2469</v>
      </c>
      <c r="C315" s="25" t="s">
        <v>2470</v>
      </c>
      <c r="D315" s="23" t="s">
        <v>1850</v>
      </c>
      <c r="E315" s="43">
        <v>46125</v>
      </c>
      <c r="F315" s="26" t="s">
        <v>23</v>
      </c>
      <c r="G315" s="26" t="s">
        <v>24</v>
      </c>
      <c r="H315" s="26" t="s">
        <v>25</v>
      </c>
      <c r="I315" s="26" t="s">
        <v>26</v>
      </c>
      <c r="J315" s="26" t="s">
        <v>24</v>
      </c>
      <c r="K315" s="27"/>
      <c r="L315" s="28" t="s">
        <v>25</v>
      </c>
      <c r="M315" s="29" t="str">
        <f t="shared" si="20"/>
        <v>✓ OK</v>
      </c>
      <c r="N315" s="43">
        <v>46193</v>
      </c>
      <c r="O315" s="26" t="s">
        <v>23</v>
      </c>
      <c r="P315" s="26" t="s">
        <v>24</v>
      </c>
      <c r="Q315" s="26" t="s">
        <v>25</v>
      </c>
      <c r="R315" s="26" t="s">
        <v>26</v>
      </c>
      <c r="S315" s="26" t="s">
        <v>24</v>
      </c>
      <c r="T315" s="27"/>
      <c r="U315" s="28" t="s">
        <v>25</v>
      </c>
      <c r="V315" s="29" t="str">
        <f t="shared" si="21"/>
        <v>✓ OK</v>
      </c>
      <c r="W315" s="45">
        <v>46248</v>
      </c>
      <c r="X315" s="30" t="s">
        <v>23</v>
      </c>
      <c r="Y315" s="30" t="s">
        <v>24</v>
      </c>
      <c r="Z315" s="30" t="s">
        <v>25</v>
      </c>
      <c r="AA315" s="30" t="s">
        <v>26</v>
      </c>
      <c r="AB315" s="30" t="s">
        <v>24</v>
      </c>
      <c r="AC315" s="27"/>
      <c r="AD315" s="31" t="s">
        <v>25</v>
      </c>
      <c r="AE315" s="32" t="str">
        <f t="shared" si="22"/>
        <v>✓ OK</v>
      </c>
      <c r="AF315" s="33" t="s">
        <v>27</v>
      </c>
      <c r="AG315" s="33" t="s">
        <v>23</v>
      </c>
      <c r="AH315" s="33" t="s">
        <v>24</v>
      </c>
      <c r="AI315" s="33" t="s">
        <v>25</v>
      </c>
      <c r="AJ315" s="33" t="s">
        <v>26</v>
      </c>
      <c r="AK315" s="33" t="s">
        <v>24</v>
      </c>
      <c r="AL315" s="27"/>
      <c r="AM315" s="34" t="s">
        <v>25</v>
      </c>
      <c r="AN315" s="35" t="str">
        <f t="shared" si="23"/>
        <v>✓ OK</v>
      </c>
      <c r="AO315" s="36"/>
      <c r="AP315" s="36"/>
      <c r="AQ315" s="36"/>
      <c r="AR315" s="36"/>
      <c r="AS315" s="36"/>
      <c r="AT315" s="36"/>
      <c r="AU315" s="27"/>
      <c r="AV315" s="37"/>
      <c r="AW315" s="38" t="str">
        <f t="shared" si="24"/>
        <v/>
      </c>
    </row>
    <row r="316" spans="1:49" ht="18" customHeight="1" x14ac:dyDescent="0.3">
      <c r="A316" s="39">
        <v>312</v>
      </c>
      <c r="B316" s="40" t="s">
        <v>2471</v>
      </c>
      <c r="C316" s="41" t="s">
        <v>2472</v>
      </c>
      <c r="D316" s="39" t="s">
        <v>1850</v>
      </c>
      <c r="E316" s="43">
        <v>46125</v>
      </c>
      <c r="F316" s="26" t="s">
        <v>23</v>
      </c>
      <c r="G316" s="26" t="s">
        <v>24</v>
      </c>
      <c r="H316" s="26" t="s">
        <v>25</v>
      </c>
      <c r="I316" s="26" t="s">
        <v>26</v>
      </c>
      <c r="J316" s="26" t="s">
        <v>24</v>
      </c>
      <c r="K316" s="27"/>
      <c r="L316" s="28" t="s">
        <v>25</v>
      </c>
      <c r="M316" s="29" t="str">
        <f t="shared" si="20"/>
        <v>✓ OK</v>
      </c>
      <c r="N316" s="43">
        <v>46193</v>
      </c>
      <c r="O316" s="26" t="s">
        <v>23</v>
      </c>
      <c r="P316" s="26" t="s">
        <v>24</v>
      </c>
      <c r="Q316" s="26" t="s">
        <v>25</v>
      </c>
      <c r="R316" s="26" t="s">
        <v>26</v>
      </c>
      <c r="S316" s="26" t="s">
        <v>24</v>
      </c>
      <c r="T316" s="27"/>
      <c r="U316" s="28" t="s">
        <v>25</v>
      </c>
      <c r="V316" s="29" t="str">
        <f t="shared" si="21"/>
        <v>✓ OK</v>
      </c>
      <c r="W316" s="45">
        <v>46248</v>
      </c>
      <c r="X316" s="30" t="s">
        <v>23</v>
      </c>
      <c r="Y316" s="30" t="s">
        <v>24</v>
      </c>
      <c r="Z316" s="30" t="s">
        <v>25</v>
      </c>
      <c r="AA316" s="30" t="s">
        <v>26</v>
      </c>
      <c r="AB316" s="30" t="s">
        <v>24</v>
      </c>
      <c r="AC316" s="27"/>
      <c r="AD316" s="31" t="s">
        <v>25</v>
      </c>
      <c r="AE316" s="32" t="str">
        <f t="shared" si="22"/>
        <v>✓ OK</v>
      </c>
      <c r="AF316" s="33" t="s">
        <v>27</v>
      </c>
      <c r="AG316" s="33" t="s">
        <v>23</v>
      </c>
      <c r="AH316" s="33" t="s">
        <v>24</v>
      </c>
      <c r="AI316" s="33" t="s">
        <v>25</v>
      </c>
      <c r="AJ316" s="33" t="s">
        <v>26</v>
      </c>
      <c r="AK316" s="33" t="s">
        <v>24</v>
      </c>
      <c r="AL316" s="27"/>
      <c r="AM316" s="34" t="s">
        <v>25</v>
      </c>
      <c r="AN316" s="35" t="str">
        <f t="shared" si="23"/>
        <v>✓ OK</v>
      </c>
      <c r="AO316" s="36"/>
      <c r="AP316" s="36"/>
      <c r="AQ316" s="36"/>
      <c r="AR316" s="36"/>
      <c r="AS316" s="36"/>
      <c r="AT316" s="36"/>
      <c r="AU316" s="27"/>
      <c r="AV316" s="37"/>
      <c r="AW316" s="38" t="str">
        <f t="shared" si="24"/>
        <v/>
      </c>
    </row>
    <row r="317" spans="1:49" ht="18" customHeight="1" x14ac:dyDescent="0.3">
      <c r="A317" s="23">
        <v>313</v>
      </c>
      <c r="B317" s="24" t="s">
        <v>2473</v>
      </c>
      <c r="C317" s="25" t="s">
        <v>2474</v>
      </c>
      <c r="D317" s="23" t="s">
        <v>1850</v>
      </c>
      <c r="E317" s="43">
        <v>46125</v>
      </c>
      <c r="F317" s="26" t="s">
        <v>23</v>
      </c>
      <c r="G317" s="26" t="s">
        <v>24</v>
      </c>
      <c r="H317" s="26" t="s">
        <v>25</v>
      </c>
      <c r="I317" s="26" t="s">
        <v>26</v>
      </c>
      <c r="J317" s="26" t="s">
        <v>24</v>
      </c>
      <c r="K317" s="27"/>
      <c r="L317" s="28" t="s">
        <v>25</v>
      </c>
      <c r="M317" s="29" t="str">
        <f t="shared" si="20"/>
        <v>✓ OK</v>
      </c>
      <c r="N317" s="43">
        <v>46193</v>
      </c>
      <c r="O317" s="26" t="s">
        <v>23</v>
      </c>
      <c r="P317" s="26" t="s">
        <v>24</v>
      </c>
      <c r="Q317" s="26" t="s">
        <v>25</v>
      </c>
      <c r="R317" s="26" t="s">
        <v>26</v>
      </c>
      <c r="S317" s="26" t="s">
        <v>24</v>
      </c>
      <c r="T317" s="27"/>
      <c r="U317" s="28" t="s">
        <v>25</v>
      </c>
      <c r="V317" s="29" t="str">
        <f t="shared" si="21"/>
        <v>✓ OK</v>
      </c>
      <c r="W317" s="45">
        <v>46248</v>
      </c>
      <c r="X317" s="30" t="s">
        <v>23</v>
      </c>
      <c r="Y317" s="30" t="s">
        <v>24</v>
      </c>
      <c r="Z317" s="30" t="s">
        <v>25</v>
      </c>
      <c r="AA317" s="30" t="s">
        <v>26</v>
      </c>
      <c r="AB317" s="30" t="s">
        <v>24</v>
      </c>
      <c r="AC317" s="27"/>
      <c r="AD317" s="31" t="s">
        <v>25</v>
      </c>
      <c r="AE317" s="32" t="str">
        <f t="shared" si="22"/>
        <v>✓ OK</v>
      </c>
      <c r="AF317" s="33" t="s">
        <v>27</v>
      </c>
      <c r="AG317" s="33" t="s">
        <v>23</v>
      </c>
      <c r="AH317" s="33" t="s">
        <v>24</v>
      </c>
      <c r="AI317" s="33" t="s">
        <v>25</v>
      </c>
      <c r="AJ317" s="33" t="s">
        <v>26</v>
      </c>
      <c r="AK317" s="33" t="s">
        <v>24</v>
      </c>
      <c r="AL317" s="27"/>
      <c r="AM317" s="34" t="s">
        <v>25</v>
      </c>
      <c r="AN317" s="35" t="str">
        <f t="shared" si="23"/>
        <v>✓ OK</v>
      </c>
      <c r="AO317" s="36"/>
      <c r="AP317" s="36"/>
      <c r="AQ317" s="36"/>
      <c r="AR317" s="36"/>
      <c r="AS317" s="36"/>
      <c r="AT317" s="36"/>
      <c r="AU317" s="27"/>
      <c r="AV317" s="37"/>
      <c r="AW317" s="38" t="str">
        <f t="shared" si="24"/>
        <v/>
      </c>
    </row>
    <row r="318" spans="1:49" ht="18" customHeight="1" x14ac:dyDescent="0.3">
      <c r="A318" s="39">
        <v>314</v>
      </c>
      <c r="B318" s="40" t="s">
        <v>2475</v>
      </c>
      <c r="C318" s="41" t="s">
        <v>2476</v>
      </c>
      <c r="D318" s="39" t="s">
        <v>1850</v>
      </c>
      <c r="E318" s="43">
        <v>46125</v>
      </c>
      <c r="F318" s="26" t="s">
        <v>23</v>
      </c>
      <c r="G318" s="26" t="s">
        <v>24</v>
      </c>
      <c r="H318" s="26" t="s">
        <v>25</v>
      </c>
      <c r="I318" s="26" t="s">
        <v>26</v>
      </c>
      <c r="J318" s="26" t="s">
        <v>24</v>
      </c>
      <c r="K318" s="27"/>
      <c r="L318" s="28" t="s">
        <v>25</v>
      </c>
      <c r="M318" s="29" t="str">
        <f t="shared" si="20"/>
        <v>✓ OK</v>
      </c>
      <c r="N318" s="43">
        <v>46193</v>
      </c>
      <c r="O318" s="26" t="s">
        <v>23</v>
      </c>
      <c r="P318" s="26" t="s">
        <v>24</v>
      </c>
      <c r="Q318" s="26" t="s">
        <v>25</v>
      </c>
      <c r="R318" s="26" t="s">
        <v>26</v>
      </c>
      <c r="S318" s="26" t="s">
        <v>24</v>
      </c>
      <c r="T318" s="27"/>
      <c r="U318" s="28" t="s">
        <v>25</v>
      </c>
      <c r="V318" s="29" t="str">
        <f t="shared" si="21"/>
        <v>✓ OK</v>
      </c>
      <c r="W318" s="45">
        <v>46248</v>
      </c>
      <c r="X318" s="30" t="s">
        <v>23</v>
      </c>
      <c r="Y318" s="30" t="s">
        <v>24</v>
      </c>
      <c r="Z318" s="30" t="s">
        <v>25</v>
      </c>
      <c r="AA318" s="30" t="s">
        <v>26</v>
      </c>
      <c r="AB318" s="30" t="s">
        <v>24</v>
      </c>
      <c r="AC318" s="27"/>
      <c r="AD318" s="31" t="s">
        <v>25</v>
      </c>
      <c r="AE318" s="32" t="str">
        <f t="shared" si="22"/>
        <v>✓ OK</v>
      </c>
      <c r="AF318" s="33" t="s">
        <v>27</v>
      </c>
      <c r="AG318" s="33" t="s">
        <v>23</v>
      </c>
      <c r="AH318" s="33" t="s">
        <v>24</v>
      </c>
      <c r="AI318" s="33" t="s">
        <v>25</v>
      </c>
      <c r="AJ318" s="33" t="s">
        <v>26</v>
      </c>
      <c r="AK318" s="33" t="s">
        <v>24</v>
      </c>
      <c r="AL318" s="27"/>
      <c r="AM318" s="34" t="s">
        <v>25</v>
      </c>
      <c r="AN318" s="35" t="str">
        <f t="shared" si="23"/>
        <v>✓ OK</v>
      </c>
      <c r="AO318" s="36"/>
      <c r="AP318" s="36"/>
      <c r="AQ318" s="36"/>
      <c r="AR318" s="36"/>
      <c r="AS318" s="36"/>
      <c r="AT318" s="36"/>
      <c r="AU318" s="27"/>
      <c r="AV318" s="37"/>
      <c r="AW318" s="38" t="str">
        <f t="shared" si="24"/>
        <v/>
      </c>
    </row>
    <row r="319" spans="1:49" ht="18" customHeight="1" x14ac:dyDescent="0.3">
      <c r="A319" s="23">
        <v>315</v>
      </c>
      <c r="B319" s="24" t="s">
        <v>2477</v>
      </c>
      <c r="C319" s="25" t="s">
        <v>2478</v>
      </c>
      <c r="D319" s="23" t="s">
        <v>1850</v>
      </c>
      <c r="E319" s="43">
        <v>46125</v>
      </c>
      <c r="F319" s="26" t="s">
        <v>23</v>
      </c>
      <c r="G319" s="26" t="s">
        <v>24</v>
      </c>
      <c r="H319" s="26" t="s">
        <v>25</v>
      </c>
      <c r="I319" s="26" t="s">
        <v>26</v>
      </c>
      <c r="J319" s="26" t="s">
        <v>24</v>
      </c>
      <c r="K319" s="27"/>
      <c r="L319" s="28" t="s">
        <v>25</v>
      </c>
      <c r="M319" s="29" t="str">
        <f t="shared" si="20"/>
        <v>✓ OK</v>
      </c>
      <c r="N319" s="43">
        <v>46193</v>
      </c>
      <c r="O319" s="26" t="s">
        <v>23</v>
      </c>
      <c r="P319" s="26" t="s">
        <v>24</v>
      </c>
      <c r="Q319" s="26" t="s">
        <v>25</v>
      </c>
      <c r="R319" s="26" t="s">
        <v>26</v>
      </c>
      <c r="S319" s="26" t="s">
        <v>24</v>
      </c>
      <c r="T319" s="27"/>
      <c r="U319" s="28" t="s">
        <v>25</v>
      </c>
      <c r="V319" s="29" t="str">
        <f t="shared" si="21"/>
        <v>✓ OK</v>
      </c>
      <c r="W319" s="45">
        <v>46248</v>
      </c>
      <c r="X319" s="30" t="s">
        <v>23</v>
      </c>
      <c r="Y319" s="30" t="s">
        <v>24</v>
      </c>
      <c r="Z319" s="30" t="s">
        <v>25</v>
      </c>
      <c r="AA319" s="30" t="s">
        <v>26</v>
      </c>
      <c r="AB319" s="30" t="s">
        <v>24</v>
      </c>
      <c r="AC319" s="27"/>
      <c r="AD319" s="31" t="s">
        <v>25</v>
      </c>
      <c r="AE319" s="32" t="str">
        <f t="shared" si="22"/>
        <v>✓ OK</v>
      </c>
      <c r="AF319" s="33" t="s">
        <v>27</v>
      </c>
      <c r="AG319" s="33" t="s">
        <v>23</v>
      </c>
      <c r="AH319" s="33" t="s">
        <v>24</v>
      </c>
      <c r="AI319" s="33" t="s">
        <v>25</v>
      </c>
      <c r="AJ319" s="33" t="s">
        <v>26</v>
      </c>
      <c r="AK319" s="33" t="s">
        <v>24</v>
      </c>
      <c r="AL319" s="27"/>
      <c r="AM319" s="34" t="s">
        <v>25</v>
      </c>
      <c r="AN319" s="35" t="str">
        <f t="shared" si="23"/>
        <v>✓ OK</v>
      </c>
      <c r="AO319" s="36"/>
      <c r="AP319" s="36"/>
      <c r="AQ319" s="36"/>
      <c r="AR319" s="36"/>
      <c r="AS319" s="36"/>
      <c r="AT319" s="36"/>
      <c r="AU319" s="27"/>
      <c r="AV319" s="37"/>
      <c r="AW319" s="38" t="str">
        <f t="shared" si="24"/>
        <v/>
      </c>
    </row>
    <row r="320" spans="1:49" ht="18" customHeight="1" x14ac:dyDescent="0.3">
      <c r="A320" s="39">
        <v>316</v>
      </c>
      <c r="B320" s="40" t="s">
        <v>2479</v>
      </c>
      <c r="C320" s="41" t="s">
        <v>2480</v>
      </c>
      <c r="D320" s="39" t="s">
        <v>1850</v>
      </c>
      <c r="E320" s="43">
        <v>46125</v>
      </c>
      <c r="F320" s="26" t="s">
        <v>23</v>
      </c>
      <c r="G320" s="26" t="s">
        <v>24</v>
      </c>
      <c r="H320" s="26" t="s">
        <v>25</v>
      </c>
      <c r="I320" s="26" t="s">
        <v>26</v>
      </c>
      <c r="J320" s="26" t="s">
        <v>24</v>
      </c>
      <c r="K320" s="27"/>
      <c r="L320" s="28" t="s">
        <v>25</v>
      </c>
      <c r="M320" s="29" t="str">
        <f t="shared" si="20"/>
        <v>✓ OK</v>
      </c>
      <c r="N320" s="43">
        <v>46193</v>
      </c>
      <c r="O320" s="26" t="s">
        <v>23</v>
      </c>
      <c r="P320" s="26" t="s">
        <v>24</v>
      </c>
      <c r="Q320" s="26" t="s">
        <v>25</v>
      </c>
      <c r="R320" s="26" t="s">
        <v>26</v>
      </c>
      <c r="S320" s="26" t="s">
        <v>24</v>
      </c>
      <c r="T320" s="27"/>
      <c r="U320" s="28" t="s">
        <v>25</v>
      </c>
      <c r="V320" s="29" t="str">
        <f t="shared" si="21"/>
        <v>✓ OK</v>
      </c>
      <c r="W320" s="45">
        <v>46248</v>
      </c>
      <c r="X320" s="30" t="s">
        <v>23</v>
      </c>
      <c r="Y320" s="30" t="s">
        <v>24</v>
      </c>
      <c r="Z320" s="30" t="s">
        <v>25</v>
      </c>
      <c r="AA320" s="30" t="s">
        <v>26</v>
      </c>
      <c r="AB320" s="30" t="s">
        <v>24</v>
      </c>
      <c r="AC320" s="27"/>
      <c r="AD320" s="31" t="s">
        <v>25</v>
      </c>
      <c r="AE320" s="32" t="str">
        <f t="shared" si="22"/>
        <v>✓ OK</v>
      </c>
      <c r="AF320" s="33" t="s">
        <v>27</v>
      </c>
      <c r="AG320" s="33" t="s">
        <v>23</v>
      </c>
      <c r="AH320" s="33" t="s">
        <v>24</v>
      </c>
      <c r="AI320" s="33" t="s">
        <v>25</v>
      </c>
      <c r="AJ320" s="33" t="s">
        <v>26</v>
      </c>
      <c r="AK320" s="33" t="s">
        <v>24</v>
      </c>
      <c r="AL320" s="27"/>
      <c r="AM320" s="34" t="s">
        <v>25</v>
      </c>
      <c r="AN320" s="35" t="str">
        <f t="shared" si="23"/>
        <v>✓ OK</v>
      </c>
      <c r="AO320" s="36"/>
      <c r="AP320" s="36"/>
      <c r="AQ320" s="36"/>
      <c r="AR320" s="36"/>
      <c r="AS320" s="36"/>
      <c r="AT320" s="36"/>
      <c r="AU320" s="27"/>
      <c r="AV320" s="37"/>
      <c r="AW320" s="38" t="str">
        <f t="shared" si="24"/>
        <v/>
      </c>
    </row>
    <row r="321" spans="1:49" ht="18" customHeight="1" x14ac:dyDescent="0.3">
      <c r="A321" s="23">
        <v>317</v>
      </c>
      <c r="B321" s="24" t="s">
        <v>2481</v>
      </c>
      <c r="C321" s="25" t="s">
        <v>2482</v>
      </c>
      <c r="D321" s="23" t="s">
        <v>1850</v>
      </c>
      <c r="E321" s="43">
        <v>46125</v>
      </c>
      <c r="F321" s="26" t="s">
        <v>23</v>
      </c>
      <c r="G321" s="26" t="s">
        <v>24</v>
      </c>
      <c r="H321" s="26" t="s">
        <v>25</v>
      </c>
      <c r="I321" s="26" t="s">
        <v>26</v>
      </c>
      <c r="J321" s="26" t="s">
        <v>24</v>
      </c>
      <c r="K321" s="27"/>
      <c r="L321" s="28" t="s">
        <v>25</v>
      </c>
      <c r="M321" s="29" t="str">
        <f t="shared" si="20"/>
        <v>✓ OK</v>
      </c>
      <c r="N321" s="43">
        <v>46193</v>
      </c>
      <c r="O321" s="26" t="s">
        <v>23</v>
      </c>
      <c r="P321" s="26" t="s">
        <v>24</v>
      </c>
      <c r="Q321" s="26" t="s">
        <v>25</v>
      </c>
      <c r="R321" s="26" t="s">
        <v>26</v>
      </c>
      <c r="S321" s="26" t="s">
        <v>24</v>
      </c>
      <c r="T321" s="27"/>
      <c r="U321" s="28" t="s">
        <v>25</v>
      </c>
      <c r="V321" s="29" t="str">
        <f t="shared" si="21"/>
        <v>✓ OK</v>
      </c>
      <c r="W321" s="45">
        <v>46248</v>
      </c>
      <c r="X321" s="30" t="s">
        <v>23</v>
      </c>
      <c r="Y321" s="30" t="s">
        <v>24</v>
      </c>
      <c r="Z321" s="30" t="s">
        <v>25</v>
      </c>
      <c r="AA321" s="30" t="s">
        <v>26</v>
      </c>
      <c r="AB321" s="30" t="s">
        <v>24</v>
      </c>
      <c r="AC321" s="27"/>
      <c r="AD321" s="31" t="s">
        <v>25</v>
      </c>
      <c r="AE321" s="32" t="str">
        <f t="shared" si="22"/>
        <v>✓ OK</v>
      </c>
      <c r="AF321" s="33" t="s">
        <v>27</v>
      </c>
      <c r="AG321" s="33" t="s">
        <v>23</v>
      </c>
      <c r="AH321" s="33" t="s">
        <v>24</v>
      </c>
      <c r="AI321" s="33" t="s">
        <v>25</v>
      </c>
      <c r="AJ321" s="33" t="s">
        <v>26</v>
      </c>
      <c r="AK321" s="33" t="s">
        <v>24</v>
      </c>
      <c r="AL321" s="27"/>
      <c r="AM321" s="34" t="s">
        <v>25</v>
      </c>
      <c r="AN321" s="35" t="str">
        <f t="shared" si="23"/>
        <v>✓ OK</v>
      </c>
      <c r="AO321" s="36"/>
      <c r="AP321" s="36"/>
      <c r="AQ321" s="36"/>
      <c r="AR321" s="36"/>
      <c r="AS321" s="36"/>
      <c r="AT321" s="36"/>
      <c r="AU321" s="27"/>
      <c r="AV321" s="37"/>
      <c r="AW321" s="38" t="str">
        <f t="shared" si="24"/>
        <v/>
      </c>
    </row>
    <row r="322" spans="1:49" ht="18" customHeight="1" x14ac:dyDescent="0.3">
      <c r="A322" s="39">
        <v>318</v>
      </c>
      <c r="B322" s="40" t="s">
        <v>2483</v>
      </c>
      <c r="C322" s="41" t="s">
        <v>2484</v>
      </c>
      <c r="D322" s="39" t="s">
        <v>1850</v>
      </c>
      <c r="E322" s="43">
        <v>46125</v>
      </c>
      <c r="F322" s="26" t="s">
        <v>23</v>
      </c>
      <c r="G322" s="26" t="s">
        <v>24</v>
      </c>
      <c r="H322" s="26" t="s">
        <v>25</v>
      </c>
      <c r="I322" s="26" t="s">
        <v>26</v>
      </c>
      <c r="J322" s="26" t="s">
        <v>24</v>
      </c>
      <c r="K322" s="27"/>
      <c r="L322" s="28" t="s">
        <v>25</v>
      </c>
      <c r="M322" s="29" t="str">
        <f t="shared" si="20"/>
        <v>✓ OK</v>
      </c>
      <c r="N322" s="43">
        <v>46193</v>
      </c>
      <c r="O322" s="26" t="s">
        <v>23</v>
      </c>
      <c r="P322" s="26" t="s">
        <v>24</v>
      </c>
      <c r="Q322" s="26" t="s">
        <v>25</v>
      </c>
      <c r="R322" s="26" t="s">
        <v>26</v>
      </c>
      <c r="S322" s="26" t="s">
        <v>24</v>
      </c>
      <c r="T322" s="27"/>
      <c r="U322" s="28" t="s">
        <v>25</v>
      </c>
      <c r="V322" s="29" t="str">
        <f t="shared" si="21"/>
        <v>✓ OK</v>
      </c>
      <c r="W322" s="45">
        <v>46248</v>
      </c>
      <c r="X322" s="30" t="s">
        <v>23</v>
      </c>
      <c r="Y322" s="30" t="s">
        <v>24</v>
      </c>
      <c r="Z322" s="30" t="s">
        <v>25</v>
      </c>
      <c r="AA322" s="30" t="s">
        <v>26</v>
      </c>
      <c r="AB322" s="30" t="s">
        <v>24</v>
      </c>
      <c r="AC322" s="27"/>
      <c r="AD322" s="31" t="s">
        <v>25</v>
      </c>
      <c r="AE322" s="32" t="str">
        <f t="shared" si="22"/>
        <v>✓ OK</v>
      </c>
      <c r="AF322" s="33" t="s">
        <v>27</v>
      </c>
      <c r="AG322" s="33" t="s">
        <v>23</v>
      </c>
      <c r="AH322" s="33" t="s">
        <v>24</v>
      </c>
      <c r="AI322" s="33" t="s">
        <v>25</v>
      </c>
      <c r="AJ322" s="33" t="s">
        <v>26</v>
      </c>
      <c r="AK322" s="33" t="s">
        <v>24</v>
      </c>
      <c r="AL322" s="27"/>
      <c r="AM322" s="34" t="s">
        <v>25</v>
      </c>
      <c r="AN322" s="35" t="str">
        <f t="shared" si="23"/>
        <v>✓ OK</v>
      </c>
      <c r="AO322" s="36"/>
      <c r="AP322" s="36"/>
      <c r="AQ322" s="36"/>
      <c r="AR322" s="36"/>
      <c r="AS322" s="36"/>
      <c r="AT322" s="36"/>
      <c r="AU322" s="27"/>
      <c r="AV322" s="37"/>
      <c r="AW322" s="38" t="str">
        <f t="shared" si="24"/>
        <v/>
      </c>
    </row>
    <row r="323" spans="1:49" ht="18" customHeight="1" x14ac:dyDescent="0.3">
      <c r="A323" s="23">
        <v>319</v>
      </c>
      <c r="B323" s="24" t="s">
        <v>2485</v>
      </c>
      <c r="C323" s="25" t="s">
        <v>2486</v>
      </c>
      <c r="D323" s="23" t="s">
        <v>1850</v>
      </c>
      <c r="E323" s="43">
        <v>46125</v>
      </c>
      <c r="F323" s="26" t="s">
        <v>23</v>
      </c>
      <c r="G323" s="26" t="s">
        <v>24</v>
      </c>
      <c r="H323" s="26" t="s">
        <v>25</v>
      </c>
      <c r="I323" s="26" t="s">
        <v>26</v>
      </c>
      <c r="J323" s="26" t="s">
        <v>24</v>
      </c>
      <c r="K323" s="27"/>
      <c r="L323" s="28" t="s">
        <v>25</v>
      </c>
      <c r="M323" s="29" t="str">
        <f t="shared" si="20"/>
        <v>✓ OK</v>
      </c>
      <c r="N323" s="43">
        <v>46193</v>
      </c>
      <c r="O323" s="26" t="s">
        <v>23</v>
      </c>
      <c r="P323" s="26" t="s">
        <v>24</v>
      </c>
      <c r="Q323" s="26" t="s">
        <v>25</v>
      </c>
      <c r="R323" s="26" t="s">
        <v>26</v>
      </c>
      <c r="S323" s="26" t="s">
        <v>24</v>
      </c>
      <c r="T323" s="27"/>
      <c r="U323" s="28" t="s">
        <v>25</v>
      </c>
      <c r="V323" s="29" t="str">
        <f t="shared" si="21"/>
        <v>✓ OK</v>
      </c>
      <c r="W323" s="45">
        <v>46248</v>
      </c>
      <c r="X323" s="30" t="s">
        <v>23</v>
      </c>
      <c r="Y323" s="30" t="s">
        <v>24</v>
      </c>
      <c r="Z323" s="30" t="s">
        <v>25</v>
      </c>
      <c r="AA323" s="30" t="s">
        <v>26</v>
      </c>
      <c r="AB323" s="30" t="s">
        <v>24</v>
      </c>
      <c r="AC323" s="27"/>
      <c r="AD323" s="31" t="s">
        <v>25</v>
      </c>
      <c r="AE323" s="32" t="str">
        <f t="shared" si="22"/>
        <v>✓ OK</v>
      </c>
      <c r="AF323" s="33" t="s">
        <v>27</v>
      </c>
      <c r="AG323" s="33" t="s">
        <v>23</v>
      </c>
      <c r="AH323" s="33" t="s">
        <v>24</v>
      </c>
      <c r="AI323" s="33" t="s">
        <v>25</v>
      </c>
      <c r="AJ323" s="33" t="s">
        <v>26</v>
      </c>
      <c r="AK323" s="33" t="s">
        <v>24</v>
      </c>
      <c r="AL323" s="27"/>
      <c r="AM323" s="34" t="s">
        <v>25</v>
      </c>
      <c r="AN323" s="35" t="str">
        <f t="shared" si="23"/>
        <v>✓ OK</v>
      </c>
      <c r="AO323" s="36"/>
      <c r="AP323" s="36"/>
      <c r="AQ323" s="36"/>
      <c r="AR323" s="36"/>
      <c r="AS323" s="36"/>
      <c r="AT323" s="36"/>
      <c r="AU323" s="27"/>
      <c r="AV323" s="37"/>
      <c r="AW323" s="38" t="str">
        <f t="shared" si="24"/>
        <v/>
      </c>
    </row>
    <row r="324" spans="1:49" ht="18" customHeight="1" x14ac:dyDescent="0.3">
      <c r="A324" s="39">
        <v>320</v>
      </c>
      <c r="B324" s="40" t="s">
        <v>2487</v>
      </c>
      <c r="C324" s="41" t="s">
        <v>2488</v>
      </c>
      <c r="D324" s="39" t="s">
        <v>1850</v>
      </c>
      <c r="E324" s="43">
        <v>46125</v>
      </c>
      <c r="F324" s="26" t="s">
        <v>23</v>
      </c>
      <c r="G324" s="26" t="s">
        <v>24</v>
      </c>
      <c r="H324" s="26" t="s">
        <v>25</v>
      </c>
      <c r="I324" s="26" t="s">
        <v>26</v>
      </c>
      <c r="J324" s="26" t="s">
        <v>24</v>
      </c>
      <c r="K324" s="27"/>
      <c r="L324" s="28" t="s">
        <v>25</v>
      </c>
      <c r="M324" s="29" t="str">
        <f t="shared" si="20"/>
        <v>✓ OK</v>
      </c>
      <c r="N324" s="43">
        <v>46193</v>
      </c>
      <c r="O324" s="26" t="s">
        <v>23</v>
      </c>
      <c r="P324" s="26" t="s">
        <v>24</v>
      </c>
      <c r="Q324" s="26" t="s">
        <v>25</v>
      </c>
      <c r="R324" s="26" t="s">
        <v>26</v>
      </c>
      <c r="S324" s="26" t="s">
        <v>24</v>
      </c>
      <c r="T324" s="27"/>
      <c r="U324" s="28" t="s">
        <v>25</v>
      </c>
      <c r="V324" s="29" t="str">
        <f t="shared" si="21"/>
        <v>✓ OK</v>
      </c>
      <c r="W324" s="45">
        <v>46248</v>
      </c>
      <c r="X324" s="30" t="s">
        <v>23</v>
      </c>
      <c r="Y324" s="30" t="s">
        <v>24</v>
      </c>
      <c r="Z324" s="30" t="s">
        <v>25</v>
      </c>
      <c r="AA324" s="30" t="s">
        <v>26</v>
      </c>
      <c r="AB324" s="30" t="s">
        <v>24</v>
      </c>
      <c r="AC324" s="27"/>
      <c r="AD324" s="31" t="s">
        <v>25</v>
      </c>
      <c r="AE324" s="32" t="str">
        <f t="shared" si="22"/>
        <v>✓ OK</v>
      </c>
      <c r="AF324" s="33" t="s">
        <v>27</v>
      </c>
      <c r="AG324" s="33" t="s">
        <v>23</v>
      </c>
      <c r="AH324" s="33" t="s">
        <v>24</v>
      </c>
      <c r="AI324" s="33" t="s">
        <v>25</v>
      </c>
      <c r="AJ324" s="33" t="s">
        <v>26</v>
      </c>
      <c r="AK324" s="33" t="s">
        <v>24</v>
      </c>
      <c r="AL324" s="27"/>
      <c r="AM324" s="34" t="s">
        <v>25</v>
      </c>
      <c r="AN324" s="35" t="str">
        <f t="shared" si="23"/>
        <v>✓ OK</v>
      </c>
      <c r="AO324" s="36"/>
      <c r="AP324" s="36"/>
      <c r="AQ324" s="36"/>
      <c r="AR324" s="36"/>
      <c r="AS324" s="36"/>
      <c r="AT324" s="36"/>
      <c r="AU324" s="27"/>
      <c r="AV324" s="37"/>
      <c r="AW324" s="38" t="str">
        <f t="shared" si="24"/>
        <v/>
      </c>
    </row>
    <row r="325" spans="1:49" ht="18" customHeight="1" x14ac:dyDescent="0.3">
      <c r="A325" s="23">
        <v>321</v>
      </c>
      <c r="B325" s="24" t="s">
        <v>2489</v>
      </c>
      <c r="C325" s="25" t="s">
        <v>2490</v>
      </c>
      <c r="D325" s="23" t="s">
        <v>1850</v>
      </c>
      <c r="E325" s="43">
        <v>46125</v>
      </c>
      <c r="F325" s="26" t="s">
        <v>23</v>
      </c>
      <c r="G325" s="26" t="s">
        <v>24</v>
      </c>
      <c r="H325" s="26" t="s">
        <v>25</v>
      </c>
      <c r="I325" s="26" t="s">
        <v>26</v>
      </c>
      <c r="J325" s="26" t="s">
        <v>24</v>
      </c>
      <c r="K325" s="27"/>
      <c r="L325" s="28" t="s">
        <v>25</v>
      </c>
      <c r="M325" s="29" t="str">
        <f t="shared" ref="M325:M388" si="25">IF(E325="","",IF(H325="Yes","❌ Disc",IF(G325="No","⚠ Missing",IF(J325="Yes","✓ OK","⚠ Check"))))</f>
        <v>✓ OK</v>
      </c>
      <c r="N325" s="43">
        <v>46193</v>
      </c>
      <c r="O325" s="26" t="s">
        <v>23</v>
      </c>
      <c r="P325" s="26" t="s">
        <v>24</v>
      </c>
      <c r="Q325" s="26" t="s">
        <v>25</v>
      </c>
      <c r="R325" s="26" t="s">
        <v>26</v>
      </c>
      <c r="S325" s="26" t="s">
        <v>24</v>
      </c>
      <c r="T325" s="27"/>
      <c r="U325" s="28" t="s">
        <v>25</v>
      </c>
      <c r="V325" s="29" t="str">
        <f t="shared" ref="V325:V388" si="26">IF(N325="","",IF(Q325="Yes","❌ Disc",IF(P325="No","⚠ Missing",IF(S325="Yes","✓ OK","⚠ Check"))))</f>
        <v>✓ OK</v>
      </c>
      <c r="W325" s="45">
        <v>46248</v>
      </c>
      <c r="X325" s="30" t="s">
        <v>23</v>
      </c>
      <c r="Y325" s="30" t="s">
        <v>24</v>
      </c>
      <c r="Z325" s="30" t="s">
        <v>25</v>
      </c>
      <c r="AA325" s="30" t="s">
        <v>26</v>
      </c>
      <c r="AB325" s="30" t="s">
        <v>24</v>
      </c>
      <c r="AC325" s="27"/>
      <c r="AD325" s="31" t="s">
        <v>25</v>
      </c>
      <c r="AE325" s="32" t="str">
        <f t="shared" ref="AE325:AE388" si="27">IF(W325="","",IF(Z325="Yes","❌ Disc",IF(Y325="No","⚠ Missing",IF(AB325="Yes","✓ OK","⚠ Check"))))</f>
        <v>✓ OK</v>
      </c>
      <c r="AF325" s="33" t="s">
        <v>27</v>
      </c>
      <c r="AG325" s="33" t="s">
        <v>23</v>
      </c>
      <c r="AH325" s="33" t="s">
        <v>24</v>
      </c>
      <c r="AI325" s="33" t="s">
        <v>25</v>
      </c>
      <c r="AJ325" s="33" t="s">
        <v>26</v>
      </c>
      <c r="AK325" s="33" t="s">
        <v>24</v>
      </c>
      <c r="AL325" s="27"/>
      <c r="AM325" s="34" t="s">
        <v>25</v>
      </c>
      <c r="AN325" s="35" t="str">
        <f t="shared" ref="AN325:AN388" si="28">IF(AF325="","",IF(AI325="Yes","❌ Disc",IF(AH325="No","⚠ Missing",IF(AK325="Yes","✓ OK","⚠ Check"))))</f>
        <v>✓ OK</v>
      </c>
      <c r="AO325" s="36"/>
      <c r="AP325" s="36"/>
      <c r="AQ325" s="36"/>
      <c r="AR325" s="36"/>
      <c r="AS325" s="36"/>
      <c r="AT325" s="36"/>
      <c r="AU325" s="27"/>
      <c r="AV325" s="37"/>
      <c r="AW325" s="38" t="str">
        <f t="shared" ref="AW325:AW388" si="29">IF(AO325="","",IF(AR325="Yes","❌ Disc",IF(AQ325="No","⚠ Missing",IF(AT325="Yes","✓ OK","⚠ Check"))))</f>
        <v/>
      </c>
    </row>
    <row r="326" spans="1:49" ht="18" customHeight="1" x14ac:dyDescent="0.3">
      <c r="A326" s="39">
        <v>322</v>
      </c>
      <c r="B326" s="40" t="s">
        <v>2491</v>
      </c>
      <c r="C326" s="41" t="s">
        <v>2492</v>
      </c>
      <c r="D326" s="39" t="s">
        <v>1850</v>
      </c>
      <c r="E326" s="43">
        <v>46125</v>
      </c>
      <c r="F326" s="26" t="s">
        <v>23</v>
      </c>
      <c r="G326" s="26" t="s">
        <v>24</v>
      </c>
      <c r="H326" s="26" t="s">
        <v>25</v>
      </c>
      <c r="I326" s="26" t="s">
        <v>26</v>
      </c>
      <c r="J326" s="26" t="s">
        <v>24</v>
      </c>
      <c r="K326" s="27"/>
      <c r="L326" s="28" t="s">
        <v>25</v>
      </c>
      <c r="M326" s="29" t="str">
        <f t="shared" si="25"/>
        <v>✓ OK</v>
      </c>
      <c r="N326" s="43">
        <v>46193</v>
      </c>
      <c r="O326" s="26" t="s">
        <v>23</v>
      </c>
      <c r="P326" s="26" t="s">
        <v>24</v>
      </c>
      <c r="Q326" s="26" t="s">
        <v>25</v>
      </c>
      <c r="R326" s="26" t="s">
        <v>26</v>
      </c>
      <c r="S326" s="26" t="s">
        <v>24</v>
      </c>
      <c r="T326" s="27"/>
      <c r="U326" s="28" t="s">
        <v>25</v>
      </c>
      <c r="V326" s="29" t="str">
        <f t="shared" si="26"/>
        <v>✓ OK</v>
      </c>
      <c r="W326" s="45">
        <v>46248</v>
      </c>
      <c r="X326" s="30" t="s">
        <v>23</v>
      </c>
      <c r="Y326" s="30" t="s">
        <v>24</v>
      </c>
      <c r="Z326" s="30" t="s">
        <v>25</v>
      </c>
      <c r="AA326" s="30" t="s">
        <v>26</v>
      </c>
      <c r="AB326" s="30" t="s">
        <v>24</v>
      </c>
      <c r="AC326" s="27"/>
      <c r="AD326" s="31" t="s">
        <v>25</v>
      </c>
      <c r="AE326" s="32" t="str">
        <f t="shared" si="27"/>
        <v>✓ OK</v>
      </c>
      <c r="AF326" s="33" t="s">
        <v>27</v>
      </c>
      <c r="AG326" s="33" t="s">
        <v>23</v>
      </c>
      <c r="AH326" s="33" t="s">
        <v>24</v>
      </c>
      <c r="AI326" s="33" t="s">
        <v>25</v>
      </c>
      <c r="AJ326" s="33" t="s">
        <v>26</v>
      </c>
      <c r="AK326" s="33" t="s">
        <v>24</v>
      </c>
      <c r="AL326" s="27"/>
      <c r="AM326" s="34" t="s">
        <v>25</v>
      </c>
      <c r="AN326" s="35" t="str">
        <f t="shared" si="28"/>
        <v>✓ OK</v>
      </c>
      <c r="AO326" s="36"/>
      <c r="AP326" s="36"/>
      <c r="AQ326" s="36"/>
      <c r="AR326" s="36"/>
      <c r="AS326" s="36"/>
      <c r="AT326" s="36"/>
      <c r="AU326" s="27"/>
      <c r="AV326" s="37"/>
      <c r="AW326" s="38" t="str">
        <f t="shared" si="29"/>
        <v/>
      </c>
    </row>
    <row r="327" spans="1:49" ht="18" customHeight="1" x14ac:dyDescent="0.3">
      <c r="A327" s="23">
        <v>323</v>
      </c>
      <c r="B327" s="24" t="s">
        <v>2493</v>
      </c>
      <c r="C327" s="25" t="s">
        <v>2494</v>
      </c>
      <c r="D327" s="23" t="s">
        <v>1850</v>
      </c>
      <c r="E327" s="43">
        <v>46125</v>
      </c>
      <c r="F327" s="26" t="s">
        <v>23</v>
      </c>
      <c r="G327" s="26" t="s">
        <v>24</v>
      </c>
      <c r="H327" s="26" t="s">
        <v>25</v>
      </c>
      <c r="I327" s="26" t="s">
        <v>26</v>
      </c>
      <c r="J327" s="26" t="s">
        <v>24</v>
      </c>
      <c r="K327" s="27"/>
      <c r="L327" s="28" t="s">
        <v>25</v>
      </c>
      <c r="M327" s="29" t="str">
        <f t="shared" si="25"/>
        <v>✓ OK</v>
      </c>
      <c r="N327" s="43">
        <v>46193</v>
      </c>
      <c r="O327" s="26" t="s">
        <v>23</v>
      </c>
      <c r="P327" s="26" t="s">
        <v>24</v>
      </c>
      <c r="Q327" s="26" t="s">
        <v>25</v>
      </c>
      <c r="R327" s="26" t="s">
        <v>26</v>
      </c>
      <c r="S327" s="26" t="s">
        <v>24</v>
      </c>
      <c r="T327" s="27"/>
      <c r="U327" s="28" t="s">
        <v>25</v>
      </c>
      <c r="V327" s="29" t="str">
        <f t="shared" si="26"/>
        <v>✓ OK</v>
      </c>
      <c r="W327" s="45">
        <v>46248</v>
      </c>
      <c r="X327" s="30" t="s">
        <v>23</v>
      </c>
      <c r="Y327" s="30" t="s">
        <v>24</v>
      </c>
      <c r="Z327" s="30" t="s">
        <v>25</v>
      </c>
      <c r="AA327" s="30" t="s">
        <v>26</v>
      </c>
      <c r="AB327" s="30" t="s">
        <v>24</v>
      </c>
      <c r="AC327" s="27"/>
      <c r="AD327" s="31" t="s">
        <v>25</v>
      </c>
      <c r="AE327" s="32" t="str">
        <f t="shared" si="27"/>
        <v>✓ OK</v>
      </c>
      <c r="AF327" s="33" t="s">
        <v>27</v>
      </c>
      <c r="AG327" s="33" t="s">
        <v>23</v>
      </c>
      <c r="AH327" s="33" t="s">
        <v>24</v>
      </c>
      <c r="AI327" s="33" t="s">
        <v>25</v>
      </c>
      <c r="AJ327" s="33" t="s">
        <v>26</v>
      </c>
      <c r="AK327" s="33" t="s">
        <v>24</v>
      </c>
      <c r="AL327" s="27"/>
      <c r="AM327" s="34" t="s">
        <v>25</v>
      </c>
      <c r="AN327" s="35" t="str">
        <f t="shared" si="28"/>
        <v>✓ OK</v>
      </c>
      <c r="AO327" s="36"/>
      <c r="AP327" s="36"/>
      <c r="AQ327" s="36"/>
      <c r="AR327" s="36"/>
      <c r="AS327" s="36"/>
      <c r="AT327" s="36"/>
      <c r="AU327" s="27"/>
      <c r="AV327" s="37"/>
      <c r="AW327" s="38" t="str">
        <f t="shared" si="29"/>
        <v/>
      </c>
    </row>
    <row r="328" spans="1:49" ht="18" customHeight="1" x14ac:dyDescent="0.3">
      <c r="A328" s="39">
        <v>324</v>
      </c>
      <c r="B328" s="40" t="s">
        <v>2495</v>
      </c>
      <c r="C328" s="41" t="s">
        <v>2496</v>
      </c>
      <c r="D328" s="39" t="s">
        <v>1850</v>
      </c>
      <c r="E328" s="43">
        <v>46125</v>
      </c>
      <c r="F328" s="26" t="s">
        <v>23</v>
      </c>
      <c r="G328" s="26" t="s">
        <v>24</v>
      </c>
      <c r="H328" s="26" t="s">
        <v>25</v>
      </c>
      <c r="I328" s="26" t="s">
        <v>26</v>
      </c>
      <c r="J328" s="26" t="s">
        <v>24</v>
      </c>
      <c r="K328" s="27"/>
      <c r="L328" s="28" t="s">
        <v>25</v>
      </c>
      <c r="M328" s="29" t="str">
        <f t="shared" si="25"/>
        <v>✓ OK</v>
      </c>
      <c r="N328" s="43">
        <v>46193</v>
      </c>
      <c r="O328" s="26" t="s">
        <v>23</v>
      </c>
      <c r="P328" s="26" t="s">
        <v>24</v>
      </c>
      <c r="Q328" s="26" t="s">
        <v>25</v>
      </c>
      <c r="R328" s="26" t="s">
        <v>26</v>
      </c>
      <c r="S328" s="26" t="s">
        <v>24</v>
      </c>
      <c r="T328" s="27"/>
      <c r="U328" s="28" t="s">
        <v>25</v>
      </c>
      <c r="V328" s="29" t="str">
        <f t="shared" si="26"/>
        <v>✓ OK</v>
      </c>
      <c r="W328" s="45">
        <v>46248</v>
      </c>
      <c r="X328" s="30" t="s">
        <v>23</v>
      </c>
      <c r="Y328" s="30" t="s">
        <v>24</v>
      </c>
      <c r="Z328" s="30" t="s">
        <v>25</v>
      </c>
      <c r="AA328" s="30" t="s">
        <v>26</v>
      </c>
      <c r="AB328" s="30" t="s">
        <v>24</v>
      </c>
      <c r="AC328" s="27"/>
      <c r="AD328" s="31" t="s">
        <v>25</v>
      </c>
      <c r="AE328" s="32" t="str">
        <f t="shared" si="27"/>
        <v>✓ OK</v>
      </c>
      <c r="AF328" s="33" t="s">
        <v>27</v>
      </c>
      <c r="AG328" s="33" t="s">
        <v>23</v>
      </c>
      <c r="AH328" s="33" t="s">
        <v>24</v>
      </c>
      <c r="AI328" s="33" t="s">
        <v>25</v>
      </c>
      <c r="AJ328" s="33" t="s">
        <v>26</v>
      </c>
      <c r="AK328" s="33" t="s">
        <v>24</v>
      </c>
      <c r="AL328" s="27"/>
      <c r="AM328" s="34" t="s">
        <v>25</v>
      </c>
      <c r="AN328" s="35" t="str">
        <f t="shared" si="28"/>
        <v>✓ OK</v>
      </c>
      <c r="AO328" s="36"/>
      <c r="AP328" s="36"/>
      <c r="AQ328" s="36"/>
      <c r="AR328" s="36"/>
      <c r="AS328" s="36"/>
      <c r="AT328" s="36"/>
      <c r="AU328" s="27"/>
      <c r="AV328" s="37"/>
      <c r="AW328" s="38" t="str">
        <f t="shared" si="29"/>
        <v/>
      </c>
    </row>
    <row r="329" spans="1:49" ht="18" customHeight="1" x14ac:dyDescent="0.3">
      <c r="A329" s="23">
        <v>325</v>
      </c>
      <c r="B329" s="24" t="s">
        <v>2497</v>
      </c>
      <c r="C329" s="25" t="s">
        <v>2498</v>
      </c>
      <c r="D329" s="23" t="s">
        <v>1850</v>
      </c>
      <c r="E329" s="43">
        <v>46125</v>
      </c>
      <c r="F329" s="26" t="s">
        <v>23</v>
      </c>
      <c r="G329" s="26" t="s">
        <v>24</v>
      </c>
      <c r="H329" s="26" t="s">
        <v>25</v>
      </c>
      <c r="I329" s="26" t="s">
        <v>26</v>
      </c>
      <c r="J329" s="26" t="s">
        <v>24</v>
      </c>
      <c r="K329" s="27"/>
      <c r="L329" s="28" t="s">
        <v>25</v>
      </c>
      <c r="M329" s="29" t="str">
        <f t="shared" si="25"/>
        <v>✓ OK</v>
      </c>
      <c r="N329" s="43">
        <v>46193</v>
      </c>
      <c r="O329" s="26" t="s">
        <v>23</v>
      </c>
      <c r="P329" s="26" t="s">
        <v>24</v>
      </c>
      <c r="Q329" s="26" t="s">
        <v>25</v>
      </c>
      <c r="R329" s="26" t="s">
        <v>26</v>
      </c>
      <c r="S329" s="26" t="s">
        <v>24</v>
      </c>
      <c r="T329" s="27"/>
      <c r="U329" s="28" t="s">
        <v>25</v>
      </c>
      <c r="V329" s="29" t="str">
        <f t="shared" si="26"/>
        <v>✓ OK</v>
      </c>
      <c r="W329" s="45">
        <v>46248</v>
      </c>
      <c r="X329" s="30" t="s">
        <v>23</v>
      </c>
      <c r="Y329" s="30" t="s">
        <v>24</v>
      </c>
      <c r="Z329" s="30" t="s">
        <v>25</v>
      </c>
      <c r="AA329" s="30" t="s">
        <v>26</v>
      </c>
      <c r="AB329" s="30" t="s">
        <v>24</v>
      </c>
      <c r="AC329" s="27"/>
      <c r="AD329" s="31" t="s">
        <v>25</v>
      </c>
      <c r="AE329" s="32" t="str">
        <f t="shared" si="27"/>
        <v>✓ OK</v>
      </c>
      <c r="AF329" s="33" t="s">
        <v>27</v>
      </c>
      <c r="AG329" s="33" t="s">
        <v>23</v>
      </c>
      <c r="AH329" s="33" t="s">
        <v>24</v>
      </c>
      <c r="AI329" s="33" t="s">
        <v>25</v>
      </c>
      <c r="AJ329" s="33" t="s">
        <v>26</v>
      </c>
      <c r="AK329" s="33" t="s">
        <v>24</v>
      </c>
      <c r="AL329" s="27"/>
      <c r="AM329" s="34" t="s">
        <v>25</v>
      </c>
      <c r="AN329" s="35" t="str">
        <f t="shared" si="28"/>
        <v>✓ OK</v>
      </c>
      <c r="AO329" s="36"/>
      <c r="AP329" s="36"/>
      <c r="AQ329" s="36"/>
      <c r="AR329" s="36"/>
      <c r="AS329" s="36"/>
      <c r="AT329" s="36"/>
      <c r="AU329" s="27"/>
      <c r="AV329" s="37"/>
      <c r="AW329" s="38" t="str">
        <f t="shared" si="29"/>
        <v/>
      </c>
    </row>
    <row r="330" spans="1:49" ht="18" customHeight="1" x14ac:dyDescent="0.3">
      <c r="A330" s="39">
        <v>326</v>
      </c>
      <c r="B330" s="40" t="s">
        <v>2499</v>
      </c>
      <c r="C330" s="41" t="s">
        <v>2500</v>
      </c>
      <c r="D330" s="39" t="s">
        <v>1850</v>
      </c>
      <c r="E330" s="43">
        <v>46125</v>
      </c>
      <c r="F330" s="26" t="s">
        <v>23</v>
      </c>
      <c r="G330" s="26" t="s">
        <v>24</v>
      </c>
      <c r="H330" s="26" t="s">
        <v>25</v>
      </c>
      <c r="I330" s="26" t="s">
        <v>26</v>
      </c>
      <c r="J330" s="26" t="s">
        <v>24</v>
      </c>
      <c r="K330" s="27"/>
      <c r="L330" s="28" t="s">
        <v>25</v>
      </c>
      <c r="M330" s="29" t="str">
        <f t="shared" si="25"/>
        <v>✓ OK</v>
      </c>
      <c r="N330" s="43">
        <v>46193</v>
      </c>
      <c r="O330" s="26" t="s">
        <v>23</v>
      </c>
      <c r="P330" s="26" t="s">
        <v>24</v>
      </c>
      <c r="Q330" s="26" t="s">
        <v>25</v>
      </c>
      <c r="R330" s="26" t="s">
        <v>26</v>
      </c>
      <c r="S330" s="26" t="s">
        <v>24</v>
      </c>
      <c r="T330" s="27"/>
      <c r="U330" s="28" t="s">
        <v>25</v>
      </c>
      <c r="V330" s="29" t="str">
        <f t="shared" si="26"/>
        <v>✓ OK</v>
      </c>
      <c r="W330" s="45">
        <v>46248</v>
      </c>
      <c r="X330" s="30" t="s">
        <v>23</v>
      </c>
      <c r="Y330" s="30" t="s">
        <v>24</v>
      </c>
      <c r="Z330" s="30" t="s">
        <v>25</v>
      </c>
      <c r="AA330" s="30" t="s">
        <v>26</v>
      </c>
      <c r="AB330" s="30" t="s">
        <v>24</v>
      </c>
      <c r="AC330" s="27"/>
      <c r="AD330" s="31" t="s">
        <v>25</v>
      </c>
      <c r="AE330" s="32" t="str">
        <f t="shared" si="27"/>
        <v>✓ OK</v>
      </c>
      <c r="AF330" s="33" t="s">
        <v>27</v>
      </c>
      <c r="AG330" s="33" t="s">
        <v>23</v>
      </c>
      <c r="AH330" s="33" t="s">
        <v>24</v>
      </c>
      <c r="AI330" s="33" t="s">
        <v>25</v>
      </c>
      <c r="AJ330" s="33" t="s">
        <v>26</v>
      </c>
      <c r="AK330" s="33" t="s">
        <v>24</v>
      </c>
      <c r="AL330" s="27"/>
      <c r="AM330" s="34" t="s">
        <v>25</v>
      </c>
      <c r="AN330" s="35" t="str">
        <f t="shared" si="28"/>
        <v>✓ OK</v>
      </c>
      <c r="AO330" s="36"/>
      <c r="AP330" s="36"/>
      <c r="AQ330" s="36"/>
      <c r="AR330" s="36"/>
      <c r="AS330" s="36"/>
      <c r="AT330" s="36"/>
      <c r="AU330" s="27"/>
      <c r="AV330" s="37"/>
      <c r="AW330" s="38" t="str">
        <f t="shared" si="29"/>
        <v/>
      </c>
    </row>
    <row r="331" spans="1:49" ht="18" customHeight="1" x14ac:dyDescent="0.3">
      <c r="A331" s="23">
        <v>327</v>
      </c>
      <c r="B331" s="24" t="s">
        <v>2501</v>
      </c>
      <c r="C331" s="25" t="s">
        <v>2502</v>
      </c>
      <c r="D331" s="23" t="s">
        <v>1850</v>
      </c>
      <c r="E331" s="43">
        <v>46125</v>
      </c>
      <c r="F331" s="26" t="s">
        <v>23</v>
      </c>
      <c r="G331" s="26" t="s">
        <v>24</v>
      </c>
      <c r="H331" s="26" t="s">
        <v>25</v>
      </c>
      <c r="I331" s="26" t="s">
        <v>26</v>
      </c>
      <c r="J331" s="26" t="s">
        <v>24</v>
      </c>
      <c r="K331" s="27"/>
      <c r="L331" s="28" t="s">
        <v>25</v>
      </c>
      <c r="M331" s="29" t="str">
        <f t="shared" si="25"/>
        <v>✓ OK</v>
      </c>
      <c r="N331" s="43">
        <v>46193</v>
      </c>
      <c r="O331" s="26" t="s">
        <v>23</v>
      </c>
      <c r="P331" s="26" t="s">
        <v>24</v>
      </c>
      <c r="Q331" s="26" t="s">
        <v>25</v>
      </c>
      <c r="R331" s="26" t="s">
        <v>26</v>
      </c>
      <c r="S331" s="26" t="s">
        <v>24</v>
      </c>
      <c r="T331" s="27"/>
      <c r="U331" s="28" t="s">
        <v>25</v>
      </c>
      <c r="V331" s="29" t="str">
        <f t="shared" si="26"/>
        <v>✓ OK</v>
      </c>
      <c r="W331" s="45">
        <v>46248</v>
      </c>
      <c r="X331" s="30" t="s">
        <v>23</v>
      </c>
      <c r="Y331" s="30" t="s">
        <v>24</v>
      </c>
      <c r="Z331" s="30" t="s">
        <v>25</v>
      </c>
      <c r="AA331" s="30" t="s">
        <v>26</v>
      </c>
      <c r="AB331" s="30" t="s">
        <v>24</v>
      </c>
      <c r="AC331" s="27"/>
      <c r="AD331" s="31" t="s">
        <v>25</v>
      </c>
      <c r="AE331" s="32" t="str">
        <f t="shared" si="27"/>
        <v>✓ OK</v>
      </c>
      <c r="AF331" s="33" t="s">
        <v>27</v>
      </c>
      <c r="AG331" s="33" t="s">
        <v>23</v>
      </c>
      <c r="AH331" s="33" t="s">
        <v>24</v>
      </c>
      <c r="AI331" s="33" t="s">
        <v>25</v>
      </c>
      <c r="AJ331" s="33" t="s">
        <v>26</v>
      </c>
      <c r="AK331" s="33" t="s">
        <v>24</v>
      </c>
      <c r="AL331" s="27"/>
      <c r="AM331" s="34" t="s">
        <v>25</v>
      </c>
      <c r="AN331" s="35" t="str">
        <f t="shared" si="28"/>
        <v>✓ OK</v>
      </c>
      <c r="AO331" s="36"/>
      <c r="AP331" s="36"/>
      <c r="AQ331" s="36"/>
      <c r="AR331" s="36"/>
      <c r="AS331" s="36"/>
      <c r="AT331" s="36"/>
      <c r="AU331" s="27"/>
      <c r="AV331" s="37"/>
      <c r="AW331" s="38" t="str">
        <f t="shared" si="29"/>
        <v/>
      </c>
    </row>
    <row r="332" spans="1:49" ht="18" customHeight="1" x14ac:dyDescent="0.3">
      <c r="A332" s="39">
        <v>328</v>
      </c>
      <c r="B332" s="40" t="s">
        <v>2503</v>
      </c>
      <c r="C332" s="41" t="s">
        <v>2504</v>
      </c>
      <c r="D332" s="39" t="s">
        <v>1850</v>
      </c>
      <c r="E332" s="43">
        <v>46125</v>
      </c>
      <c r="F332" s="26" t="s">
        <v>23</v>
      </c>
      <c r="G332" s="26" t="s">
        <v>24</v>
      </c>
      <c r="H332" s="26" t="s">
        <v>25</v>
      </c>
      <c r="I332" s="26" t="s">
        <v>26</v>
      </c>
      <c r="J332" s="26" t="s">
        <v>24</v>
      </c>
      <c r="K332" s="27"/>
      <c r="L332" s="28" t="s">
        <v>25</v>
      </c>
      <c r="M332" s="29" t="str">
        <f t="shared" si="25"/>
        <v>✓ OK</v>
      </c>
      <c r="N332" s="43">
        <v>46193</v>
      </c>
      <c r="O332" s="26" t="s">
        <v>23</v>
      </c>
      <c r="P332" s="26" t="s">
        <v>24</v>
      </c>
      <c r="Q332" s="26" t="s">
        <v>25</v>
      </c>
      <c r="R332" s="26" t="s">
        <v>26</v>
      </c>
      <c r="S332" s="26" t="s">
        <v>24</v>
      </c>
      <c r="T332" s="27"/>
      <c r="U332" s="28" t="s">
        <v>25</v>
      </c>
      <c r="V332" s="29" t="str">
        <f t="shared" si="26"/>
        <v>✓ OK</v>
      </c>
      <c r="W332" s="45">
        <v>46248</v>
      </c>
      <c r="X332" s="30" t="s">
        <v>23</v>
      </c>
      <c r="Y332" s="30" t="s">
        <v>24</v>
      </c>
      <c r="Z332" s="30" t="s">
        <v>25</v>
      </c>
      <c r="AA332" s="30" t="s">
        <v>26</v>
      </c>
      <c r="AB332" s="30" t="s">
        <v>24</v>
      </c>
      <c r="AC332" s="27"/>
      <c r="AD332" s="31" t="s">
        <v>25</v>
      </c>
      <c r="AE332" s="32" t="str">
        <f t="shared" si="27"/>
        <v>✓ OK</v>
      </c>
      <c r="AF332" s="33" t="s">
        <v>27</v>
      </c>
      <c r="AG332" s="33" t="s">
        <v>23</v>
      </c>
      <c r="AH332" s="33" t="s">
        <v>24</v>
      </c>
      <c r="AI332" s="33" t="s">
        <v>25</v>
      </c>
      <c r="AJ332" s="33" t="s">
        <v>26</v>
      </c>
      <c r="AK332" s="33" t="s">
        <v>24</v>
      </c>
      <c r="AL332" s="27"/>
      <c r="AM332" s="34" t="s">
        <v>25</v>
      </c>
      <c r="AN332" s="35" t="str">
        <f t="shared" si="28"/>
        <v>✓ OK</v>
      </c>
      <c r="AO332" s="36"/>
      <c r="AP332" s="36"/>
      <c r="AQ332" s="36"/>
      <c r="AR332" s="36"/>
      <c r="AS332" s="36"/>
      <c r="AT332" s="36"/>
      <c r="AU332" s="27"/>
      <c r="AV332" s="37"/>
      <c r="AW332" s="38" t="str">
        <f t="shared" si="29"/>
        <v/>
      </c>
    </row>
    <row r="333" spans="1:49" ht="18" customHeight="1" x14ac:dyDescent="0.3">
      <c r="A333" s="23">
        <v>329</v>
      </c>
      <c r="B333" s="24" t="s">
        <v>2505</v>
      </c>
      <c r="C333" s="25" t="s">
        <v>2506</v>
      </c>
      <c r="D333" s="23" t="s">
        <v>1850</v>
      </c>
      <c r="E333" s="43">
        <v>46125</v>
      </c>
      <c r="F333" s="26" t="s">
        <v>23</v>
      </c>
      <c r="G333" s="26" t="s">
        <v>24</v>
      </c>
      <c r="H333" s="26" t="s">
        <v>25</v>
      </c>
      <c r="I333" s="26" t="s">
        <v>26</v>
      </c>
      <c r="J333" s="26" t="s">
        <v>24</v>
      </c>
      <c r="K333" s="27"/>
      <c r="L333" s="28" t="s">
        <v>25</v>
      </c>
      <c r="M333" s="29" t="str">
        <f t="shared" si="25"/>
        <v>✓ OK</v>
      </c>
      <c r="N333" s="43">
        <v>46193</v>
      </c>
      <c r="O333" s="26" t="s">
        <v>23</v>
      </c>
      <c r="P333" s="26" t="s">
        <v>24</v>
      </c>
      <c r="Q333" s="26" t="s">
        <v>25</v>
      </c>
      <c r="R333" s="26" t="s">
        <v>26</v>
      </c>
      <c r="S333" s="26" t="s">
        <v>24</v>
      </c>
      <c r="T333" s="27"/>
      <c r="U333" s="28" t="s">
        <v>25</v>
      </c>
      <c r="V333" s="29" t="str">
        <f t="shared" si="26"/>
        <v>✓ OK</v>
      </c>
      <c r="W333" s="45">
        <v>46248</v>
      </c>
      <c r="X333" s="30" t="s">
        <v>23</v>
      </c>
      <c r="Y333" s="30" t="s">
        <v>24</v>
      </c>
      <c r="Z333" s="30" t="s">
        <v>25</v>
      </c>
      <c r="AA333" s="30" t="s">
        <v>26</v>
      </c>
      <c r="AB333" s="30" t="s">
        <v>24</v>
      </c>
      <c r="AC333" s="27"/>
      <c r="AD333" s="31" t="s">
        <v>25</v>
      </c>
      <c r="AE333" s="32" t="str">
        <f t="shared" si="27"/>
        <v>✓ OK</v>
      </c>
      <c r="AF333" s="33" t="s">
        <v>27</v>
      </c>
      <c r="AG333" s="33" t="s">
        <v>23</v>
      </c>
      <c r="AH333" s="33" t="s">
        <v>24</v>
      </c>
      <c r="AI333" s="33" t="s">
        <v>25</v>
      </c>
      <c r="AJ333" s="33" t="s">
        <v>26</v>
      </c>
      <c r="AK333" s="33" t="s">
        <v>24</v>
      </c>
      <c r="AL333" s="27"/>
      <c r="AM333" s="34" t="s">
        <v>25</v>
      </c>
      <c r="AN333" s="35" t="str">
        <f t="shared" si="28"/>
        <v>✓ OK</v>
      </c>
      <c r="AO333" s="36"/>
      <c r="AP333" s="36"/>
      <c r="AQ333" s="36"/>
      <c r="AR333" s="36"/>
      <c r="AS333" s="36"/>
      <c r="AT333" s="36"/>
      <c r="AU333" s="27"/>
      <c r="AV333" s="37"/>
      <c r="AW333" s="38" t="str">
        <f t="shared" si="29"/>
        <v/>
      </c>
    </row>
    <row r="334" spans="1:49" ht="18" customHeight="1" x14ac:dyDescent="0.3">
      <c r="A334" s="39">
        <v>330</v>
      </c>
      <c r="B334" s="40" t="s">
        <v>2507</v>
      </c>
      <c r="C334" s="41" t="s">
        <v>2508</v>
      </c>
      <c r="D334" s="39" t="s">
        <v>1850</v>
      </c>
      <c r="E334" s="43">
        <v>46125</v>
      </c>
      <c r="F334" s="26" t="s">
        <v>23</v>
      </c>
      <c r="G334" s="26" t="s">
        <v>24</v>
      </c>
      <c r="H334" s="26" t="s">
        <v>25</v>
      </c>
      <c r="I334" s="26" t="s">
        <v>26</v>
      </c>
      <c r="J334" s="26" t="s">
        <v>24</v>
      </c>
      <c r="K334" s="27"/>
      <c r="L334" s="28" t="s">
        <v>25</v>
      </c>
      <c r="M334" s="29" t="str">
        <f t="shared" si="25"/>
        <v>✓ OK</v>
      </c>
      <c r="N334" s="43">
        <v>46193</v>
      </c>
      <c r="O334" s="26" t="s">
        <v>23</v>
      </c>
      <c r="P334" s="26" t="s">
        <v>24</v>
      </c>
      <c r="Q334" s="26" t="s">
        <v>25</v>
      </c>
      <c r="R334" s="26" t="s">
        <v>26</v>
      </c>
      <c r="S334" s="26" t="s">
        <v>24</v>
      </c>
      <c r="T334" s="27"/>
      <c r="U334" s="28" t="s">
        <v>25</v>
      </c>
      <c r="V334" s="29" t="str">
        <f t="shared" si="26"/>
        <v>✓ OK</v>
      </c>
      <c r="W334" s="45">
        <v>46248</v>
      </c>
      <c r="X334" s="30" t="s">
        <v>23</v>
      </c>
      <c r="Y334" s="30" t="s">
        <v>24</v>
      </c>
      <c r="Z334" s="30" t="s">
        <v>25</v>
      </c>
      <c r="AA334" s="30" t="s">
        <v>26</v>
      </c>
      <c r="AB334" s="30" t="s">
        <v>24</v>
      </c>
      <c r="AC334" s="27"/>
      <c r="AD334" s="31" t="s">
        <v>25</v>
      </c>
      <c r="AE334" s="32" t="str">
        <f t="shared" si="27"/>
        <v>✓ OK</v>
      </c>
      <c r="AF334" s="33" t="s">
        <v>27</v>
      </c>
      <c r="AG334" s="33" t="s">
        <v>23</v>
      </c>
      <c r="AH334" s="33" t="s">
        <v>24</v>
      </c>
      <c r="AI334" s="33" t="s">
        <v>25</v>
      </c>
      <c r="AJ334" s="33" t="s">
        <v>26</v>
      </c>
      <c r="AK334" s="33" t="s">
        <v>24</v>
      </c>
      <c r="AL334" s="27"/>
      <c r="AM334" s="34" t="s">
        <v>25</v>
      </c>
      <c r="AN334" s="35" t="str">
        <f t="shared" si="28"/>
        <v>✓ OK</v>
      </c>
      <c r="AO334" s="36"/>
      <c r="AP334" s="36"/>
      <c r="AQ334" s="36"/>
      <c r="AR334" s="36"/>
      <c r="AS334" s="36"/>
      <c r="AT334" s="36"/>
      <c r="AU334" s="27"/>
      <c r="AV334" s="37"/>
      <c r="AW334" s="38" t="str">
        <f t="shared" si="29"/>
        <v/>
      </c>
    </row>
    <row r="335" spans="1:49" ht="18" customHeight="1" x14ac:dyDescent="0.3">
      <c r="A335" s="23">
        <v>331</v>
      </c>
      <c r="B335" s="24" t="s">
        <v>2509</v>
      </c>
      <c r="C335" s="25" t="s">
        <v>2510</v>
      </c>
      <c r="D335" s="23" t="s">
        <v>1850</v>
      </c>
      <c r="E335" s="43">
        <v>46125</v>
      </c>
      <c r="F335" s="26" t="s">
        <v>23</v>
      </c>
      <c r="G335" s="26" t="s">
        <v>24</v>
      </c>
      <c r="H335" s="26" t="s">
        <v>25</v>
      </c>
      <c r="I335" s="26" t="s">
        <v>26</v>
      </c>
      <c r="J335" s="26" t="s">
        <v>24</v>
      </c>
      <c r="K335" s="27"/>
      <c r="L335" s="28" t="s">
        <v>25</v>
      </c>
      <c r="M335" s="29" t="str">
        <f t="shared" si="25"/>
        <v>✓ OK</v>
      </c>
      <c r="N335" s="43">
        <v>46193</v>
      </c>
      <c r="O335" s="26" t="s">
        <v>23</v>
      </c>
      <c r="P335" s="26" t="s">
        <v>24</v>
      </c>
      <c r="Q335" s="26" t="s">
        <v>25</v>
      </c>
      <c r="R335" s="26" t="s">
        <v>26</v>
      </c>
      <c r="S335" s="26" t="s">
        <v>24</v>
      </c>
      <c r="T335" s="27"/>
      <c r="U335" s="28" t="s">
        <v>25</v>
      </c>
      <c r="V335" s="29" t="str">
        <f t="shared" si="26"/>
        <v>✓ OK</v>
      </c>
      <c r="W335" s="45">
        <v>46248</v>
      </c>
      <c r="X335" s="30" t="s">
        <v>23</v>
      </c>
      <c r="Y335" s="30" t="s">
        <v>24</v>
      </c>
      <c r="Z335" s="30" t="s">
        <v>25</v>
      </c>
      <c r="AA335" s="30" t="s">
        <v>26</v>
      </c>
      <c r="AB335" s="30" t="s">
        <v>24</v>
      </c>
      <c r="AC335" s="27"/>
      <c r="AD335" s="31" t="s">
        <v>25</v>
      </c>
      <c r="AE335" s="32" t="str">
        <f t="shared" si="27"/>
        <v>✓ OK</v>
      </c>
      <c r="AF335" s="33" t="s">
        <v>27</v>
      </c>
      <c r="AG335" s="33" t="s">
        <v>23</v>
      </c>
      <c r="AH335" s="33" t="s">
        <v>24</v>
      </c>
      <c r="AI335" s="33" t="s">
        <v>25</v>
      </c>
      <c r="AJ335" s="33" t="s">
        <v>26</v>
      </c>
      <c r="AK335" s="33" t="s">
        <v>24</v>
      </c>
      <c r="AL335" s="27"/>
      <c r="AM335" s="34" t="s">
        <v>25</v>
      </c>
      <c r="AN335" s="35" t="str">
        <f t="shared" si="28"/>
        <v>✓ OK</v>
      </c>
      <c r="AO335" s="36"/>
      <c r="AP335" s="36"/>
      <c r="AQ335" s="36"/>
      <c r="AR335" s="36"/>
      <c r="AS335" s="36"/>
      <c r="AT335" s="36"/>
      <c r="AU335" s="27"/>
      <c r="AV335" s="37"/>
      <c r="AW335" s="38" t="str">
        <f t="shared" si="29"/>
        <v/>
      </c>
    </row>
    <row r="336" spans="1:49" ht="18" customHeight="1" x14ac:dyDescent="0.3">
      <c r="A336" s="39">
        <v>332</v>
      </c>
      <c r="B336" s="40" t="s">
        <v>2511</v>
      </c>
      <c r="C336" s="41" t="s">
        <v>2512</v>
      </c>
      <c r="D336" s="39" t="s">
        <v>1850</v>
      </c>
      <c r="E336" s="43">
        <v>46125</v>
      </c>
      <c r="F336" s="26" t="s">
        <v>23</v>
      </c>
      <c r="G336" s="26" t="s">
        <v>24</v>
      </c>
      <c r="H336" s="26" t="s">
        <v>25</v>
      </c>
      <c r="I336" s="26" t="s">
        <v>26</v>
      </c>
      <c r="J336" s="26" t="s">
        <v>24</v>
      </c>
      <c r="K336" s="27"/>
      <c r="L336" s="28" t="s">
        <v>25</v>
      </c>
      <c r="M336" s="29" t="str">
        <f t="shared" si="25"/>
        <v>✓ OK</v>
      </c>
      <c r="N336" s="43">
        <v>46193</v>
      </c>
      <c r="O336" s="26" t="s">
        <v>23</v>
      </c>
      <c r="P336" s="26" t="s">
        <v>24</v>
      </c>
      <c r="Q336" s="26" t="s">
        <v>25</v>
      </c>
      <c r="R336" s="26" t="s">
        <v>26</v>
      </c>
      <c r="S336" s="26" t="s">
        <v>24</v>
      </c>
      <c r="T336" s="27"/>
      <c r="U336" s="28" t="s">
        <v>25</v>
      </c>
      <c r="V336" s="29" t="str">
        <f t="shared" si="26"/>
        <v>✓ OK</v>
      </c>
      <c r="W336" s="45">
        <v>46248</v>
      </c>
      <c r="X336" s="30" t="s">
        <v>23</v>
      </c>
      <c r="Y336" s="30" t="s">
        <v>24</v>
      </c>
      <c r="Z336" s="30" t="s">
        <v>25</v>
      </c>
      <c r="AA336" s="30" t="s">
        <v>26</v>
      </c>
      <c r="AB336" s="30" t="s">
        <v>24</v>
      </c>
      <c r="AC336" s="27"/>
      <c r="AD336" s="31" t="s">
        <v>25</v>
      </c>
      <c r="AE336" s="32" t="str">
        <f t="shared" si="27"/>
        <v>✓ OK</v>
      </c>
      <c r="AF336" s="33" t="s">
        <v>27</v>
      </c>
      <c r="AG336" s="33" t="s">
        <v>23</v>
      </c>
      <c r="AH336" s="33" t="s">
        <v>24</v>
      </c>
      <c r="AI336" s="33" t="s">
        <v>25</v>
      </c>
      <c r="AJ336" s="33" t="s">
        <v>26</v>
      </c>
      <c r="AK336" s="33" t="s">
        <v>24</v>
      </c>
      <c r="AL336" s="27"/>
      <c r="AM336" s="34" t="s">
        <v>25</v>
      </c>
      <c r="AN336" s="35" t="str">
        <f t="shared" si="28"/>
        <v>✓ OK</v>
      </c>
      <c r="AO336" s="36"/>
      <c r="AP336" s="36"/>
      <c r="AQ336" s="36"/>
      <c r="AR336" s="36"/>
      <c r="AS336" s="36"/>
      <c r="AT336" s="36"/>
      <c r="AU336" s="27"/>
      <c r="AV336" s="37"/>
      <c r="AW336" s="38" t="str">
        <f t="shared" si="29"/>
        <v/>
      </c>
    </row>
    <row r="337" spans="1:49" ht="18" customHeight="1" x14ac:dyDescent="0.3">
      <c r="A337" s="23">
        <v>333</v>
      </c>
      <c r="B337" s="24" t="s">
        <v>2513</v>
      </c>
      <c r="C337" s="25" t="s">
        <v>2514</v>
      </c>
      <c r="D337" s="23" t="s">
        <v>1850</v>
      </c>
      <c r="E337" s="43">
        <v>46125</v>
      </c>
      <c r="F337" s="26" t="s">
        <v>23</v>
      </c>
      <c r="G337" s="26" t="s">
        <v>24</v>
      </c>
      <c r="H337" s="26" t="s">
        <v>25</v>
      </c>
      <c r="I337" s="26" t="s">
        <v>26</v>
      </c>
      <c r="J337" s="26" t="s">
        <v>24</v>
      </c>
      <c r="K337" s="27"/>
      <c r="L337" s="28" t="s">
        <v>25</v>
      </c>
      <c r="M337" s="29" t="str">
        <f t="shared" si="25"/>
        <v>✓ OK</v>
      </c>
      <c r="N337" s="43">
        <v>46193</v>
      </c>
      <c r="O337" s="26" t="s">
        <v>23</v>
      </c>
      <c r="P337" s="26" t="s">
        <v>24</v>
      </c>
      <c r="Q337" s="26" t="s">
        <v>25</v>
      </c>
      <c r="R337" s="26" t="s">
        <v>26</v>
      </c>
      <c r="S337" s="26" t="s">
        <v>24</v>
      </c>
      <c r="T337" s="27"/>
      <c r="U337" s="28" t="s">
        <v>25</v>
      </c>
      <c r="V337" s="29" t="str">
        <f t="shared" si="26"/>
        <v>✓ OK</v>
      </c>
      <c r="W337" s="45">
        <v>46248</v>
      </c>
      <c r="X337" s="30" t="s">
        <v>23</v>
      </c>
      <c r="Y337" s="30" t="s">
        <v>24</v>
      </c>
      <c r="Z337" s="30" t="s">
        <v>25</v>
      </c>
      <c r="AA337" s="30" t="s">
        <v>26</v>
      </c>
      <c r="AB337" s="30" t="s">
        <v>24</v>
      </c>
      <c r="AC337" s="27"/>
      <c r="AD337" s="31" t="s">
        <v>25</v>
      </c>
      <c r="AE337" s="32" t="str">
        <f t="shared" si="27"/>
        <v>✓ OK</v>
      </c>
      <c r="AF337" s="33" t="s">
        <v>27</v>
      </c>
      <c r="AG337" s="33" t="s">
        <v>23</v>
      </c>
      <c r="AH337" s="33" t="s">
        <v>24</v>
      </c>
      <c r="AI337" s="33" t="s">
        <v>25</v>
      </c>
      <c r="AJ337" s="33" t="s">
        <v>26</v>
      </c>
      <c r="AK337" s="33" t="s">
        <v>24</v>
      </c>
      <c r="AL337" s="27"/>
      <c r="AM337" s="34" t="s">
        <v>25</v>
      </c>
      <c r="AN337" s="35" t="str">
        <f t="shared" si="28"/>
        <v>✓ OK</v>
      </c>
      <c r="AO337" s="36"/>
      <c r="AP337" s="36"/>
      <c r="AQ337" s="36"/>
      <c r="AR337" s="36"/>
      <c r="AS337" s="36"/>
      <c r="AT337" s="36"/>
      <c r="AU337" s="27"/>
      <c r="AV337" s="37"/>
      <c r="AW337" s="38" t="str">
        <f t="shared" si="29"/>
        <v/>
      </c>
    </row>
    <row r="338" spans="1:49" ht="18" customHeight="1" x14ac:dyDescent="0.3">
      <c r="A338" s="39">
        <v>334</v>
      </c>
      <c r="B338" s="40" t="s">
        <v>2515</v>
      </c>
      <c r="C338" s="41" t="s">
        <v>2516</v>
      </c>
      <c r="D338" s="39" t="s">
        <v>1850</v>
      </c>
      <c r="E338" s="43">
        <v>46125</v>
      </c>
      <c r="F338" s="26" t="s">
        <v>23</v>
      </c>
      <c r="G338" s="26" t="s">
        <v>24</v>
      </c>
      <c r="H338" s="26" t="s">
        <v>25</v>
      </c>
      <c r="I338" s="26" t="s">
        <v>26</v>
      </c>
      <c r="J338" s="26" t="s">
        <v>24</v>
      </c>
      <c r="K338" s="27"/>
      <c r="L338" s="28" t="s">
        <v>25</v>
      </c>
      <c r="M338" s="29" t="str">
        <f t="shared" si="25"/>
        <v>✓ OK</v>
      </c>
      <c r="N338" s="43">
        <v>46193</v>
      </c>
      <c r="O338" s="26" t="s">
        <v>23</v>
      </c>
      <c r="P338" s="26" t="s">
        <v>24</v>
      </c>
      <c r="Q338" s="26" t="s">
        <v>25</v>
      </c>
      <c r="R338" s="26" t="s">
        <v>26</v>
      </c>
      <c r="S338" s="26" t="s">
        <v>24</v>
      </c>
      <c r="T338" s="27"/>
      <c r="U338" s="28" t="s">
        <v>25</v>
      </c>
      <c r="V338" s="29" t="str">
        <f t="shared" si="26"/>
        <v>✓ OK</v>
      </c>
      <c r="W338" s="45">
        <v>46248</v>
      </c>
      <c r="X338" s="30" t="s">
        <v>23</v>
      </c>
      <c r="Y338" s="30" t="s">
        <v>24</v>
      </c>
      <c r="Z338" s="30" t="s">
        <v>25</v>
      </c>
      <c r="AA338" s="30" t="s">
        <v>26</v>
      </c>
      <c r="AB338" s="30" t="s">
        <v>24</v>
      </c>
      <c r="AC338" s="27"/>
      <c r="AD338" s="31" t="s">
        <v>25</v>
      </c>
      <c r="AE338" s="32" t="str">
        <f t="shared" si="27"/>
        <v>✓ OK</v>
      </c>
      <c r="AF338" s="33" t="s">
        <v>27</v>
      </c>
      <c r="AG338" s="33" t="s">
        <v>23</v>
      </c>
      <c r="AH338" s="33" t="s">
        <v>24</v>
      </c>
      <c r="AI338" s="33" t="s">
        <v>25</v>
      </c>
      <c r="AJ338" s="33" t="s">
        <v>26</v>
      </c>
      <c r="AK338" s="33" t="s">
        <v>24</v>
      </c>
      <c r="AL338" s="27"/>
      <c r="AM338" s="34" t="s">
        <v>25</v>
      </c>
      <c r="AN338" s="35" t="str">
        <f t="shared" si="28"/>
        <v>✓ OK</v>
      </c>
      <c r="AO338" s="36"/>
      <c r="AP338" s="36"/>
      <c r="AQ338" s="36"/>
      <c r="AR338" s="36"/>
      <c r="AS338" s="36"/>
      <c r="AT338" s="36"/>
      <c r="AU338" s="27"/>
      <c r="AV338" s="37"/>
      <c r="AW338" s="38" t="str">
        <f t="shared" si="29"/>
        <v/>
      </c>
    </row>
    <row r="339" spans="1:49" ht="18" customHeight="1" x14ac:dyDescent="0.3">
      <c r="A339" s="23">
        <v>335</v>
      </c>
      <c r="B339" s="24" t="s">
        <v>2517</v>
      </c>
      <c r="C339" s="25" t="s">
        <v>2518</v>
      </c>
      <c r="D339" s="23" t="s">
        <v>1850</v>
      </c>
      <c r="E339" s="43">
        <v>46125</v>
      </c>
      <c r="F339" s="26" t="s">
        <v>23</v>
      </c>
      <c r="G339" s="26" t="s">
        <v>24</v>
      </c>
      <c r="H339" s="26" t="s">
        <v>25</v>
      </c>
      <c r="I339" s="26" t="s">
        <v>26</v>
      </c>
      <c r="J339" s="26" t="s">
        <v>24</v>
      </c>
      <c r="K339" s="27"/>
      <c r="L339" s="28" t="s">
        <v>25</v>
      </c>
      <c r="M339" s="29" t="str">
        <f t="shared" si="25"/>
        <v>✓ OK</v>
      </c>
      <c r="N339" s="43">
        <v>46193</v>
      </c>
      <c r="O339" s="26" t="s">
        <v>23</v>
      </c>
      <c r="P339" s="26" t="s">
        <v>24</v>
      </c>
      <c r="Q339" s="26" t="s">
        <v>25</v>
      </c>
      <c r="R339" s="26" t="s">
        <v>26</v>
      </c>
      <c r="S339" s="26" t="s">
        <v>24</v>
      </c>
      <c r="T339" s="27"/>
      <c r="U339" s="28" t="s">
        <v>25</v>
      </c>
      <c r="V339" s="29" t="str">
        <f t="shared" si="26"/>
        <v>✓ OK</v>
      </c>
      <c r="W339" s="45">
        <v>46248</v>
      </c>
      <c r="X339" s="30" t="s">
        <v>23</v>
      </c>
      <c r="Y339" s="30" t="s">
        <v>24</v>
      </c>
      <c r="Z339" s="30" t="s">
        <v>25</v>
      </c>
      <c r="AA339" s="30" t="s">
        <v>26</v>
      </c>
      <c r="AB339" s="30" t="s">
        <v>24</v>
      </c>
      <c r="AC339" s="27"/>
      <c r="AD339" s="31" t="s">
        <v>25</v>
      </c>
      <c r="AE339" s="32" t="str">
        <f t="shared" si="27"/>
        <v>✓ OK</v>
      </c>
      <c r="AF339" s="33" t="s">
        <v>27</v>
      </c>
      <c r="AG339" s="33" t="s">
        <v>23</v>
      </c>
      <c r="AH339" s="33" t="s">
        <v>24</v>
      </c>
      <c r="AI339" s="33" t="s">
        <v>25</v>
      </c>
      <c r="AJ339" s="33" t="s">
        <v>26</v>
      </c>
      <c r="AK339" s="33" t="s">
        <v>24</v>
      </c>
      <c r="AL339" s="27"/>
      <c r="AM339" s="34" t="s">
        <v>25</v>
      </c>
      <c r="AN339" s="35" t="str">
        <f t="shared" si="28"/>
        <v>✓ OK</v>
      </c>
      <c r="AO339" s="36"/>
      <c r="AP339" s="36"/>
      <c r="AQ339" s="36"/>
      <c r="AR339" s="36"/>
      <c r="AS339" s="36"/>
      <c r="AT339" s="36"/>
      <c r="AU339" s="27"/>
      <c r="AV339" s="37"/>
      <c r="AW339" s="38" t="str">
        <f t="shared" si="29"/>
        <v/>
      </c>
    </row>
    <row r="340" spans="1:49" ht="18" customHeight="1" x14ac:dyDescent="0.3">
      <c r="A340" s="39">
        <v>336</v>
      </c>
      <c r="B340" s="40" t="s">
        <v>2519</v>
      </c>
      <c r="C340" s="41" t="s">
        <v>2520</v>
      </c>
      <c r="D340" s="39" t="s">
        <v>1850</v>
      </c>
      <c r="E340" s="43">
        <v>46125</v>
      </c>
      <c r="F340" s="26" t="s">
        <v>23</v>
      </c>
      <c r="G340" s="26" t="s">
        <v>24</v>
      </c>
      <c r="H340" s="26" t="s">
        <v>25</v>
      </c>
      <c r="I340" s="26" t="s">
        <v>26</v>
      </c>
      <c r="J340" s="26" t="s">
        <v>24</v>
      </c>
      <c r="K340" s="27"/>
      <c r="L340" s="28" t="s">
        <v>25</v>
      </c>
      <c r="M340" s="29" t="str">
        <f t="shared" si="25"/>
        <v>✓ OK</v>
      </c>
      <c r="N340" s="43">
        <v>46193</v>
      </c>
      <c r="O340" s="26" t="s">
        <v>23</v>
      </c>
      <c r="P340" s="26" t="s">
        <v>24</v>
      </c>
      <c r="Q340" s="26" t="s">
        <v>25</v>
      </c>
      <c r="R340" s="26" t="s">
        <v>26</v>
      </c>
      <c r="S340" s="26" t="s">
        <v>24</v>
      </c>
      <c r="T340" s="27"/>
      <c r="U340" s="28" t="s">
        <v>25</v>
      </c>
      <c r="V340" s="29" t="str">
        <f t="shared" si="26"/>
        <v>✓ OK</v>
      </c>
      <c r="W340" s="45">
        <v>46248</v>
      </c>
      <c r="X340" s="30" t="s">
        <v>23</v>
      </c>
      <c r="Y340" s="30" t="s">
        <v>24</v>
      </c>
      <c r="Z340" s="30" t="s">
        <v>25</v>
      </c>
      <c r="AA340" s="30" t="s">
        <v>26</v>
      </c>
      <c r="AB340" s="30" t="s">
        <v>24</v>
      </c>
      <c r="AC340" s="27"/>
      <c r="AD340" s="31" t="s">
        <v>25</v>
      </c>
      <c r="AE340" s="32" t="str">
        <f t="shared" si="27"/>
        <v>✓ OK</v>
      </c>
      <c r="AF340" s="33" t="s">
        <v>27</v>
      </c>
      <c r="AG340" s="33" t="s">
        <v>23</v>
      </c>
      <c r="AH340" s="33" t="s">
        <v>24</v>
      </c>
      <c r="AI340" s="33" t="s">
        <v>25</v>
      </c>
      <c r="AJ340" s="33" t="s">
        <v>26</v>
      </c>
      <c r="AK340" s="33" t="s">
        <v>24</v>
      </c>
      <c r="AL340" s="27"/>
      <c r="AM340" s="34" t="s">
        <v>25</v>
      </c>
      <c r="AN340" s="35" t="str">
        <f t="shared" si="28"/>
        <v>✓ OK</v>
      </c>
      <c r="AO340" s="36"/>
      <c r="AP340" s="36"/>
      <c r="AQ340" s="36"/>
      <c r="AR340" s="36"/>
      <c r="AS340" s="36"/>
      <c r="AT340" s="36"/>
      <c r="AU340" s="27"/>
      <c r="AV340" s="37"/>
      <c r="AW340" s="38" t="str">
        <f t="shared" si="29"/>
        <v/>
      </c>
    </row>
    <row r="341" spans="1:49" ht="18" customHeight="1" x14ac:dyDescent="0.3">
      <c r="A341" s="23">
        <v>337</v>
      </c>
      <c r="B341" s="24" t="s">
        <v>2521</v>
      </c>
      <c r="C341" s="25" t="s">
        <v>2522</v>
      </c>
      <c r="D341" s="23" t="s">
        <v>1850</v>
      </c>
      <c r="E341" s="43">
        <v>46125</v>
      </c>
      <c r="F341" s="26" t="s">
        <v>23</v>
      </c>
      <c r="G341" s="26" t="s">
        <v>24</v>
      </c>
      <c r="H341" s="26" t="s">
        <v>25</v>
      </c>
      <c r="I341" s="26" t="s">
        <v>26</v>
      </c>
      <c r="J341" s="26" t="s">
        <v>24</v>
      </c>
      <c r="K341" s="27"/>
      <c r="L341" s="28" t="s">
        <v>25</v>
      </c>
      <c r="M341" s="29" t="str">
        <f t="shared" si="25"/>
        <v>✓ OK</v>
      </c>
      <c r="N341" s="43">
        <v>46193</v>
      </c>
      <c r="O341" s="26" t="s">
        <v>23</v>
      </c>
      <c r="P341" s="26" t="s">
        <v>24</v>
      </c>
      <c r="Q341" s="26" t="s">
        <v>25</v>
      </c>
      <c r="R341" s="26" t="s">
        <v>26</v>
      </c>
      <c r="S341" s="26" t="s">
        <v>24</v>
      </c>
      <c r="T341" s="27"/>
      <c r="U341" s="28" t="s">
        <v>25</v>
      </c>
      <c r="V341" s="29" t="str">
        <f t="shared" si="26"/>
        <v>✓ OK</v>
      </c>
      <c r="W341" s="45">
        <v>46248</v>
      </c>
      <c r="X341" s="30" t="s">
        <v>23</v>
      </c>
      <c r="Y341" s="30" t="s">
        <v>24</v>
      </c>
      <c r="Z341" s="30" t="s">
        <v>25</v>
      </c>
      <c r="AA341" s="30" t="s">
        <v>26</v>
      </c>
      <c r="AB341" s="30" t="s">
        <v>24</v>
      </c>
      <c r="AC341" s="27"/>
      <c r="AD341" s="31" t="s">
        <v>25</v>
      </c>
      <c r="AE341" s="32" t="str">
        <f t="shared" si="27"/>
        <v>✓ OK</v>
      </c>
      <c r="AF341" s="33" t="s">
        <v>27</v>
      </c>
      <c r="AG341" s="33" t="s">
        <v>23</v>
      </c>
      <c r="AH341" s="33" t="s">
        <v>24</v>
      </c>
      <c r="AI341" s="33" t="s">
        <v>25</v>
      </c>
      <c r="AJ341" s="33" t="s">
        <v>26</v>
      </c>
      <c r="AK341" s="33" t="s">
        <v>24</v>
      </c>
      <c r="AL341" s="27"/>
      <c r="AM341" s="34" t="s">
        <v>25</v>
      </c>
      <c r="AN341" s="35" t="str">
        <f t="shared" si="28"/>
        <v>✓ OK</v>
      </c>
      <c r="AO341" s="36"/>
      <c r="AP341" s="36"/>
      <c r="AQ341" s="36"/>
      <c r="AR341" s="36"/>
      <c r="AS341" s="36"/>
      <c r="AT341" s="36"/>
      <c r="AU341" s="27"/>
      <c r="AV341" s="37"/>
      <c r="AW341" s="38" t="str">
        <f t="shared" si="29"/>
        <v/>
      </c>
    </row>
    <row r="342" spans="1:49" ht="18" customHeight="1" x14ac:dyDescent="0.3">
      <c r="A342" s="39">
        <v>338</v>
      </c>
      <c r="B342" s="40" t="s">
        <v>2523</v>
      </c>
      <c r="C342" s="41" t="s">
        <v>2524</v>
      </c>
      <c r="D342" s="39" t="s">
        <v>1850</v>
      </c>
      <c r="E342" s="43">
        <v>46125</v>
      </c>
      <c r="F342" s="26" t="s">
        <v>23</v>
      </c>
      <c r="G342" s="26" t="s">
        <v>24</v>
      </c>
      <c r="H342" s="26" t="s">
        <v>25</v>
      </c>
      <c r="I342" s="26" t="s">
        <v>26</v>
      </c>
      <c r="J342" s="26" t="s">
        <v>24</v>
      </c>
      <c r="K342" s="27"/>
      <c r="L342" s="28" t="s">
        <v>25</v>
      </c>
      <c r="M342" s="29" t="str">
        <f t="shared" si="25"/>
        <v>✓ OK</v>
      </c>
      <c r="N342" s="43">
        <v>46193</v>
      </c>
      <c r="O342" s="26" t="s">
        <v>23</v>
      </c>
      <c r="P342" s="26" t="s">
        <v>24</v>
      </c>
      <c r="Q342" s="26" t="s">
        <v>25</v>
      </c>
      <c r="R342" s="26" t="s">
        <v>26</v>
      </c>
      <c r="S342" s="26" t="s">
        <v>24</v>
      </c>
      <c r="T342" s="27"/>
      <c r="U342" s="28" t="s">
        <v>25</v>
      </c>
      <c r="V342" s="29" t="str">
        <f t="shared" si="26"/>
        <v>✓ OK</v>
      </c>
      <c r="W342" s="45">
        <v>46248</v>
      </c>
      <c r="X342" s="30" t="s">
        <v>23</v>
      </c>
      <c r="Y342" s="30" t="s">
        <v>24</v>
      </c>
      <c r="Z342" s="30" t="s">
        <v>25</v>
      </c>
      <c r="AA342" s="30" t="s">
        <v>26</v>
      </c>
      <c r="AB342" s="30" t="s">
        <v>24</v>
      </c>
      <c r="AC342" s="27"/>
      <c r="AD342" s="31" t="s">
        <v>25</v>
      </c>
      <c r="AE342" s="32" t="str">
        <f t="shared" si="27"/>
        <v>✓ OK</v>
      </c>
      <c r="AF342" s="33" t="s">
        <v>27</v>
      </c>
      <c r="AG342" s="33" t="s">
        <v>23</v>
      </c>
      <c r="AH342" s="33" t="s">
        <v>24</v>
      </c>
      <c r="AI342" s="33" t="s">
        <v>25</v>
      </c>
      <c r="AJ342" s="33" t="s">
        <v>26</v>
      </c>
      <c r="AK342" s="33" t="s">
        <v>24</v>
      </c>
      <c r="AL342" s="27"/>
      <c r="AM342" s="34" t="s">
        <v>25</v>
      </c>
      <c r="AN342" s="35" t="str">
        <f t="shared" si="28"/>
        <v>✓ OK</v>
      </c>
      <c r="AO342" s="36"/>
      <c r="AP342" s="36"/>
      <c r="AQ342" s="36"/>
      <c r="AR342" s="36"/>
      <c r="AS342" s="36"/>
      <c r="AT342" s="36"/>
      <c r="AU342" s="27"/>
      <c r="AV342" s="37"/>
      <c r="AW342" s="38" t="str">
        <f t="shared" si="29"/>
        <v/>
      </c>
    </row>
    <row r="343" spans="1:49" ht="18" customHeight="1" x14ac:dyDescent="0.3">
      <c r="A343" s="23">
        <v>339</v>
      </c>
      <c r="B343" s="24" t="s">
        <v>2525</v>
      </c>
      <c r="C343" s="25" t="s">
        <v>2526</v>
      </c>
      <c r="D343" s="23" t="s">
        <v>1850</v>
      </c>
      <c r="E343" s="43">
        <v>46125</v>
      </c>
      <c r="F343" s="26" t="s">
        <v>23</v>
      </c>
      <c r="G343" s="26" t="s">
        <v>24</v>
      </c>
      <c r="H343" s="26" t="s">
        <v>25</v>
      </c>
      <c r="I343" s="26" t="s">
        <v>26</v>
      </c>
      <c r="J343" s="26" t="s">
        <v>24</v>
      </c>
      <c r="K343" s="27"/>
      <c r="L343" s="28" t="s">
        <v>25</v>
      </c>
      <c r="M343" s="29" t="str">
        <f t="shared" si="25"/>
        <v>✓ OK</v>
      </c>
      <c r="N343" s="43">
        <v>46193</v>
      </c>
      <c r="O343" s="26" t="s">
        <v>23</v>
      </c>
      <c r="P343" s="26" t="s">
        <v>24</v>
      </c>
      <c r="Q343" s="26" t="s">
        <v>25</v>
      </c>
      <c r="R343" s="26" t="s">
        <v>26</v>
      </c>
      <c r="S343" s="26" t="s">
        <v>24</v>
      </c>
      <c r="T343" s="27"/>
      <c r="U343" s="28" t="s">
        <v>25</v>
      </c>
      <c r="V343" s="29" t="str">
        <f t="shared" si="26"/>
        <v>✓ OK</v>
      </c>
      <c r="W343" s="45">
        <v>46248</v>
      </c>
      <c r="X343" s="30" t="s">
        <v>23</v>
      </c>
      <c r="Y343" s="30" t="s">
        <v>24</v>
      </c>
      <c r="Z343" s="30" t="s">
        <v>25</v>
      </c>
      <c r="AA343" s="30" t="s">
        <v>26</v>
      </c>
      <c r="AB343" s="30" t="s">
        <v>24</v>
      </c>
      <c r="AC343" s="27"/>
      <c r="AD343" s="31" t="s">
        <v>25</v>
      </c>
      <c r="AE343" s="32" t="str">
        <f t="shared" si="27"/>
        <v>✓ OK</v>
      </c>
      <c r="AF343" s="33" t="s">
        <v>27</v>
      </c>
      <c r="AG343" s="33" t="s">
        <v>23</v>
      </c>
      <c r="AH343" s="33" t="s">
        <v>24</v>
      </c>
      <c r="AI343" s="33" t="s">
        <v>25</v>
      </c>
      <c r="AJ343" s="33" t="s">
        <v>26</v>
      </c>
      <c r="AK343" s="33" t="s">
        <v>24</v>
      </c>
      <c r="AL343" s="27"/>
      <c r="AM343" s="34" t="s">
        <v>25</v>
      </c>
      <c r="AN343" s="35" t="str">
        <f t="shared" si="28"/>
        <v>✓ OK</v>
      </c>
      <c r="AO343" s="36"/>
      <c r="AP343" s="36"/>
      <c r="AQ343" s="36"/>
      <c r="AR343" s="36"/>
      <c r="AS343" s="36"/>
      <c r="AT343" s="36"/>
      <c r="AU343" s="27"/>
      <c r="AV343" s="37"/>
      <c r="AW343" s="38" t="str">
        <f t="shared" si="29"/>
        <v/>
      </c>
    </row>
    <row r="344" spans="1:49" ht="18" customHeight="1" x14ac:dyDescent="0.3">
      <c r="A344" s="39">
        <v>340</v>
      </c>
      <c r="B344" s="40" t="s">
        <v>2527</v>
      </c>
      <c r="C344" s="41" t="s">
        <v>2528</v>
      </c>
      <c r="D344" s="39" t="s">
        <v>1850</v>
      </c>
      <c r="E344" s="43">
        <v>46125</v>
      </c>
      <c r="F344" s="26" t="s">
        <v>23</v>
      </c>
      <c r="G344" s="26" t="s">
        <v>24</v>
      </c>
      <c r="H344" s="26" t="s">
        <v>25</v>
      </c>
      <c r="I344" s="26" t="s">
        <v>26</v>
      </c>
      <c r="J344" s="26" t="s">
        <v>24</v>
      </c>
      <c r="K344" s="27"/>
      <c r="L344" s="28" t="s">
        <v>25</v>
      </c>
      <c r="M344" s="29" t="str">
        <f t="shared" si="25"/>
        <v>✓ OK</v>
      </c>
      <c r="N344" s="43">
        <v>46193</v>
      </c>
      <c r="O344" s="26" t="s">
        <v>23</v>
      </c>
      <c r="P344" s="26" t="s">
        <v>24</v>
      </c>
      <c r="Q344" s="26" t="s">
        <v>25</v>
      </c>
      <c r="R344" s="26" t="s">
        <v>26</v>
      </c>
      <c r="S344" s="26" t="s">
        <v>24</v>
      </c>
      <c r="T344" s="27"/>
      <c r="U344" s="28" t="s">
        <v>25</v>
      </c>
      <c r="V344" s="29" t="str">
        <f t="shared" si="26"/>
        <v>✓ OK</v>
      </c>
      <c r="W344" s="45">
        <v>46248</v>
      </c>
      <c r="X344" s="30" t="s">
        <v>23</v>
      </c>
      <c r="Y344" s="30" t="s">
        <v>24</v>
      </c>
      <c r="Z344" s="30" t="s">
        <v>25</v>
      </c>
      <c r="AA344" s="30" t="s">
        <v>26</v>
      </c>
      <c r="AB344" s="30" t="s">
        <v>24</v>
      </c>
      <c r="AC344" s="27"/>
      <c r="AD344" s="31" t="s">
        <v>25</v>
      </c>
      <c r="AE344" s="32" t="str">
        <f t="shared" si="27"/>
        <v>✓ OK</v>
      </c>
      <c r="AF344" s="33" t="s">
        <v>27</v>
      </c>
      <c r="AG344" s="33" t="s">
        <v>23</v>
      </c>
      <c r="AH344" s="33" t="s">
        <v>24</v>
      </c>
      <c r="AI344" s="33" t="s">
        <v>25</v>
      </c>
      <c r="AJ344" s="33" t="s">
        <v>26</v>
      </c>
      <c r="AK344" s="33" t="s">
        <v>24</v>
      </c>
      <c r="AL344" s="27"/>
      <c r="AM344" s="34" t="s">
        <v>25</v>
      </c>
      <c r="AN344" s="35" t="str">
        <f t="shared" si="28"/>
        <v>✓ OK</v>
      </c>
      <c r="AO344" s="36"/>
      <c r="AP344" s="36"/>
      <c r="AQ344" s="36"/>
      <c r="AR344" s="36"/>
      <c r="AS344" s="36"/>
      <c r="AT344" s="36"/>
      <c r="AU344" s="27"/>
      <c r="AV344" s="37"/>
      <c r="AW344" s="38" t="str">
        <f t="shared" si="29"/>
        <v/>
      </c>
    </row>
    <row r="345" spans="1:49" ht="18" customHeight="1" x14ac:dyDescent="0.3">
      <c r="A345" s="23">
        <v>341</v>
      </c>
      <c r="B345" s="24" t="s">
        <v>2529</v>
      </c>
      <c r="C345" s="25" t="s">
        <v>2530</v>
      </c>
      <c r="D345" s="23" t="s">
        <v>1850</v>
      </c>
      <c r="E345" s="43">
        <v>46125</v>
      </c>
      <c r="F345" s="26" t="s">
        <v>23</v>
      </c>
      <c r="G345" s="26" t="s">
        <v>24</v>
      </c>
      <c r="H345" s="26" t="s">
        <v>25</v>
      </c>
      <c r="I345" s="26" t="s">
        <v>26</v>
      </c>
      <c r="J345" s="26" t="s">
        <v>24</v>
      </c>
      <c r="K345" s="27"/>
      <c r="L345" s="28" t="s">
        <v>25</v>
      </c>
      <c r="M345" s="29" t="str">
        <f t="shared" si="25"/>
        <v>✓ OK</v>
      </c>
      <c r="N345" s="43">
        <v>46193</v>
      </c>
      <c r="O345" s="26" t="s">
        <v>23</v>
      </c>
      <c r="P345" s="26" t="s">
        <v>24</v>
      </c>
      <c r="Q345" s="26" t="s">
        <v>25</v>
      </c>
      <c r="R345" s="26" t="s">
        <v>26</v>
      </c>
      <c r="S345" s="26" t="s">
        <v>24</v>
      </c>
      <c r="T345" s="27"/>
      <c r="U345" s="28" t="s">
        <v>25</v>
      </c>
      <c r="V345" s="29" t="str">
        <f t="shared" si="26"/>
        <v>✓ OK</v>
      </c>
      <c r="W345" s="45">
        <v>46248</v>
      </c>
      <c r="X345" s="30" t="s">
        <v>23</v>
      </c>
      <c r="Y345" s="30" t="s">
        <v>24</v>
      </c>
      <c r="Z345" s="30" t="s">
        <v>25</v>
      </c>
      <c r="AA345" s="30" t="s">
        <v>26</v>
      </c>
      <c r="AB345" s="30" t="s">
        <v>24</v>
      </c>
      <c r="AC345" s="27"/>
      <c r="AD345" s="31" t="s">
        <v>25</v>
      </c>
      <c r="AE345" s="32" t="str">
        <f t="shared" si="27"/>
        <v>✓ OK</v>
      </c>
      <c r="AF345" s="33" t="s">
        <v>27</v>
      </c>
      <c r="AG345" s="33" t="s">
        <v>23</v>
      </c>
      <c r="AH345" s="33" t="s">
        <v>24</v>
      </c>
      <c r="AI345" s="33" t="s">
        <v>25</v>
      </c>
      <c r="AJ345" s="33" t="s">
        <v>26</v>
      </c>
      <c r="AK345" s="33" t="s">
        <v>24</v>
      </c>
      <c r="AL345" s="27"/>
      <c r="AM345" s="34" t="s">
        <v>25</v>
      </c>
      <c r="AN345" s="35" t="str">
        <f t="shared" si="28"/>
        <v>✓ OK</v>
      </c>
      <c r="AO345" s="36"/>
      <c r="AP345" s="36"/>
      <c r="AQ345" s="36"/>
      <c r="AR345" s="36"/>
      <c r="AS345" s="36"/>
      <c r="AT345" s="36"/>
      <c r="AU345" s="27"/>
      <c r="AV345" s="37"/>
      <c r="AW345" s="38" t="str">
        <f t="shared" si="29"/>
        <v/>
      </c>
    </row>
    <row r="346" spans="1:49" ht="18" customHeight="1" x14ac:dyDescent="0.3">
      <c r="A346" s="39">
        <v>342</v>
      </c>
      <c r="B346" s="40" t="s">
        <v>2531</v>
      </c>
      <c r="C346" s="41" t="s">
        <v>2532</v>
      </c>
      <c r="D346" s="39" t="s">
        <v>1850</v>
      </c>
      <c r="E346" s="43">
        <v>46125</v>
      </c>
      <c r="F346" s="26" t="s">
        <v>23</v>
      </c>
      <c r="G346" s="26" t="s">
        <v>24</v>
      </c>
      <c r="H346" s="26" t="s">
        <v>25</v>
      </c>
      <c r="I346" s="26" t="s">
        <v>26</v>
      </c>
      <c r="J346" s="26" t="s">
        <v>24</v>
      </c>
      <c r="K346" s="27"/>
      <c r="L346" s="28" t="s">
        <v>25</v>
      </c>
      <c r="M346" s="29" t="str">
        <f t="shared" si="25"/>
        <v>✓ OK</v>
      </c>
      <c r="N346" s="43">
        <v>46193</v>
      </c>
      <c r="O346" s="26" t="s">
        <v>23</v>
      </c>
      <c r="P346" s="26" t="s">
        <v>24</v>
      </c>
      <c r="Q346" s="26" t="s">
        <v>25</v>
      </c>
      <c r="R346" s="26" t="s">
        <v>26</v>
      </c>
      <c r="S346" s="26" t="s">
        <v>24</v>
      </c>
      <c r="T346" s="27"/>
      <c r="U346" s="28" t="s">
        <v>25</v>
      </c>
      <c r="V346" s="29" t="str">
        <f t="shared" si="26"/>
        <v>✓ OK</v>
      </c>
      <c r="W346" s="45">
        <v>46248</v>
      </c>
      <c r="X346" s="30" t="s">
        <v>23</v>
      </c>
      <c r="Y346" s="30" t="s">
        <v>24</v>
      </c>
      <c r="Z346" s="30" t="s">
        <v>25</v>
      </c>
      <c r="AA346" s="30" t="s">
        <v>26</v>
      </c>
      <c r="AB346" s="30" t="s">
        <v>24</v>
      </c>
      <c r="AC346" s="27"/>
      <c r="AD346" s="31" t="s">
        <v>25</v>
      </c>
      <c r="AE346" s="32" t="str">
        <f t="shared" si="27"/>
        <v>✓ OK</v>
      </c>
      <c r="AF346" s="33" t="s">
        <v>27</v>
      </c>
      <c r="AG346" s="33" t="s">
        <v>23</v>
      </c>
      <c r="AH346" s="33" t="s">
        <v>24</v>
      </c>
      <c r="AI346" s="33" t="s">
        <v>25</v>
      </c>
      <c r="AJ346" s="33" t="s">
        <v>26</v>
      </c>
      <c r="AK346" s="33" t="s">
        <v>24</v>
      </c>
      <c r="AL346" s="27"/>
      <c r="AM346" s="34" t="s">
        <v>25</v>
      </c>
      <c r="AN346" s="35" t="str">
        <f t="shared" si="28"/>
        <v>✓ OK</v>
      </c>
      <c r="AO346" s="36"/>
      <c r="AP346" s="36"/>
      <c r="AQ346" s="36"/>
      <c r="AR346" s="36"/>
      <c r="AS346" s="36"/>
      <c r="AT346" s="36"/>
      <c r="AU346" s="27"/>
      <c r="AV346" s="37"/>
      <c r="AW346" s="38" t="str">
        <f t="shared" si="29"/>
        <v/>
      </c>
    </row>
    <row r="347" spans="1:49" ht="18" customHeight="1" x14ac:dyDescent="0.3">
      <c r="A347" s="23">
        <v>343</v>
      </c>
      <c r="B347" s="24" t="s">
        <v>2533</v>
      </c>
      <c r="C347" s="25" t="s">
        <v>2534</v>
      </c>
      <c r="D347" s="23" t="s">
        <v>1850</v>
      </c>
      <c r="E347" s="43">
        <v>46125</v>
      </c>
      <c r="F347" s="26" t="s">
        <v>23</v>
      </c>
      <c r="G347" s="26" t="s">
        <v>24</v>
      </c>
      <c r="H347" s="26" t="s">
        <v>25</v>
      </c>
      <c r="I347" s="26" t="s">
        <v>26</v>
      </c>
      <c r="J347" s="26" t="s">
        <v>24</v>
      </c>
      <c r="K347" s="27"/>
      <c r="L347" s="28" t="s">
        <v>25</v>
      </c>
      <c r="M347" s="29" t="str">
        <f t="shared" si="25"/>
        <v>✓ OK</v>
      </c>
      <c r="N347" s="43">
        <v>46193</v>
      </c>
      <c r="O347" s="26" t="s">
        <v>23</v>
      </c>
      <c r="P347" s="26" t="s">
        <v>24</v>
      </c>
      <c r="Q347" s="26" t="s">
        <v>25</v>
      </c>
      <c r="R347" s="26" t="s">
        <v>26</v>
      </c>
      <c r="S347" s="26" t="s">
        <v>24</v>
      </c>
      <c r="T347" s="27"/>
      <c r="U347" s="28" t="s">
        <v>25</v>
      </c>
      <c r="V347" s="29" t="str">
        <f t="shared" si="26"/>
        <v>✓ OK</v>
      </c>
      <c r="W347" s="45">
        <v>46248</v>
      </c>
      <c r="X347" s="30" t="s">
        <v>23</v>
      </c>
      <c r="Y347" s="30" t="s">
        <v>24</v>
      </c>
      <c r="Z347" s="30" t="s">
        <v>25</v>
      </c>
      <c r="AA347" s="30" t="s">
        <v>26</v>
      </c>
      <c r="AB347" s="30" t="s">
        <v>24</v>
      </c>
      <c r="AC347" s="27"/>
      <c r="AD347" s="31" t="s">
        <v>25</v>
      </c>
      <c r="AE347" s="32" t="str">
        <f t="shared" si="27"/>
        <v>✓ OK</v>
      </c>
      <c r="AF347" s="33" t="s">
        <v>27</v>
      </c>
      <c r="AG347" s="33" t="s">
        <v>23</v>
      </c>
      <c r="AH347" s="33" t="s">
        <v>24</v>
      </c>
      <c r="AI347" s="33" t="s">
        <v>25</v>
      </c>
      <c r="AJ347" s="33" t="s">
        <v>26</v>
      </c>
      <c r="AK347" s="33" t="s">
        <v>24</v>
      </c>
      <c r="AL347" s="27"/>
      <c r="AM347" s="34" t="s">
        <v>25</v>
      </c>
      <c r="AN347" s="35" t="str">
        <f t="shared" si="28"/>
        <v>✓ OK</v>
      </c>
      <c r="AO347" s="36"/>
      <c r="AP347" s="36"/>
      <c r="AQ347" s="36"/>
      <c r="AR347" s="36"/>
      <c r="AS347" s="36"/>
      <c r="AT347" s="36"/>
      <c r="AU347" s="27"/>
      <c r="AV347" s="37"/>
      <c r="AW347" s="38" t="str">
        <f t="shared" si="29"/>
        <v/>
      </c>
    </row>
    <row r="348" spans="1:49" ht="18" customHeight="1" x14ac:dyDescent="0.3">
      <c r="A348" s="39">
        <v>344</v>
      </c>
      <c r="B348" s="40" t="s">
        <v>2535</v>
      </c>
      <c r="C348" s="41" t="s">
        <v>2536</v>
      </c>
      <c r="D348" s="39" t="s">
        <v>1850</v>
      </c>
      <c r="E348" s="43">
        <v>46125</v>
      </c>
      <c r="F348" s="26" t="s">
        <v>23</v>
      </c>
      <c r="G348" s="26" t="s">
        <v>24</v>
      </c>
      <c r="H348" s="26" t="s">
        <v>25</v>
      </c>
      <c r="I348" s="26" t="s">
        <v>26</v>
      </c>
      <c r="J348" s="26" t="s">
        <v>24</v>
      </c>
      <c r="K348" s="27"/>
      <c r="L348" s="28" t="s">
        <v>25</v>
      </c>
      <c r="M348" s="29" t="str">
        <f t="shared" si="25"/>
        <v>✓ OK</v>
      </c>
      <c r="N348" s="43">
        <v>46193</v>
      </c>
      <c r="O348" s="26" t="s">
        <v>23</v>
      </c>
      <c r="P348" s="26" t="s">
        <v>24</v>
      </c>
      <c r="Q348" s="26" t="s">
        <v>25</v>
      </c>
      <c r="R348" s="26" t="s">
        <v>26</v>
      </c>
      <c r="S348" s="26" t="s">
        <v>24</v>
      </c>
      <c r="T348" s="27"/>
      <c r="U348" s="28" t="s">
        <v>25</v>
      </c>
      <c r="V348" s="29" t="str">
        <f t="shared" si="26"/>
        <v>✓ OK</v>
      </c>
      <c r="W348" s="45">
        <v>46248</v>
      </c>
      <c r="X348" s="30" t="s">
        <v>23</v>
      </c>
      <c r="Y348" s="30" t="s">
        <v>24</v>
      </c>
      <c r="Z348" s="30" t="s">
        <v>25</v>
      </c>
      <c r="AA348" s="30" t="s">
        <v>26</v>
      </c>
      <c r="AB348" s="30" t="s">
        <v>24</v>
      </c>
      <c r="AC348" s="27"/>
      <c r="AD348" s="31" t="s">
        <v>25</v>
      </c>
      <c r="AE348" s="32" t="str">
        <f t="shared" si="27"/>
        <v>✓ OK</v>
      </c>
      <c r="AF348" s="33" t="s">
        <v>27</v>
      </c>
      <c r="AG348" s="33" t="s">
        <v>23</v>
      </c>
      <c r="AH348" s="33" t="s">
        <v>24</v>
      </c>
      <c r="AI348" s="33" t="s">
        <v>25</v>
      </c>
      <c r="AJ348" s="33" t="s">
        <v>26</v>
      </c>
      <c r="AK348" s="33" t="s">
        <v>24</v>
      </c>
      <c r="AL348" s="27"/>
      <c r="AM348" s="34" t="s">
        <v>25</v>
      </c>
      <c r="AN348" s="35" t="str">
        <f t="shared" si="28"/>
        <v>✓ OK</v>
      </c>
      <c r="AO348" s="36"/>
      <c r="AP348" s="36"/>
      <c r="AQ348" s="36"/>
      <c r="AR348" s="36"/>
      <c r="AS348" s="36"/>
      <c r="AT348" s="36"/>
      <c r="AU348" s="27"/>
      <c r="AV348" s="37"/>
      <c r="AW348" s="38" t="str">
        <f t="shared" si="29"/>
        <v/>
      </c>
    </row>
    <row r="349" spans="1:49" ht="18" customHeight="1" x14ac:dyDescent="0.3">
      <c r="A349" s="23">
        <v>345</v>
      </c>
      <c r="B349" s="24" t="s">
        <v>2537</v>
      </c>
      <c r="C349" s="25" t="s">
        <v>2538</v>
      </c>
      <c r="D349" s="23" t="s">
        <v>1850</v>
      </c>
      <c r="E349" s="43">
        <v>46125</v>
      </c>
      <c r="F349" s="26" t="s">
        <v>23</v>
      </c>
      <c r="G349" s="26" t="s">
        <v>24</v>
      </c>
      <c r="H349" s="26" t="s">
        <v>25</v>
      </c>
      <c r="I349" s="26" t="s">
        <v>26</v>
      </c>
      <c r="J349" s="26" t="s">
        <v>24</v>
      </c>
      <c r="K349" s="27"/>
      <c r="L349" s="28" t="s">
        <v>25</v>
      </c>
      <c r="M349" s="29" t="str">
        <f t="shared" si="25"/>
        <v>✓ OK</v>
      </c>
      <c r="N349" s="43">
        <v>46193</v>
      </c>
      <c r="O349" s="26" t="s">
        <v>23</v>
      </c>
      <c r="P349" s="26" t="s">
        <v>24</v>
      </c>
      <c r="Q349" s="26" t="s">
        <v>25</v>
      </c>
      <c r="R349" s="26" t="s">
        <v>26</v>
      </c>
      <c r="S349" s="26" t="s">
        <v>24</v>
      </c>
      <c r="T349" s="27"/>
      <c r="U349" s="28" t="s">
        <v>25</v>
      </c>
      <c r="V349" s="29" t="str">
        <f t="shared" si="26"/>
        <v>✓ OK</v>
      </c>
      <c r="W349" s="45">
        <v>46248</v>
      </c>
      <c r="X349" s="30" t="s">
        <v>23</v>
      </c>
      <c r="Y349" s="30" t="s">
        <v>24</v>
      </c>
      <c r="Z349" s="30" t="s">
        <v>25</v>
      </c>
      <c r="AA349" s="30" t="s">
        <v>26</v>
      </c>
      <c r="AB349" s="30" t="s">
        <v>24</v>
      </c>
      <c r="AC349" s="27"/>
      <c r="AD349" s="31" t="s">
        <v>25</v>
      </c>
      <c r="AE349" s="32" t="str">
        <f t="shared" si="27"/>
        <v>✓ OK</v>
      </c>
      <c r="AF349" s="33" t="s">
        <v>27</v>
      </c>
      <c r="AG349" s="33" t="s">
        <v>23</v>
      </c>
      <c r="AH349" s="33" t="s">
        <v>24</v>
      </c>
      <c r="AI349" s="33" t="s">
        <v>25</v>
      </c>
      <c r="AJ349" s="33" t="s">
        <v>26</v>
      </c>
      <c r="AK349" s="33" t="s">
        <v>24</v>
      </c>
      <c r="AL349" s="27"/>
      <c r="AM349" s="34" t="s">
        <v>25</v>
      </c>
      <c r="AN349" s="35" t="str">
        <f t="shared" si="28"/>
        <v>✓ OK</v>
      </c>
      <c r="AO349" s="36"/>
      <c r="AP349" s="36"/>
      <c r="AQ349" s="36"/>
      <c r="AR349" s="36"/>
      <c r="AS349" s="36"/>
      <c r="AT349" s="36"/>
      <c r="AU349" s="27"/>
      <c r="AV349" s="37"/>
      <c r="AW349" s="38" t="str">
        <f t="shared" si="29"/>
        <v/>
      </c>
    </row>
    <row r="350" spans="1:49" ht="18" customHeight="1" x14ac:dyDescent="0.3">
      <c r="A350" s="39">
        <v>346</v>
      </c>
      <c r="B350" s="40" t="s">
        <v>2539</v>
      </c>
      <c r="C350" s="41" t="s">
        <v>2540</v>
      </c>
      <c r="D350" s="39" t="s">
        <v>1850</v>
      </c>
      <c r="E350" s="43">
        <v>46125</v>
      </c>
      <c r="F350" s="26" t="s">
        <v>23</v>
      </c>
      <c r="G350" s="26" t="s">
        <v>24</v>
      </c>
      <c r="H350" s="26" t="s">
        <v>25</v>
      </c>
      <c r="I350" s="26" t="s">
        <v>26</v>
      </c>
      <c r="J350" s="26" t="s">
        <v>24</v>
      </c>
      <c r="K350" s="27"/>
      <c r="L350" s="28" t="s">
        <v>25</v>
      </c>
      <c r="M350" s="29" t="str">
        <f t="shared" si="25"/>
        <v>✓ OK</v>
      </c>
      <c r="N350" s="43">
        <v>46193</v>
      </c>
      <c r="O350" s="26" t="s">
        <v>23</v>
      </c>
      <c r="P350" s="26" t="s">
        <v>24</v>
      </c>
      <c r="Q350" s="26" t="s">
        <v>25</v>
      </c>
      <c r="R350" s="26" t="s">
        <v>26</v>
      </c>
      <c r="S350" s="26" t="s">
        <v>24</v>
      </c>
      <c r="T350" s="27"/>
      <c r="U350" s="28" t="s">
        <v>25</v>
      </c>
      <c r="V350" s="29" t="str">
        <f t="shared" si="26"/>
        <v>✓ OK</v>
      </c>
      <c r="W350" s="45">
        <v>46248</v>
      </c>
      <c r="X350" s="30" t="s">
        <v>23</v>
      </c>
      <c r="Y350" s="30" t="s">
        <v>24</v>
      </c>
      <c r="Z350" s="30" t="s">
        <v>25</v>
      </c>
      <c r="AA350" s="30" t="s">
        <v>26</v>
      </c>
      <c r="AB350" s="30" t="s">
        <v>24</v>
      </c>
      <c r="AC350" s="27"/>
      <c r="AD350" s="31" t="s">
        <v>25</v>
      </c>
      <c r="AE350" s="32" t="str">
        <f t="shared" si="27"/>
        <v>✓ OK</v>
      </c>
      <c r="AF350" s="33" t="s">
        <v>27</v>
      </c>
      <c r="AG350" s="33" t="s">
        <v>23</v>
      </c>
      <c r="AH350" s="33" t="s">
        <v>24</v>
      </c>
      <c r="AI350" s="33" t="s">
        <v>25</v>
      </c>
      <c r="AJ350" s="33" t="s">
        <v>26</v>
      </c>
      <c r="AK350" s="33" t="s">
        <v>24</v>
      </c>
      <c r="AL350" s="27"/>
      <c r="AM350" s="34" t="s">
        <v>25</v>
      </c>
      <c r="AN350" s="35" t="str">
        <f t="shared" si="28"/>
        <v>✓ OK</v>
      </c>
      <c r="AO350" s="36"/>
      <c r="AP350" s="36"/>
      <c r="AQ350" s="36"/>
      <c r="AR350" s="36"/>
      <c r="AS350" s="36"/>
      <c r="AT350" s="36"/>
      <c r="AU350" s="27"/>
      <c r="AV350" s="37"/>
      <c r="AW350" s="38" t="str">
        <f t="shared" si="29"/>
        <v/>
      </c>
    </row>
    <row r="351" spans="1:49" ht="18" customHeight="1" x14ac:dyDescent="0.3">
      <c r="A351" s="23">
        <v>347</v>
      </c>
      <c r="B351" s="24" t="s">
        <v>2541</v>
      </c>
      <c r="C351" s="25" t="s">
        <v>2542</v>
      </c>
      <c r="D351" s="23" t="s">
        <v>1850</v>
      </c>
      <c r="E351" s="43">
        <v>46125</v>
      </c>
      <c r="F351" s="26" t="s">
        <v>23</v>
      </c>
      <c r="G351" s="26" t="s">
        <v>24</v>
      </c>
      <c r="H351" s="26" t="s">
        <v>25</v>
      </c>
      <c r="I351" s="26" t="s">
        <v>26</v>
      </c>
      <c r="J351" s="26" t="s">
        <v>24</v>
      </c>
      <c r="K351" s="27"/>
      <c r="L351" s="28" t="s">
        <v>25</v>
      </c>
      <c r="M351" s="29" t="str">
        <f t="shared" si="25"/>
        <v>✓ OK</v>
      </c>
      <c r="N351" s="43">
        <v>46193</v>
      </c>
      <c r="O351" s="26" t="s">
        <v>23</v>
      </c>
      <c r="P351" s="26" t="s">
        <v>24</v>
      </c>
      <c r="Q351" s="26" t="s">
        <v>25</v>
      </c>
      <c r="R351" s="26" t="s">
        <v>26</v>
      </c>
      <c r="S351" s="26" t="s">
        <v>24</v>
      </c>
      <c r="T351" s="27"/>
      <c r="U351" s="28" t="s">
        <v>25</v>
      </c>
      <c r="V351" s="29" t="str">
        <f t="shared" si="26"/>
        <v>✓ OK</v>
      </c>
      <c r="W351" s="45">
        <v>46248</v>
      </c>
      <c r="X351" s="30" t="s">
        <v>23</v>
      </c>
      <c r="Y351" s="30" t="s">
        <v>24</v>
      </c>
      <c r="Z351" s="30" t="s">
        <v>25</v>
      </c>
      <c r="AA351" s="30" t="s">
        <v>26</v>
      </c>
      <c r="AB351" s="30" t="s">
        <v>24</v>
      </c>
      <c r="AC351" s="27"/>
      <c r="AD351" s="31" t="s">
        <v>25</v>
      </c>
      <c r="AE351" s="32" t="str">
        <f t="shared" si="27"/>
        <v>✓ OK</v>
      </c>
      <c r="AF351" s="33" t="s">
        <v>27</v>
      </c>
      <c r="AG351" s="33" t="s">
        <v>23</v>
      </c>
      <c r="AH351" s="33" t="s">
        <v>24</v>
      </c>
      <c r="AI351" s="33" t="s">
        <v>25</v>
      </c>
      <c r="AJ351" s="33" t="s">
        <v>26</v>
      </c>
      <c r="AK351" s="33" t="s">
        <v>24</v>
      </c>
      <c r="AL351" s="27"/>
      <c r="AM351" s="34" t="s">
        <v>25</v>
      </c>
      <c r="AN351" s="35" t="str">
        <f t="shared" si="28"/>
        <v>✓ OK</v>
      </c>
      <c r="AO351" s="36"/>
      <c r="AP351" s="36"/>
      <c r="AQ351" s="36"/>
      <c r="AR351" s="36"/>
      <c r="AS351" s="36"/>
      <c r="AT351" s="36"/>
      <c r="AU351" s="27"/>
      <c r="AV351" s="37"/>
      <c r="AW351" s="38" t="str">
        <f t="shared" si="29"/>
        <v/>
      </c>
    </row>
    <row r="352" spans="1:49" ht="18" customHeight="1" x14ac:dyDescent="0.3">
      <c r="A352" s="39">
        <v>348</v>
      </c>
      <c r="B352" s="40" t="s">
        <v>2543</v>
      </c>
      <c r="C352" s="41" t="s">
        <v>2544</v>
      </c>
      <c r="D352" s="39" t="s">
        <v>1850</v>
      </c>
      <c r="E352" s="43">
        <v>46125</v>
      </c>
      <c r="F352" s="26" t="s">
        <v>23</v>
      </c>
      <c r="G352" s="26" t="s">
        <v>24</v>
      </c>
      <c r="H352" s="26" t="s">
        <v>25</v>
      </c>
      <c r="I352" s="26" t="s">
        <v>26</v>
      </c>
      <c r="J352" s="26" t="s">
        <v>24</v>
      </c>
      <c r="K352" s="27"/>
      <c r="L352" s="28" t="s">
        <v>25</v>
      </c>
      <c r="M352" s="29" t="str">
        <f t="shared" si="25"/>
        <v>✓ OK</v>
      </c>
      <c r="N352" s="43">
        <v>46193</v>
      </c>
      <c r="O352" s="26" t="s">
        <v>23</v>
      </c>
      <c r="P352" s="26" t="s">
        <v>24</v>
      </c>
      <c r="Q352" s="26" t="s">
        <v>25</v>
      </c>
      <c r="R352" s="26" t="s">
        <v>26</v>
      </c>
      <c r="S352" s="26" t="s">
        <v>24</v>
      </c>
      <c r="T352" s="27"/>
      <c r="U352" s="28" t="s">
        <v>25</v>
      </c>
      <c r="V352" s="29" t="str">
        <f t="shared" si="26"/>
        <v>✓ OK</v>
      </c>
      <c r="W352" s="45">
        <v>46248</v>
      </c>
      <c r="X352" s="30" t="s">
        <v>23</v>
      </c>
      <c r="Y352" s="30" t="s">
        <v>24</v>
      </c>
      <c r="Z352" s="30" t="s">
        <v>25</v>
      </c>
      <c r="AA352" s="30" t="s">
        <v>26</v>
      </c>
      <c r="AB352" s="30" t="s">
        <v>24</v>
      </c>
      <c r="AC352" s="27"/>
      <c r="AD352" s="31" t="s">
        <v>25</v>
      </c>
      <c r="AE352" s="32" t="str">
        <f t="shared" si="27"/>
        <v>✓ OK</v>
      </c>
      <c r="AF352" s="33" t="s">
        <v>27</v>
      </c>
      <c r="AG352" s="33" t="s">
        <v>23</v>
      </c>
      <c r="AH352" s="33" t="s">
        <v>24</v>
      </c>
      <c r="AI352" s="33" t="s">
        <v>25</v>
      </c>
      <c r="AJ352" s="33" t="s">
        <v>26</v>
      </c>
      <c r="AK352" s="33" t="s">
        <v>24</v>
      </c>
      <c r="AL352" s="27"/>
      <c r="AM352" s="34" t="s">
        <v>25</v>
      </c>
      <c r="AN352" s="35" t="str">
        <f t="shared" si="28"/>
        <v>✓ OK</v>
      </c>
      <c r="AO352" s="36"/>
      <c r="AP352" s="36"/>
      <c r="AQ352" s="36"/>
      <c r="AR352" s="36"/>
      <c r="AS352" s="36"/>
      <c r="AT352" s="36"/>
      <c r="AU352" s="27"/>
      <c r="AV352" s="37"/>
      <c r="AW352" s="38" t="str">
        <f t="shared" si="29"/>
        <v/>
      </c>
    </row>
    <row r="353" spans="1:49" ht="18" customHeight="1" x14ac:dyDescent="0.3">
      <c r="A353" s="23">
        <v>349</v>
      </c>
      <c r="B353" s="24" t="s">
        <v>2545</v>
      </c>
      <c r="C353" s="25" t="s">
        <v>2546</v>
      </c>
      <c r="D353" s="23" t="s">
        <v>1850</v>
      </c>
      <c r="E353" s="43">
        <v>46125</v>
      </c>
      <c r="F353" s="26" t="s">
        <v>23</v>
      </c>
      <c r="G353" s="26" t="s">
        <v>24</v>
      </c>
      <c r="H353" s="26" t="s">
        <v>25</v>
      </c>
      <c r="I353" s="26" t="s">
        <v>26</v>
      </c>
      <c r="J353" s="26" t="s">
        <v>24</v>
      </c>
      <c r="K353" s="27"/>
      <c r="L353" s="28" t="s">
        <v>25</v>
      </c>
      <c r="M353" s="29" t="str">
        <f t="shared" si="25"/>
        <v>✓ OK</v>
      </c>
      <c r="N353" s="43">
        <v>46193</v>
      </c>
      <c r="O353" s="26" t="s">
        <v>23</v>
      </c>
      <c r="P353" s="26" t="s">
        <v>24</v>
      </c>
      <c r="Q353" s="26" t="s">
        <v>25</v>
      </c>
      <c r="R353" s="26" t="s">
        <v>26</v>
      </c>
      <c r="S353" s="26" t="s">
        <v>24</v>
      </c>
      <c r="T353" s="27"/>
      <c r="U353" s="28" t="s">
        <v>25</v>
      </c>
      <c r="V353" s="29" t="str">
        <f t="shared" si="26"/>
        <v>✓ OK</v>
      </c>
      <c r="W353" s="45">
        <v>46248</v>
      </c>
      <c r="X353" s="30" t="s">
        <v>23</v>
      </c>
      <c r="Y353" s="30" t="s">
        <v>24</v>
      </c>
      <c r="Z353" s="30" t="s">
        <v>25</v>
      </c>
      <c r="AA353" s="30" t="s">
        <v>26</v>
      </c>
      <c r="AB353" s="30" t="s">
        <v>24</v>
      </c>
      <c r="AC353" s="27"/>
      <c r="AD353" s="31" t="s">
        <v>25</v>
      </c>
      <c r="AE353" s="32" t="str">
        <f t="shared" si="27"/>
        <v>✓ OK</v>
      </c>
      <c r="AF353" s="33" t="s">
        <v>27</v>
      </c>
      <c r="AG353" s="33" t="s">
        <v>23</v>
      </c>
      <c r="AH353" s="33" t="s">
        <v>24</v>
      </c>
      <c r="AI353" s="33" t="s">
        <v>25</v>
      </c>
      <c r="AJ353" s="33" t="s">
        <v>26</v>
      </c>
      <c r="AK353" s="33" t="s">
        <v>24</v>
      </c>
      <c r="AL353" s="27"/>
      <c r="AM353" s="34" t="s">
        <v>25</v>
      </c>
      <c r="AN353" s="35" t="str">
        <f t="shared" si="28"/>
        <v>✓ OK</v>
      </c>
      <c r="AO353" s="36"/>
      <c r="AP353" s="36"/>
      <c r="AQ353" s="36"/>
      <c r="AR353" s="36"/>
      <c r="AS353" s="36"/>
      <c r="AT353" s="36"/>
      <c r="AU353" s="27"/>
      <c r="AV353" s="37"/>
      <c r="AW353" s="38" t="str">
        <f t="shared" si="29"/>
        <v/>
      </c>
    </row>
    <row r="354" spans="1:49" ht="18" customHeight="1" x14ac:dyDescent="0.3">
      <c r="A354" s="39">
        <v>350</v>
      </c>
      <c r="B354" s="40" t="s">
        <v>2547</v>
      </c>
      <c r="C354" s="41" t="s">
        <v>2548</v>
      </c>
      <c r="D354" s="39" t="s">
        <v>1850</v>
      </c>
      <c r="E354" s="43">
        <v>46125</v>
      </c>
      <c r="F354" s="26" t="s">
        <v>23</v>
      </c>
      <c r="G354" s="26" t="s">
        <v>24</v>
      </c>
      <c r="H354" s="26" t="s">
        <v>25</v>
      </c>
      <c r="I354" s="26" t="s">
        <v>26</v>
      </c>
      <c r="J354" s="26" t="s">
        <v>24</v>
      </c>
      <c r="K354" s="27"/>
      <c r="L354" s="28" t="s">
        <v>25</v>
      </c>
      <c r="M354" s="29" t="str">
        <f t="shared" si="25"/>
        <v>✓ OK</v>
      </c>
      <c r="N354" s="43">
        <v>46193</v>
      </c>
      <c r="O354" s="26" t="s">
        <v>23</v>
      </c>
      <c r="P354" s="26" t="s">
        <v>24</v>
      </c>
      <c r="Q354" s="26" t="s">
        <v>25</v>
      </c>
      <c r="R354" s="26" t="s">
        <v>26</v>
      </c>
      <c r="S354" s="26" t="s">
        <v>24</v>
      </c>
      <c r="T354" s="27"/>
      <c r="U354" s="28" t="s">
        <v>25</v>
      </c>
      <c r="V354" s="29" t="str">
        <f t="shared" si="26"/>
        <v>✓ OK</v>
      </c>
      <c r="W354" s="45">
        <v>46248</v>
      </c>
      <c r="X354" s="30" t="s">
        <v>23</v>
      </c>
      <c r="Y354" s="30" t="s">
        <v>24</v>
      </c>
      <c r="Z354" s="30" t="s">
        <v>25</v>
      </c>
      <c r="AA354" s="30" t="s">
        <v>26</v>
      </c>
      <c r="AB354" s="30" t="s">
        <v>24</v>
      </c>
      <c r="AC354" s="27"/>
      <c r="AD354" s="31" t="s">
        <v>25</v>
      </c>
      <c r="AE354" s="32" t="str">
        <f t="shared" si="27"/>
        <v>✓ OK</v>
      </c>
      <c r="AF354" s="33" t="s">
        <v>27</v>
      </c>
      <c r="AG354" s="33" t="s">
        <v>23</v>
      </c>
      <c r="AH354" s="33" t="s">
        <v>24</v>
      </c>
      <c r="AI354" s="33" t="s">
        <v>25</v>
      </c>
      <c r="AJ354" s="33" t="s">
        <v>26</v>
      </c>
      <c r="AK354" s="33" t="s">
        <v>24</v>
      </c>
      <c r="AL354" s="27"/>
      <c r="AM354" s="34" t="s">
        <v>25</v>
      </c>
      <c r="AN354" s="35" t="str">
        <f t="shared" si="28"/>
        <v>✓ OK</v>
      </c>
      <c r="AO354" s="36"/>
      <c r="AP354" s="36"/>
      <c r="AQ354" s="36"/>
      <c r="AR354" s="36"/>
      <c r="AS354" s="36"/>
      <c r="AT354" s="36"/>
      <c r="AU354" s="27"/>
      <c r="AV354" s="37"/>
      <c r="AW354" s="38" t="str">
        <f t="shared" si="29"/>
        <v/>
      </c>
    </row>
    <row r="355" spans="1:49" ht="18" customHeight="1" x14ac:dyDescent="0.3">
      <c r="A355" s="23">
        <v>351</v>
      </c>
      <c r="B355" s="24" t="s">
        <v>2549</v>
      </c>
      <c r="C355" s="25" t="s">
        <v>2550</v>
      </c>
      <c r="D355" s="23" t="s">
        <v>1850</v>
      </c>
      <c r="E355" s="43">
        <v>46125</v>
      </c>
      <c r="F355" s="26" t="s">
        <v>23</v>
      </c>
      <c r="G355" s="26" t="s">
        <v>24</v>
      </c>
      <c r="H355" s="26" t="s">
        <v>25</v>
      </c>
      <c r="I355" s="26" t="s">
        <v>26</v>
      </c>
      <c r="J355" s="26" t="s">
        <v>24</v>
      </c>
      <c r="K355" s="27"/>
      <c r="L355" s="28" t="s">
        <v>25</v>
      </c>
      <c r="M355" s="29" t="str">
        <f t="shared" si="25"/>
        <v>✓ OK</v>
      </c>
      <c r="N355" s="43">
        <v>46193</v>
      </c>
      <c r="O355" s="26" t="s">
        <v>23</v>
      </c>
      <c r="P355" s="26" t="s">
        <v>24</v>
      </c>
      <c r="Q355" s="26" t="s">
        <v>25</v>
      </c>
      <c r="R355" s="26" t="s">
        <v>26</v>
      </c>
      <c r="S355" s="26" t="s">
        <v>24</v>
      </c>
      <c r="T355" s="27"/>
      <c r="U355" s="28" t="s">
        <v>25</v>
      </c>
      <c r="V355" s="29" t="str">
        <f t="shared" si="26"/>
        <v>✓ OK</v>
      </c>
      <c r="W355" s="45">
        <v>46248</v>
      </c>
      <c r="X355" s="30" t="s">
        <v>23</v>
      </c>
      <c r="Y355" s="30" t="s">
        <v>24</v>
      </c>
      <c r="Z355" s="30" t="s">
        <v>25</v>
      </c>
      <c r="AA355" s="30" t="s">
        <v>26</v>
      </c>
      <c r="AB355" s="30" t="s">
        <v>24</v>
      </c>
      <c r="AC355" s="27"/>
      <c r="AD355" s="31" t="s">
        <v>25</v>
      </c>
      <c r="AE355" s="32" t="str">
        <f t="shared" si="27"/>
        <v>✓ OK</v>
      </c>
      <c r="AF355" s="33" t="s">
        <v>27</v>
      </c>
      <c r="AG355" s="33" t="s">
        <v>23</v>
      </c>
      <c r="AH355" s="33" t="s">
        <v>24</v>
      </c>
      <c r="AI355" s="33" t="s">
        <v>25</v>
      </c>
      <c r="AJ355" s="33" t="s">
        <v>26</v>
      </c>
      <c r="AK355" s="33" t="s">
        <v>24</v>
      </c>
      <c r="AL355" s="27"/>
      <c r="AM355" s="34" t="s">
        <v>25</v>
      </c>
      <c r="AN355" s="35" t="str">
        <f t="shared" si="28"/>
        <v>✓ OK</v>
      </c>
      <c r="AO355" s="36"/>
      <c r="AP355" s="36"/>
      <c r="AQ355" s="36"/>
      <c r="AR355" s="36"/>
      <c r="AS355" s="36"/>
      <c r="AT355" s="36"/>
      <c r="AU355" s="27"/>
      <c r="AV355" s="37"/>
      <c r="AW355" s="38" t="str">
        <f t="shared" si="29"/>
        <v/>
      </c>
    </row>
    <row r="356" spans="1:49" ht="18" customHeight="1" x14ac:dyDescent="0.3">
      <c r="A356" s="39">
        <v>352</v>
      </c>
      <c r="B356" s="40" t="s">
        <v>2551</v>
      </c>
      <c r="C356" s="41" t="s">
        <v>2552</v>
      </c>
      <c r="D356" s="39" t="s">
        <v>1850</v>
      </c>
      <c r="E356" s="43">
        <v>46125</v>
      </c>
      <c r="F356" s="26" t="s">
        <v>23</v>
      </c>
      <c r="G356" s="26" t="s">
        <v>24</v>
      </c>
      <c r="H356" s="26" t="s">
        <v>25</v>
      </c>
      <c r="I356" s="26" t="s">
        <v>26</v>
      </c>
      <c r="J356" s="26" t="s">
        <v>24</v>
      </c>
      <c r="K356" s="27"/>
      <c r="L356" s="28" t="s">
        <v>25</v>
      </c>
      <c r="M356" s="29" t="str">
        <f t="shared" si="25"/>
        <v>✓ OK</v>
      </c>
      <c r="N356" s="43">
        <v>46193</v>
      </c>
      <c r="O356" s="26" t="s">
        <v>23</v>
      </c>
      <c r="P356" s="26" t="s">
        <v>24</v>
      </c>
      <c r="Q356" s="26" t="s">
        <v>25</v>
      </c>
      <c r="R356" s="26" t="s">
        <v>26</v>
      </c>
      <c r="S356" s="26" t="s">
        <v>24</v>
      </c>
      <c r="T356" s="27"/>
      <c r="U356" s="28" t="s">
        <v>25</v>
      </c>
      <c r="V356" s="29" t="str">
        <f t="shared" si="26"/>
        <v>✓ OK</v>
      </c>
      <c r="W356" s="45">
        <v>46248</v>
      </c>
      <c r="X356" s="30" t="s">
        <v>23</v>
      </c>
      <c r="Y356" s="30" t="s">
        <v>24</v>
      </c>
      <c r="Z356" s="30" t="s">
        <v>25</v>
      </c>
      <c r="AA356" s="30" t="s">
        <v>26</v>
      </c>
      <c r="AB356" s="30" t="s">
        <v>24</v>
      </c>
      <c r="AC356" s="27"/>
      <c r="AD356" s="31" t="s">
        <v>25</v>
      </c>
      <c r="AE356" s="32" t="str">
        <f t="shared" si="27"/>
        <v>✓ OK</v>
      </c>
      <c r="AF356" s="33" t="s">
        <v>27</v>
      </c>
      <c r="AG356" s="33" t="s">
        <v>23</v>
      </c>
      <c r="AH356" s="33" t="s">
        <v>24</v>
      </c>
      <c r="AI356" s="33" t="s">
        <v>25</v>
      </c>
      <c r="AJ356" s="33" t="s">
        <v>26</v>
      </c>
      <c r="AK356" s="33" t="s">
        <v>24</v>
      </c>
      <c r="AL356" s="27"/>
      <c r="AM356" s="34" t="s">
        <v>25</v>
      </c>
      <c r="AN356" s="35" t="str">
        <f t="shared" si="28"/>
        <v>✓ OK</v>
      </c>
      <c r="AO356" s="36"/>
      <c r="AP356" s="36"/>
      <c r="AQ356" s="36"/>
      <c r="AR356" s="36"/>
      <c r="AS356" s="36"/>
      <c r="AT356" s="36"/>
      <c r="AU356" s="27"/>
      <c r="AV356" s="37"/>
      <c r="AW356" s="38" t="str">
        <f t="shared" si="29"/>
        <v/>
      </c>
    </row>
    <row r="357" spans="1:49" ht="18" customHeight="1" x14ac:dyDescent="0.3">
      <c r="A357" s="23">
        <v>353</v>
      </c>
      <c r="B357" s="24" t="s">
        <v>2553</v>
      </c>
      <c r="C357" s="25" t="s">
        <v>2554</v>
      </c>
      <c r="D357" s="23" t="s">
        <v>1850</v>
      </c>
      <c r="E357" s="43">
        <v>46125</v>
      </c>
      <c r="F357" s="26" t="s">
        <v>23</v>
      </c>
      <c r="G357" s="26" t="s">
        <v>24</v>
      </c>
      <c r="H357" s="26" t="s">
        <v>25</v>
      </c>
      <c r="I357" s="26" t="s">
        <v>26</v>
      </c>
      <c r="J357" s="26" t="s">
        <v>24</v>
      </c>
      <c r="K357" s="27"/>
      <c r="L357" s="28" t="s">
        <v>25</v>
      </c>
      <c r="M357" s="29" t="str">
        <f t="shared" si="25"/>
        <v>✓ OK</v>
      </c>
      <c r="N357" s="43">
        <v>46193</v>
      </c>
      <c r="O357" s="26" t="s">
        <v>23</v>
      </c>
      <c r="P357" s="26" t="s">
        <v>24</v>
      </c>
      <c r="Q357" s="26" t="s">
        <v>25</v>
      </c>
      <c r="R357" s="26" t="s">
        <v>26</v>
      </c>
      <c r="S357" s="26" t="s">
        <v>24</v>
      </c>
      <c r="T357" s="27"/>
      <c r="U357" s="28" t="s">
        <v>25</v>
      </c>
      <c r="V357" s="29" t="str">
        <f t="shared" si="26"/>
        <v>✓ OK</v>
      </c>
      <c r="W357" s="45">
        <v>46248</v>
      </c>
      <c r="X357" s="30" t="s">
        <v>23</v>
      </c>
      <c r="Y357" s="30" t="s">
        <v>24</v>
      </c>
      <c r="Z357" s="30" t="s">
        <v>25</v>
      </c>
      <c r="AA357" s="30" t="s">
        <v>26</v>
      </c>
      <c r="AB357" s="30" t="s">
        <v>24</v>
      </c>
      <c r="AC357" s="27"/>
      <c r="AD357" s="31" t="s">
        <v>25</v>
      </c>
      <c r="AE357" s="32" t="str">
        <f t="shared" si="27"/>
        <v>✓ OK</v>
      </c>
      <c r="AF357" s="33" t="s">
        <v>27</v>
      </c>
      <c r="AG357" s="33" t="s">
        <v>23</v>
      </c>
      <c r="AH357" s="33" t="s">
        <v>24</v>
      </c>
      <c r="AI357" s="33" t="s">
        <v>25</v>
      </c>
      <c r="AJ357" s="33" t="s">
        <v>26</v>
      </c>
      <c r="AK357" s="33" t="s">
        <v>24</v>
      </c>
      <c r="AL357" s="27"/>
      <c r="AM357" s="34" t="s">
        <v>25</v>
      </c>
      <c r="AN357" s="35" t="str">
        <f t="shared" si="28"/>
        <v>✓ OK</v>
      </c>
      <c r="AO357" s="36"/>
      <c r="AP357" s="36"/>
      <c r="AQ357" s="36"/>
      <c r="AR357" s="36"/>
      <c r="AS357" s="36"/>
      <c r="AT357" s="36"/>
      <c r="AU357" s="27"/>
      <c r="AV357" s="37"/>
      <c r="AW357" s="38" t="str">
        <f t="shared" si="29"/>
        <v/>
      </c>
    </row>
    <row r="358" spans="1:49" ht="18" customHeight="1" x14ac:dyDescent="0.3">
      <c r="A358" s="39">
        <v>354</v>
      </c>
      <c r="B358" s="40" t="s">
        <v>2555</v>
      </c>
      <c r="C358" s="41" t="s">
        <v>2556</v>
      </c>
      <c r="D358" s="39" t="s">
        <v>1850</v>
      </c>
      <c r="E358" s="43">
        <v>46125</v>
      </c>
      <c r="F358" s="26" t="s">
        <v>23</v>
      </c>
      <c r="G358" s="26" t="s">
        <v>24</v>
      </c>
      <c r="H358" s="26" t="s">
        <v>25</v>
      </c>
      <c r="I358" s="26" t="s">
        <v>26</v>
      </c>
      <c r="J358" s="26" t="s">
        <v>24</v>
      </c>
      <c r="K358" s="27"/>
      <c r="L358" s="28" t="s">
        <v>25</v>
      </c>
      <c r="M358" s="29" t="str">
        <f t="shared" si="25"/>
        <v>✓ OK</v>
      </c>
      <c r="N358" s="43">
        <v>46193</v>
      </c>
      <c r="O358" s="26" t="s">
        <v>23</v>
      </c>
      <c r="P358" s="26" t="s">
        <v>24</v>
      </c>
      <c r="Q358" s="26" t="s">
        <v>25</v>
      </c>
      <c r="R358" s="26" t="s">
        <v>26</v>
      </c>
      <c r="S358" s="26" t="s">
        <v>24</v>
      </c>
      <c r="T358" s="27"/>
      <c r="U358" s="28" t="s">
        <v>25</v>
      </c>
      <c r="V358" s="29" t="str">
        <f t="shared" si="26"/>
        <v>✓ OK</v>
      </c>
      <c r="W358" s="45">
        <v>46248</v>
      </c>
      <c r="X358" s="30" t="s">
        <v>23</v>
      </c>
      <c r="Y358" s="30" t="s">
        <v>24</v>
      </c>
      <c r="Z358" s="30" t="s">
        <v>25</v>
      </c>
      <c r="AA358" s="30" t="s">
        <v>26</v>
      </c>
      <c r="AB358" s="30" t="s">
        <v>24</v>
      </c>
      <c r="AC358" s="27"/>
      <c r="AD358" s="31" t="s">
        <v>25</v>
      </c>
      <c r="AE358" s="32" t="str">
        <f t="shared" si="27"/>
        <v>✓ OK</v>
      </c>
      <c r="AF358" s="33" t="s">
        <v>27</v>
      </c>
      <c r="AG358" s="33" t="s">
        <v>23</v>
      </c>
      <c r="AH358" s="33" t="s">
        <v>24</v>
      </c>
      <c r="AI358" s="33" t="s">
        <v>25</v>
      </c>
      <c r="AJ358" s="33" t="s">
        <v>26</v>
      </c>
      <c r="AK358" s="33" t="s">
        <v>24</v>
      </c>
      <c r="AL358" s="27"/>
      <c r="AM358" s="34" t="s">
        <v>25</v>
      </c>
      <c r="AN358" s="35" t="str">
        <f t="shared" si="28"/>
        <v>✓ OK</v>
      </c>
      <c r="AO358" s="36"/>
      <c r="AP358" s="36"/>
      <c r="AQ358" s="36"/>
      <c r="AR358" s="36"/>
      <c r="AS358" s="36"/>
      <c r="AT358" s="36"/>
      <c r="AU358" s="27"/>
      <c r="AV358" s="37"/>
      <c r="AW358" s="38" t="str">
        <f t="shared" si="29"/>
        <v/>
      </c>
    </row>
    <row r="359" spans="1:49" ht="18" customHeight="1" x14ac:dyDescent="0.3">
      <c r="A359" s="23">
        <v>355</v>
      </c>
      <c r="B359" s="24" t="s">
        <v>2557</v>
      </c>
      <c r="C359" s="25" t="s">
        <v>2558</v>
      </c>
      <c r="D359" s="23" t="s">
        <v>1850</v>
      </c>
      <c r="E359" s="43">
        <v>46125</v>
      </c>
      <c r="F359" s="26" t="s">
        <v>23</v>
      </c>
      <c r="G359" s="26" t="s">
        <v>24</v>
      </c>
      <c r="H359" s="26" t="s">
        <v>25</v>
      </c>
      <c r="I359" s="26" t="s">
        <v>26</v>
      </c>
      <c r="J359" s="26" t="s">
        <v>24</v>
      </c>
      <c r="K359" s="27"/>
      <c r="L359" s="28" t="s">
        <v>25</v>
      </c>
      <c r="M359" s="29" t="str">
        <f t="shared" si="25"/>
        <v>✓ OK</v>
      </c>
      <c r="N359" s="43">
        <v>46193</v>
      </c>
      <c r="O359" s="26" t="s">
        <v>23</v>
      </c>
      <c r="P359" s="26" t="s">
        <v>24</v>
      </c>
      <c r="Q359" s="26" t="s">
        <v>25</v>
      </c>
      <c r="R359" s="26" t="s">
        <v>26</v>
      </c>
      <c r="S359" s="26" t="s">
        <v>24</v>
      </c>
      <c r="T359" s="27"/>
      <c r="U359" s="28" t="s">
        <v>25</v>
      </c>
      <c r="V359" s="29" t="str">
        <f t="shared" si="26"/>
        <v>✓ OK</v>
      </c>
      <c r="W359" s="45">
        <v>46248</v>
      </c>
      <c r="X359" s="30" t="s">
        <v>23</v>
      </c>
      <c r="Y359" s="30" t="s">
        <v>24</v>
      </c>
      <c r="Z359" s="30" t="s">
        <v>25</v>
      </c>
      <c r="AA359" s="30" t="s">
        <v>26</v>
      </c>
      <c r="AB359" s="30" t="s">
        <v>24</v>
      </c>
      <c r="AC359" s="27"/>
      <c r="AD359" s="31" t="s">
        <v>25</v>
      </c>
      <c r="AE359" s="32" t="str">
        <f t="shared" si="27"/>
        <v>✓ OK</v>
      </c>
      <c r="AF359" s="33" t="s">
        <v>27</v>
      </c>
      <c r="AG359" s="33" t="s">
        <v>23</v>
      </c>
      <c r="AH359" s="33" t="s">
        <v>24</v>
      </c>
      <c r="AI359" s="33" t="s">
        <v>25</v>
      </c>
      <c r="AJ359" s="33" t="s">
        <v>26</v>
      </c>
      <c r="AK359" s="33" t="s">
        <v>24</v>
      </c>
      <c r="AL359" s="27"/>
      <c r="AM359" s="34" t="s">
        <v>25</v>
      </c>
      <c r="AN359" s="35" t="str">
        <f t="shared" si="28"/>
        <v>✓ OK</v>
      </c>
      <c r="AO359" s="36"/>
      <c r="AP359" s="36"/>
      <c r="AQ359" s="36"/>
      <c r="AR359" s="36"/>
      <c r="AS359" s="36"/>
      <c r="AT359" s="36"/>
      <c r="AU359" s="27"/>
      <c r="AV359" s="37"/>
      <c r="AW359" s="38" t="str">
        <f t="shared" si="29"/>
        <v/>
      </c>
    </row>
    <row r="360" spans="1:49" ht="18" customHeight="1" x14ac:dyDescent="0.3">
      <c r="A360" s="39">
        <v>356</v>
      </c>
      <c r="B360" s="40" t="s">
        <v>2559</v>
      </c>
      <c r="C360" s="41" t="s">
        <v>2560</v>
      </c>
      <c r="D360" s="39" t="s">
        <v>1850</v>
      </c>
      <c r="E360" s="43">
        <v>46125</v>
      </c>
      <c r="F360" s="26" t="s">
        <v>23</v>
      </c>
      <c r="G360" s="26" t="s">
        <v>24</v>
      </c>
      <c r="H360" s="26" t="s">
        <v>25</v>
      </c>
      <c r="I360" s="26" t="s">
        <v>26</v>
      </c>
      <c r="J360" s="26" t="s">
        <v>24</v>
      </c>
      <c r="K360" s="27"/>
      <c r="L360" s="28" t="s">
        <v>25</v>
      </c>
      <c r="M360" s="29" t="str">
        <f t="shared" si="25"/>
        <v>✓ OK</v>
      </c>
      <c r="N360" s="43">
        <v>46193</v>
      </c>
      <c r="O360" s="26" t="s">
        <v>23</v>
      </c>
      <c r="P360" s="26" t="s">
        <v>24</v>
      </c>
      <c r="Q360" s="26" t="s">
        <v>25</v>
      </c>
      <c r="R360" s="26" t="s">
        <v>26</v>
      </c>
      <c r="S360" s="26" t="s">
        <v>24</v>
      </c>
      <c r="T360" s="27"/>
      <c r="U360" s="28" t="s">
        <v>25</v>
      </c>
      <c r="V360" s="29" t="str">
        <f t="shared" si="26"/>
        <v>✓ OK</v>
      </c>
      <c r="W360" s="45">
        <v>46248</v>
      </c>
      <c r="X360" s="30" t="s">
        <v>23</v>
      </c>
      <c r="Y360" s="30" t="s">
        <v>24</v>
      </c>
      <c r="Z360" s="30" t="s">
        <v>25</v>
      </c>
      <c r="AA360" s="30" t="s">
        <v>26</v>
      </c>
      <c r="AB360" s="30" t="s">
        <v>24</v>
      </c>
      <c r="AC360" s="27"/>
      <c r="AD360" s="31" t="s">
        <v>25</v>
      </c>
      <c r="AE360" s="32" t="str">
        <f t="shared" si="27"/>
        <v>✓ OK</v>
      </c>
      <c r="AF360" s="33" t="s">
        <v>27</v>
      </c>
      <c r="AG360" s="33" t="s">
        <v>23</v>
      </c>
      <c r="AH360" s="33" t="s">
        <v>24</v>
      </c>
      <c r="AI360" s="33" t="s">
        <v>25</v>
      </c>
      <c r="AJ360" s="33" t="s">
        <v>26</v>
      </c>
      <c r="AK360" s="33" t="s">
        <v>24</v>
      </c>
      <c r="AL360" s="27"/>
      <c r="AM360" s="34" t="s">
        <v>25</v>
      </c>
      <c r="AN360" s="35" t="str">
        <f t="shared" si="28"/>
        <v>✓ OK</v>
      </c>
      <c r="AO360" s="36"/>
      <c r="AP360" s="36"/>
      <c r="AQ360" s="36"/>
      <c r="AR360" s="36"/>
      <c r="AS360" s="36"/>
      <c r="AT360" s="36"/>
      <c r="AU360" s="27"/>
      <c r="AV360" s="37"/>
      <c r="AW360" s="38" t="str">
        <f t="shared" si="29"/>
        <v/>
      </c>
    </row>
    <row r="361" spans="1:49" ht="18" customHeight="1" x14ac:dyDescent="0.3">
      <c r="A361" s="23">
        <v>357</v>
      </c>
      <c r="B361" s="24" t="s">
        <v>2561</v>
      </c>
      <c r="C361" s="25" t="s">
        <v>2562</v>
      </c>
      <c r="D361" s="23" t="s">
        <v>1850</v>
      </c>
      <c r="E361" s="43">
        <v>46125</v>
      </c>
      <c r="F361" s="26" t="s">
        <v>23</v>
      </c>
      <c r="G361" s="26" t="s">
        <v>24</v>
      </c>
      <c r="H361" s="26" t="s">
        <v>25</v>
      </c>
      <c r="I361" s="26" t="s">
        <v>26</v>
      </c>
      <c r="J361" s="26" t="s">
        <v>24</v>
      </c>
      <c r="K361" s="27"/>
      <c r="L361" s="28" t="s">
        <v>25</v>
      </c>
      <c r="M361" s="29" t="str">
        <f t="shared" si="25"/>
        <v>✓ OK</v>
      </c>
      <c r="N361" s="43">
        <v>46193</v>
      </c>
      <c r="O361" s="26" t="s">
        <v>23</v>
      </c>
      <c r="P361" s="26" t="s">
        <v>24</v>
      </c>
      <c r="Q361" s="26" t="s">
        <v>25</v>
      </c>
      <c r="R361" s="26" t="s">
        <v>26</v>
      </c>
      <c r="S361" s="26" t="s">
        <v>24</v>
      </c>
      <c r="T361" s="27"/>
      <c r="U361" s="28" t="s">
        <v>25</v>
      </c>
      <c r="V361" s="29" t="str">
        <f t="shared" si="26"/>
        <v>✓ OK</v>
      </c>
      <c r="W361" s="45">
        <v>46248</v>
      </c>
      <c r="X361" s="30" t="s">
        <v>23</v>
      </c>
      <c r="Y361" s="30" t="s">
        <v>24</v>
      </c>
      <c r="Z361" s="30" t="s">
        <v>25</v>
      </c>
      <c r="AA361" s="30" t="s">
        <v>26</v>
      </c>
      <c r="AB361" s="30" t="s">
        <v>24</v>
      </c>
      <c r="AC361" s="27"/>
      <c r="AD361" s="31" t="s">
        <v>25</v>
      </c>
      <c r="AE361" s="32" t="str">
        <f t="shared" si="27"/>
        <v>✓ OK</v>
      </c>
      <c r="AF361" s="33" t="s">
        <v>27</v>
      </c>
      <c r="AG361" s="33" t="s">
        <v>23</v>
      </c>
      <c r="AH361" s="33" t="s">
        <v>24</v>
      </c>
      <c r="AI361" s="33" t="s">
        <v>25</v>
      </c>
      <c r="AJ361" s="33" t="s">
        <v>26</v>
      </c>
      <c r="AK361" s="33" t="s">
        <v>24</v>
      </c>
      <c r="AL361" s="27"/>
      <c r="AM361" s="34" t="s">
        <v>25</v>
      </c>
      <c r="AN361" s="35" t="str">
        <f t="shared" si="28"/>
        <v>✓ OK</v>
      </c>
      <c r="AO361" s="36"/>
      <c r="AP361" s="36"/>
      <c r="AQ361" s="36"/>
      <c r="AR361" s="36"/>
      <c r="AS361" s="36"/>
      <c r="AT361" s="36"/>
      <c r="AU361" s="27"/>
      <c r="AV361" s="37"/>
      <c r="AW361" s="38" t="str">
        <f t="shared" si="29"/>
        <v/>
      </c>
    </row>
    <row r="362" spans="1:49" ht="18" customHeight="1" x14ac:dyDescent="0.3">
      <c r="A362" s="39">
        <v>358</v>
      </c>
      <c r="B362" s="40" t="s">
        <v>2563</v>
      </c>
      <c r="C362" s="41" t="s">
        <v>2564</v>
      </c>
      <c r="D362" s="39" t="s">
        <v>1850</v>
      </c>
      <c r="E362" s="43">
        <v>46125</v>
      </c>
      <c r="F362" s="26" t="s">
        <v>23</v>
      </c>
      <c r="G362" s="26" t="s">
        <v>24</v>
      </c>
      <c r="H362" s="26" t="s">
        <v>25</v>
      </c>
      <c r="I362" s="26" t="s">
        <v>26</v>
      </c>
      <c r="J362" s="26" t="s">
        <v>24</v>
      </c>
      <c r="K362" s="27"/>
      <c r="L362" s="28" t="s">
        <v>25</v>
      </c>
      <c r="M362" s="29" t="str">
        <f t="shared" si="25"/>
        <v>✓ OK</v>
      </c>
      <c r="N362" s="43">
        <v>46193</v>
      </c>
      <c r="O362" s="26" t="s">
        <v>23</v>
      </c>
      <c r="P362" s="26" t="s">
        <v>24</v>
      </c>
      <c r="Q362" s="26" t="s">
        <v>25</v>
      </c>
      <c r="R362" s="26" t="s">
        <v>26</v>
      </c>
      <c r="S362" s="26" t="s">
        <v>24</v>
      </c>
      <c r="T362" s="27"/>
      <c r="U362" s="28" t="s">
        <v>25</v>
      </c>
      <c r="V362" s="29" t="str">
        <f t="shared" si="26"/>
        <v>✓ OK</v>
      </c>
      <c r="W362" s="45">
        <v>46248</v>
      </c>
      <c r="X362" s="30" t="s">
        <v>23</v>
      </c>
      <c r="Y362" s="30" t="s">
        <v>24</v>
      </c>
      <c r="Z362" s="30" t="s">
        <v>25</v>
      </c>
      <c r="AA362" s="30" t="s">
        <v>26</v>
      </c>
      <c r="AB362" s="30" t="s">
        <v>24</v>
      </c>
      <c r="AC362" s="27"/>
      <c r="AD362" s="31" t="s">
        <v>25</v>
      </c>
      <c r="AE362" s="32" t="str">
        <f t="shared" si="27"/>
        <v>✓ OK</v>
      </c>
      <c r="AF362" s="33" t="s">
        <v>27</v>
      </c>
      <c r="AG362" s="33" t="s">
        <v>23</v>
      </c>
      <c r="AH362" s="33" t="s">
        <v>24</v>
      </c>
      <c r="AI362" s="33" t="s">
        <v>25</v>
      </c>
      <c r="AJ362" s="33" t="s">
        <v>26</v>
      </c>
      <c r="AK362" s="33" t="s">
        <v>24</v>
      </c>
      <c r="AL362" s="27"/>
      <c r="AM362" s="34" t="s">
        <v>25</v>
      </c>
      <c r="AN362" s="35" t="str">
        <f t="shared" si="28"/>
        <v>✓ OK</v>
      </c>
      <c r="AO362" s="36"/>
      <c r="AP362" s="36"/>
      <c r="AQ362" s="36"/>
      <c r="AR362" s="36"/>
      <c r="AS362" s="36"/>
      <c r="AT362" s="36"/>
      <c r="AU362" s="27"/>
      <c r="AV362" s="37"/>
      <c r="AW362" s="38" t="str">
        <f t="shared" si="29"/>
        <v/>
      </c>
    </row>
    <row r="363" spans="1:49" ht="18" customHeight="1" x14ac:dyDescent="0.3">
      <c r="A363" s="23">
        <v>359</v>
      </c>
      <c r="B363" s="24" t="s">
        <v>2565</v>
      </c>
      <c r="C363" s="25" t="s">
        <v>2566</v>
      </c>
      <c r="D363" s="23" t="s">
        <v>1850</v>
      </c>
      <c r="E363" s="43">
        <v>46125</v>
      </c>
      <c r="F363" s="26" t="s">
        <v>23</v>
      </c>
      <c r="G363" s="26" t="s">
        <v>24</v>
      </c>
      <c r="H363" s="26" t="s">
        <v>25</v>
      </c>
      <c r="I363" s="26" t="s">
        <v>26</v>
      </c>
      <c r="J363" s="26" t="s">
        <v>24</v>
      </c>
      <c r="K363" s="27"/>
      <c r="L363" s="28" t="s">
        <v>25</v>
      </c>
      <c r="M363" s="29" t="str">
        <f t="shared" si="25"/>
        <v>✓ OK</v>
      </c>
      <c r="N363" s="43">
        <v>46193</v>
      </c>
      <c r="O363" s="26" t="s">
        <v>23</v>
      </c>
      <c r="P363" s="26" t="s">
        <v>24</v>
      </c>
      <c r="Q363" s="26" t="s">
        <v>25</v>
      </c>
      <c r="R363" s="26" t="s">
        <v>26</v>
      </c>
      <c r="S363" s="26" t="s">
        <v>24</v>
      </c>
      <c r="T363" s="27"/>
      <c r="U363" s="28" t="s">
        <v>25</v>
      </c>
      <c r="V363" s="29" t="str">
        <f t="shared" si="26"/>
        <v>✓ OK</v>
      </c>
      <c r="W363" s="45">
        <v>46248</v>
      </c>
      <c r="X363" s="30" t="s">
        <v>23</v>
      </c>
      <c r="Y363" s="30" t="s">
        <v>24</v>
      </c>
      <c r="Z363" s="30" t="s">
        <v>25</v>
      </c>
      <c r="AA363" s="30" t="s">
        <v>26</v>
      </c>
      <c r="AB363" s="30" t="s">
        <v>24</v>
      </c>
      <c r="AC363" s="27"/>
      <c r="AD363" s="31" t="s">
        <v>25</v>
      </c>
      <c r="AE363" s="32" t="str">
        <f t="shared" si="27"/>
        <v>✓ OK</v>
      </c>
      <c r="AF363" s="33" t="s">
        <v>27</v>
      </c>
      <c r="AG363" s="33" t="s">
        <v>23</v>
      </c>
      <c r="AH363" s="33" t="s">
        <v>24</v>
      </c>
      <c r="AI363" s="33" t="s">
        <v>25</v>
      </c>
      <c r="AJ363" s="33" t="s">
        <v>26</v>
      </c>
      <c r="AK363" s="33" t="s">
        <v>24</v>
      </c>
      <c r="AL363" s="27"/>
      <c r="AM363" s="34" t="s">
        <v>25</v>
      </c>
      <c r="AN363" s="35" t="str">
        <f t="shared" si="28"/>
        <v>✓ OK</v>
      </c>
      <c r="AO363" s="36"/>
      <c r="AP363" s="36"/>
      <c r="AQ363" s="36"/>
      <c r="AR363" s="36"/>
      <c r="AS363" s="36"/>
      <c r="AT363" s="36"/>
      <c r="AU363" s="27"/>
      <c r="AV363" s="37"/>
      <c r="AW363" s="38" t="str">
        <f t="shared" si="29"/>
        <v/>
      </c>
    </row>
    <row r="364" spans="1:49" ht="18" customHeight="1" x14ac:dyDescent="0.3">
      <c r="A364" s="39">
        <v>360</v>
      </c>
      <c r="B364" s="40" t="s">
        <v>2567</v>
      </c>
      <c r="C364" s="41" t="s">
        <v>2568</v>
      </c>
      <c r="D364" s="39" t="s">
        <v>1850</v>
      </c>
      <c r="E364" s="43">
        <v>46125</v>
      </c>
      <c r="F364" s="26" t="s">
        <v>23</v>
      </c>
      <c r="G364" s="26" t="s">
        <v>24</v>
      </c>
      <c r="H364" s="26" t="s">
        <v>25</v>
      </c>
      <c r="I364" s="26" t="s">
        <v>26</v>
      </c>
      <c r="J364" s="26" t="s">
        <v>24</v>
      </c>
      <c r="K364" s="27"/>
      <c r="L364" s="28" t="s">
        <v>25</v>
      </c>
      <c r="M364" s="29" t="str">
        <f t="shared" si="25"/>
        <v>✓ OK</v>
      </c>
      <c r="N364" s="43">
        <v>46193</v>
      </c>
      <c r="O364" s="26" t="s">
        <v>23</v>
      </c>
      <c r="P364" s="26" t="s">
        <v>24</v>
      </c>
      <c r="Q364" s="26" t="s">
        <v>25</v>
      </c>
      <c r="R364" s="26" t="s">
        <v>26</v>
      </c>
      <c r="S364" s="26" t="s">
        <v>24</v>
      </c>
      <c r="T364" s="27"/>
      <c r="U364" s="28" t="s">
        <v>25</v>
      </c>
      <c r="V364" s="29" t="str">
        <f t="shared" si="26"/>
        <v>✓ OK</v>
      </c>
      <c r="W364" s="45">
        <v>46248</v>
      </c>
      <c r="X364" s="30" t="s">
        <v>23</v>
      </c>
      <c r="Y364" s="30" t="s">
        <v>24</v>
      </c>
      <c r="Z364" s="30" t="s">
        <v>25</v>
      </c>
      <c r="AA364" s="30" t="s">
        <v>26</v>
      </c>
      <c r="AB364" s="30" t="s">
        <v>24</v>
      </c>
      <c r="AC364" s="27"/>
      <c r="AD364" s="31" t="s">
        <v>25</v>
      </c>
      <c r="AE364" s="32" t="str">
        <f t="shared" si="27"/>
        <v>✓ OK</v>
      </c>
      <c r="AF364" s="33" t="s">
        <v>27</v>
      </c>
      <c r="AG364" s="33" t="s">
        <v>23</v>
      </c>
      <c r="AH364" s="33" t="s">
        <v>24</v>
      </c>
      <c r="AI364" s="33" t="s">
        <v>25</v>
      </c>
      <c r="AJ364" s="33" t="s">
        <v>26</v>
      </c>
      <c r="AK364" s="33" t="s">
        <v>24</v>
      </c>
      <c r="AL364" s="27"/>
      <c r="AM364" s="34" t="s">
        <v>25</v>
      </c>
      <c r="AN364" s="35" t="str">
        <f t="shared" si="28"/>
        <v>✓ OK</v>
      </c>
      <c r="AO364" s="36"/>
      <c r="AP364" s="36"/>
      <c r="AQ364" s="36"/>
      <c r="AR364" s="36"/>
      <c r="AS364" s="36"/>
      <c r="AT364" s="36"/>
      <c r="AU364" s="27"/>
      <c r="AV364" s="37"/>
      <c r="AW364" s="38" t="str">
        <f t="shared" si="29"/>
        <v/>
      </c>
    </row>
    <row r="365" spans="1:49" ht="18" customHeight="1" x14ac:dyDescent="0.3">
      <c r="A365" s="23">
        <v>361</v>
      </c>
      <c r="B365" s="24" t="s">
        <v>2569</v>
      </c>
      <c r="C365" s="25" t="s">
        <v>2570</v>
      </c>
      <c r="D365" s="23" t="s">
        <v>1850</v>
      </c>
      <c r="E365" s="43">
        <v>46125</v>
      </c>
      <c r="F365" s="26" t="s">
        <v>23</v>
      </c>
      <c r="G365" s="26" t="s">
        <v>24</v>
      </c>
      <c r="H365" s="26" t="s">
        <v>25</v>
      </c>
      <c r="I365" s="26" t="s">
        <v>26</v>
      </c>
      <c r="J365" s="26" t="s">
        <v>24</v>
      </c>
      <c r="K365" s="27"/>
      <c r="L365" s="28" t="s">
        <v>25</v>
      </c>
      <c r="M365" s="29" t="str">
        <f t="shared" si="25"/>
        <v>✓ OK</v>
      </c>
      <c r="N365" s="43">
        <v>46193</v>
      </c>
      <c r="O365" s="26" t="s">
        <v>23</v>
      </c>
      <c r="P365" s="26" t="s">
        <v>24</v>
      </c>
      <c r="Q365" s="26" t="s">
        <v>25</v>
      </c>
      <c r="R365" s="26" t="s">
        <v>26</v>
      </c>
      <c r="S365" s="26" t="s">
        <v>24</v>
      </c>
      <c r="T365" s="27"/>
      <c r="U365" s="28" t="s">
        <v>25</v>
      </c>
      <c r="V365" s="29" t="str">
        <f t="shared" si="26"/>
        <v>✓ OK</v>
      </c>
      <c r="W365" s="45">
        <v>46248</v>
      </c>
      <c r="X365" s="30" t="s">
        <v>23</v>
      </c>
      <c r="Y365" s="30" t="s">
        <v>24</v>
      </c>
      <c r="Z365" s="30" t="s">
        <v>25</v>
      </c>
      <c r="AA365" s="30" t="s">
        <v>26</v>
      </c>
      <c r="AB365" s="30" t="s">
        <v>24</v>
      </c>
      <c r="AC365" s="27"/>
      <c r="AD365" s="31" t="s">
        <v>25</v>
      </c>
      <c r="AE365" s="32" t="str">
        <f t="shared" si="27"/>
        <v>✓ OK</v>
      </c>
      <c r="AF365" s="33" t="s">
        <v>27</v>
      </c>
      <c r="AG365" s="33" t="s">
        <v>23</v>
      </c>
      <c r="AH365" s="33" t="s">
        <v>24</v>
      </c>
      <c r="AI365" s="33" t="s">
        <v>25</v>
      </c>
      <c r="AJ365" s="33" t="s">
        <v>26</v>
      </c>
      <c r="AK365" s="33" t="s">
        <v>24</v>
      </c>
      <c r="AL365" s="27"/>
      <c r="AM365" s="34" t="s">
        <v>25</v>
      </c>
      <c r="AN365" s="35" t="str">
        <f t="shared" si="28"/>
        <v>✓ OK</v>
      </c>
      <c r="AO365" s="36"/>
      <c r="AP365" s="36"/>
      <c r="AQ365" s="36"/>
      <c r="AR365" s="36"/>
      <c r="AS365" s="36"/>
      <c r="AT365" s="36"/>
      <c r="AU365" s="27"/>
      <c r="AV365" s="37"/>
      <c r="AW365" s="38" t="str">
        <f t="shared" si="29"/>
        <v/>
      </c>
    </row>
    <row r="366" spans="1:49" ht="18" customHeight="1" x14ac:dyDescent="0.3">
      <c r="A366" s="39">
        <v>362</v>
      </c>
      <c r="B366" s="40" t="s">
        <v>2571</v>
      </c>
      <c r="C366" s="41" t="s">
        <v>2572</v>
      </c>
      <c r="D366" s="39" t="s">
        <v>1850</v>
      </c>
      <c r="E366" s="43">
        <v>46125</v>
      </c>
      <c r="F366" s="26" t="s">
        <v>23</v>
      </c>
      <c r="G366" s="26" t="s">
        <v>24</v>
      </c>
      <c r="H366" s="26" t="s">
        <v>25</v>
      </c>
      <c r="I366" s="26" t="s">
        <v>26</v>
      </c>
      <c r="J366" s="26" t="s">
        <v>24</v>
      </c>
      <c r="K366" s="27"/>
      <c r="L366" s="28" t="s">
        <v>25</v>
      </c>
      <c r="M366" s="29" t="str">
        <f t="shared" si="25"/>
        <v>✓ OK</v>
      </c>
      <c r="N366" s="43">
        <v>46193</v>
      </c>
      <c r="O366" s="26" t="s">
        <v>23</v>
      </c>
      <c r="P366" s="26" t="s">
        <v>24</v>
      </c>
      <c r="Q366" s="26" t="s">
        <v>25</v>
      </c>
      <c r="R366" s="26" t="s">
        <v>26</v>
      </c>
      <c r="S366" s="26" t="s">
        <v>24</v>
      </c>
      <c r="T366" s="27"/>
      <c r="U366" s="28" t="s">
        <v>25</v>
      </c>
      <c r="V366" s="29" t="str">
        <f t="shared" si="26"/>
        <v>✓ OK</v>
      </c>
      <c r="W366" s="45">
        <v>46248</v>
      </c>
      <c r="X366" s="30" t="s">
        <v>23</v>
      </c>
      <c r="Y366" s="30" t="s">
        <v>24</v>
      </c>
      <c r="Z366" s="30" t="s">
        <v>25</v>
      </c>
      <c r="AA366" s="30" t="s">
        <v>26</v>
      </c>
      <c r="AB366" s="30" t="s">
        <v>24</v>
      </c>
      <c r="AC366" s="27"/>
      <c r="AD366" s="31" t="s">
        <v>25</v>
      </c>
      <c r="AE366" s="32" t="str">
        <f t="shared" si="27"/>
        <v>✓ OK</v>
      </c>
      <c r="AF366" s="33" t="s">
        <v>27</v>
      </c>
      <c r="AG366" s="33" t="s">
        <v>23</v>
      </c>
      <c r="AH366" s="33" t="s">
        <v>24</v>
      </c>
      <c r="AI366" s="33" t="s">
        <v>25</v>
      </c>
      <c r="AJ366" s="33" t="s">
        <v>26</v>
      </c>
      <c r="AK366" s="33" t="s">
        <v>24</v>
      </c>
      <c r="AL366" s="27"/>
      <c r="AM366" s="34" t="s">
        <v>25</v>
      </c>
      <c r="AN366" s="35" t="str">
        <f t="shared" si="28"/>
        <v>✓ OK</v>
      </c>
      <c r="AO366" s="36"/>
      <c r="AP366" s="36"/>
      <c r="AQ366" s="36"/>
      <c r="AR366" s="36"/>
      <c r="AS366" s="36"/>
      <c r="AT366" s="36"/>
      <c r="AU366" s="27"/>
      <c r="AV366" s="37"/>
      <c r="AW366" s="38" t="str">
        <f t="shared" si="29"/>
        <v/>
      </c>
    </row>
    <row r="367" spans="1:49" ht="18" customHeight="1" x14ac:dyDescent="0.3">
      <c r="A367" s="23">
        <v>363</v>
      </c>
      <c r="B367" s="24" t="s">
        <v>2573</v>
      </c>
      <c r="C367" s="25" t="s">
        <v>2574</v>
      </c>
      <c r="D367" s="23" t="s">
        <v>1850</v>
      </c>
      <c r="E367" s="43">
        <v>46125</v>
      </c>
      <c r="F367" s="26" t="s">
        <v>23</v>
      </c>
      <c r="G367" s="26" t="s">
        <v>24</v>
      </c>
      <c r="H367" s="26" t="s">
        <v>25</v>
      </c>
      <c r="I367" s="26" t="s">
        <v>26</v>
      </c>
      <c r="J367" s="26" t="s">
        <v>24</v>
      </c>
      <c r="K367" s="27"/>
      <c r="L367" s="28" t="s">
        <v>25</v>
      </c>
      <c r="M367" s="29" t="str">
        <f t="shared" si="25"/>
        <v>✓ OK</v>
      </c>
      <c r="N367" s="43">
        <v>46193</v>
      </c>
      <c r="O367" s="26" t="s">
        <v>23</v>
      </c>
      <c r="P367" s="26" t="s">
        <v>24</v>
      </c>
      <c r="Q367" s="26" t="s">
        <v>25</v>
      </c>
      <c r="R367" s="26" t="s">
        <v>26</v>
      </c>
      <c r="S367" s="26" t="s">
        <v>24</v>
      </c>
      <c r="T367" s="27"/>
      <c r="U367" s="28" t="s">
        <v>25</v>
      </c>
      <c r="V367" s="29" t="str">
        <f t="shared" si="26"/>
        <v>✓ OK</v>
      </c>
      <c r="W367" s="45">
        <v>46248</v>
      </c>
      <c r="X367" s="30" t="s">
        <v>23</v>
      </c>
      <c r="Y367" s="30" t="s">
        <v>24</v>
      </c>
      <c r="Z367" s="30" t="s">
        <v>25</v>
      </c>
      <c r="AA367" s="30" t="s">
        <v>26</v>
      </c>
      <c r="AB367" s="30" t="s">
        <v>24</v>
      </c>
      <c r="AC367" s="27"/>
      <c r="AD367" s="31" t="s">
        <v>25</v>
      </c>
      <c r="AE367" s="32" t="str">
        <f t="shared" si="27"/>
        <v>✓ OK</v>
      </c>
      <c r="AF367" s="33" t="s">
        <v>27</v>
      </c>
      <c r="AG367" s="33" t="s">
        <v>23</v>
      </c>
      <c r="AH367" s="33" t="s">
        <v>24</v>
      </c>
      <c r="AI367" s="33" t="s">
        <v>25</v>
      </c>
      <c r="AJ367" s="33" t="s">
        <v>26</v>
      </c>
      <c r="AK367" s="33" t="s">
        <v>24</v>
      </c>
      <c r="AL367" s="27"/>
      <c r="AM367" s="34" t="s">
        <v>25</v>
      </c>
      <c r="AN367" s="35" t="str">
        <f t="shared" si="28"/>
        <v>✓ OK</v>
      </c>
      <c r="AO367" s="36"/>
      <c r="AP367" s="36"/>
      <c r="AQ367" s="36"/>
      <c r="AR367" s="36"/>
      <c r="AS367" s="36"/>
      <c r="AT367" s="36"/>
      <c r="AU367" s="27"/>
      <c r="AV367" s="37"/>
      <c r="AW367" s="38" t="str">
        <f t="shared" si="29"/>
        <v/>
      </c>
    </row>
    <row r="368" spans="1:49" ht="18" customHeight="1" x14ac:dyDescent="0.3">
      <c r="A368" s="39">
        <v>364</v>
      </c>
      <c r="B368" s="40" t="s">
        <v>2575</v>
      </c>
      <c r="C368" s="41" t="s">
        <v>2576</v>
      </c>
      <c r="D368" s="39" t="s">
        <v>1850</v>
      </c>
      <c r="E368" s="43">
        <v>46125</v>
      </c>
      <c r="F368" s="26" t="s">
        <v>23</v>
      </c>
      <c r="G368" s="26" t="s">
        <v>24</v>
      </c>
      <c r="H368" s="26" t="s">
        <v>25</v>
      </c>
      <c r="I368" s="26" t="s">
        <v>26</v>
      </c>
      <c r="J368" s="26" t="s">
        <v>24</v>
      </c>
      <c r="K368" s="27"/>
      <c r="L368" s="28" t="s">
        <v>25</v>
      </c>
      <c r="M368" s="29" t="str">
        <f t="shared" si="25"/>
        <v>✓ OK</v>
      </c>
      <c r="N368" s="43">
        <v>46193</v>
      </c>
      <c r="O368" s="26" t="s">
        <v>23</v>
      </c>
      <c r="P368" s="26" t="s">
        <v>24</v>
      </c>
      <c r="Q368" s="26" t="s">
        <v>25</v>
      </c>
      <c r="R368" s="26" t="s">
        <v>26</v>
      </c>
      <c r="S368" s="26" t="s">
        <v>24</v>
      </c>
      <c r="T368" s="27"/>
      <c r="U368" s="28" t="s">
        <v>25</v>
      </c>
      <c r="V368" s="29" t="str">
        <f t="shared" si="26"/>
        <v>✓ OK</v>
      </c>
      <c r="W368" s="45">
        <v>46248</v>
      </c>
      <c r="X368" s="30" t="s">
        <v>23</v>
      </c>
      <c r="Y368" s="30" t="s">
        <v>24</v>
      </c>
      <c r="Z368" s="30" t="s">
        <v>25</v>
      </c>
      <c r="AA368" s="30" t="s">
        <v>26</v>
      </c>
      <c r="AB368" s="30" t="s">
        <v>24</v>
      </c>
      <c r="AC368" s="27"/>
      <c r="AD368" s="31" t="s">
        <v>25</v>
      </c>
      <c r="AE368" s="32" t="str">
        <f t="shared" si="27"/>
        <v>✓ OK</v>
      </c>
      <c r="AF368" s="33" t="s">
        <v>27</v>
      </c>
      <c r="AG368" s="33" t="s">
        <v>23</v>
      </c>
      <c r="AH368" s="33" t="s">
        <v>24</v>
      </c>
      <c r="AI368" s="33" t="s">
        <v>25</v>
      </c>
      <c r="AJ368" s="33" t="s">
        <v>26</v>
      </c>
      <c r="AK368" s="33" t="s">
        <v>24</v>
      </c>
      <c r="AL368" s="27"/>
      <c r="AM368" s="34" t="s">
        <v>25</v>
      </c>
      <c r="AN368" s="35" t="str">
        <f t="shared" si="28"/>
        <v>✓ OK</v>
      </c>
      <c r="AO368" s="36"/>
      <c r="AP368" s="36"/>
      <c r="AQ368" s="36"/>
      <c r="AR368" s="36"/>
      <c r="AS368" s="36"/>
      <c r="AT368" s="36"/>
      <c r="AU368" s="27"/>
      <c r="AV368" s="37"/>
      <c r="AW368" s="38" t="str">
        <f t="shared" si="29"/>
        <v/>
      </c>
    </row>
    <row r="369" spans="1:49" ht="18" customHeight="1" x14ac:dyDescent="0.3">
      <c r="A369" s="23">
        <v>365</v>
      </c>
      <c r="B369" s="24" t="s">
        <v>2577</v>
      </c>
      <c r="C369" s="25" t="s">
        <v>2578</v>
      </c>
      <c r="D369" s="23" t="s">
        <v>1850</v>
      </c>
      <c r="E369" s="43">
        <v>46125</v>
      </c>
      <c r="F369" s="26" t="s">
        <v>23</v>
      </c>
      <c r="G369" s="26" t="s">
        <v>24</v>
      </c>
      <c r="H369" s="26" t="s">
        <v>25</v>
      </c>
      <c r="I369" s="26" t="s">
        <v>26</v>
      </c>
      <c r="J369" s="26" t="s">
        <v>24</v>
      </c>
      <c r="K369" s="27"/>
      <c r="L369" s="28" t="s">
        <v>25</v>
      </c>
      <c r="M369" s="29" t="str">
        <f t="shared" si="25"/>
        <v>✓ OK</v>
      </c>
      <c r="N369" s="43">
        <v>46193</v>
      </c>
      <c r="O369" s="26" t="s">
        <v>23</v>
      </c>
      <c r="P369" s="26" t="s">
        <v>24</v>
      </c>
      <c r="Q369" s="26" t="s">
        <v>25</v>
      </c>
      <c r="R369" s="26" t="s">
        <v>26</v>
      </c>
      <c r="S369" s="26" t="s">
        <v>24</v>
      </c>
      <c r="T369" s="27"/>
      <c r="U369" s="28" t="s">
        <v>25</v>
      </c>
      <c r="V369" s="29" t="str">
        <f t="shared" si="26"/>
        <v>✓ OK</v>
      </c>
      <c r="W369" s="45">
        <v>46248</v>
      </c>
      <c r="X369" s="30" t="s">
        <v>23</v>
      </c>
      <c r="Y369" s="30" t="s">
        <v>24</v>
      </c>
      <c r="Z369" s="30" t="s">
        <v>25</v>
      </c>
      <c r="AA369" s="30" t="s">
        <v>26</v>
      </c>
      <c r="AB369" s="30" t="s">
        <v>24</v>
      </c>
      <c r="AC369" s="27"/>
      <c r="AD369" s="31" t="s">
        <v>25</v>
      </c>
      <c r="AE369" s="32" t="str">
        <f t="shared" si="27"/>
        <v>✓ OK</v>
      </c>
      <c r="AF369" s="33" t="s">
        <v>27</v>
      </c>
      <c r="AG369" s="33" t="s">
        <v>23</v>
      </c>
      <c r="AH369" s="33" t="s">
        <v>24</v>
      </c>
      <c r="AI369" s="33" t="s">
        <v>25</v>
      </c>
      <c r="AJ369" s="33" t="s">
        <v>26</v>
      </c>
      <c r="AK369" s="33" t="s">
        <v>24</v>
      </c>
      <c r="AL369" s="27"/>
      <c r="AM369" s="34" t="s">
        <v>25</v>
      </c>
      <c r="AN369" s="35" t="str">
        <f t="shared" si="28"/>
        <v>✓ OK</v>
      </c>
      <c r="AO369" s="36"/>
      <c r="AP369" s="36"/>
      <c r="AQ369" s="36"/>
      <c r="AR369" s="36"/>
      <c r="AS369" s="36"/>
      <c r="AT369" s="36"/>
      <c r="AU369" s="27"/>
      <c r="AV369" s="37"/>
      <c r="AW369" s="38" t="str">
        <f t="shared" si="29"/>
        <v/>
      </c>
    </row>
    <row r="370" spans="1:49" ht="18" customHeight="1" x14ac:dyDescent="0.3">
      <c r="A370" s="39">
        <v>366</v>
      </c>
      <c r="B370" s="40" t="s">
        <v>2579</v>
      </c>
      <c r="C370" s="41" t="s">
        <v>2580</v>
      </c>
      <c r="D370" s="39" t="s">
        <v>1850</v>
      </c>
      <c r="E370" s="43">
        <v>46125</v>
      </c>
      <c r="F370" s="26" t="s">
        <v>23</v>
      </c>
      <c r="G370" s="26" t="s">
        <v>24</v>
      </c>
      <c r="H370" s="26" t="s">
        <v>25</v>
      </c>
      <c r="I370" s="26" t="s">
        <v>26</v>
      </c>
      <c r="J370" s="26" t="s">
        <v>24</v>
      </c>
      <c r="K370" s="27"/>
      <c r="L370" s="28" t="s">
        <v>25</v>
      </c>
      <c r="M370" s="29" t="str">
        <f t="shared" si="25"/>
        <v>✓ OK</v>
      </c>
      <c r="N370" s="43">
        <v>46193</v>
      </c>
      <c r="O370" s="26" t="s">
        <v>23</v>
      </c>
      <c r="P370" s="26" t="s">
        <v>24</v>
      </c>
      <c r="Q370" s="26" t="s">
        <v>25</v>
      </c>
      <c r="R370" s="26" t="s">
        <v>26</v>
      </c>
      <c r="S370" s="26" t="s">
        <v>24</v>
      </c>
      <c r="T370" s="27"/>
      <c r="U370" s="28" t="s">
        <v>25</v>
      </c>
      <c r="V370" s="29" t="str">
        <f t="shared" si="26"/>
        <v>✓ OK</v>
      </c>
      <c r="W370" s="45">
        <v>46248</v>
      </c>
      <c r="X370" s="30" t="s">
        <v>23</v>
      </c>
      <c r="Y370" s="30" t="s">
        <v>24</v>
      </c>
      <c r="Z370" s="30" t="s">
        <v>25</v>
      </c>
      <c r="AA370" s="30" t="s">
        <v>26</v>
      </c>
      <c r="AB370" s="30" t="s">
        <v>24</v>
      </c>
      <c r="AC370" s="27"/>
      <c r="AD370" s="31" t="s">
        <v>25</v>
      </c>
      <c r="AE370" s="32" t="str">
        <f t="shared" si="27"/>
        <v>✓ OK</v>
      </c>
      <c r="AF370" s="33" t="s">
        <v>27</v>
      </c>
      <c r="AG370" s="33" t="s">
        <v>23</v>
      </c>
      <c r="AH370" s="33" t="s">
        <v>24</v>
      </c>
      <c r="AI370" s="33" t="s">
        <v>25</v>
      </c>
      <c r="AJ370" s="33" t="s">
        <v>26</v>
      </c>
      <c r="AK370" s="33" t="s">
        <v>24</v>
      </c>
      <c r="AL370" s="27"/>
      <c r="AM370" s="34" t="s">
        <v>25</v>
      </c>
      <c r="AN370" s="35" t="str">
        <f t="shared" si="28"/>
        <v>✓ OK</v>
      </c>
      <c r="AO370" s="36"/>
      <c r="AP370" s="36"/>
      <c r="AQ370" s="36"/>
      <c r="AR370" s="36"/>
      <c r="AS370" s="36"/>
      <c r="AT370" s="36"/>
      <c r="AU370" s="27"/>
      <c r="AV370" s="37"/>
      <c r="AW370" s="38" t="str">
        <f t="shared" si="29"/>
        <v/>
      </c>
    </row>
    <row r="371" spans="1:49" ht="18" customHeight="1" x14ac:dyDescent="0.3">
      <c r="A371" s="23">
        <v>367</v>
      </c>
      <c r="B371" s="24" t="s">
        <v>2581</v>
      </c>
      <c r="C371" s="25" t="s">
        <v>2582</v>
      </c>
      <c r="D371" s="23" t="s">
        <v>1850</v>
      </c>
      <c r="E371" s="43">
        <v>46125</v>
      </c>
      <c r="F371" s="26" t="s">
        <v>23</v>
      </c>
      <c r="G371" s="26" t="s">
        <v>24</v>
      </c>
      <c r="H371" s="26" t="s">
        <v>25</v>
      </c>
      <c r="I371" s="26" t="s">
        <v>26</v>
      </c>
      <c r="J371" s="26" t="s">
        <v>24</v>
      </c>
      <c r="K371" s="27"/>
      <c r="L371" s="28" t="s">
        <v>25</v>
      </c>
      <c r="M371" s="29" t="str">
        <f t="shared" si="25"/>
        <v>✓ OK</v>
      </c>
      <c r="N371" s="43">
        <v>46193</v>
      </c>
      <c r="O371" s="26" t="s">
        <v>23</v>
      </c>
      <c r="P371" s="26" t="s">
        <v>24</v>
      </c>
      <c r="Q371" s="26" t="s">
        <v>25</v>
      </c>
      <c r="R371" s="26" t="s">
        <v>26</v>
      </c>
      <c r="S371" s="26" t="s">
        <v>24</v>
      </c>
      <c r="T371" s="27"/>
      <c r="U371" s="28" t="s">
        <v>25</v>
      </c>
      <c r="V371" s="29" t="str">
        <f t="shared" si="26"/>
        <v>✓ OK</v>
      </c>
      <c r="W371" s="45">
        <v>46248</v>
      </c>
      <c r="X371" s="30" t="s">
        <v>23</v>
      </c>
      <c r="Y371" s="30" t="s">
        <v>24</v>
      </c>
      <c r="Z371" s="30" t="s">
        <v>25</v>
      </c>
      <c r="AA371" s="30" t="s">
        <v>26</v>
      </c>
      <c r="AB371" s="30" t="s">
        <v>24</v>
      </c>
      <c r="AC371" s="27"/>
      <c r="AD371" s="31" t="s">
        <v>25</v>
      </c>
      <c r="AE371" s="32" t="str">
        <f t="shared" si="27"/>
        <v>✓ OK</v>
      </c>
      <c r="AF371" s="33" t="s">
        <v>27</v>
      </c>
      <c r="AG371" s="33" t="s">
        <v>23</v>
      </c>
      <c r="AH371" s="33" t="s">
        <v>24</v>
      </c>
      <c r="AI371" s="33" t="s">
        <v>25</v>
      </c>
      <c r="AJ371" s="33" t="s">
        <v>26</v>
      </c>
      <c r="AK371" s="33" t="s">
        <v>24</v>
      </c>
      <c r="AL371" s="27"/>
      <c r="AM371" s="34" t="s">
        <v>25</v>
      </c>
      <c r="AN371" s="35" t="str">
        <f t="shared" si="28"/>
        <v>✓ OK</v>
      </c>
      <c r="AO371" s="36"/>
      <c r="AP371" s="36"/>
      <c r="AQ371" s="36"/>
      <c r="AR371" s="36"/>
      <c r="AS371" s="36"/>
      <c r="AT371" s="36"/>
      <c r="AU371" s="27"/>
      <c r="AV371" s="37"/>
      <c r="AW371" s="38" t="str">
        <f t="shared" si="29"/>
        <v/>
      </c>
    </row>
    <row r="372" spans="1:49" ht="18" customHeight="1" x14ac:dyDescent="0.3">
      <c r="A372" s="39">
        <v>368</v>
      </c>
      <c r="B372" s="40" t="s">
        <v>2583</v>
      </c>
      <c r="C372" s="41" t="s">
        <v>2584</v>
      </c>
      <c r="D372" s="39" t="s">
        <v>1850</v>
      </c>
      <c r="E372" s="43">
        <v>46125</v>
      </c>
      <c r="F372" s="26" t="s">
        <v>23</v>
      </c>
      <c r="G372" s="26" t="s">
        <v>24</v>
      </c>
      <c r="H372" s="26" t="s">
        <v>25</v>
      </c>
      <c r="I372" s="26" t="s">
        <v>26</v>
      </c>
      <c r="J372" s="26" t="s">
        <v>24</v>
      </c>
      <c r="K372" s="27"/>
      <c r="L372" s="28" t="s">
        <v>25</v>
      </c>
      <c r="M372" s="29" t="str">
        <f t="shared" si="25"/>
        <v>✓ OK</v>
      </c>
      <c r="N372" s="43">
        <v>46193</v>
      </c>
      <c r="O372" s="26" t="s">
        <v>23</v>
      </c>
      <c r="P372" s="26" t="s">
        <v>24</v>
      </c>
      <c r="Q372" s="26" t="s">
        <v>25</v>
      </c>
      <c r="R372" s="26" t="s">
        <v>26</v>
      </c>
      <c r="S372" s="26" t="s">
        <v>24</v>
      </c>
      <c r="T372" s="27"/>
      <c r="U372" s="28" t="s">
        <v>25</v>
      </c>
      <c r="V372" s="29" t="str">
        <f t="shared" si="26"/>
        <v>✓ OK</v>
      </c>
      <c r="W372" s="45">
        <v>46248</v>
      </c>
      <c r="X372" s="30" t="s">
        <v>23</v>
      </c>
      <c r="Y372" s="30" t="s">
        <v>24</v>
      </c>
      <c r="Z372" s="30" t="s">
        <v>25</v>
      </c>
      <c r="AA372" s="30" t="s">
        <v>26</v>
      </c>
      <c r="AB372" s="30" t="s">
        <v>24</v>
      </c>
      <c r="AC372" s="27"/>
      <c r="AD372" s="31" t="s">
        <v>25</v>
      </c>
      <c r="AE372" s="32" t="str">
        <f t="shared" si="27"/>
        <v>✓ OK</v>
      </c>
      <c r="AF372" s="33" t="s">
        <v>27</v>
      </c>
      <c r="AG372" s="33" t="s">
        <v>23</v>
      </c>
      <c r="AH372" s="33" t="s">
        <v>24</v>
      </c>
      <c r="AI372" s="33" t="s">
        <v>25</v>
      </c>
      <c r="AJ372" s="33" t="s">
        <v>26</v>
      </c>
      <c r="AK372" s="33" t="s">
        <v>24</v>
      </c>
      <c r="AL372" s="27"/>
      <c r="AM372" s="34" t="s">
        <v>25</v>
      </c>
      <c r="AN372" s="35" t="str">
        <f t="shared" si="28"/>
        <v>✓ OK</v>
      </c>
      <c r="AO372" s="36"/>
      <c r="AP372" s="36"/>
      <c r="AQ372" s="36"/>
      <c r="AR372" s="36"/>
      <c r="AS372" s="36"/>
      <c r="AT372" s="36"/>
      <c r="AU372" s="27"/>
      <c r="AV372" s="37"/>
      <c r="AW372" s="38" t="str">
        <f t="shared" si="29"/>
        <v/>
      </c>
    </row>
    <row r="373" spans="1:49" ht="18" customHeight="1" x14ac:dyDescent="0.3">
      <c r="A373" s="23">
        <v>369</v>
      </c>
      <c r="B373" s="24" t="s">
        <v>2585</v>
      </c>
      <c r="C373" s="25" t="s">
        <v>2586</v>
      </c>
      <c r="D373" s="23" t="s">
        <v>1850</v>
      </c>
      <c r="E373" s="43">
        <v>46125</v>
      </c>
      <c r="F373" s="26" t="s">
        <v>23</v>
      </c>
      <c r="G373" s="26" t="s">
        <v>24</v>
      </c>
      <c r="H373" s="26" t="s">
        <v>25</v>
      </c>
      <c r="I373" s="26" t="s">
        <v>26</v>
      </c>
      <c r="J373" s="26" t="s">
        <v>24</v>
      </c>
      <c r="K373" s="27"/>
      <c r="L373" s="28" t="s">
        <v>25</v>
      </c>
      <c r="M373" s="29" t="str">
        <f t="shared" si="25"/>
        <v>✓ OK</v>
      </c>
      <c r="N373" s="43">
        <v>46193</v>
      </c>
      <c r="O373" s="26" t="s">
        <v>23</v>
      </c>
      <c r="P373" s="26" t="s">
        <v>24</v>
      </c>
      <c r="Q373" s="26" t="s">
        <v>25</v>
      </c>
      <c r="R373" s="26" t="s">
        <v>26</v>
      </c>
      <c r="S373" s="26" t="s">
        <v>24</v>
      </c>
      <c r="T373" s="27"/>
      <c r="U373" s="28" t="s">
        <v>25</v>
      </c>
      <c r="V373" s="29" t="str">
        <f t="shared" si="26"/>
        <v>✓ OK</v>
      </c>
      <c r="W373" s="45">
        <v>46248</v>
      </c>
      <c r="X373" s="30" t="s">
        <v>23</v>
      </c>
      <c r="Y373" s="30" t="s">
        <v>24</v>
      </c>
      <c r="Z373" s="30" t="s">
        <v>25</v>
      </c>
      <c r="AA373" s="30" t="s">
        <v>26</v>
      </c>
      <c r="AB373" s="30" t="s">
        <v>24</v>
      </c>
      <c r="AC373" s="27"/>
      <c r="AD373" s="31" t="s">
        <v>25</v>
      </c>
      <c r="AE373" s="32" t="str">
        <f t="shared" si="27"/>
        <v>✓ OK</v>
      </c>
      <c r="AF373" s="33" t="s">
        <v>27</v>
      </c>
      <c r="AG373" s="33" t="s">
        <v>23</v>
      </c>
      <c r="AH373" s="33" t="s">
        <v>24</v>
      </c>
      <c r="AI373" s="33" t="s">
        <v>25</v>
      </c>
      <c r="AJ373" s="33" t="s">
        <v>26</v>
      </c>
      <c r="AK373" s="33" t="s">
        <v>24</v>
      </c>
      <c r="AL373" s="27"/>
      <c r="AM373" s="34" t="s">
        <v>25</v>
      </c>
      <c r="AN373" s="35" t="str">
        <f t="shared" si="28"/>
        <v>✓ OK</v>
      </c>
      <c r="AO373" s="36"/>
      <c r="AP373" s="36"/>
      <c r="AQ373" s="36"/>
      <c r="AR373" s="36"/>
      <c r="AS373" s="36"/>
      <c r="AT373" s="36"/>
      <c r="AU373" s="27"/>
      <c r="AV373" s="37"/>
      <c r="AW373" s="38" t="str">
        <f t="shared" si="29"/>
        <v/>
      </c>
    </row>
    <row r="374" spans="1:49" ht="18" customHeight="1" x14ac:dyDescent="0.3">
      <c r="A374" s="39">
        <v>370</v>
      </c>
      <c r="B374" s="40" t="s">
        <v>2587</v>
      </c>
      <c r="C374" s="41" t="s">
        <v>2588</v>
      </c>
      <c r="D374" s="39" t="s">
        <v>1850</v>
      </c>
      <c r="E374" s="43">
        <v>46125</v>
      </c>
      <c r="F374" s="26" t="s">
        <v>23</v>
      </c>
      <c r="G374" s="26" t="s">
        <v>24</v>
      </c>
      <c r="H374" s="26" t="s">
        <v>25</v>
      </c>
      <c r="I374" s="26" t="s">
        <v>26</v>
      </c>
      <c r="J374" s="26" t="s">
        <v>24</v>
      </c>
      <c r="K374" s="27"/>
      <c r="L374" s="28" t="s">
        <v>25</v>
      </c>
      <c r="M374" s="29" t="str">
        <f t="shared" si="25"/>
        <v>✓ OK</v>
      </c>
      <c r="N374" s="43">
        <v>46193</v>
      </c>
      <c r="O374" s="26" t="s">
        <v>23</v>
      </c>
      <c r="P374" s="26" t="s">
        <v>24</v>
      </c>
      <c r="Q374" s="26" t="s">
        <v>25</v>
      </c>
      <c r="R374" s="26" t="s">
        <v>26</v>
      </c>
      <c r="S374" s="26" t="s">
        <v>24</v>
      </c>
      <c r="T374" s="27"/>
      <c r="U374" s="28" t="s">
        <v>25</v>
      </c>
      <c r="V374" s="29" t="str">
        <f t="shared" si="26"/>
        <v>✓ OK</v>
      </c>
      <c r="W374" s="45">
        <v>46248</v>
      </c>
      <c r="X374" s="30" t="s">
        <v>23</v>
      </c>
      <c r="Y374" s="30" t="s">
        <v>24</v>
      </c>
      <c r="Z374" s="30" t="s">
        <v>25</v>
      </c>
      <c r="AA374" s="30" t="s">
        <v>26</v>
      </c>
      <c r="AB374" s="30" t="s">
        <v>24</v>
      </c>
      <c r="AC374" s="27"/>
      <c r="AD374" s="31" t="s">
        <v>25</v>
      </c>
      <c r="AE374" s="32" t="str">
        <f t="shared" si="27"/>
        <v>✓ OK</v>
      </c>
      <c r="AF374" s="33" t="s">
        <v>27</v>
      </c>
      <c r="AG374" s="33" t="s">
        <v>23</v>
      </c>
      <c r="AH374" s="33" t="s">
        <v>24</v>
      </c>
      <c r="AI374" s="33" t="s">
        <v>25</v>
      </c>
      <c r="AJ374" s="33" t="s">
        <v>26</v>
      </c>
      <c r="AK374" s="33" t="s">
        <v>24</v>
      </c>
      <c r="AL374" s="27"/>
      <c r="AM374" s="34" t="s">
        <v>25</v>
      </c>
      <c r="AN374" s="35" t="str">
        <f t="shared" si="28"/>
        <v>✓ OK</v>
      </c>
      <c r="AO374" s="36"/>
      <c r="AP374" s="36"/>
      <c r="AQ374" s="36"/>
      <c r="AR374" s="36"/>
      <c r="AS374" s="36"/>
      <c r="AT374" s="36"/>
      <c r="AU374" s="27"/>
      <c r="AV374" s="37"/>
      <c r="AW374" s="38" t="str">
        <f t="shared" si="29"/>
        <v/>
      </c>
    </row>
    <row r="375" spans="1:49" ht="18" customHeight="1" x14ac:dyDescent="0.3">
      <c r="A375" s="23">
        <v>371</v>
      </c>
      <c r="B375" s="24" t="s">
        <v>2589</v>
      </c>
      <c r="C375" s="25" t="s">
        <v>2590</v>
      </c>
      <c r="D375" s="23" t="s">
        <v>1850</v>
      </c>
      <c r="E375" s="43">
        <v>46125</v>
      </c>
      <c r="F375" s="26" t="s">
        <v>23</v>
      </c>
      <c r="G375" s="26" t="s">
        <v>24</v>
      </c>
      <c r="H375" s="26" t="s">
        <v>25</v>
      </c>
      <c r="I375" s="26" t="s">
        <v>26</v>
      </c>
      <c r="J375" s="26" t="s">
        <v>24</v>
      </c>
      <c r="K375" s="27"/>
      <c r="L375" s="28" t="s">
        <v>25</v>
      </c>
      <c r="M375" s="29" t="str">
        <f t="shared" si="25"/>
        <v>✓ OK</v>
      </c>
      <c r="N375" s="43">
        <v>46193</v>
      </c>
      <c r="O375" s="26" t="s">
        <v>23</v>
      </c>
      <c r="P375" s="26" t="s">
        <v>24</v>
      </c>
      <c r="Q375" s="26" t="s">
        <v>25</v>
      </c>
      <c r="R375" s="26" t="s">
        <v>26</v>
      </c>
      <c r="S375" s="26" t="s">
        <v>24</v>
      </c>
      <c r="T375" s="27"/>
      <c r="U375" s="28" t="s">
        <v>25</v>
      </c>
      <c r="V375" s="29" t="str">
        <f t="shared" si="26"/>
        <v>✓ OK</v>
      </c>
      <c r="W375" s="45">
        <v>46248</v>
      </c>
      <c r="X375" s="30" t="s">
        <v>23</v>
      </c>
      <c r="Y375" s="30" t="s">
        <v>24</v>
      </c>
      <c r="Z375" s="30" t="s">
        <v>25</v>
      </c>
      <c r="AA375" s="30" t="s">
        <v>26</v>
      </c>
      <c r="AB375" s="30" t="s">
        <v>24</v>
      </c>
      <c r="AC375" s="27"/>
      <c r="AD375" s="31" t="s">
        <v>25</v>
      </c>
      <c r="AE375" s="32" t="str">
        <f t="shared" si="27"/>
        <v>✓ OK</v>
      </c>
      <c r="AF375" s="33" t="s">
        <v>27</v>
      </c>
      <c r="AG375" s="33" t="s">
        <v>23</v>
      </c>
      <c r="AH375" s="33" t="s">
        <v>24</v>
      </c>
      <c r="AI375" s="33" t="s">
        <v>25</v>
      </c>
      <c r="AJ375" s="33" t="s">
        <v>26</v>
      </c>
      <c r="AK375" s="33" t="s">
        <v>24</v>
      </c>
      <c r="AL375" s="27"/>
      <c r="AM375" s="34" t="s">
        <v>25</v>
      </c>
      <c r="AN375" s="35" t="str">
        <f t="shared" si="28"/>
        <v>✓ OK</v>
      </c>
      <c r="AO375" s="36"/>
      <c r="AP375" s="36"/>
      <c r="AQ375" s="36"/>
      <c r="AR375" s="36"/>
      <c r="AS375" s="36"/>
      <c r="AT375" s="36"/>
      <c r="AU375" s="27"/>
      <c r="AV375" s="37"/>
      <c r="AW375" s="38" t="str">
        <f t="shared" si="29"/>
        <v/>
      </c>
    </row>
    <row r="376" spans="1:49" ht="18" customHeight="1" x14ac:dyDescent="0.3">
      <c r="A376" s="39">
        <v>372</v>
      </c>
      <c r="B376" s="40" t="s">
        <v>2591</v>
      </c>
      <c r="C376" s="41" t="s">
        <v>2592</v>
      </c>
      <c r="D376" s="39" t="s">
        <v>1850</v>
      </c>
      <c r="E376" s="43">
        <v>46125</v>
      </c>
      <c r="F376" s="26" t="s">
        <v>23</v>
      </c>
      <c r="G376" s="26" t="s">
        <v>24</v>
      </c>
      <c r="H376" s="26" t="s">
        <v>25</v>
      </c>
      <c r="I376" s="26" t="s">
        <v>26</v>
      </c>
      <c r="J376" s="26" t="s">
        <v>24</v>
      </c>
      <c r="K376" s="27"/>
      <c r="L376" s="28" t="s">
        <v>25</v>
      </c>
      <c r="M376" s="29" t="str">
        <f t="shared" si="25"/>
        <v>✓ OK</v>
      </c>
      <c r="N376" s="43">
        <v>46193</v>
      </c>
      <c r="O376" s="26" t="s">
        <v>23</v>
      </c>
      <c r="P376" s="26" t="s">
        <v>24</v>
      </c>
      <c r="Q376" s="26" t="s">
        <v>25</v>
      </c>
      <c r="R376" s="26" t="s">
        <v>26</v>
      </c>
      <c r="S376" s="26" t="s">
        <v>24</v>
      </c>
      <c r="T376" s="27"/>
      <c r="U376" s="28" t="s">
        <v>25</v>
      </c>
      <c r="V376" s="29" t="str">
        <f t="shared" si="26"/>
        <v>✓ OK</v>
      </c>
      <c r="W376" s="45">
        <v>46248</v>
      </c>
      <c r="X376" s="30" t="s">
        <v>23</v>
      </c>
      <c r="Y376" s="30" t="s">
        <v>24</v>
      </c>
      <c r="Z376" s="30" t="s">
        <v>25</v>
      </c>
      <c r="AA376" s="30" t="s">
        <v>26</v>
      </c>
      <c r="AB376" s="30" t="s">
        <v>24</v>
      </c>
      <c r="AC376" s="27"/>
      <c r="AD376" s="31" t="s">
        <v>25</v>
      </c>
      <c r="AE376" s="32" t="str">
        <f t="shared" si="27"/>
        <v>✓ OK</v>
      </c>
      <c r="AF376" s="33" t="s">
        <v>27</v>
      </c>
      <c r="AG376" s="33" t="s">
        <v>23</v>
      </c>
      <c r="AH376" s="33" t="s">
        <v>24</v>
      </c>
      <c r="AI376" s="33" t="s">
        <v>25</v>
      </c>
      <c r="AJ376" s="33" t="s">
        <v>26</v>
      </c>
      <c r="AK376" s="33" t="s">
        <v>24</v>
      </c>
      <c r="AL376" s="27"/>
      <c r="AM376" s="34" t="s">
        <v>25</v>
      </c>
      <c r="AN376" s="35" t="str">
        <f t="shared" si="28"/>
        <v>✓ OK</v>
      </c>
      <c r="AO376" s="36"/>
      <c r="AP376" s="36"/>
      <c r="AQ376" s="36"/>
      <c r="AR376" s="36"/>
      <c r="AS376" s="36"/>
      <c r="AT376" s="36"/>
      <c r="AU376" s="27"/>
      <c r="AV376" s="37"/>
      <c r="AW376" s="38" t="str">
        <f t="shared" si="29"/>
        <v/>
      </c>
    </row>
    <row r="377" spans="1:49" ht="18" customHeight="1" x14ac:dyDescent="0.3">
      <c r="A377" s="23">
        <v>373</v>
      </c>
      <c r="B377" s="24" t="s">
        <v>2593</v>
      </c>
      <c r="C377" s="25" t="s">
        <v>2594</v>
      </c>
      <c r="D377" s="23" t="s">
        <v>1850</v>
      </c>
      <c r="E377" s="43">
        <v>46125</v>
      </c>
      <c r="F377" s="26" t="s">
        <v>23</v>
      </c>
      <c r="G377" s="26" t="s">
        <v>24</v>
      </c>
      <c r="H377" s="26" t="s">
        <v>25</v>
      </c>
      <c r="I377" s="26" t="s">
        <v>26</v>
      </c>
      <c r="J377" s="26" t="s">
        <v>24</v>
      </c>
      <c r="K377" s="27"/>
      <c r="L377" s="28" t="s">
        <v>25</v>
      </c>
      <c r="M377" s="29" t="str">
        <f t="shared" si="25"/>
        <v>✓ OK</v>
      </c>
      <c r="N377" s="43">
        <v>46193</v>
      </c>
      <c r="O377" s="26" t="s">
        <v>23</v>
      </c>
      <c r="P377" s="26" t="s">
        <v>24</v>
      </c>
      <c r="Q377" s="26" t="s">
        <v>25</v>
      </c>
      <c r="R377" s="26" t="s">
        <v>26</v>
      </c>
      <c r="S377" s="26" t="s">
        <v>24</v>
      </c>
      <c r="T377" s="27"/>
      <c r="U377" s="28" t="s">
        <v>25</v>
      </c>
      <c r="V377" s="29" t="str">
        <f t="shared" si="26"/>
        <v>✓ OK</v>
      </c>
      <c r="W377" s="45">
        <v>46248</v>
      </c>
      <c r="X377" s="30" t="s">
        <v>23</v>
      </c>
      <c r="Y377" s="30" t="s">
        <v>24</v>
      </c>
      <c r="Z377" s="30" t="s">
        <v>25</v>
      </c>
      <c r="AA377" s="30" t="s">
        <v>26</v>
      </c>
      <c r="AB377" s="30" t="s">
        <v>24</v>
      </c>
      <c r="AC377" s="27"/>
      <c r="AD377" s="31" t="s">
        <v>25</v>
      </c>
      <c r="AE377" s="32" t="str">
        <f t="shared" si="27"/>
        <v>✓ OK</v>
      </c>
      <c r="AF377" s="33" t="s">
        <v>27</v>
      </c>
      <c r="AG377" s="33" t="s">
        <v>23</v>
      </c>
      <c r="AH377" s="33" t="s">
        <v>24</v>
      </c>
      <c r="AI377" s="33" t="s">
        <v>25</v>
      </c>
      <c r="AJ377" s="33" t="s">
        <v>26</v>
      </c>
      <c r="AK377" s="33" t="s">
        <v>24</v>
      </c>
      <c r="AL377" s="27"/>
      <c r="AM377" s="34" t="s">
        <v>25</v>
      </c>
      <c r="AN377" s="35" t="str">
        <f t="shared" si="28"/>
        <v>✓ OK</v>
      </c>
      <c r="AO377" s="36"/>
      <c r="AP377" s="36"/>
      <c r="AQ377" s="36"/>
      <c r="AR377" s="36"/>
      <c r="AS377" s="36"/>
      <c r="AT377" s="36"/>
      <c r="AU377" s="27"/>
      <c r="AV377" s="37"/>
      <c r="AW377" s="38" t="str">
        <f t="shared" si="29"/>
        <v/>
      </c>
    </row>
    <row r="378" spans="1:49" ht="18" customHeight="1" x14ac:dyDescent="0.3">
      <c r="A378" s="39">
        <v>374</v>
      </c>
      <c r="B378" s="40" t="s">
        <v>2595</v>
      </c>
      <c r="C378" s="41" t="s">
        <v>2596</v>
      </c>
      <c r="D378" s="39" t="s">
        <v>1850</v>
      </c>
      <c r="E378" s="43">
        <v>46125</v>
      </c>
      <c r="F378" s="26" t="s">
        <v>23</v>
      </c>
      <c r="G378" s="26" t="s">
        <v>24</v>
      </c>
      <c r="H378" s="26" t="s">
        <v>25</v>
      </c>
      <c r="I378" s="26" t="s">
        <v>26</v>
      </c>
      <c r="J378" s="26" t="s">
        <v>24</v>
      </c>
      <c r="K378" s="27"/>
      <c r="L378" s="28" t="s">
        <v>25</v>
      </c>
      <c r="M378" s="29" t="str">
        <f t="shared" si="25"/>
        <v>✓ OK</v>
      </c>
      <c r="N378" s="43">
        <v>46193</v>
      </c>
      <c r="O378" s="26" t="s">
        <v>23</v>
      </c>
      <c r="P378" s="26" t="s">
        <v>24</v>
      </c>
      <c r="Q378" s="26" t="s">
        <v>25</v>
      </c>
      <c r="R378" s="26" t="s">
        <v>26</v>
      </c>
      <c r="S378" s="26" t="s">
        <v>24</v>
      </c>
      <c r="T378" s="27"/>
      <c r="U378" s="28" t="s">
        <v>25</v>
      </c>
      <c r="V378" s="29" t="str">
        <f t="shared" si="26"/>
        <v>✓ OK</v>
      </c>
      <c r="W378" s="45">
        <v>46248</v>
      </c>
      <c r="X378" s="30" t="s">
        <v>23</v>
      </c>
      <c r="Y378" s="30" t="s">
        <v>24</v>
      </c>
      <c r="Z378" s="30" t="s">
        <v>25</v>
      </c>
      <c r="AA378" s="30" t="s">
        <v>26</v>
      </c>
      <c r="AB378" s="30" t="s">
        <v>24</v>
      </c>
      <c r="AC378" s="27"/>
      <c r="AD378" s="31" t="s">
        <v>25</v>
      </c>
      <c r="AE378" s="32" t="str">
        <f t="shared" si="27"/>
        <v>✓ OK</v>
      </c>
      <c r="AF378" s="33" t="s">
        <v>27</v>
      </c>
      <c r="AG378" s="33" t="s">
        <v>23</v>
      </c>
      <c r="AH378" s="33" t="s">
        <v>24</v>
      </c>
      <c r="AI378" s="33" t="s">
        <v>25</v>
      </c>
      <c r="AJ378" s="33" t="s">
        <v>26</v>
      </c>
      <c r="AK378" s="33" t="s">
        <v>24</v>
      </c>
      <c r="AL378" s="27"/>
      <c r="AM378" s="34" t="s">
        <v>25</v>
      </c>
      <c r="AN378" s="35" t="str">
        <f t="shared" si="28"/>
        <v>✓ OK</v>
      </c>
      <c r="AO378" s="36"/>
      <c r="AP378" s="36"/>
      <c r="AQ378" s="36"/>
      <c r="AR378" s="36"/>
      <c r="AS378" s="36"/>
      <c r="AT378" s="36"/>
      <c r="AU378" s="27"/>
      <c r="AV378" s="37"/>
      <c r="AW378" s="38" t="str">
        <f t="shared" si="29"/>
        <v/>
      </c>
    </row>
    <row r="379" spans="1:49" ht="18" customHeight="1" x14ac:dyDescent="0.3">
      <c r="A379" s="23">
        <v>375</v>
      </c>
      <c r="B379" s="24" t="s">
        <v>2597</v>
      </c>
      <c r="C379" s="25" t="s">
        <v>2598</v>
      </c>
      <c r="D379" s="23" t="s">
        <v>1850</v>
      </c>
      <c r="E379" s="43">
        <v>46125</v>
      </c>
      <c r="F379" s="26" t="s">
        <v>23</v>
      </c>
      <c r="G379" s="26" t="s">
        <v>24</v>
      </c>
      <c r="H379" s="26" t="s">
        <v>25</v>
      </c>
      <c r="I379" s="26" t="s">
        <v>26</v>
      </c>
      <c r="J379" s="26" t="s">
        <v>24</v>
      </c>
      <c r="K379" s="27"/>
      <c r="L379" s="28" t="s">
        <v>25</v>
      </c>
      <c r="M379" s="29" t="str">
        <f t="shared" si="25"/>
        <v>✓ OK</v>
      </c>
      <c r="N379" s="43">
        <v>46193</v>
      </c>
      <c r="O379" s="26" t="s">
        <v>23</v>
      </c>
      <c r="P379" s="26" t="s">
        <v>24</v>
      </c>
      <c r="Q379" s="26" t="s">
        <v>25</v>
      </c>
      <c r="R379" s="26" t="s">
        <v>26</v>
      </c>
      <c r="S379" s="26" t="s">
        <v>24</v>
      </c>
      <c r="T379" s="27"/>
      <c r="U379" s="28" t="s">
        <v>25</v>
      </c>
      <c r="V379" s="29" t="str">
        <f t="shared" si="26"/>
        <v>✓ OK</v>
      </c>
      <c r="W379" s="45">
        <v>46248</v>
      </c>
      <c r="X379" s="30" t="s">
        <v>23</v>
      </c>
      <c r="Y379" s="30" t="s">
        <v>24</v>
      </c>
      <c r="Z379" s="30" t="s">
        <v>25</v>
      </c>
      <c r="AA379" s="30" t="s">
        <v>26</v>
      </c>
      <c r="AB379" s="30" t="s">
        <v>24</v>
      </c>
      <c r="AC379" s="27"/>
      <c r="AD379" s="31" t="s">
        <v>25</v>
      </c>
      <c r="AE379" s="32" t="str">
        <f t="shared" si="27"/>
        <v>✓ OK</v>
      </c>
      <c r="AF379" s="33" t="s">
        <v>27</v>
      </c>
      <c r="AG379" s="33" t="s">
        <v>23</v>
      </c>
      <c r="AH379" s="33" t="s">
        <v>24</v>
      </c>
      <c r="AI379" s="33" t="s">
        <v>25</v>
      </c>
      <c r="AJ379" s="33" t="s">
        <v>26</v>
      </c>
      <c r="AK379" s="33" t="s">
        <v>24</v>
      </c>
      <c r="AL379" s="27"/>
      <c r="AM379" s="34" t="s">
        <v>25</v>
      </c>
      <c r="AN379" s="35" t="str">
        <f t="shared" si="28"/>
        <v>✓ OK</v>
      </c>
      <c r="AO379" s="36"/>
      <c r="AP379" s="36"/>
      <c r="AQ379" s="36"/>
      <c r="AR379" s="36"/>
      <c r="AS379" s="36"/>
      <c r="AT379" s="36"/>
      <c r="AU379" s="27"/>
      <c r="AV379" s="37"/>
      <c r="AW379" s="38" t="str">
        <f t="shared" si="29"/>
        <v/>
      </c>
    </row>
    <row r="380" spans="1:49" ht="18" customHeight="1" x14ac:dyDescent="0.3">
      <c r="A380" s="39">
        <v>376</v>
      </c>
      <c r="B380" s="40" t="s">
        <v>2599</v>
      </c>
      <c r="C380" s="41" t="s">
        <v>2600</v>
      </c>
      <c r="D380" s="39" t="s">
        <v>1850</v>
      </c>
      <c r="E380" s="43">
        <v>46125</v>
      </c>
      <c r="F380" s="26" t="s">
        <v>23</v>
      </c>
      <c r="G380" s="26" t="s">
        <v>24</v>
      </c>
      <c r="H380" s="26" t="s">
        <v>25</v>
      </c>
      <c r="I380" s="26" t="s">
        <v>26</v>
      </c>
      <c r="J380" s="26" t="s">
        <v>24</v>
      </c>
      <c r="K380" s="27"/>
      <c r="L380" s="28" t="s">
        <v>25</v>
      </c>
      <c r="M380" s="29" t="str">
        <f t="shared" si="25"/>
        <v>✓ OK</v>
      </c>
      <c r="N380" s="43">
        <v>46193</v>
      </c>
      <c r="O380" s="26" t="s">
        <v>23</v>
      </c>
      <c r="P380" s="26" t="s">
        <v>24</v>
      </c>
      <c r="Q380" s="26" t="s">
        <v>25</v>
      </c>
      <c r="R380" s="26" t="s">
        <v>26</v>
      </c>
      <c r="S380" s="26" t="s">
        <v>24</v>
      </c>
      <c r="T380" s="27"/>
      <c r="U380" s="28" t="s">
        <v>25</v>
      </c>
      <c r="V380" s="29" t="str">
        <f t="shared" si="26"/>
        <v>✓ OK</v>
      </c>
      <c r="W380" s="45">
        <v>46248</v>
      </c>
      <c r="X380" s="30" t="s">
        <v>23</v>
      </c>
      <c r="Y380" s="30" t="s">
        <v>24</v>
      </c>
      <c r="Z380" s="30" t="s">
        <v>25</v>
      </c>
      <c r="AA380" s="30" t="s">
        <v>26</v>
      </c>
      <c r="AB380" s="30" t="s">
        <v>24</v>
      </c>
      <c r="AC380" s="27"/>
      <c r="AD380" s="31" t="s">
        <v>25</v>
      </c>
      <c r="AE380" s="32" t="str">
        <f t="shared" si="27"/>
        <v>✓ OK</v>
      </c>
      <c r="AF380" s="33" t="s">
        <v>27</v>
      </c>
      <c r="AG380" s="33" t="s">
        <v>23</v>
      </c>
      <c r="AH380" s="33" t="s">
        <v>24</v>
      </c>
      <c r="AI380" s="33" t="s">
        <v>25</v>
      </c>
      <c r="AJ380" s="33" t="s">
        <v>26</v>
      </c>
      <c r="AK380" s="33" t="s">
        <v>24</v>
      </c>
      <c r="AL380" s="27"/>
      <c r="AM380" s="34" t="s">
        <v>25</v>
      </c>
      <c r="AN380" s="35" t="str">
        <f t="shared" si="28"/>
        <v>✓ OK</v>
      </c>
      <c r="AO380" s="36"/>
      <c r="AP380" s="36"/>
      <c r="AQ380" s="36"/>
      <c r="AR380" s="36"/>
      <c r="AS380" s="36"/>
      <c r="AT380" s="36"/>
      <c r="AU380" s="27"/>
      <c r="AV380" s="37"/>
      <c r="AW380" s="38" t="str">
        <f t="shared" si="29"/>
        <v/>
      </c>
    </row>
    <row r="381" spans="1:49" ht="18" customHeight="1" x14ac:dyDescent="0.3">
      <c r="A381" s="23">
        <v>377</v>
      </c>
      <c r="B381" s="24" t="s">
        <v>2601</v>
      </c>
      <c r="C381" s="25" t="s">
        <v>2602</v>
      </c>
      <c r="D381" s="23" t="s">
        <v>1850</v>
      </c>
      <c r="E381" s="43">
        <v>46125</v>
      </c>
      <c r="F381" s="26" t="s">
        <v>23</v>
      </c>
      <c r="G381" s="26" t="s">
        <v>24</v>
      </c>
      <c r="H381" s="26" t="s">
        <v>25</v>
      </c>
      <c r="I381" s="26" t="s">
        <v>26</v>
      </c>
      <c r="J381" s="26" t="s">
        <v>24</v>
      </c>
      <c r="K381" s="27"/>
      <c r="L381" s="28" t="s">
        <v>25</v>
      </c>
      <c r="M381" s="29" t="str">
        <f t="shared" si="25"/>
        <v>✓ OK</v>
      </c>
      <c r="N381" s="43">
        <v>46193</v>
      </c>
      <c r="O381" s="26" t="s">
        <v>23</v>
      </c>
      <c r="P381" s="26" t="s">
        <v>24</v>
      </c>
      <c r="Q381" s="26" t="s">
        <v>25</v>
      </c>
      <c r="R381" s="26" t="s">
        <v>26</v>
      </c>
      <c r="S381" s="26" t="s">
        <v>24</v>
      </c>
      <c r="T381" s="27"/>
      <c r="U381" s="28" t="s">
        <v>25</v>
      </c>
      <c r="V381" s="29" t="str">
        <f t="shared" si="26"/>
        <v>✓ OK</v>
      </c>
      <c r="W381" s="45">
        <v>46248</v>
      </c>
      <c r="X381" s="30" t="s">
        <v>23</v>
      </c>
      <c r="Y381" s="30" t="s">
        <v>24</v>
      </c>
      <c r="Z381" s="30" t="s">
        <v>25</v>
      </c>
      <c r="AA381" s="30" t="s">
        <v>26</v>
      </c>
      <c r="AB381" s="30" t="s">
        <v>24</v>
      </c>
      <c r="AC381" s="27"/>
      <c r="AD381" s="31" t="s">
        <v>25</v>
      </c>
      <c r="AE381" s="32" t="str">
        <f t="shared" si="27"/>
        <v>✓ OK</v>
      </c>
      <c r="AF381" s="33" t="s">
        <v>27</v>
      </c>
      <c r="AG381" s="33" t="s">
        <v>23</v>
      </c>
      <c r="AH381" s="33" t="s">
        <v>24</v>
      </c>
      <c r="AI381" s="33" t="s">
        <v>25</v>
      </c>
      <c r="AJ381" s="33" t="s">
        <v>26</v>
      </c>
      <c r="AK381" s="33" t="s">
        <v>24</v>
      </c>
      <c r="AL381" s="27"/>
      <c r="AM381" s="34" t="s">
        <v>25</v>
      </c>
      <c r="AN381" s="35" t="str">
        <f t="shared" si="28"/>
        <v>✓ OK</v>
      </c>
      <c r="AO381" s="36"/>
      <c r="AP381" s="36"/>
      <c r="AQ381" s="36"/>
      <c r="AR381" s="36"/>
      <c r="AS381" s="36"/>
      <c r="AT381" s="36"/>
      <c r="AU381" s="27"/>
      <c r="AV381" s="37"/>
      <c r="AW381" s="38" t="str">
        <f t="shared" si="29"/>
        <v/>
      </c>
    </row>
    <row r="382" spans="1:49" ht="18" customHeight="1" x14ac:dyDescent="0.3">
      <c r="A382" s="39">
        <v>378</v>
      </c>
      <c r="B382" s="40" t="s">
        <v>2603</v>
      </c>
      <c r="C382" s="41" t="s">
        <v>2604</v>
      </c>
      <c r="D382" s="39" t="s">
        <v>1850</v>
      </c>
      <c r="E382" s="43">
        <v>46125</v>
      </c>
      <c r="F382" s="26" t="s">
        <v>23</v>
      </c>
      <c r="G382" s="26" t="s">
        <v>24</v>
      </c>
      <c r="H382" s="26" t="s">
        <v>25</v>
      </c>
      <c r="I382" s="26" t="s">
        <v>26</v>
      </c>
      <c r="J382" s="26" t="s">
        <v>24</v>
      </c>
      <c r="K382" s="27"/>
      <c r="L382" s="28" t="s">
        <v>25</v>
      </c>
      <c r="M382" s="29" t="str">
        <f t="shared" si="25"/>
        <v>✓ OK</v>
      </c>
      <c r="N382" s="43">
        <v>46193</v>
      </c>
      <c r="O382" s="26" t="s">
        <v>23</v>
      </c>
      <c r="P382" s="26" t="s">
        <v>24</v>
      </c>
      <c r="Q382" s="26" t="s">
        <v>25</v>
      </c>
      <c r="R382" s="26" t="s">
        <v>26</v>
      </c>
      <c r="S382" s="26" t="s">
        <v>24</v>
      </c>
      <c r="T382" s="27"/>
      <c r="U382" s="28" t="s">
        <v>25</v>
      </c>
      <c r="V382" s="29" t="str">
        <f t="shared" si="26"/>
        <v>✓ OK</v>
      </c>
      <c r="W382" s="45">
        <v>46248</v>
      </c>
      <c r="X382" s="30" t="s">
        <v>23</v>
      </c>
      <c r="Y382" s="30" t="s">
        <v>24</v>
      </c>
      <c r="Z382" s="30" t="s">
        <v>25</v>
      </c>
      <c r="AA382" s="30" t="s">
        <v>26</v>
      </c>
      <c r="AB382" s="30" t="s">
        <v>24</v>
      </c>
      <c r="AC382" s="27"/>
      <c r="AD382" s="31" t="s">
        <v>25</v>
      </c>
      <c r="AE382" s="32" t="str">
        <f t="shared" si="27"/>
        <v>✓ OK</v>
      </c>
      <c r="AF382" s="33" t="s">
        <v>27</v>
      </c>
      <c r="AG382" s="33" t="s">
        <v>23</v>
      </c>
      <c r="AH382" s="33" t="s">
        <v>24</v>
      </c>
      <c r="AI382" s="33" t="s">
        <v>25</v>
      </c>
      <c r="AJ382" s="33" t="s">
        <v>26</v>
      </c>
      <c r="AK382" s="33" t="s">
        <v>24</v>
      </c>
      <c r="AL382" s="27"/>
      <c r="AM382" s="34" t="s">
        <v>25</v>
      </c>
      <c r="AN382" s="35" t="str">
        <f t="shared" si="28"/>
        <v>✓ OK</v>
      </c>
      <c r="AO382" s="36"/>
      <c r="AP382" s="36"/>
      <c r="AQ382" s="36"/>
      <c r="AR382" s="36"/>
      <c r="AS382" s="36"/>
      <c r="AT382" s="36"/>
      <c r="AU382" s="27"/>
      <c r="AV382" s="37"/>
      <c r="AW382" s="38" t="str">
        <f t="shared" si="29"/>
        <v/>
      </c>
    </row>
    <row r="383" spans="1:49" ht="18" customHeight="1" x14ac:dyDescent="0.3">
      <c r="A383" s="23">
        <v>379</v>
      </c>
      <c r="B383" s="24" t="s">
        <v>2605</v>
      </c>
      <c r="C383" s="25" t="s">
        <v>2606</v>
      </c>
      <c r="D383" s="23" t="s">
        <v>1850</v>
      </c>
      <c r="E383" s="43">
        <v>46125</v>
      </c>
      <c r="F383" s="26" t="s">
        <v>23</v>
      </c>
      <c r="G383" s="26" t="s">
        <v>24</v>
      </c>
      <c r="H383" s="26" t="s">
        <v>25</v>
      </c>
      <c r="I383" s="26" t="s">
        <v>26</v>
      </c>
      <c r="J383" s="26" t="s">
        <v>24</v>
      </c>
      <c r="K383" s="27"/>
      <c r="L383" s="28" t="s">
        <v>25</v>
      </c>
      <c r="M383" s="29" t="str">
        <f t="shared" si="25"/>
        <v>✓ OK</v>
      </c>
      <c r="N383" s="43">
        <v>46193</v>
      </c>
      <c r="O383" s="26" t="s">
        <v>23</v>
      </c>
      <c r="P383" s="26" t="s">
        <v>24</v>
      </c>
      <c r="Q383" s="26" t="s">
        <v>25</v>
      </c>
      <c r="R383" s="26" t="s">
        <v>26</v>
      </c>
      <c r="S383" s="26" t="s">
        <v>24</v>
      </c>
      <c r="T383" s="27"/>
      <c r="U383" s="28" t="s">
        <v>25</v>
      </c>
      <c r="V383" s="29" t="str">
        <f t="shared" si="26"/>
        <v>✓ OK</v>
      </c>
      <c r="W383" s="45">
        <v>46248</v>
      </c>
      <c r="X383" s="30" t="s">
        <v>23</v>
      </c>
      <c r="Y383" s="30" t="s">
        <v>24</v>
      </c>
      <c r="Z383" s="30" t="s">
        <v>25</v>
      </c>
      <c r="AA383" s="30" t="s">
        <v>26</v>
      </c>
      <c r="AB383" s="30" t="s">
        <v>24</v>
      </c>
      <c r="AC383" s="27"/>
      <c r="AD383" s="31" t="s">
        <v>25</v>
      </c>
      <c r="AE383" s="32" t="str">
        <f t="shared" si="27"/>
        <v>✓ OK</v>
      </c>
      <c r="AF383" s="33" t="s">
        <v>27</v>
      </c>
      <c r="AG383" s="33" t="s">
        <v>23</v>
      </c>
      <c r="AH383" s="33" t="s">
        <v>24</v>
      </c>
      <c r="AI383" s="33" t="s">
        <v>25</v>
      </c>
      <c r="AJ383" s="33" t="s">
        <v>26</v>
      </c>
      <c r="AK383" s="33" t="s">
        <v>24</v>
      </c>
      <c r="AL383" s="27"/>
      <c r="AM383" s="34" t="s">
        <v>25</v>
      </c>
      <c r="AN383" s="35" t="str">
        <f t="shared" si="28"/>
        <v>✓ OK</v>
      </c>
      <c r="AO383" s="36"/>
      <c r="AP383" s="36"/>
      <c r="AQ383" s="36"/>
      <c r="AR383" s="36"/>
      <c r="AS383" s="36"/>
      <c r="AT383" s="36"/>
      <c r="AU383" s="27"/>
      <c r="AV383" s="37"/>
      <c r="AW383" s="38" t="str">
        <f t="shared" si="29"/>
        <v/>
      </c>
    </row>
    <row r="384" spans="1:49" ht="18" customHeight="1" x14ac:dyDescent="0.3">
      <c r="A384" s="39">
        <v>380</v>
      </c>
      <c r="B384" s="40" t="s">
        <v>2607</v>
      </c>
      <c r="C384" s="41" t="s">
        <v>2608</v>
      </c>
      <c r="D384" s="39" t="s">
        <v>1850</v>
      </c>
      <c r="E384" s="43">
        <v>46125</v>
      </c>
      <c r="F384" s="26" t="s">
        <v>23</v>
      </c>
      <c r="G384" s="26" t="s">
        <v>24</v>
      </c>
      <c r="H384" s="26" t="s">
        <v>25</v>
      </c>
      <c r="I384" s="26" t="s">
        <v>26</v>
      </c>
      <c r="J384" s="26" t="s">
        <v>24</v>
      </c>
      <c r="K384" s="27"/>
      <c r="L384" s="28" t="s">
        <v>25</v>
      </c>
      <c r="M384" s="29" t="str">
        <f t="shared" si="25"/>
        <v>✓ OK</v>
      </c>
      <c r="N384" s="43">
        <v>46193</v>
      </c>
      <c r="O384" s="26" t="s">
        <v>23</v>
      </c>
      <c r="P384" s="26" t="s">
        <v>24</v>
      </c>
      <c r="Q384" s="26" t="s">
        <v>25</v>
      </c>
      <c r="R384" s="26" t="s">
        <v>26</v>
      </c>
      <c r="S384" s="26" t="s">
        <v>24</v>
      </c>
      <c r="T384" s="27"/>
      <c r="U384" s="28" t="s">
        <v>25</v>
      </c>
      <c r="V384" s="29" t="str">
        <f t="shared" si="26"/>
        <v>✓ OK</v>
      </c>
      <c r="W384" s="45">
        <v>46248</v>
      </c>
      <c r="X384" s="30" t="s">
        <v>23</v>
      </c>
      <c r="Y384" s="30" t="s">
        <v>24</v>
      </c>
      <c r="Z384" s="30" t="s">
        <v>25</v>
      </c>
      <c r="AA384" s="30" t="s">
        <v>26</v>
      </c>
      <c r="AB384" s="30" t="s">
        <v>24</v>
      </c>
      <c r="AC384" s="27"/>
      <c r="AD384" s="31" t="s">
        <v>25</v>
      </c>
      <c r="AE384" s="32" t="str">
        <f t="shared" si="27"/>
        <v>✓ OK</v>
      </c>
      <c r="AF384" s="33" t="s">
        <v>27</v>
      </c>
      <c r="AG384" s="33" t="s">
        <v>23</v>
      </c>
      <c r="AH384" s="33" t="s">
        <v>24</v>
      </c>
      <c r="AI384" s="33" t="s">
        <v>25</v>
      </c>
      <c r="AJ384" s="33" t="s">
        <v>26</v>
      </c>
      <c r="AK384" s="33" t="s">
        <v>24</v>
      </c>
      <c r="AL384" s="27"/>
      <c r="AM384" s="34" t="s">
        <v>25</v>
      </c>
      <c r="AN384" s="35" t="str">
        <f t="shared" si="28"/>
        <v>✓ OK</v>
      </c>
      <c r="AO384" s="36"/>
      <c r="AP384" s="36"/>
      <c r="AQ384" s="36"/>
      <c r="AR384" s="36"/>
      <c r="AS384" s="36"/>
      <c r="AT384" s="36"/>
      <c r="AU384" s="27"/>
      <c r="AV384" s="37"/>
      <c r="AW384" s="38" t="str">
        <f t="shared" si="29"/>
        <v/>
      </c>
    </row>
    <row r="385" spans="1:49" ht="18" customHeight="1" x14ac:dyDescent="0.3">
      <c r="A385" s="23">
        <v>381</v>
      </c>
      <c r="B385" s="24" t="s">
        <v>2609</v>
      </c>
      <c r="C385" s="25" t="s">
        <v>2610</v>
      </c>
      <c r="D385" s="23" t="s">
        <v>1850</v>
      </c>
      <c r="E385" s="43">
        <v>46125</v>
      </c>
      <c r="F385" s="26" t="s">
        <v>23</v>
      </c>
      <c r="G385" s="26" t="s">
        <v>24</v>
      </c>
      <c r="H385" s="26" t="s">
        <v>25</v>
      </c>
      <c r="I385" s="26" t="s">
        <v>26</v>
      </c>
      <c r="J385" s="26" t="s">
        <v>24</v>
      </c>
      <c r="K385" s="27"/>
      <c r="L385" s="28" t="s">
        <v>25</v>
      </c>
      <c r="M385" s="29" t="str">
        <f t="shared" si="25"/>
        <v>✓ OK</v>
      </c>
      <c r="N385" s="43">
        <v>46193</v>
      </c>
      <c r="O385" s="26" t="s">
        <v>23</v>
      </c>
      <c r="P385" s="26" t="s">
        <v>24</v>
      </c>
      <c r="Q385" s="26" t="s">
        <v>25</v>
      </c>
      <c r="R385" s="26" t="s">
        <v>26</v>
      </c>
      <c r="S385" s="26" t="s">
        <v>24</v>
      </c>
      <c r="T385" s="27"/>
      <c r="U385" s="28" t="s">
        <v>25</v>
      </c>
      <c r="V385" s="29" t="str">
        <f t="shared" si="26"/>
        <v>✓ OK</v>
      </c>
      <c r="W385" s="45">
        <v>46248</v>
      </c>
      <c r="X385" s="30" t="s">
        <v>23</v>
      </c>
      <c r="Y385" s="30" t="s">
        <v>24</v>
      </c>
      <c r="Z385" s="30" t="s">
        <v>25</v>
      </c>
      <c r="AA385" s="30" t="s">
        <v>26</v>
      </c>
      <c r="AB385" s="30" t="s">
        <v>24</v>
      </c>
      <c r="AC385" s="27"/>
      <c r="AD385" s="31" t="s">
        <v>25</v>
      </c>
      <c r="AE385" s="32" t="str">
        <f t="shared" si="27"/>
        <v>✓ OK</v>
      </c>
      <c r="AF385" s="33" t="s">
        <v>27</v>
      </c>
      <c r="AG385" s="33" t="s">
        <v>23</v>
      </c>
      <c r="AH385" s="33" t="s">
        <v>24</v>
      </c>
      <c r="AI385" s="33" t="s">
        <v>25</v>
      </c>
      <c r="AJ385" s="33" t="s">
        <v>26</v>
      </c>
      <c r="AK385" s="33" t="s">
        <v>24</v>
      </c>
      <c r="AL385" s="27"/>
      <c r="AM385" s="34" t="s">
        <v>25</v>
      </c>
      <c r="AN385" s="35" t="str">
        <f t="shared" si="28"/>
        <v>✓ OK</v>
      </c>
      <c r="AO385" s="36"/>
      <c r="AP385" s="36"/>
      <c r="AQ385" s="36"/>
      <c r="AR385" s="36"/>
      <c r="AS385" s="36"/>
      <c r="AT385" s="36"/>
      <c r="AU385" s="27"/>
      <c r="AV385" s="37"/>
      <c r="AW385" s="38" t="str">
        <f t="shared" si="29"/>
        <v/>
      </c>
    </row>
    <row r="386" spans="1:49" ht="18" customHeight="1" x14ac:dyDescent="0.3">
      <c r="A386" s="39">
        <v>382</v>
      </c>
      <c r="B386" s="40" t="s">
        <v>2611</v>
      </c>
      <c r="C386" s="41" t="s">
        <v>2612</v>
      </c>
      <c r="D386" s="39" t="s">
        <v>1850</v>
      </c>
      <c r="E386" s="43">
        <v>46125</v>
      </c>
      <c r="F386" s="26" t="s">
        <v>23</v>
      </c>
      <c r="G386" s="26" t="s">
        <v>24</v>
      </c>
      <c r="H386" s="26" t="s">
        <v>25</v>
      </c>
      <c r="I386" s="26" t="s">
        <v>26</v>
      </c>
      <c r="J386" s="26" t="s">
        <v>24</v>
      </c>
      <c r="K386" s="27"/>
      <c r="L386" s="28" t="s">
        <v>25</v>
      </c>
      <c r="M386" s="29" t="str">
        <f t="shared" si="25"/>
        <v>✓ OK</v>
      </c>
      <c r="N386" s="43">
        <v>46193</v>
      </c>
      <c r="O386" s="26" t="s">
        <v>23</v>
      </c>
      <c r="P386" s="26" t="s">
        <v>24</v>
      </c>
      <c r="Q386" s="26" t="s">
        <v>25</v>
      </c>
      <c r="R386" s="26" t="s">
        <v>26</v>
      </c>
      <c r="S386" s="26" t="s">
        <v>24</v>
      </c>
      <c r="T386" s="27"/>
      <c r="U386" s="28" t="s">
        <v>25</v>
      </c>
      <c r="V386" s="29" t="str">
        <f t="shared" si="26"/>
        <v>✓ OK</v>
      </c>
      <c r="W386" s="45">
        <v>46248</v>
      </c>
      <c r="X386" s="30" t="s">
        <v>23</v>
      </c>
      <c r="Y386" s="30" t="s">
        <v>24</v>
      </c>
      <c r="Z386" s="30" t="s">
        <v>25</v>
      </c>
      <c r="AA386" s="30" t="s">
        <v>26</v>
      </c>
      <c r="AB386" s="30" t="s">
        <v>24</v>
      </c>
      <c r="AC386" s="27"/>
      <c r="AD386" s="31" t="s">
        <v>25</v>
      </c>
      <c r="AE386" s="32" t="str">
        <f t="shared" si="27"/>
        <v>✓ OK</v>
      </c>
      <c r="AF386" s="33" t="s">
        <v>27</v>
      </c>
      <c r="AG386" s="33" t="s">
        <v>23</v>
      </c>
      <c r="AH386" s="33" t="s">
        <v>24</v>
      </c>
      <c r="AI386" s="33" t="s">
        <v>25</v>
      </c>
      <c r="AJ386" s="33" t="s">
        <v>26</v>
      </c>
      <c r="AK386" s="33" t="s">
        <v>24</v>
      </c>
      <c r="AL386" s="27"/>
      <c r="AM386" s="34" t="s">
        <v>25</v>
      </c>
      <c r="AN386" s="35" t="str">
        <f t="shared" si="28"/>
        <v>✓ OK</v>
      </c>
      <c r="AO386" s="36"/>
      <c r="AP386" s="36"/>
      <c r="AQ386" s="36"/>
      <c r="AR386" s="36"/>
      <c r="AS386" s="36"/>
      <c r="AT386" s="36"/>
      <c r="AU386" s="27"/>
      <c r="AV386" s="37"/>
      <c r="AW386" s="38" t="str">
        <f t="shared" si="29"/>
        <v/>
      </c>
    </row>
    <row r="387" spans="1:49" ht="18" customHeight="1" x14ac:dyDescent="0.3">
      <c r="A387" s="23">
        <v>383</v>
      </c>
      <c r="B387" s="24" t="s">
        <v>2613</v>
      </c>
      <c r="C387" s="25" t="s">
        <v>2614</v>
      </c>
      <c r="D387" s="23" t="s">
        <v>1850</v>
      </c>
      <c r="E387" s="43">
        <v>46125</v>
      </c>
      <c r="F387" s="26" t="s">
        <v>23</v>
      </c>
      <c r="G387" s="26" t="s">
        <v>24</v>
      </c>
      <c r="H387" s="26" t="s">
        <v>25</v>
      </c>
      <c r="I387" s="26" t="s">
        <v>26</v>
      </c>
      <c r="J387" s="26" t="s">
        <v>24</v>
      </c>
      <c r="K387" s="27"/>
      <c r="L387" s="28" t="s">
        <v>25</v>
      </c>
      <c r="M387" s="29" t="str">
        <f t="shared" si="25"/>
        <v>✓ OK</v>
      </c>
      <c r="N387" s="43">
        <v>46193</v>
      </c>
      <c r="O387" s="26" t="s">
        <v>23</v>
      </c>
      <c r="P387" s="26" t="s">
        <v>24</v>
      </c>
      <c r="Q387" s="26" t="s">
        <v>25</v>
      </c>
      <c r="R387" s="26" t="s">
        <v>26</v>
      </c>
      <c r="S387" s="26" t="s">
        <v>24</v>
      </c>
      <c r="T387" s="27"/>
      <c r="U387" s="28" t="s">
        <v>25</v>
      </c>
      <c r="V387" s="29" t="str">
        <f t="shared" si="26"/>
        <v>✓ OK</v>
      </c>
      <c r="W387" s="45">
        <v>46248</v>
      </c>
      <c r="X387" s="30" t="s">
        <v>23</v>
      </c>
      <c r="Y387" s="30" t="s">
        <v>24</v>
      </c>
      <c r="Z387" s="30" t="s">
        <v>25</v>
      </c>
      <c r="AA387" s="30" t="s">
        <v>26</v>
      </c>
      <c r="AB387" s="30" t="s">
        <v>24</v>
      </c>
      <c r="AC387" s="27"/>
      <c r="AD387" s="31" t="s">
        <v>25</v>
      </c>
      <c r="AE387" s="32" t="str">
        <f t="shared" si="27"/>
        <v>✓ OK</v>
      </c>
      <c r="AF387" s="33" t="s">
        <v>27</v>
      </c>
      <c r="AG387" s="33" t="s">
        <v>23</v>
      </c>
      <c r="AH387" s="33" t="s">
        <v>24</v>
      </c>
      <c r="AI387" s="33" t="s">
        <v>25</v>
      </c>
      <c r="AJ387" s="33" t="s">
        <v>26</v>
      </c>
      <c r="AK387" s="33" t="s">
        <v>24</v>
      </c>
      <c r="AL387" s="27"/>
      <c r="AM387" s="34" t="s">
        <v>25</v>
      </c>
      <c r="AN387" s="35" t="str">
        <f t="shared" si="28"/>
        <v>✓ OK</v>
      </c>
      <c r="AO387" s="36"/>
      <c r="AP387" s="36"/>
      <c r="AQ387" s="36"/>
      <c r="AR387" s="36"/>
      <c r="AS387" s="36"/>
      <c r="AT387" s="36"/>
      <c r="AU387" s="27"/>
      <c r="AV387" s="37"/>
      <c r="AW387" s="38" t="str">
        <f t="shared" si="29"/>
        <v/>
      </c>
    </row>
    <row r="388" spans="1:49" ht="18" customHeight="1" x14ac:dyDescent="0.3">
      <c r="A388" s="39">
        <v>384</v>
      </c>
      <c r="B388" s="40" t="s">
        <v>2615</v>
      </c>
      <c r="C388" s="41" t="s">
        <v>2616</v>
      </c>
      <c r="D388" s="39" t="s">
        <v>1850</v>
      </c>
      <c r="E388" s="43">
        <v>46125</v>
      </c>
      <c r="F388" s="26" t="s">
        <v>23</v>
      </c>
      <c r="G388" s="26" t="s">
        <v>24</v>
      </c>
      <c r="H388" s="26" t="s">
        <v>25</v>
      </c>
      <c r="I388" s="26" t="s">
        <v>26</v>
      </c>
      <c r="J388" s="26" t="s">
        <v>24</v>
      </c>
      <c r="K388" s="27"/>
      <c r="L388" s="28" t="s">
        <v>25</v>
      </c>
      <c r="M388" s="29" t="str">
        <f t="shared" si="25"/>
        <v>✓ OK</v>
      </c>
      <c r="N388" s="43">
        <v>46193</v>
      </c>
      <c r="O388" s="26" t="s">
        <v>23</v>
      </c>
      <c r="P388" s="26" t="s">
        <v>24</v>
      </c>
      <c r="Q388" s="26" t="s">
        <v>25</v>
      </c>
      <c r="R388" s="26" t="s">
        <v>26</v>
      </c>
      <c r="S388" s="26" t="s">
        <v>24</v>
      </c>
      <c r="T388" s="27"/>
      <c r="U388" s="28" t="s">
        <v>25</v>
      </c>
      <c r="V388" s="29" t="str">
        <f t="shared" si="26"/>
        <v>✓ OK</v>
      </c>
      <c r="W388" s="45">
        <v>46248</v>
      </c>
      <c r="X388" s="30" t="s">
        <v>23</v>
      </c>
      <c r="Y388" s="30" t="s">
        <v>24</v>
      </c>
      <c r="Z388" s="30" t="s">
        <v>25</v>
      </c>
      <c r="AA388" s="30" t="s">
        <v>26</v>
      </c>
      <c r="AB388" s="30" t="s">
        <v>24</v>
      </c>
      <c r="AC388" s="27"/>
      <c r="AD388" s="31" t="s">
        <v>25</v>
      </c>
      <c r="AE388" s="32" t="str">
        <f t="shared" si="27"/>
        <v>✓ OK</v>
      </c>
      <c r="AF388" s="33" t="s">
        <v>27</v>
      </c>
      <c r="AG388" s="33" t="s">
        <v>23</v>
      </c>
      <c r="AH388" s="33" t="s">
        <v>24</v>
      </c>
      <c r="AI388" s="33" t="s">
        <v>25</v>
      </c>
      <c r="AJ388" s="33" t="s">
        <v>26</v>
      </c>
      <c r="AK388" s="33" t="s">
        <v>24</v>
      </c>
      <c r="AL388" s="27"/>
      <c r="AM388" s="34" t="s">
        <v>25</v>
      </c>
      <c r="AN388" s="35" t="str">
        <f t="shared" si="28"/>
        <v>✓ OK</v>
      </c>
      <c r="AO388" s="36"/>
      <c r="AP388" s="36"/>
      <c r="AQ388" s="36"/>
      <c r="AR388" s="36"/>
      <c r="AS388" s="36"/>
      <c r="AT388" s="36"/>
      <c r="AU388" s="27"/>
      <c r="AV388" s="37"/>
      <c r="AW388" s="38" t="str">
        <f t="shared" si="29"/>
        <v/>
      </c>
    </row>
    <row r="389" spans="1:49" ht="18" customHeight="1" x14ac:dyDescent="0.3">
      <c r="A389" s="23">
        <v>385</v>
      </c>
      <c r="B389" s="24" t="s">
        <v>2617</v>
      </c>
      <c r="C389" s="25" t="s">
        <v>2618</v>
      </c>
      <c r="D389" s="23" t="s">
        <v>1850</v>
      </c>
      <c r="E389" s="43">
        <v>46125</v>
      </c>
      <c r="F389" s="26" t="s">
        <v>23</v>
      </c>
      <c r="G389" s="26" t="s">
        <v>24</v>
      </c>
      <c r="H389" s="26" t="s">
        <v>25</v>
      </c>
      <c r="I389" s="26" t="s">
        <v>26</v>
      </c>
      <c r="J389" s="26" t="s">
        <v>24</v>
      </c>
      <c r="K389" s="27"/>
      <c r="L389" s="28" t="s">
        <v>25</v>
      </c>
      <c r="M389" s="29" t="str">
        <f t="shared" ref="M389:M452" si="30">IF(E389="","",IF(H389="Yes","❌ Disc",IF(G389="No","⚠ Missing",IF(J389="Yes","✓ OK","⚠ Check"))))</f>
        <v>✓ OK</v>
      </c>
      <c r="N389" s="43">
        <v>46193</v>
      </c>
      <c r="O389" s="26" t="s">
        <v>23</v>
      </c>
      <c r="P389" s="26" t="s">
        <v>24</v>
      </c>
      <c r="Q389" s="26" t="s">
        <v>25</v>
      </c>
      <c r="R389" s="26" t="s">
        <v>26</v>
      </c>
      <c r="S389" s="26" t="s">
        <v>24</v>
      </c>
      <c r="T389" s="27"/>
      <c r="U389" s="28" t="s">
        <v>25</v>
      </c>
      <c r="V389" s="29" t="str">
        <f t="shared" ref="V389:V452" si="31">IF(N389="","",IF(Q389="Yes","❌ Disc",IF(P389="No","⚠ Missing",IF(S389="Yes","✓ OK","⚠ Check"))))</f>
        <v>✓ OK</v>
      </c>
      <c r="W389" s="45">
        <v>46248</v>
      </c>
      <c r="X389" s="30" t="s">
        <v>23</v>
      </c>
      <c r="Y389" s="30" t="s">
        <v>24</v>
      </c>
      <c r="Z389" s="30" t="s">
        <v>25</v>
      </c>
      <c r="AA389" s="30" t="s">
        <v>26</v>
      </c>
      <c r="AB389" s="30" t="s">
        <v>24</v>
      </c>
      <c r="AC389" s="27"/>
      <c r="AD389" s="31" t="s">
        <v>25</v>
      </c>
      <c r="AE389" s="32" t="str">
        <f t="shared" ref="AE389:AE452" si="32">IF(W389="","",IF(Z389="Yes","❌ Disc",IF(Y389="No","⚠ Missing",IF(AB389="Yes","✓ OK","⚠ Check"))))</f>
        <v>✓ OK</v>
      </c>
      <c r="AF389" s="33" t="s">
        <v>27</v>
      </c>
      <c r="AG389" s="33" t="s">
        <v>23</v>
      </c>
      <c r="AH389" s="33" t="s">
        <v>24</v>
      </c>
      <c r="AI389" s="33" t="s">
        <v>25</v>
      </c>
      <c r="AJ389" s="33" t="s">
        <v>26</v>
      </c>
      <c r="AK389" s="33" t="s">
        <v>24</v>
      </c>
      <c r="AL389" s="27"/>
      <c r="AM389" s="34" t="s">
        <v>25</v>
      </c>
      <c r="AN389" s="35" t="str">
        <f t="shared" ref="AN389:AN452" si="33">IF(AF389="","",IF(AI389="Yes","❌ Disc",IF(AH389="No","⚠ Missing",IF(AK389="Yes","✓ OK","⚠ Check"))))</f>
        <v>✓ OK</v>
      </c>
      <c r="AO389" s="36"/>
      <c r="AP389" s="36"/>
      <c r="AQ389" s="36"/>
      <c r="AR389" s="36"/>
      <c r="AS389" s="36"/>
      <c r="AT389" s="36"/>
      <c r="AU389" s="27"/>
      <c r="AV389" s="37"/>
      <c r="AW389" s="38" t="str">
        <f t="shared" ref="AW389:AW452" si="34">IF(AO389="","",IF(AR389="Yes","❌ Disc",IF(AQ389="No","⚠ Missing",IF(AT389="Yes","✓ OK","⚠ Check"))))</f>
        <v/>
      </c>
    </row>
    <row r="390" spans="1:49" ht="18" customHeight="1" x14ac:dyDescent="0.3">
      <c r="A390" s="39">
        <v>386</v>
      </c>
      <c r="B390" s="40" t="s">
        <v>2619</v>
      </c>
      <c r="C390" s="41" t="s">
        <v>2620</v>
      </c>
      <c r="D390" s="39" t="s">
        <v>1850</v>
      </c>
      <c r="E390" s="43">
        <v>46125</v>
      </c>
      <c r="F390" s="26" t="s">
        <v>23</v>
      </c>
      <c r="G390" s="26" t="s">
        <v>24</v>
      </c>
      <c r="H390" s="26" t="s">
        <v>25</v>
      </c>
      <c r="I390" s="26" t="s">
        <v>26</v>
      </c>
      <c r="J390" s="26" t="s">
        <v>24</v>
      </c>
      <c r="K390" s="27"/>
      <c r="L390" s="28" t="s">
        <v>25</v>
      </c>
      <c r="M390" s="29" t="str">
        <f t="shared" si="30"/>
        <v>✓ OK</v>
      </c>
      <c r="N390" s="43">
        <v>46193</v>
      </c>
      <c r="O390" s="26" t="s">
        <v>23</v>
      </c>
      <c r="P390" s="26" t="s">
        <v>24</v>
      </c>
      <c r="Q390" s="26" t="s">
        <v>25</v>
      </c>
      <c r="R390" s="26" t="s">
        <v>26</v>
      </c>
      <c r="S390" s="26" t="s">
        <v>24</v>
      </c>
      <c r="T390" s="27"/>
      <c r="U390" s="28" t="s">
        <v>25</v>
      </c>
      <c r="V390" s="29" t="str">
        <f t="shared" si="31"/>
        <v>✓ OK</v>
      </c>
      <c r="W390" s="45">
        <v>46248</v>
      </c>
      <c r="X390" s="30" t="s">
        <v>23</v>
      </c>
      <c r="Y390" s="30" t="s">
        <v>24</v>
      </c>
      <c r="Z390" s="30" t="s">
        <v>25</v>
      </c>
      <c r="AA390" s="30" t="s">
        <v>26</v>
      </c>
      <c r="AB390" s="30" t="s">
        <v>24</v>
      </c>
      <c r="AC390" s="27"/>
      <c r="AD390" s="31" t="s">
        <v>25</v>
      </c>
      <c r="AE390" s="32" t="str">
        <f t="shared" si="32"/>
        <v>✓ OK</v>
      </c>
      <c r="AF390" s="33" t="s">
        <v>27</v>
      </c>
      <c r="AG390" s="33" t="s">
        <v>23</v>
      </c>
      <c r="AH390" s="33" t="s">
        <v>24</v>
      </c>
      <c r="AI390" s="33" t="s">
        <v>25</v>
      </c>
      <c r="AJ390" s="33" t="s">
        <v>26</v>
      </c>
      <c r="AK390" s="33" t="s">
        <v>24</v>
      </c>
      <c r="AL390" s="27"/>
      <c r="AM390" s="34" t="s">
        <v>25</v>
      </c>
      <c r="AN390" s="35" t="str">
        <f t="shared" si="33"/>
        <v>✓ OK</v>
      </c>
      <c r="AO390" s="36"/>
      <c r="AP390" s="36"/>
      <c r="AQ390" s="36"/>
      <c r="AR390" s="36"/>
      <c r="AS390" s="36"/>
      <c r="AT390" s="36"/>
      <c r="AU390" s="27"/>
      <c r="AV390" s="37"/>
      <c r="AW390" s="38" t="str">
        <f t="shared" si="34"/>
        <v/>
      </c>
    </row>
    <row r="391" spans="1:49" ht="18" customHeight="1" x14ac:dyDescent="0.3">
      <c r="A391" s="23">
        <v>387</v>
      </c>
      <c r="B391" s="24" t="s">
        <v>2621</v>
      </c>
      <c r="C391" s="25" t="s">
        <v>2622</v>
      </c>
      <c r="D391" s="23" t="s">
        <v>1850</v>
      </c>
      <c r="E391" s="43">
        <v>46125</v>
      </c>
      <c r="F391" s="26" t="s">
        <v>23</v>
      </c>
      <c r="G391" s="26" t="s">
        <v>24</v>
      </c>
      <c r="H391" s="26" t="s">
        <v>25</v>
      </c>
      <c r="I391" s="26" t="s">
        <v>26</v>
      </c>
      <c r="J391" s="26" t="s">
        <v>24</v>
      </c>
      <c r="K391" s="27"/>
      <c r="L391" s="28" t="s">
        <v>25</v>
      </c>
      <c r="M391" s="29" t="str">
        <f t="shared" si="30"/>
        <v>✓ OK</v>
      </c>
      <c r="N391" s="43">
        <v>46193</v>
      </c>
      <c r="O391" s="26" t="s">
        <v>23</v>
      </c>
      <c r="P391" s="26" t="s">
        <v>24</v>
      </c>
      <c r="Q391" s="26" t="s">
        <v>25</v>
      </c>
      <c r="R391" s="26" t="s">
        <v>26</v>
      </c>
      <c r="S391" s="26" t="s">
        <v>24</v>
      </c>
      <c r="T391" s="27"/>
      <c r="U391" s="28" t="s">
        <v>25</v>
      </c>
      <c r="V391" s="29" t="str">
        <f t="shared" si="31"/>
        <v>✓ OK</v>
      </c>
      <c r="W391" s="45">
        <v>46248</v>
      </c>
      <c r="X391" s="30" t="s">
        <v>23</v>
      </c>
      <c r="Y391" s="30" t="s">
        <v>24</v>
      </c>
      <c r="Z391" s="30" t="s">
        <v>25</v>
      </c>
      <c r="AA391" s="30" t="s">
        <v>26</v>
      </c>
      <c r="AB391" s="30" t="s">
        <v>24</v>
      </c>
      <c r="AC391" s="27"/>
      <c r="AD391" s="31" t="s">
        <v>25</v>
      </c>
      <c r="AE391" s="32" t="str">
        <f t="shared" si="32"/>
        <v>✓ OK</v>
      </c>
      <c r="AF391" s="33" t="s">
        <v>27</v>
      </c>
      <c r="AG391" s="33" t="s">
        <v>23</v>
      </c>
      <c r="AH391" s="33" t="s">
        <v>24</v>
      </c>
      <c r="AI391" s="33" t="s">
        <v>25</v>
      </c>
      <c r="AJ391" s="33" t="s">
        <v>26</v>
      </c>
      <c r="AK391" s="33" t="s">
        <v>24</v>
      </c>
      <c r="AL391" s="27"/>
      <c r="AM391" s="34" t="s">
        <v>25</v>
      </c>
      <c r="AN391" s="35" t="str">
        <f t="shared" si="33"/>
        <v>✓ OK</v>
      </c>
      <c r="AO391" s="36"/>
      <c r="AP391" s="36"/>
      <c r="AQ391" s="36"/>
      <c r="AR391" s="36"/>
      <c r="AS391" s="36"/>
      <c r="AT391" s="36"/>
      <c r="AU391" s="27"/>
      <c r="AV391" s="37"/>
      <c r="AW391" s="38" t="str">
        <f t="shared" si="34"/>
        <v/>
      </c>
    </row>
    <row r="392" spans="1:49" ht="18" customHeight="1" x14ac:dyDescent="0.3">
      <c r="A392" s="39">
        <v>388</v>
      </c>
      <c r="B392" s="40" t="s">
        <v>2623</v>
      </c>
      <c r="C392" s="41" t="s">
        <v>2624</v>
      </c>
      <c r="D392" s="39" t="s">
        <v>1850</v>
      </c>
      <c r="E392" s="43">
        <v>46125</v>
      </c>
      <c r="F392" s="26" t="s">
        <v>23</v>
      </c>
      <c r="G392" s="26" t="s">
        <v>24</v>
      </c>
      <c r="H392" s="26" t="s">
        <v>25</v>
      </c>
      <c r="I392" s="26" t="s">
        <v>26</v>
      </c>
      <c r="J392" s="26" t="s">
        <v>24</v>
      </c>
      <c r="K392" s="27"/>
      <c r="L392" s="28" t="s">
        <v>25</v>
      </c>
      <c r="M392" s="29" t="str">
        <f t="shared" si="30"/>
        <v>✓ OK</v>
      </c>
      <c r="N392" s="43">
        <v>46193</v>
      </c>
      <c r="O392" s="26" t="s">
        <v>23</v>
      </c>
      <c r="P392" s="26" t="s">
        <v>24</v>
      </c>
      <c r="Q392" s="26" t="s">
        <v>25</v>
      </c>
      <c r="R392" s="26" t="s">
        <v>26</v>
      </c>
      <c r="S392" s="26" t="s">
        <v>24</v>
      </c>
      <c r="T392" s="27"/>
      <c r="U392" s="28" t="s">
        <v>25</v>
      </c>
      <c r="V392" s="29" t="str">
        <f t="shared" si="31"/>
        <v>✓ OK</v>
      </c>
      <c r="W392" s="45">
        <v>46248</v>
      </c>
      <c r="X392" s="30" t="s">
        <v>23</v>
      </c>
      <c r="Y392" s="30" t="s">
        <v>24</v>
      </c>
      <c r="Z392" s="30" t="s">
        <v>25</v>
      </c>
      <c r="AA392" s="30" t="s">
        <v>26</v>
      </c>
      <c r="AB392" s="30" t="s">
        <v>24</v>
      </c>
      <c r="AC392" s="27"/>
      <c r="AD392" s="31" t="s">
        <v>25</v>
      </c>
      <c r="AE392" s="32" t="str">
        <f t="shared" si="32"/>
        <v>✓ OK</v>
      </c>
      <c r="AF392" s="33" t="s">
        <v>27</v>
      </c>
      <c r="AG392" s="33" t="s">
        <v>23</v>
      </c>
      <c r="AH392" s="33" t="s">
        <v>24</v>
      </c>
      <c r="AI392" s="33" t="s">
        <v>25</v>
      </c>
      <c r="AJ392" s="33" t="s">
        <v>26</v>
      </c>
      <c r="AK392" s="33" t="s">
        <v>24</v>
      </c>
      <c r="AL392" s="27"/>
      <c r="AM392" s="34" t="s">
        <v>25</v>
      </c>
      <c r="AN392" s="35" t="str">
        <f t="shared" si="33"/>
        <v>✓ OK</v>
      </c>
      <c r="AO392" s="36"/>
      <c r="AP392" s="36"/>
      <c r="AQ392" s="36"/>
      <c r="AR392" s="36"/>
      <c r="AS392" s="36"/>
      <c r="AT392" s="36"/>
      <c r="AU392" s="27"/>
      <c r="AV392" s="37"/>
      <c r="AW392" s="38" t="str">
        <f t="shared" si="34"/>
        <v/>
      </c>
    </row>
    <row r="393" spans="1:49" ht="18" customHeight="1" x14ac:dyDescent="0.3">
      <c r="A393" s="23">
        <v>389</v>
      </c>
      <c r="B393" s="24" t="s">
        <v>2625</v>
      </c>
      <c r="C393" s="25" t="s">
        <v>2626</v>
      </c>
      <c r="D393" s="23" t="s">
        <v>1850</v>
      </c>
      <c r="E393" s="43">
        <v>46125</v>
      </c>
      <c r="F393" s="26" t="s">
        <v>23</v>
      </c>
      <c r="G393" s="26" t="s">
        <v>24</v>
      </c>
      <c r="H393" s="26" t="s">
        <v>25</v>
      </c>
      <c r="I393" s="26" t="s">
        <v>26</v>
      </c>
      <c r="J393" s="26" t="s">
        <v>24</v>
      </c>
      <c r="K393" s="27"/>
      <c r="L393" s="28" t="s">
        <v>25</v>
      </c>
      <c r="M393" s="29" t="str">
        <f t="shared" si="30"/>
        <v>✓ OK</v>
      </c>
      <c r="N393" s="43">
        <v>46193</v>
      </c>
      <c r="O393" s="26" t="s">
        <v>23</v>
      </c>
      <c r="P393" s="26" t="s">
        <v>24</v>
      </c>
      <c r="Q393" s="26" t="s">
        <v>25</v>
      </c>
      <c r="R393" s="26" t="s">
        <v>26</v>
      </c>
      <c r="S393" s="26" t="s">
        <v>24</v>
      </c>
      <c r="T393" s="27"/>
      <c r="U393" s="28" t="s">
        <v>25</v>
      </c>
      <c r="V393" s="29" t="str">
        <f t="shared" si="31"/>
        <v>✓ OK</v>
      </c>
      <c r="W393" s="45">
        <v>46248</v>
      </c>
      <c r="X393" s="30" t="s">
        <v>23</v>
      </c>
      <c r="Y393" s="30" t="s">
        <v>24</v>
      </c>
      <c r="Z393" s="30" t="s">
        <v>25</v>
      </c>
      <c r="AA393" s="30" t="s">
        <v>26</v>
      </c>
      <c r="AB393" s="30" t="s">
        <v>24</v>
      </c>
      <c r="AC393" s="27"/>
      <c r="AD393" s="31" t="s">
        <v>25</v>
      </c>
      <c r="AE393" s="32" t="str">
        <f t="shared" si="32"/>
        <v>✓ OK</v>
      </c>
      <c r="AF393" s="33" t="s">
        <v>27</v>
      </c>
      <c r="AG393" s="33" t="s">
        <v>23</v>
      </c>
      <c r="AH393" s="33" t="s">
        <v>24</v>
      </c>
      <c r="AI393" s="33" t="s">
        <v>25</v>
      </c>
      <c r="AJ393" s="33" t="s">
        <v>26</v>
      </c>
      <c r="AK393" s="33" t="s">
        <v>24</v>
      </c>
      <c r="AL393" s="27"/>
      <c r="AM393" s="34" t="s">
        <v>25</v>
      </c>
      <c r="AN393" s="35" t="str">
        <f t="shared" si="33"/>
        <v>✓ OK</v>
      </c>
      <c r="AO393" s="36"/>
      <c r="AP393" s="36"/>
      <c r="AQ393" s="36"/>
      <c r="AR393" s="36"/>
      <c r="AS393" s="36"/>
      <c r="AT393" s="36"/>
      <c r="AU393" s="27"/>
      <c r="AV393" s="37"/>
      <c r="AW393" s="38" t="str">
        <f t="shared" si="34"/>
        <v/>
      </c>
    </row>
    <row r="394" spans="1:49" ht="18" customHeight="1" x14ac:dyDescent="0.3">
      <c r="A394" s="39">
        <v>390</v>
      </c>
      <c r="B394" s="40" t="s">
        <v>2627</v>
      </c>
      <c r="C394" s="41" t="s">
        <v>2628</v>
      </c>
      <c r="D394" s="39" t="s">
        <v>1850</v>
      </c>
      <c r="E394" s="43">
        <v>46125</v>
      </c>
      <c r="F394" s="26" t="s">
        <v>23</v>
      </c>
      <c r="G394" s="26" t="s">
        <v>24</v>
      </c>
      <c r="H394" s="26" t="s">
        <v>25</v>
      </c>
      <c r="I394" s="26" t="s">
        <v>26</v>
      </c>
      <c r="J394" s="26" t="s">
        <v>24</v>
      </c>
      <c r="K394" s="27"/>
      <c r="L394" s="28" t="s">
        <v>25</v>
      </c>
      <c r="M394" s="29" t="str">
        <f t="shared" si="30"/>
        <v>✓ OK</v>
      </c>
      <c r="N394" s="43">
        <v>46193</v>
      </c>
      <c r="O394" s="26" t="s">
        <v>23</v>
      </c>
      <c r="P394" s="26" t="s">
        <v>24</v>
      </c>
      <c r="Q394" s="26" t="s">
        <v>25</v>
      </c>
      <c r="R394" s="26" t="s">
        <v>26</v>
      </c>
      <c r="S394" s="26" t="s">
        <v>24</v>
      </c>
      <c r="T394" s="27"/>
      <c r="U394" s="28" t="s">
        <v>25</v>
      </c>
      <c r="V394" s="29" t="str">
        <f t="shared" si="31"/>
        <v>✓ OK</v>
      </c>
      <c r="W394" s="45">
        <v>46248</v>
      </c>
      <c r="X394" s="30" t="s">
        <v>23</v>
      </c>
      <c r="Y394" s="30" t="s">
        <v>24</v>
      </c>
      <c r="Z394" s="30" t="s">
        <v>25</v>
      </c>
      <c r="AA394" s="30" t="s">
        <v>26</v>
      </c>
      <c r="AB394" s="30" t="s">
        <v>24</v>
      </c>
      <c r="AC394" s="27"/>
      <c r="AD394" s="31" t="s">
        <v>25</v>
      </c>
      <c r="AE394" s="32" t="str">
        <f t="shared" si="32"/>
        <v>✓ OK</v>
      </c>
      <c r="AF394" s="33" t="s">
        <v>27</v>
      </c>
      <c r="AG394" s="33" t="s">
        <v>23</v>
      </c>
      <c r="AH394" s="33" t="s">
        <v>24</v>
      </c>
      <c r="AI394" s="33" t="s">
        <v>25</v>
      </c>
      <c r="AJ394" s="33" t="s">
        <v>26</v>
      </c>
      <c r="AK394" s="33" t="s">
        <v>24</v>
      </c>
      <c r="AL394" s="27"/>
      <c r="AM394" s="34" t="s">
        <v>25</v>
      </c>
      <c r="AN394" s="35" t="str">
        <f t="shared" si="33"/>
        <v>✓ OK</v>
      </c>
      <c r="AO394" s="36"/>
      <c r="AP394" s="36"/>
      <c r="AQ394" s="36"/>
      <c r="AR394" s="36"/>
      <c r="AS394" s="36"/>
      <c r="AT394" s="36"/>
      <c r="AU394" s="27"/>
      <c r="AV394" s="37"/>
      <c r="AW394" s="38" t="str">
        <f t="shared" si="34"/>
        <v/>
      </c>
    </row>
    <row r="395" spans="1:49" ht="18" customHeight="1" x14ac:dyDescent="0.3">
      <c r="A395" s="23">
        <v>391</v>
      </c>
      <c r="B395" s="24" t="s">
        <v>2629</v>
      </c>
      <c r="C395" s="25" t="s">
        <v>2630</v>
      </c>
      <c r="D395" s="23" t="s">
        <v>1850</v>
      </c>
      <c r="E395" s="43">
        <v>46125</v>
      </c>
      <c r="F395" s="26" t="s">
        <v>23</v>
      </c>
      <c r="G395" s="26" t="s">
        <v>24</v>
      </c>
      <c r="H395" s="26" t="s">
        <v>25</v>
      </c>
      <c r="I395" s="26" t="s">
        <v>26</v>
      </c>
      <c r="J395" s="26" t="s">
        <v>24</v>
      </c>
      <c r="K395" s="27"/>
      <c r="L395" s="28" t="s">
        <v>25</v>
      </c>
      <c r="M395" s="29" t="str">
        <f t="shared" si="30"/>
        <v>✓ OK</v>
      </c>
      <c r="N395" s="43">
        <v>46193</v>
      </c>
      <c r="O395" s="26" t="s">
        <v>23</v>
      </c>
      <c r="P395" s="26" t="s">
        <v>24</v>
      </c>
      <c r="Q395" s="26" t="s">
        <v>25</v>
      </c>
      <c r="R395" s="26" t="s">
        <v>26</v>
      </c>
      <c r="S395" s="26" t="s">
        <v>24</v>
      </c>
      <c r="T395" s="27"/>
      <c r="U395" s="28" t="s">
        <v>25</v>
      </c>
      <c r="V395" s="29" t="str">
        <f t="shared" si="31"/>
        <v>✓ OK</v>
      </c>
      <c r="W395" s="45">
        <v>46248</v>
      </c>
      <c r="X395" s="30" t="s">
        <v>23</v>
      </c>
      <c r="Y395" s="30" t="s">
        <v>24</v>
      </c>
      <c r="Z395" s="30" t="s">
        <v>25</v>
      </c>
      <c r="AA395" s="30" t="s">
        <v>26</v>
      </c>
      <c r="AB395" s="30" t="s">
        <v>24</v>
      </c>
      <c r="AC395" s="27"/>
      <c r="AD395" s="31" t="s">
        <v>25</v>
      </c>
      <c r="AE395" s="32" t="str">
        <f t="shared" si="32"/>
        <v>✓ OK</v>
      </c>
      <c r="AF395" s="33" t="s">
        <v>27</v>
      </c>
      <c r="AG395" s="33" t="s">
        <v>23</v>
      </c>
      <c r="AH395" s="33" t="s">
        <v>24</v>
      </c>
      <c r="AI395" s="33" t="s">
        <v>25</v>
      </c>
      <c r="AJ395" s="33" t="s">
        <v>26</v>
      </c>
      <c r="AK395" s="33" t="s">
        <v>24</v>
      </c>
      <c r="AL395" s="27"/>
      <c r="AM395" s="34" t="s">
        <v>25</v>
      </c>
      <c r="AN395" s="35" t="str">
        <f t="shared" si="33"/>
        <v>✓ OK</v>
      </c>
      <c r="AO395" s="36"/>
      <c r="AP395" s="36"/>
      <c r="AQ395" s="36"/>
      <c r="AR395" s="36"/>
      <c r="AS395" s="36"/>
      <c r="AT395" s="36"/>
      <c r="AU395" s="27"/>
      <c r="AV395" s="37"/>
      <c r="AW395" s="38" t="str">
        <f t="shared" si="34"/>
        <v/>
      </c>
    </row>
    <row r="396" spans="1:49" ht="18" customHeight="1" x14ac:dyDescent="0.3">
      <c r="A396" s="39">
        <v>392</v>
      </c>
      <c r="B396" s="40" t="s">
        <v>2631</v>
      </c>
      <c r="C396" s="41" t="s">
        <v>2632</v>
      </c>
      <c r="D396" s="39" t="s">
        <v>1850</v>
      </c>
      <c r="E396" s="43">
        <v>46125</v>
      </c>
      <c r="F396" s="26" t="s">
        <v>23</v>
      </c>
      <c r="G396" s="26" t="s">
        <v>24</v>
      </c>
      <c r="H396" s="26" t="s">
        <v>25</v>
      </c>
      <c r="I396" s="26" t="s">
        <v>26</v>
      </c>
      <c r="J396" s="26" t="s">
        <v>24</v>
      </c>
      <c r="K396" s="27"/>
      <c r="L396" s="28" t="s">
        <v>25</v>
      </c>
      <c r="M396" s="29" t="str">
        <f t="shared" si="30"/>
        <v>✓ OK</v>
      </c>
      <c r="N396" s="43">
        <v>46193</v>
      </c>
      <c r="O396" s="26" t="s">
        <v>23</v>
      </c>
      <c r="P396" s="26" t="s">
        <v>24</v>
      </c>
      <c r="Q396" s="26" t="s">
        <v>25</v>
      </c>
      <c r="R396" s="26" t="s">
        <v>26</v>
      </c>
      <c r="S396" s="26" t="s">
        <v>24</v>
      </c>
      <c r="T396" s="27"/>
      <c r="U396" s="28" t="s">
        <v>25</v>
      </c>
      <c r="V396" s="29" t="str">
        <f t="shared" si="31"/>
        <v>✓ OK</v>
      </c>
      <c r="W396" s="45">
        <v>46248</v>
      </c>
      <c r="X396" s="30" t="s">
        <v>23</v>
      </c>
      <c r="Y396" s="30" t="s">
        <v>24</v>
      </c>
      <c r="Z396" s="30" t="s">
        <v>25</v>
      </c>
      <c r="AA396" s="30" t="s">
        <v>26</v>
      </c>
      <c r="AB396" s="30" t="s">
        <v>24</v>
      </c>
      <c r="AC396" s="27"/>
      <c r="AD396" s="31" t="s">
        <v>25</v>
      </c>
      <c r="AE396" s="32" t="str">
        <f t="shared" si="32"/>
        <v>✓ OK</v>
      </c>
      <c r="AF396" s="33" t="s">
        <v>27</v>
      </c>
      <c r="AG396" s="33" t="s">
        <v>23</v>
      </c>
      <c r="AH396" s="33" t="s">
        <v>24</v>
      </c>
      <c r="AI396" s="33" t="s">
        <v>25</v>
      </c>
      <c r="AJ396" s="33" t="s">
        <v>26</v>
      </c>
      <c r="AK396" s="33" t="s">
        <v>24</v>
      </c>
      <c r="AL396" s="27"/>
      <c r="AM396" s="34" t="s">
        <v>25</v>
      </c>
      <c r="AN396" s="35" t="str">
        <f t="shared" si="33"/>
        <v>✓ OK</v>
      </c>
      <c r="AO396" s="36"/>
      <c r="AP396" s="36"/>
      <c r="AQ396" s="36"/>
      <c r="AR396" s="36"/>
      <c r="AS396" s="36"/>
      <c r="AT396" s="36"/>
      <c r="AU396" s="27"/>
      <c r="AV396" s="37"/>
      <c r="AW396" s="38" t="str">
        <f t="shared" si="34"/>
        <v/>
      </c>
    </row>
    <row r="397" spans="1:49" ht="18" customHeight="1" x14ac:dyDescent="0.3">
      <c r="A397" s="23">
        <v>393</v>
      </c>
      <c r="B397" s="24" t="s">
        <v>2633</v>
      </c>
      <c r="C397" s="25" t="s">
        <v>2634</v>
      </c>
      <c r="D397" s="23" t="s">
        <v>1850</v>
      </c>
      <c r="E397" s="43">
        <v>46125</v>
      </c>
      <c r="F397" s="26" t="s">
        <v>23</v>
      </c>
      <c r="G397" s="26" t="s">
        <v>24</v>
      </c>
      <c r="H397" s="26" t="s">
        <v>25</v>
      </c>
      <c r="I397" s="26" t="s">
        <v>26</v>
      </c>
      <c r="J397" s="26" t="s">
        <v>24</v>
      </c>
      <c r="K397" s="27"/>
      <c r="L397" s="28" t="s">
        <v>25</v>
      </c>
      <c r="M397" s="29" t="str">
        <f t="shared" si="30"/>
        <v>✓ OK</v>
      </c>
      <c r="N397" s="43">
        <v>46193</v>
      </c>
      <c r="O397" s="26" t="s">
        <v>23</v>
      </c>
      <c r="P397" s="26" t="s">
        <v>24</v>
      </c>
      <c r="Q397" s="26" t="s">
        <v>25</v>
      </c>
      <c r="R397" s="26" t="s">
        <v>26</v>
      </c>
      <c r="S397" s="26" t="s">
        <v>24</v>
      </c>
      <c r="T397" s="27"/>
      <c r="U397" s="28" t="s">
        <v>25</v>
      </c>
      <c r="V397" s="29" t="str">
        <f t="shared" si="31"/>
        <v>✓ OK</v>
      </c>
      <c r="W397" s="45">
        <v>46248</v>
      </c>
      <c r="X397" s="30" t="s">
        <v>23</v>
      </c>
      <c r="Y397" s="30" t="s">
        <v>24</v>
      </c>
      <c r="Z397" s="30" t="s">
        <v>25</v>
      </c>
      <c r="AA397" s="30" t="s">
        <v>26</v>
      </c>
      <c r="AB397" s="30" t="s">
        <v>24</v>
      </c>
      <c r="AC397" s="27"/>
      <c r="AD397" s="31" t="s">
        <v>25</v>
      </c>
      <c r="AE397" s="32" t="str">
        <f t="shared" si="32"/>
        <v>✓ OK</v>
      </c>
      <c r="AF397" s="33" t="s">
        <v>27</v>
      </c>
      <c r="AG397" s="33" t="s">
        <v>23</v>
      </c>
      <c r="AH397" s="33" t="s">
        <v>24</v>
      </c>
      <c r="AI397" s="33" t="s">
        <v>25</v>
      </c>
      <c r="AJ397" s="33" t="s">
        <v>26</v>
      </c>
      <c r="AK397" s="33" t="s">
        <v>24</v>
      </c>
      <c r="AL397" s="27"/>
      <c r="AM397" s="34" t="s">
        <v>25</v>
      </c>
      <c r="AN397" s="35" t="str">
        <f t="shared" si="33"/>
        <v>✓ OK</v>
      </c>
      <c r="AO397" s="36"/>
      <c r="AP397" s="36"/>
      <c r="AQ397" s="36"/>
      <c r="AR397" s="36"/>
      <c r="AS397" s="36"/>
      <c r="AT397" s="36"/>
      <c r="AU397" s="27"/>
      <c r="AV397" s="37"/>
      <c r="AW397" s="38" t="str">
        <f t="shared" si="34"/>
        <v/>
      </c>
    </row>
    <row r="398" spans="1:49" ht="18" customHeight="1" x14ac:dyDescent="0.3">
      <c r="A398" s="39">
        <v>394</v>
      </c>
      <c r="B398" s="40" t="s">
        <v>2635</v>
      </c>
      <c r="C398" s="41" t="s">
        <v>2636</v>
      </c>
      <c r="D398" s="39" t="s">
        <v>1850</v>
      </c>
      <c r="E398" s="43">
        <v>46125</v>
      </c>
      <c r="F398" s="26" t="s">
        <v>23</v>
      </c>
      <c r="G398" s="26" t="s">
        <v>24</v>
      </c>
      <c r="H398" s="26" t="s">
        <v>25</v>
      </c>
      <c r="I398" s="26" t="s">
        <v>26</v>
      </c>
      <c r="J398" s="26" t="s">
        <v>24</v>
      </c>
      <c r="K398" s="27"/>
      <c r="L398" s="28" t="s">
        <v>25</v>
      </c>
      <c r="M398" s="29" t="str">
        <f t="shared" si="30"/>
        <v>✓ OK</v>
      </c>
      <c r="N398" s="43">
        <v>46193</v>
      </c>
      <c r="O398" s="26" t="s">
        <v>23</v>
      </c>
      <c r="P398" s="26" t="s">
        <v>24</v>
      </c>
      <c r="Q398" s="26" t="s">
        <v>25</v>
      </c>
      <c r="R398" s="26" t="s">
        <v>26</v>
      </c>
      <c r="S398" s="26" t="s">
        <v>24</v>
      </c>
      <c r="T398" s="27"/>
      <c r="U398" s="28" t="s">
        <v>25</v>
      </c>
      <c r="V398" s="29" t="str">
        <f t="shared" si="31"/>
        <v>✓ OK</v>
      </c>
      <c r="W398" s="45">
        <v>46248</v>
      </c>
      <c r="X398" s="30" t="s">
        <v>23</v>
      </c>
      <c r="Y398" s="30" t="s">
        <v>24</v>
      </c>
      <c r="Z398" s="30" t="s">
        <v>25</v>
      </c>
      <c r="AA398" s="30" t="s">
        <v>26</v>
      </c>
      <c r="AB398" s="30" t="s">
        <v>24</v>
      </c>
      <c r="AC398" s="27"/>
      <c r="AD398" s="31" t="s">
        <v>25</v>
      </c>
      <c r="AE398" s="32" t="str">
        <f t="shared" si="32"/>
        <v>✓ OK</v>
      </c>
      <c r="AF398" s="33" t="s">
        <v>27</v>
      </c>
      <c r="AG398" s="33" t="s">
        <v>23</v>
      </c>
      <c r="AH398" s="33" t="s">
        <v>24</v>
      </c>
      <c r="AI398" s="33" t="s">
        <v>25</v>
      </c>
      <c r="AJ398" s="33" t="s">
        <v>26</v>
      </c>
      <c r="AK398" s="33" t="s">
        <v>24</v>
      </c>
      <c r="AL398" s="27"/>
      <c r="AM398" s="34" t="s">
        <v>25</v>
      </c>
      <c r="AN398" s="35" t="str">
        <f t="shared" si="33"/>
        <v>✓ OK</v>
      </c>
      <c r="AO398" s="36"/>
      <c r="AP398" s="36"/>
      <c r="AQ398" s="36"/>
      <c r="AR398" s="36"/>
      <c r="AS398" s="36"/>
      <c r="AT398" s="36"/>
      <c r="AU398" s="27"/>
      <c r="AV398" s="37"/>
      <c r="AW398" s="38" t="str">
        <f t="shared" si="34"/>
        <v/>
      </c>
    </row>
    <row r="399" spans="1:49" ht="18" customHeight="1" x14ac:dyDescent="0.3">
      <c r="A399" s="23">
        <v>395</v>
      </c>
      <c r="B399" s="24" t="s">
        <v>2637</v>
      </c>
      <c r="C399" s="25" t="s">
        <v>2638</v>
      </c>
      <c r="D399" s="23" t="s">
        <v>1850</v>
      </c>
      <c r="E399" s="43">
        <v>46125</v>
      </c>
      <c r="F399" s="26" t="s">
        <v>23</v>
      </c>
      <c r="G399" s="26" t="s">
        <v>24</v>
      </c>
      <c r="H399" s="26" t="s">
        <v>25</v>
      </c>
      <c r="I399" s="26" t="s">
        <v>26</v>
      </c>
      <c r="J399" s="26" t="s">
        <v>24</v>
      </c>
      <c r="K399" s="27"/>
      <c r="L399" s="28" t="s">
        <v>25</v>
      </c>
      <c r="M399" s="29" t="str">
        <f t="shared" si="30"/>
        <v>✓ OK</v>
      </c>
      <c r="N399" s="43">
        <v>46193</v>
      </c>
      <c r="O399" s="26" t="s">
        <v>23</v>
      </c>
      <c r="P399" s="26" t="s">
        <v>24</v>
      </c>
      <c r="Q399" s="26" t="s">
        <v>25</v>
      </c>
      <c r="R399" s="26" t="s">
        <v>26</v>
      </c>
      <c r="S399" s="26" t="s">
        <v>24</v>
      </c>
      <c r="T399" s="27"/>
      <c r="U399" s="28" t="s">
        <v>25</v>
      </c>
      <c r="V399" s="29" t="str">
        <f t="shared" si="31"/>
        <v>✓ OK</v>
      </c>
      <c r="W399" s="45">
        <v>46248</v>
      </c>
      <c r="X399" s="30" t="s">
        <v>23</v>
      </c>
      <c r="Y399" s="30" t="s">
        <v>24</v>
      </c>
      <c r="Z399" s="30" t="s">
        <v>25</v>
      </c>
      <c r="AA399" s="30" t="s">
        <v>26</v>
      </c>
      <c r="AB399" s="30" t="s">
        <v>24</v>
      </c>
      <c r="AC399" s="27"/>
      <c r="AD399" s="31" t="s">
        <v>25</v>
      </c>
      <c r="AE399" s="32" t="str">
        <f t="shared" si="32"/>
        <v>✓ OK</v>
      </c>
      <c r="AF399" s="33" t="s">
        <v>27</v>
      </c>
      <c r="AG399" s="33" t="s">
        <v>23</v>
      </c>
      <c r="AH399" s="33" t="s">
        <v>24</v>
      </c>
      <c r="AI399" s="33" t="s">
        <v>25</v>
      </c>
      <c r="AJ399" s="33" t="s">
        <v>26</v>
      </c>
      <c r="AK399" s="33" t="s">
        <v>24</v>
      </c>
      <c r="AL399" s="27"/>
      <c r="AM399" s="34" t="s">
        <v>25</v>
      </c>
      <c r="AN399" s="35" t="str">
        <f t="shared" si="33"/>
        <v>✓ OK</v>
      </c>
      <c r="AO399" s="36"/>
      <c r="AP399" s="36"/>
      <c r="AQ399" s="36"/>
      <c r="AR399" s="36"/>
      <c r="AS399" s="36"/>
      <c r="AT399" s="36"/>
      <c r="AU399" s="27"/>
      <c r="AV399" s="37"/>
      <c r="AW399" s="38" t="str">
        <f t="shared" si="34"/>
        <v/>
      </c>
    </row>
    <row r="400" spans="1:49" ht="18" customHeight="1" x14ac:dyDescent="0.3">
      <c r="A400" s="39">
        <v>396</v>
      </c>
      <c r="B400" s="40" t="s">
        <v>2639</v>
      </c>
      <c r="C400" s="41" t="s">
        <v>2640</v>
      </c>
      <c r="D400" s="39" t="s">
        <v>1850</v>
      </c>
      <c r="E400" s="43">
        <v>46125</v>
      </c>
      <c r="F400" s="26" t="s">
        <v>23</v>
      </c>
      <c r="G400" s="26" t="s">
        <v>24</v>
      </c>
      <c r="H400" s="26" t="s">
        <v>25</v>
      </c>
      <c r="I400" s="26" t="s">
        <v>26</v>
      </c>
      <c r="J400" s="26" t="s">
        <v>24</v>
      </c>
      <c r="K400" s="27"/>
      <c r="L400" s="28" t="s">
        <v>25</v>
      </c>
      <c r="M400" s="29" t="str">
        <f t="shared" si="30"/>
        <v>✓ OK</v>
      </c>
      <c r="N400" s="43">
        <v>46193</v>
      </c>
      <c r="O400" s="26" t="s">
        <v>23</v>
      </c>
      <c r="P400" s="26" t="s">
        <v>24</v>
      </c>
      <c r="Q400" s="26" t="s">
        <v>25</v>
      </c>
      <c r="R400" s="26" t="s">
        <v>26</v>
      </c>
      <c r="S400" s="26" t="s">
        <v>24</v>
      </c>
      <c r="T400" s="27"/>
      <c r="U400" s="28" t="s">
        <v>25</v>
      </c>
      <c r="V400" s="29" t="str">
        <f t="shared" si="31"/>
        <v>✓ OK</v>
      </c>
      <c r="W400" s="45">
        <v>46248</v>
      </c>
      <c r="X400" s="30" t="s">
        <v>23</v>
      </c>
      <c r="Y400" s="30" t="s">
        <v>24</v>
      </c>
      <c r="Z400" s="30" t="s">
        <v>25</v>
      </c>
      <c r="AA400" s="30" t="s">
        <v>26</v>
      </c>
      <c r="AB400" s="30" t="s">
        <v>24</v>
      </c>
      <c r="AC400" s="27"/>
      <c r="AD400" s="31" t="s">
        <v>25</v>
      </c>
      <c r="AE400" s="32" t="str">
        <f t="shared" si="32"/>
        <v>✓ OK</v>
      </c>
      <c r="AF400" s="33" t="s">
        <v>27</v>
      </c>
      <c r="AG400" s="33" t="s">
        <v>23</v>
      </c>
      <c r="AH400" s="33" t="s">
        <v>24</v>
      </c>
      <c r="AI400" s="33" t="s">
        <v>25</v>
      </c>
      <c r="AJ400" s="33" t="s">
        <v>26</v>
      </c>
      <c r="AK400" s="33" t="s">
        <v>24</v>
      </c>
      <c r="AL400" s="27"/>
      <c r="AM400" s="34" t="s">
        <v>25</v>
      </c>
      <c r="AN400" s="35" t="str">
        <f t="shared" si="33"/>
        <v>✓ OK</v>
      </c>
      <c r="AO400" s="36"/>
      <c r="AP400" s="36"/>
      <c r="AQ400" s="36"/>
      <c r="AR400" s="36"/>
      <c r="AS400" s="36"/>
      <c r="AT400" s="36"/>
      <c r="AU400" s="27"/>
      <c r="AV400" s="37"/>
      <c r="AW400" s="38" t="str">
        <f t="shared" si="34"/>
        <v/>
      </c>
    </row>
    <row r="401" spans="1:49" ht="18" customHeight="1" x14ac:dyDescent="0.3">
      <c r="A401" s="23">
        <v>397</v>
      </c>
      <c r="B401" s="24" t="s">
        <v>2641</v>
      </c>
      <c r="C401" s="25" t="s">
        <v>2642</v>
      </c>
      <c r="D401" s="23" t="s">
        <v>1850</v>
      </c>
      <c r="E401" s="43">
        <v>46125</v>
      </c>
      <c r="F401" s="26" t="s">
        <v>23</v>
      </c>
      <c r="G401" s="26" t="s">
        <v>24</v>
      </c>
      <c r="H401" s="26" t="s">
        <v>25</v>
      </c>
      <c r="I401" s="26" t="s">
        <v>26</v>
      </c>
      <c r="J401" s="26" t="s">
        <v>24</v>
      </c>
      <c r="K401" s="27"/>
      <c r="L401" s="28" t="s">
        <v>25</v>
      </c>
      <c r="M401" s="29" t="str">
        <f t="shared" si="30"/>
        <v>✓ OK</v>
      </c>
      <c r="N401" s="43">
        <v>46193</v>
      </c>
      <c r="O401" s="26" t="s">
        <v>23</v>
      </c>
      <c r="P401" s="26" t="s">
        <v>24</v>
      </c>
      <c r="Q401" s="26" t="s">
        <v>25</v>
      </c>
      <c r="R401" s="26" t="s">
        <v>26</v>
      </c>
      <c r="S401" s="26" t="s">
        <v>24</v>
      </c>
      <c r="T401" s="27"/>
      <c r="U401" s="28" t="s">
        <v>25</v>
      </c>
      <c r="V401" s="29" t="str">
        <f t="shared" si="31"/>
        <v>✓ OK</v>
      </c>
      <c r="W401" s="45">
        <v>46248</v>
      </c>
      <c r="X401" s="30" t="s">
        <v>23</v>
      </c>
      <c r="Y401" s="30" t="s">
        <v>24</v>
      </c>
      <c r="Z401" s="30" t="s">
        <v>25</v>
      </c>
      <c r="AA401" s="30" t="s">
        <v>26</v>
      </c>
      <c r="AB401" s="30" t="s">
        <v>24</v>
      </c>
      <c r="AC401" s="27"/>
      <c r="AD401" s="31" t="s">
        <v>25</v>
      </c>
      <c r="AE401" s="32" t="str">
        <f t="shared" si="32"/>
        <v>✓ OK</v>
      </c>
      <c r="AF401" s="33" t="s">
        <v>27</v>
      </c>
      <c r="AG401" s="33" t="s">
        <v>23</v>
      </c>
      <c r="AH401" s="33" t="s">
        <v>24</v>
      </c>
      <c r="AI401" s="33" t="s">
        <v>25</v>
      </c>
      <c r="AJ401" s="33" t="s">
        <v>26</v>
      </c>
      <c r="AK401" s="33" t="s">
        <v>24</v>
      </c>
      <c r="AL401" s="27"/>
      <c r="AM401" s="34" t="s">
        <v>25</v>
      </c>
      <c r="AN401" s="35" t="str">
        <f t="shared" si="33"/>
        <v>✓ OK</v>
      </c>
      <c r="AO401" s="36"/>
      <c r="AP401" s="36"/>
      <c r="AQ401" s="36"/>
      <c r="AR401" s="36"/>
      <c r="AS401" s="36"/>
      <c r="AT401" s="36"/>
      <c r="AU401" s="27"/>
      <c r="AV401" s="37"/>
      <c r="AW401" s="38" t="str">
        <f t="shared" si="34"/>
        <v/>
      </c>
    </row>
    <row r="402" spans="1:49" ht="18" customHeight="1" x14ac:dyDescent="0.3">
      <c r="A402" s="39">
        <v>398</v>
      </c>
      <c r="B402" s="40" t="s">
        <v>2643</v>
      </c>
      <c r="C402" s="41" t="s">
        <v>2644</v>
      </c>
      <c r="D402" s="39" t="s">
        <v>1850</v>
      </c>
      <c r="E402" s="43">
        <v>46125</v>
      </c>
      <c r="F402" s="26" t="s">
        <v>23</v>
      </c>
      <c r="G402" s="26" t="s">
        <v>24</v>
      </c>
      <c r="H402" s="26" t="s">
        <v>25</v>
      </c>
      <c r="I402" s="26" t="s">
        <v>26</v>
      </c>
      <c r="J402" s="26" t="s">
        <v>24</v>
      </c>
      <c r="K402" s="27"/>
      <c r="L402" s="28" t="s">
        <v>25</v>
      </c>
      <c r="M402" s="29" t="str">
        <f t="shared" si="30"/>
        <v>✓ OK</v>
      </c>
      <c r="N402" s="43">
        <v>46193</v>
      </c>
      <c r="O402" s="26" t="s">
        <v>23</v>
      </c>
      <c r="P402" s="26" t="s">
        <v>24</v>
      </c>
      <c r="Q402" s="26" t="s">
        <v>25</v>
      </c>
      <c r="R402" s="26" t="s">
        <v>26</v>
      </c>
      <c r="S402" s="26" t="s">
        <v>24</v>
      </c>
      <c r="T402" s="27"/>
      <c r="U402" s="28" t="s">
        <v>25</v>
      </c>
      <c r="V402" s="29" t="str">
        <f t="shared" si="31"/>
        <v>✓ OK</v>
      </c>
      <c r="W402" s="45">
        <v>46248</v>
      </c>
      <c r="X402" s="30" t="s">
        <v>23</v>
      </c>
      <c r="Y402" s="30" t="s">
        <v>24</v>
      </c>
      <c r="Z402" s="30" t="s">
        <v>25</v>
      </c>
      <c r="AA402" s="30" t="s">
        <v>26</v>
      </c>
      <c r="AB402" s="30" t="s">
        <v>24</v>
      </c>
      <c r="AC402" s="27"/>
      <c r="AD402" s="31" t="s">
        <v>25</v>
      </c>
      <c r="AE402" s="32" t="str">
        <f t="shared" si="32"/>
        <v>✓ OK</v>
      </c>
      <c r="AF402" s="33" t="s">
        <v>27</v>
      </c>
      <c r="AG402" s="33" t="s">
        <v>23</v>
      </c>
      <c r="AH402" s="33" t="s">
        <v>24</v>
      </c>
      <c r="AI402" s="33" t="s">
        <v>25</v>
      </c>
      <c r="AJ402" s="33" t="s">
        <v>26</v>
      </c>
      <c r="AK402" s="33" t="s">
        <v>24</v>
      </c>
      <c r="AL402" s="27"/>
      <c r="AM402" s="34" t="s">
        <v>25</v>
      </c>
      <c r="AN402" s="35" t="str">
        <f t="shared" si="33"/>
        <v>✓ OK</v>
      </c>
      <c r="AO402" s="36"/>
      <c r="AP402" s="36"/>
      <c r="AQ402" s="36"/>
      <c r="AR402" s="36"/>
      <c r="AS402" s="36"/>
      <c r="AT402" s="36"/>
      <c r="AU402" s="27"/>
      <c r="AV402" s="37"/>
      <c r="AW402" s="38" t="str">
        <f t="shared" si="34"/>
        <v/>
      </c>
    </row>
    <row r="403" spans="1:49" ht="18" customHeight="1" x14ac:dyDescent="0.3">
      <c r="A403" s="23">
        <v>399</v>
      </c>
      <c r="B403" s="24" t="s">
        <v>2645</v>
      </c>
      <c r="C403" s="25" t="s">
        <v>2646</v>
      </c>
      <c r="D403" s="23" t="s">
        <v>1850</v>
      </c>
      <c r="E403" s="43">
        <v>46125</v>
      </c>
      <c r="F403" s="26" t="s">
        <v>23</v>
      </c>
      <c r="G403" s="26" t="s">
        <v>24</v>
      </c>
      <c r="H403" s="26" t="s">
        <v>25</v>
      </c>
      <c r="I403" s="26" t="s">
        <v>26</v>
      </c>
      <c r="J403" s="26" t="s">
        <v>24</v>
      </c>
      <c r="K403" s="27"/>
      <c r="L403" s="28" t="s">
        <v>25</v>
      </c>
      <c r="M403" s="29" t="str">
        <f t="shared" si="30"/>
        <v>✓ OK</v>
      </c>
      <c r="N403" s="43">
        <v>46193</v>
      </c>
      <c r="O403" s="26" t="s">
        <v>23</v>
      </c>
      <c r="P403" s="26" t="s">
        <v>24</v>
      </c>
      <c r="Q403" s="26" t="s">
        <v>25</v>
      </c>
      <c r="R403" s="26" t="s">
        <v>26</v>
      </c>
      <c r="S403" s="26" t="s">
        <v>24</v>
      </c>
      <c r="T403" s="27"/>
      <c r="U403" s="28" t="s">
        <v>25</v>
      </c>
      <c r="V403" s="29" t="str">
        <f t="shared" si="31"/>
        <v>✓ OK</v>
      </c>
      <c r="W403" s="45">
        <v>46248</v>
      </c>
      <c r="X403" s="30" t="s">
        <v>23</v>
      </c>
      <c r="Y403" s="30" t="s">
        <v>24</v>
      </c>
      <c r="Z403" s="30" t="s">
        <v>25</v>
      </c>
      <c r="AA403" s="30" t="s">
        <v>26</v>
      </c>
      <c r="AB403" s="30" t="s">
        <v>24</v>
      </c>
      <c r="AC403" s="27"/>
      <c r="AD403" s="31" t="s">
        <v>25</v>
      </c>
      <c r="AE403" s="32" t="str">
        <f t="shared" si="32"/>
        <v>✓ OK</v>
      </c>
      <c r="AF403" s="33" t="s">
        <v>27</v>
      </c>
      <c r="AG403" s="33" t="s">
        <v>23</v>
      </c>
      <c r="AH403" s="33" t="s">
        <v>24</v>
      </c>
      <c r="AI403" s="33" t="s">
        <v>25</v>
      </c>
      <c r="AJ403" s="33" t="s">
        <v>26</v>
      </c>
      <c r="AK403" s="33" t="s">
        <v>24</v>
      </c>
      <c r="AL403" s="27"/>
      <c r="AM403" s="34" t="s">
        <v>25</v>
      </c>
      <c r="AN403" s="35" t="str">
        <f t="shared" si="33"/>
        <v>✓ OK</v>
      </c>
      <c r="AO403" s="36"/>
      <c r="AP403" s="36"/>
      <c r="AQ403" s="36"/>
      <c r="AR403" s="36"/>
      <c r="AS403" s="36"/>
      <c r="AT403" s="36"/>
      <c r="AU403" s="27"/>
      <c r="AV403" s="37"/>
      <c r="AW403" s="38" t="str">
        <f t="shared" si="34"/>
        <v/>
      </c>
    </row>
    <row r="404" spans="1:49" ht="18" customHeight="1" x14ac:dyDescent="0.3">
      <c r="A404" s="39">
        <v>400</v>
      </c>
      <c r="B404" s="40" t="s">
        <v>2647</v>
      </c>
      <c r="C404" s="41" t="s">
        <v>2648</v>
      </c>
      <c r="D404" s="39" t="s">
        <v>1850</v>
      </c>
      <c r="E404" s="43">
        <v>46125</v>
      </c>
      <c r="F404" s="26" t="s">
        <v>23</v>
      </c>
      <c r="G404" s="26" t="s">
        <v>24</v>
      </c>
      <c r="H404" s="26" t="s">
        <v>25</v>
      </c>
      <c r="I404" s="26" t="s">
        <v>26</v>
      </c>
      <c r="J404" s="26" t="s">
        <v>24</v>
      </c>
      <c r="K404" s="27"/>
      <c r="L404" s="28" t="s">
        <v>25</v>
      </c>
      <c r="M404" s="29" t="str">
        <f t="shared" si="30"/>
        <v>✓ OK</v>
      </c>
      <c r="N404" s="43">
        <v>46193</v>
      </c>
      <c r="O404" s="26" t="s">
        <v>23</v>
      </c>
      <c r="P404" s="26" t="s">
        <v>24</v>
      </c>
      <c r="Q404" s="26" t="s">
        <v>25</v>
      </c>
      <c r="R404" s="26" t="s">
        <v>26</v>
      </c>
      <c r="S404" s="26" t="s">
        <v>24</v>
      </c>
      <c r="T404" s="27"/>
      <c r="U404" s="28" t="s">
        <v>25</v>
      </c>
      <c r="V404" s="29" t="str">
        <f t="shared" si="31"/>
        <v>✓ OK</v>
      </c>
      <c r="W404" s="45">
        <v>46248</v>
      </c>
      <c r="X404" s="30" t="s">
        <v>23</v>
      </c>
      <c r="Y404" s="30" t="s">
        <v>24</v>
      </c>
      <c r="Z404" s="30" t="s">
        <v>25</v>
      </c>
      <c r="AA404" s="30" t="s">
        <v>26</v>
      </c>
      <c r="AB404" s="30" t="s">
        <v>24</v>
      </c>
      <c r="AC404" s="27"/>
      <c r="AD404" s="31" t="s">
        <v>25</v>
      </c>
      <c r="AE404" s="32" t="str">
        <f t="shared" si="32"/>
        <v>✓ OK</v>
      </c>
      <c r="AF404" s="33" t="s">
        <v>27</v>
      </c>
      <c r="AG404" s="33" t="s">
        <v>23</v>
      </c>
      <c r="AH404" s="33" t="s">
        <v>24</v>
      </c>
      <c r="AI404" s="33" t="s">
        <v>25</v>
      </c>
      <c r="AJ404" s="33" t="s">
        <v>26</v>
      </c>
      <c r="AK404" s="33" t="s">
        <v>24</v>
      </c>
      <c r="AL404" s="27"/>
      <c r="AM404" s="34" t="s">
        <v>25</v>
      </c>
      <c r="AN404" s="35" t="str">
        <f t="shared" si="33"/>
        <v>✓ OK</v>
      </c>
      <c r="AO404" s="36"/>
      <c r="AP404" s="36"/>
      <c r="AQ404" s="36"/>
      <c r="AR404" s="36"/>
      <c r="AS404" s="36"/>
      <c r="AT404" s="36"/>
      <c r="AU404" s="27"/>
      <c r="AV404" s="37"/>
      <c r="AW404" s="38" t="str">
        <f t="shared" si="34"/>
        <v/>
      </c>
    </row>
    <row r="405" spans="1:49" ht="18" customHeight="1" x14ac:dyDescent="0.3">
      <c r="A405" s="23">
        <v>401</v>
      </c>
      <c r="B405" s="24" t="s">
        <v>2649</v>
      </c>
      <c r="C405" s="25" t="s">
        <v>2650</v>
      </c>
      <c r="D405" s="23" t="s">
        <v>1850</v>
      </c>
      <c r="E405" s="43">
        <v>46125</v>
      </c>
      <c r="F405" s="26" t="s">
        <v>23</v>
      </c>
      <c r="G405" s="26" t="s">
        <v>24</v>
      </c>
      <c r="H405" s="26" t="s">
        <v>25</v>
      </c>
      <c r="I405" s="26" t="s">
        <v>26</v>
      </c>
      <c r="J405" s="26" t="s">
        <v>24</v>
      </c>
      <c r="K405" s="27"/>
      <c r="L405" s="28" t="s">
        <v>25</v>
      </c>
      <c r="M405" s="29" t="str">
        <f t="shared" si="30"/>
        <v>✓ OK</v>
      </c>
      <c r="N405" s="43">
        <v>46193</v>
      </c>
      <c r="O405" s="26" t="s">
        <v>23</v>
      </c>
      <c r="P405" s="26" t="s">
        <v>24</v>
      </c>
      <c r="Q405" s="26" t="s">
        <v>25</v>
      </c>
      <c r="R405" s="26" t="s">
        <v>26</v>
      </c>
      <c r="S405" s="26" t="s">
        <v>24</v>
      </c>
      <c r="T405" s="27"/>
      <c r="U405" s="28" t="s">
        <v>25</v>
      </c>
      <c r="V405" s="29" t="str">
        <f t="shared" si="31"/>
        <v>✓ OK</v>
      </c>
      <c r="W405" s="45">
        <v>46248</v>
      </c>
      <c r="X405" s="30" t="s">
        <v>23</v>
      </c>
      <c r="Y405" s="30" t="s">
        <v>24</v>
      </c>
      <c r="Z405" s="30" t="s">
        <v>25</v>
      </c>
      <c r="AA405" s="30" t="s">
        <v>26</v>
      </c>
      <c r="AB405" s="30" t="s">
        <v>24</v>
      </c>
      <c r="AC405" s="27"/>
      <c r="AD405" s="31" t="s">
        <v>25</v>
      </c>
      <c r="AE405" s="32" t="str">
        <f t="shared" si="32"/>
        <v>✓ OK</v>
      </c>
      <c r="AF405" s="33" t="s">
        <v>27</v>
      </c>
      <c r="AG405" s="33" t="s">
        <v>23</v>
      </c>
      <c r="AH405" s="33" t="s">
        <v>24</v>
      </c>
      <c r="AI405" s="33" t="s">
        <v>25</v>
      </c>
      <c r="AJ405" s="33" t="s">
        <v>26</v>
      </c>
      <c r="AK405" s="33" t="s">
        <v>24</v>
      </c>
      <c r="AL405" s="27"/>
      <c r="AM405" s="34" t="s">
        <v>25</v>
      </c>
      <c r="AN405" s="35" t="str">
        <f t="shared" si="33"/>
        <v>✓ OK</v>
      </c>
      <c r="AO405" s="36"/>
      <c r="AP405" s="36"/>
      <c r="AQ405" s="36"/>
      <c r="AR405" s="36"/>
      <c r="AS405" s="36"/>
      <c r="AT405" s="36"/>
      <c r="AU405" s="27"/>
      <c r="AV405" s="37"/>
      <c r="AW405" s="38" t="str">
        <f t="shared" si="34"/>
        <v/>
      </c>
    </row>
    <row r="406" spans="1:49" ht="18" customHeight="1" x14ac:dyDescent="0.3">
      <c r="A406" s="39">
        <v>402</v>
      </c>
      <c r="B406" s="40" t="s">
        <v>2651</v>
      </c>
      <c r="C406" s="41" t="s">
        <v>2652</v>
      </c>
      <c r="D406" s="39" t="s">
        <v>1850</v>
      </c>
      <c r="E406" s="43">
        <v>46125</v>
      </c>
      <c r="F406" s="26" t="s">
        <v>23</v>
      </c>
      <c r="G406" s="26" t="s">
        <v>24</v>
      </c>
      <c r="H406" s="26" t="s">
        <v>25</v>
      </c>
      <c r="I406" s="26" t="s">
        <v>26</v>
      </c>
      <c r="J406" s="26" t="s">
        <v>24</v>
      </c>
      <c r="K406" s="27"/>
      <c r="L406" s="28" t="s">
        <v>25</v>
      </c>
      <c r="M406" s="29" t="str">
        <f t="shared" si="30"/>
        <v>✓ OK</v>
      </c>
      <c r="N406" s="43">
        <v>46193</v>
      </c>
      <c r="O406" s="26" t="s">
        <v>23</v>
      </c>
      <c r="P406" s="26" t="s">
        <v>24</v>
      </c>
      <c r="Q406" s="26" t="s">
        <v>25</v>
      </c>
      <c r="R406" s="26" t="s">
        <v>26</v>
      </c>
      <c r="S406" s="26" t="s">
        <v>24</v>
      </c>
      <c r="T406" s="27"/>
      <c r="U406" s="28" t="s">
        <v>25</v>
      </c>
      <c r="V406" s="29" t="str">
        <f t="shared" si="31"/>
        <v>✓ OK</v>
      </c>
      <c r="W406" s="45">
        <v>46248</v>
      </c>
      <c r="X406" s="30" t="s">
        <v>23</v>
      </c>
      <c r="Y406" s="30" t="s">
        <v>24</v>
      </c>
      <c r="Z406" s="30" t="s">
        <v>25</v>
      </c>
      <c r="AA406" s="30" t="s">
        <v>26</v>
      </c>
      <c r="AB406" s="30" t="s">
        <v>24</v>
      </c>
      <c r="AC406" s="27"/>
      <c r="AD406" s="31" t="s">
        <v>25</v>
      </c>
      <c r="AE406" s="32" t="str">
        <f t="shared" si="32"/>
        <v>✓ OK</v>
      </c>
      <c r="AF406" s="33" t="s">
        <v>27</v>
      </c>
      <c r="AG406" s="33" t="s">
        <v>23</v>
      </c>
      <c r="AH406" s="33" t="s">
        <v>24</v>
      </c>
      <c r="AI406" s="33" t="s">
        <v>25</v>
      </c>
      <c r="AJ406" s="33" t="s">
        <v>26</v>
      </c>
      <c r="AK406" s="33" t="s">
        <v>24</v>
      </c>
      <c r="AL406" s="27"/>
      <c r="AM406" s="34" t="s">
        <v>25</v>
      </c>
      <c r="AN406" s="35" t="str">
        <f t="shared" si="33"/>
        <v>✓ OK</v>
      </c>
      <c r="AO406" s="36"/>
      <c r="AP406" s="36"/>
      <c r="AQ406" s="36"/>
      <c r="AR406" s="36"/>
      <c r="AS406" s="36"/>
      <c r="AT406" s="36"/>
      <c r="AU406" s="27"/>
      <c r="AV406" s="37"/>
      <c r="AW406" s="38" t="str">
        <f t="shared" si="34"/>
        <v/>
      </c>
    </row>
    <row r="407" spans="1:49" ht="18" customHeight="1" x14ac:dyDescent="0.3">
      <c r="A407" s="23">
        <v>403</v>
      </c>
      <c r="B407" s="24" t="s">
        <v>2653</v>
      </c>
      <c r="C407" s="25" t="s">
        <v>2654</v>
      </c>
      <c r="D407" s="23" t="s">
        <v>1850</v>
      </c>
      <c r="E407" s="43">
        <v>46125</v>
      </c>
      <c r="F407" s="26" t="s">
        <v>23</v>
      </c>
      <c r="G407" s="26" t="s">
        <v>24</v>
      </c>
      <c r="H407" s="26" t="s">
        <v>25</v>
      </c>
      <c r="I407" s="26" t="s">
        <v>26</v>
      </c>
      <c r="J407" s="26" t="s">
        <v>24</v>
      </c>
      <c r="K407" s="27"/>
      <c r="L407" s="28" t="s">
        <v>25</v>
      </c>
      <c r="M407" s="29" t="str">
        <f t="shared" si="30"/>
        <v>✓ OK</v>
      </c>
      <c r="N407" s="43">
        <v>46193</v>
      </c>
      <c r="O407" s="26" t="s">
        <v>23</v>
      </c>
      <c r="P407" s="26" t="s">
        <v>24</v>
      </c>
      <c r="Q407" s="26" t="s">
        <v>25</v>
      </c>
      <c r="R407" s="26" t="s">
        <v>26</v>
      </c>
      <c r="S407" s="26" t="s">
        <v>24</v>
      </c>
      <c r="T407" s="27"/>
      <c r="U407" s="28" t="s">
        <v>25</v>
      </c>
      <c r="V407" s="29" t="str">
        <f t="shared" si="31"/>
        <v>✓ OK</v>
      </c>
      <c r="W407" s="45">
        <v>46248</v>
      </c>
      <c r="X407" s="30" t="s">
        <v>23</v>
      </c>
      <c r="Y407" s="30" t="s">
        <v>24</v>
      </c>
      <c r="Z407" s="30" t="s">
        <v>25</v>
      </c>
      <c r="AA407" s="30" t="s">
        <v>26</v>
      </c>
      <c r="AB407" s="30" t="s">
        <v>24</v>
      </c>
      <c r="AC407" s="27"/>
      <c r="AD407" s="31" t="s">
        <v>25</v>
      </c>
      <c r="AE407" s="32" t="str">
        <f t="shared" si="32"/>
        <v>✓ OK</v>
      </c>
      <c r="AF407" s="33" t="s">
        <v>27</v>
      </c>
      <c r="AG407" s="33" t="s">
        <v>23</v>
      </c>
      <c r="AH407" s="33" t="s">
        <v>24</v>
      </c>
      <c r="AI407" s="33" t="s">
        <v>25</v>
      </c>
      <c r="AJ407" s="33" t="s">
        <v>26</v>
      </c>
      <c r="AK407" s="33" t="s">
        <v>24</v>
      </c>
      <c r="AL407" s="27"/>
      <c r="AM407" s="34" t="s">
        <v>25</v>
      </c>
      <c r="AN407" s="35" t="str">
        <f t="shared" si="33"/>
        <v>✓ OK</v>
      </c>
      <c r="AO407" s="36"/>
      <c r="AP407" s="36"/>
      <c r="AQ407" s="36"/>
      <c r="AR407" s="36"/>
      <c r="AS407" s="36"/>
      <c r="AT407" s="36"/>
      <c r="AU407" s="27"/>
      <c r="AV407" s="37"/>
      <c r="AW407" s="38" t="str">
        <f t="shared" si="34"/>
        <v/>
      </c>
    </row>
    <row r="408" spans="1:49" ht="18" customHeight="1" x14ac:dyDescent="0.3">
      <c r="A408" s="39">
        <v>404</v>
      </c>
      <c r="B408" s="40" t="s">
        <v>2655</v>
      </c>
      <c r="C408" s="41" t="s">
        <v>2656</v>
      </c>
      <c r="D408" s="39" t="s">
        <v>1850</v>
      </c>
      <c r="E408" s="43">
        <v>46125</v>
      </c>
      <c r="F408" s="26" t="s">
        <v>23</v>
      </c>
      <c r="G408" s="26" t="s">
        <v>24</v>
      </c>
      <c r="H408" s="26" t="s">
        <v>25</v>
      </c>
      <c r="I408" s="26" t="s">
        <v>26</v>
      </c>
      <c r="J408" s="26" t="s">
        <v>24</v>
      </c>
      <c r="K408" s="27"/>
      <c r="L408" s="28" t="s">
        <v>25</v>
      </c>
      <c r="M408" s="29" t="str">
        <f t="shared" si="30"/>
        <v>✓ OK</v>
      </c>
      <c r="N408" s="43">
        <v>46193</v>
      </c>
      <c r="O408" s="26" t="s">
        <v>23</v>
      </c>
      <c r="P408" s="26" t="s">
        <v>24</v>
      </c>
      <c r="Q408" s="26" t="s">
        <v>25</v>
      </c>
      <c r="R408" s="26" t="s">
        <v>26</v>
      </c>
      <c r="S408" s="26" t="s">
        <v>24</v>
      </c>
      <c r="T408" s="27"/>
      <c r="U408" s="28" t="s">
        <v>25</v>
      </c>
      <c r="V408" s="29" t="str">
        <f t="shared" si="31"/>
        <v>✓ OK</v>
      </c>
      <c r="W408" s="45">
        <v>46248</v>
      </c>
      <c r="X408" s="30" t="s">
        <v>23</v>
      </c>
      <c r="Y408" s="30" t="s">
        <v>24</v>
      </c>
      <c r="Z408" s="30" t="s">
        <v>25</v>
      </c>
      <c r="AA408" s="30" t="s">
        <v>26</v>
      </c>
      <c r="AB408" s="30" t="s">
        <v>24</v>
      </c>
      <c r="AC408" s="27"/>
      <c r="AD408" s="31" t="s">
        <v>25</v>
      </c>
      <c r="AE408" s="32" t="str">
        <f t="shared" si="32"/>
        <v>✓ OK</v>
      </c>
      <c r="AF408" s="33" t="s">
        <v>27</v>
      </c>
      <c r="AG408" s="33" t="s">
        <v>23</v>
      </c>
      <c r="AH408" s="33" t="s">
        <v>24</v>
      </c>
      <c r="AI408" s="33" t="s">
        <v>25</v>
      </c>
      <c r="AJ408" s="33" t="s">
        <v>26</v>
      </c>
      <c r="AK408" s="33" t="s">
        <v>24</v>
      </c>
      <c r="AL408" s="27"/>
      <c r="AM408" s="34" t="s">
        <v>25</v>
      </c>
      <c r="AN408" s="35" t="str">
        <f t="shared" si="33"/>
        <v>✓ OK</v>
      </c>
      <c r="AO408" s="36"/>
      <c r="AP408" s="36"/>
      <c r="AQ408" s="36"/>
      <c r="AR408" s="36"/>
      <c r="AS408" s="36"/>
      <c r="AT408" s="36"/>
      <c r="AU408" s="27"/>
      <c r="AV408" s="37"/>
      <c r="AW408" s="38" t="str">
        <f t="shared" si="34"/>
        <v/>
      </c>
    </row>
    <row r="409" spans="1:49" ht="18" customHeight="1" x14ac:dyDescent="0.3">
      <c r="A409" s="23">
        <v>405</v>
      </c>
      <c r="B409" s="24" t="s">
        <v>2657</v>
      </c>
      <c r="C409" s="25" t="s">
        <v>2658</v>
      </c>
      <c r="D409" s="23" t="s">
        <v>1850</v>
      </c>
      <c r="E409" s="43">
        <v>46125</v>
      </c>
      <c r="F409" s="26" t="s">
        <v>23</v>
      </c>
      <c r="G409" s="26" t="s">
        <v>24</v>
      </c>
      <c r="H409" s="26" t="s">
        <v>25</v>
      </c>
      <c r="I409" s="26" t="s">
        <v>26</v>
      </c>
      <c r="J409" s="26" t="s">
        <v>24</v>
      </c>
      <c r="K409" s="27"/>
      <c r="L409" s="28" t="s">
        <v>25</v>
      </c>
      <c r="M409" s="29" t="str">
        <f t="shared" si="30"/>
        <v>✓ OK</v>
      </c>
      <c r="N409" s="43">
        <v>46193</v>
      </c>
      <c r="O409" s="26" t="s">
        <v>23</v>
      </c>
      <c r="P409" s="26" t="s">
        <v>24</v>
      </c>
      <c r="Q409" s="26" t="s">
        <v>25</v>
      </c>
      <c r="R409" s="26" t="s">
        <v>26</v>
      </c>
      <c r="S409" s="26" t="s">
        <v>24</v>
      </c>
      <c r="T409" s="27"/>
      <c r="U409" s="28" t="s">
        <v>25</v>
      </c>
      <c r="V409" s="29" t="str">
        <f t="shared" si="31"/>
        <v>✓ OK</v>
      </c>
      <c r="W409" s="45">
        <v>46248</v>
      </c>
      <c r="X409" s="30" t="s">
        <v>23</v>
      </c>
      <c r="Y409" s="30" t="s">
        <v>24</v>
      </c>
      <c r="Z409" s="30" t="s">
        <v>25</v>
      </c>
      <c r="AA409" s="30" t="s">
        <v>26</v>
      </c>
      <c r="AB409" s="30" t="s">
        <v>24</v>
      </c>
      <c r="AC409" s="27"/>
      <c r="AD409" s="31" t="s">
        <v>25</v>
      </c>
      <c r="AE409" s="32" t="str">
        <f t="shared" si="32"/>
        <v>✓ OK</v>
      </c>
      <c r="AF409" s="33" t="s">
        <v>27</v>
      </c>
      <c r="AG409" s="33" t="s">
        <v>23</v>
      </c>
      <c r="AH409" s="33" t="s">
        <v>24</v>
      </c>
      <c r="AI409" s="33" t="s">
        <v>25</v>
      </c>
      <c r="AJ409" s="33" t="s">
        <v>26</v>
      </c>
      <c r="AK409" s="33" t="s">
        <v>24</v>
      </c>
      <c r="AL409" s="27"/>
      <c r="AM409" s="34" t="s">
        <v>25</v>
      </c>
      <c r="AN409" s="35" t="str">
        <f t="shared" si="33"/>
        <v>✓ OK</v>
      </c>
      <c r="AO409" s="36"/>
      <c r="AP409" s="36"/>
      <c r="AQ409" s="36"/>
      <c r="AR409" s="36"/>
      <c r="AS409" s="36"/>
      <c r="AT409" s="36"/>
      <c r="AU409" s="27"/>
      <c r="AV409" s="37"/>
      <c r="AW409" s="38" t="str">
        <f t="shared" si="34"/>
        <v/>
      </c>
    </row>
    <row r="410" spans="1:49" ht="18" customHeight="1" x14ac:dyDescent="0.3">
      <c r="A410" s="39">
        <v>406</v>
      </c>
      <c r="B410" s="40" t="s">
        <v>2659</v>
      </c>
      <c r="C410" s="41" t="s">
        <v>2660</v>
      </c>
      <c r="D410" s="39" t="s">
        <v>1850</v>
      </c>
      <c r="E410" s="43">
        <v>46125</v>
      </c>
      <c r="F410" s="26" t="s">
        <v>23</v>
      </c>
      <c r="G410" s="26" t="s">
        <v>24</v>
      </c>
      <c r="H410" s="26" t="s">
        <v>25</v>
      </c>
      <c r="I410" s="26" t="s">
        <v>26</v>
      </c>
      <c r="J410" s="26" t="s">
        <v>24</v>
      </c>
      <c r="K410" s="27"/>
      <c r="L410" s="28" t="s">
        <v>25</v>
      </c>
      <c r="M410" s="29" t="str">
        <f t="shared" si="30"/>
        <v>✓ OK</v>
      </c>
      <c r="N410" s="43">
        <v>46193</v>
      </c>
      <c r="O410" s="26" t="s">
        <v>23</v>
      </c>
      <c r="P410" s="26" t="s">
        <v>24</v>
      </c>
      <c r="Q410" s="26" t="s">
        <v>25</v>
      </c>
      <c r="R410" s="26" t="s">
        <v>26</v>
      </c>
      <c r="S410" s="26" t="s">
        <v>24</v>
      </c>
      <c r="T410" s="27"/>
      <c r="U410" s="28" t="s">
        <v>25</v>
      </c>
      <c r="V410" s="29" t="str">
        <f t="shared" si="31"/>
        <v>✓ OK</v>
      </c>
      <c r="W410" s="45">
        <v>46248</v>
      </c>
      <c r="X410" s="30" t="s">
        <v>23</v>
      </c>
      <c r="Y410" s="30" t="s">
        <v>24</v>
      </c>
      <c r="Z410" s="30" t="s">
        <v>25</v>
      </c>
      <c r="AA410" s="30" t="s">
        <v>26</v>
      </c>
      <c r="AB410" s="30" t="s">
        <v>24</v>
      </c>
      <c r="AC410" s="27"/>
      <c r="AD410" s="31" t="s">
        <v>25</v>
      </c>
      <c r="AE410" s="32" t="str">
        <f t="shared" si="32"/>
        <v>✓ OK</v>
      </c>
      <c r="AF410" s="33" t="s">
        <v>27</v>
      </c>
      <c r="AG410" s="33" t="s">
        <v>23</v>
      </c>
      <c r="AH410" s="33" t="s">
        <v>24</v>
      </c>
      <c r="AI410" s="33" t="s">
        <v>25</v>
      </c>
      <c r="AJ410" s="33" t="s">
        <v>26</v>
      </c>
      <c r="AK410" s="33" t="s">
        <v>24</v>
      </c>
      <c r="AL410" s="27"/>
      <c r="AM410" s="34" t="s">
        <v>25</v>
      </c>
      <c r="AN410" s="35" t="str">
        <f t="shared" si="33"/>
        <v>✓ OK</v>
      </c>
      <c r="AO410" s="36"/>
      <c r="AP410" s="36"/>
      <c r="AQ410" s="36"/>
      <c r="AR410" s="36"/>
      <c r="AS410" s="36"/>
      <c r="AT410" s="36"/>
      <c r="AU410" s="27"/>
      <c r="AV410" s="37"/>
      <c r="AW410" s="38" t="str">
        <f t="shared" si="34"/>
        <v/>
      </c>
    </row>
    <row r="411" spans="1:49" ht="18" customHeight="1" x14ac:dyDescent="0.3">
      <c r="A411" s="23">
        <v>407</v>
      </c>
      <c r="B411" s="24" t="s">
        <v>2661</v>
      </c>
      <c r="C411" s="25" t="s">
        <v>2662</v>
      </c>
      <c r="D411" s="23" t="s">
        <v>1850</v>
      </c>
      <c r="E411" s="43">
        <v>46125</v>
      </c>
      <c r="F411" s="26" t="s">
        <v>23</v>
      </c>
      <c r="G411" s="26" t="s">
        <v>24</v>
      </c>
      <c r="H411" s="26" t="s">
        <v>25</v>
      </c>
      <c r="I411" s="26" t="s">
        <v>26</v>
      </c>
      <c r="J411" s="26" t="s">
        <v>24</v>
      </c>
      <c r="K411" s="27"/>
      <c r="L411" s="28" t="s">
        <v>25</v>
      </c>
      <c r="M411" s="29" t="str">
        <f t="shared" si="30"/>
        <v>✓ OK</v>
      </c>
      <c r="N411" s="43">
        <v>46193</v>
      </c>
      <c r="O411" s="26" t="s">
        <v>23</v>
      </c>
      <c r="P411" s="26" t="s">
        <v>24</v>
      </c>
      <c r="Q411" s="26" t="s">
        <v>25</v>
      </c>
      <c r="R411" s="26" t="s">
        <v>26</v>
      </c>
      <c r="S411" s="26" t="s">
        <v>24</v>
      </c>
      <c r="T411" s="27"/>
      <c r="U411" s="28" t="s">
        <v>25</v>
      </c>
      <c r="V411" s="29" t="str">
        <f t="shared" si="31"/>
        <v>✓ OK</v>
      </c>
      <c r="W411" s="45">
        <v>46248</v>
      </c>
      <c r="X411" s="30" t="s">
        <v>23</v>
      </c>
      <c r="Y411" s="30" t="s">
        <v>24</v>
      </c>
      <c r="Z411" s="30" t="s">
        <v>25</v>
      </c>
      <c r="AA411" s="30" t="s">
        <v>26</v>
      </c>
      <c r="AB411" s="30" t="s">
        <v>24</v>
      </c>
      <c r="AC411" s="27"/>
      <c r="AD411" s="31" t="s">
        <v>25</v>
      </c>
      <c r="AE411" s="32" t="str">
        <f t="shared" si="32"/>
        <v>✓ OK</v>
      </c>
      <c r="AF411" s="33" t="s">
        <v>27</v>
      </c>
      <c r="AG411" s="33" t="s">
        <v>23</v>
      </c>
      <c r="AH411" s="33" t="s">
        <v>24</v>
      </c>
      <c r="AI411" s="33" t="s">
        <v>25</v>
      </c>
      <c r="AJ411" s="33" t="s">
        <v>26</v>
      </c>
      <c r="AK411" s="33" t="s">
        <v>24</v>
      </c>
      <c r="AL411" s="27"/>
      <c r="AM411" s="34" t="s">
        <v>25</v>
      </c>
      <c r="AN411" s="35" t="str">
        <f t="shared" si="33"/>
        <v>✓ OK</v>
      </c>
      <c r="AO411" s="36"/>
      <c r="AP411" s="36"/>
      <c r="AQ411" s="36"/>
      <c r="AR411" s="36"/>
      <c r="AS411" s="36"/>
      <c r="AT411" s="36"/>
      <c r="AU411" s="27"/>
      <c r="AV411" s="37"/>
      <c r="AW411" s="38" t="str">
        <f t="shared" si="34"/>
        <v/>
      </c>
    </row>
    <row r="412" spans="1:49" ht="18" customHeight="1" x14ac:dyDescent="0.3">
      <c r="A412" s="39">
        <v>408</v>
      </c>
      <c r="B412" s="40" t="s">
        <v>2663</v>
      </c>
      <c r="C412" s="41" t="s">
        <v>2664</v>
      </c>
      <c r="D412" s="39" t="s">
        <v>1850</v>
      </c>
      <c r="E412" s="43">
        <v>46125</v>
      </c>
      <c r="F412" s="26" t="s">
        <v>23</v>
      </c>
      <c r="G412" s="26" t="s">
        <v>24</v>
      </c>
      <c r="H412" s="26" t="s">
        <v>25</v>
      </c>
      <c r="I412" s="26" t="s">
        <v>26</v>
      </c>
      <c r="J412" s="26" t="s">
        <v>24</v>
      </c>
      <c r="K412" s="27"/>
      <c r="L412" s="28" t="s">
        <v>25</v>
      </c>
      <c r="M412" s="29" t="str">
        <f t="shared" si="30"/>
        <v>✓ OK</v>
      </c>
      <c r="N412" s="43">
        <v>46193</v>
      </c>
      <c r="O412" s="26" t="s">
        <v>23</v>
      </c>
      <c r="P412" s="26" t="s">
        <v>24</v>
      </c>
      <c r="Q412" s="26" t="s">
        <v>25</v>
      </c>
      <c r="R412" s="26" t="s">
        <v>26</v>
      </c>
      <c r="S412" s="26" t="s">
        <v>24</v>
      </c>
      <c r="T412" s="27"/>
      <c r="U412" s="28" t="s">
        <v>25</v>
      </c>
      <c r="V412" s="29" t="str">
        <f t="shared" si="31"/>
        <v>✓ OK</v>
      </c>
      <c r="W412" s="45">
        <v>46248</v>
      </c>
      <c r="X412" s="30" t="s">
        <v>23</v>
      </c>
      <c r="Y412" s="30" t="s">
        <v>24</v>
      </c>
      <c r="Z412" s="30" t="s">
        <v>25</v>
      </c>
      <c r="AA412" s="30" t="s">
        <v>26</v>
      </c>
      <c r="AB412" s="30" t="s">
        <v>24</v>
      </c>
      <c r="AC412" s="27"/>
      <c r="AD412" s="31" t="s">
        <v>25</v>
      </c>
      <c r="AE412" s="32" t="str">
        <f t="shared" si="32"/>
        <v>✓ OK</v>
      </c>
      <c r="AF412" s="33" t="s">
        <v>27</v>
      </c>
      <c r="AG412" s="33" t="s">
        <v>23</v>
      </c>
      <c r="AH412" s="33" t="s">
        <v>24</v>
      </c>
      <c r="AI412" s="33" t="s">
        <v>25</v>
      </c>
      <c r="AJ412" s="33" t="s">
        <v>26</v>
      </c>
      <c r="AK412" s="33" t="s">
        <v>24</v>
      </c>
      <c r="AL412" s="27"/>
      <c r="AM412" s="34" t="s">
        <v>25</v>
      </c>
      <c r="AN412" s="35" t="str">
        <f t="shared" si="33"/>
        <v>✓ OK</v>
      </c>
      <c r="AO412" s="36"/>
      <c r="AP412" s="36"/>
      <c r="AQ412" s="36"/>
      <c r="AR412" s="36"/>
      <c r="AS412" s="36"/>
      <c r="AT412" s="36"/>
      <c r="AU412" s="27"/>
      <c r="AV412" s="37"/>
      <c r="AW412" s="38" t="str">
        <f t="shared" si="34"/>
        <v/>
      </c>
    </row>
    <row r="413" spans="1:49" ht="18" customHeight="1" x14ac:dyDescent="0.3">
      <c r="A413" s="23">
        <v>409</v>
      </c>
      <c r="B413" s="24" t="s">
        <v>2665</v>
      </c>
      <c r="C413" s="25" t="s">
        <v>2666</v>
      </c>
      <c r="D413" s="23" t="s">
        <v>1850</v>
      </c>
      <c r="E413" s="43">
        <v>46125</v>
      </c>
      <c r="F413" s="26" t="s">
        <v>23</v>
      </c>
      <c r="G413" s="26" t="s">
        <v>24</v>
      </c>
      <c r="H413" s="26" t="s">
        <v>25</v>
      </c>
      <c r="I413" s="26" t="s">
        <v>26</v>
      </c>
      <c r="J413" s="26" t="s">
        <v>24</v>
      </c>
      <c r="K413" s="27"/>
      <c r="L413" s="28" t="s">
        <v>25</v>
      </c>
      <c r="M413" s="29" t="str">
        <f t="shared" si="30"/>
        <v>✓ OK</v>
      </c>
      <c r="N413" s="43">
        <v>46193</v>
      </c>
      <c r="O413" s="26" t="s">
        <v>23</v>
      </c>
      <c r="P413" s="26" t="s">
        <v>24</v>
      </c>
      <c r="Q413" s="26" t="s">
        <v>25</v>
      </c>
      <c r="R413" s="26" t="s">
        <v>26</v>
      </c>
      <c r="S413" s="26" t="s">
        <v>24</v>
      </c>
      <c r="T413" s="27"/>
      <c r="U413" s="28" t="s">
        <v>25</v>
      </c>
      <c r="V413" s="29" t="str">
        <f t="shared" si="31"/>
        <v>✓ OK</v>
      </c>
      <c r="W413" s="45">
        <v>46248</v>
      </c>
      <c r="X413" s="30" t="s">
        <v>23</v>
      </c>
      <c r="Y413" s="30" t="s">
        <v>24</v>
      </c>
      <c r="Z413" s="30" t="s">
        <v>25</v>
      </c>
      <c r="AA413" s="30" t="s">
        <v>26</v>
      </c>
      <c r="AB413" s="30" t="s">
        <v>24</v>
      </c>
      <c r="AC413" s="27"/>
      <c r="AD413" s="31" t="s">
        <v>25</v>
      </c>
      <c r="AE413" s="32" t="str">
        <f t="shared" si="32"/>
        <v>✓ OK</v>
      </c>
      <c r="AF413" s="33" t="s">
        <v>27</v>
      </c>
      <c r="AG413" s="33" t="s">
        <v>23</v>
      </c>
      <c r="AH413" s="33" t="s">
        <v>24</v>
      </c>
      <c r="AI413" s="33" t="s">
        <v>25</v>
      </c>
      <c r="AJ413" s="33" t="s">
        <v>26</v>
      </c>
      <c r="AK413" s="33" t="s">
        <v>24</v>
      </c>
      <c r="AL413" s="27"/>
      <c r="AM413" s="34" t="s">
        <v>25</v>
      </c>
      <c r="AN413" s="35" t="str">
        <f t="shared" si="33"/>
        <v>✓ OK</v>
      </c>
      <c r="AO413" s="36"/>
      <c r="AP413" s="36"/>
      <c r="AQ413" s="36"/>
      <c r="AR413" s="36"/>
      <c r="AS413" s="36"/>
      <c r="AT413" s="36"/>
      <c r="AU413" s="27"/>
      <c r="AV413" s="37"/>
      <c r="AW413" s="38" t="str">
        <f t="shared" si="34"/>
        <v/>
      </c>
    </row>
    <row r="414" spans="1:49" ht="18" customHeight="1" x14ac:dyDescent="0.3">
      <c r="A414" s="39">
        <v>410</v>
      </c>
      <c r="B414" s="40" t="s">
        <v>2667</v>
      </c>
      <c r="C414" s="41" t="s">
        <v>2668</v>
      </c>
      <c r="D414" s="39" t="s">
        <v>1850</v>
      </c>
      <c r="E414" s="43">
        <v>46125</v>
      </c>
      <c r="F414" s="26" t="s">
        <v>23</v>
      </c>
      <c r="G414" s="26" t="s">
        <v>24</v>
      </c>
      <c r="H414" s="26" t="s">
        <v>25</v>
      </c>
      <c r="I414" s="26" t="s">
        <v>26</v>
      </c>
      <c r="J414" s="26" t="s">
        <v>24</v>
      </c>
      <c r="K414" s="27"/>
      <c r="L414" s="28" t="s">
        <v>25</v>
      </c>
      <c r="M414" s="29" t="str">
        <f t="shared" si="30"/>
        <v>✓ OK</v>
      </c>
      <c r="N414" s="43">
        <v>46193</v>
      </c>
      <c r="O414" s="26" t="s">
        <v>23</v>
      </c>
      <c r="P414" s="26" t="s">
        <v>24</v>
      </c>
      <c r="Q414" s="26" t="s">
        <v>25</v>
      </c>
      <c r="R414" s="26" t="s">
        <v>26</v>
      </c>
      <c r="S414" s="26" t="s">
        <v>24</v>
      </c>
      <c r="T414" s="27"/>
      <c r="U414" s="28" t="s">
        <v>25</v>
      </c>
      <c r="V414" s="29" t="str">
        <f t="shared" si="31"/>
        <v>✓ OK</v>
      </c>
      <c r="W414" s="45">
        <v>46248</v>
      </c>
      <c r="X414" s="30" t="s">
        <v>23</v>
      </c>
      <c r="Y414" s="30" t="s">
        <v>24</v>
      </c>
      <c r="Z414" s="30" t="s">
        <v>25</v>
      </c>
      <c r="AA414" s="30" t="s">
        <v>26</v>
      </c>
      <c r="AB414" s="30" t="s">
        <v>24</v>
      </c>
      <c r="AC414" s="27"/>
      <c r="AD414" s="31" t="s">
        <v>25</v>
      </c>
      <c r="AE414" s="32" t="str">
        <f t="shared" si="32"/>
        <v>✓ OK</v>
      </c>
      <c r="AF414" s="33" t="s">
        <v>27</v>
      </c>
      <c r="AG414" s="33" t="s">
        <v>23</v>
      </c>
      <c r="AH414" s="33" t="s">
        <v>24</v>
      </c>
      <c r="AI414" s="33" t="s">
        <v>25</v>
      </c>
      <c r="AJ414" s="33" t="s">
        <v>26</v>
      </c>
      <c r="AK414" s="33" t="s">
        <v>24</v>
      </c>
      <c r="AL414" s="27"/>
      <c r="AM414" s="34" t="s">
        <v>25</v>
      </c>
      <c r="AN414" s="35" t="str">
        <f t="shared" si="33"/>
        <v>✓ OK</v>
      </c>
      <c r="AO414" s="36"/>
      <c r="AP414" s="36"/>
      <c r="AQ414" s="36"/>
      <c r="AR414" s="36"/>
      <c r="AS414" s="36"/>
      <c r="AT414" s="36"/>
      <c r="AU414" s="27"/>
      <c r="AV414" s="37"/>
      <c r="AW414" s="38" t="str">
        <f t="shared" si="34"/>
        <v/>
      </c>
    </row>
    <row r="415" spans="1:49" ht="18" customHeight="1" x14ac:dyDescent="0.3">
      <c r="A415" s="23">
        <v>411</v>
      </c>
      <c r="B415" s="24" t="s">
        <v>2669</v>
      </c>
      <c r="C415" s="25" t="s">
        <v>2670</v>
      </c>
      <c r="D415" s="23" t="s">
        <v>1850</v>
      </c>
      <c r="E415" s="43">
        <v>46125</v>
      </c>
      <c r="F415" s="26" t="s">
        <v>23</v>
      </c>
      <c r="G415" s="26" t="s">
        <v>24</v>
      </c>
      <c r="H415" s="26" t="s">
        <v>25</v>
      </c>
      <c r="I415" s="26" t="s">
        <v>26</v>
      </c>
      <c r="J415" s="26" t="s">
        <v>24</v>
      </c>
      <c r="K415" s="27"/>
      <c r="L415" s="28" t="s">
        <v>25</v>
      </c>
      <c r="M415" s="29" t="str">
        <f t="shared" si="30"/>
        <v>✓ OK</v>
      </c>
      <c r="N415" s="43">
        <v>46193</v>
      </c>
      <c r="O415" s="26" t="s">
        <v>23</v>
      </c>
      <c r="P415" s="26" t="s">
        <v>24</v>
      </c>
      <c r="Q415" s="26" t="s">
        <v>25</v>
      </c>
      <c r="R415" s="26" t="s">
        <v>26</v>
      </c>
      <c r="S415" s="26" t="s">
        <v>24</v>
      </c>
      <c r="T415" s="27"/>
      <c r="U415" s="28" t="s">
        <v>25</v>
      </c>
      <c r="V415" s="29" t="str">
        <f t="shared" si="31"/>
        <v>✓ OK</v>
      </c>
      <c r="W415" s="45">
        <v>46248</v>
      </c>
      <c r="X415" s="30" t="s">
        <v>23</v>
      </c>
      <c r="Y415" s="30" t="s">
        <v>24</v>
      </c>
      <c r="Z415" s="30" t="s">
        <v>25</v>
      </c>
      <c r="AA415" s="30" t="s">
        <v>26</v>
      </c>
      <c r="AB415" s="30" t="s">
        <v>24</v>
      </c>
      <c r="AC415" s="27"/>
      <c r="AD415" s="31" t="s">
        <v>25</v>
      </c>
      <c r="AE415" s="32" t="str">
        <f t="shared" si="32"/>
        <v>✓ OK</v>
      </c>
      <c r="AF415" s="33" t="s">
        <v>27</v>
      </c>
      <c r="AG415" s="33" t="s">
        <v>23</v>
      </c>
      <c r="AH415" s="33" t="s">
        <v>24</v>
      </c>
      <c r="AI415" s="33" t="s">
        <v>25</v>
      </c>
      <c r="AJ415" s="33" t="s">
        <v>26</v>
      </c>
      <c r="AK415" s="33" t="s">
        <v>24</v>
      </c>
      <c r="AL415" s="27"/>
      <c r="AM415" s="34" t="s">
        <v>25</v>
      </c>
      <c r="AN415" s="35" t="str">
        <f t="shared" si="33"/>
        <v>✓ OK</v>
      </c>
      <c r="AO415" s="36"/>
      <c r="AP415" s="36"/>
      <c r="AQ415" s="36"/>
      <c r="AR415" s="36"/>
      <c r="AS415" s="36"/>
      <c r="AT415" s="36"/>
      <c r="AU415" s="27"/>
      <c r="AV415" s="37"/>
      <c r="AW415" s="38" t="str">
        <f t="shared" si="34"/>
        <v/>
      </c>
    </row>
    <row r="416" spans="1:49" ht="18" customHeight="1" x14ac:dyDescent="0.3">
      <c r="A416" s="39">
        <v>412</v>
      </c>
      <c r="B416" s="40" t="s">
        <v>2671</v>
      </c>
      <c r="C416" s="41" t="s">
        <v>2672</v>
      </c>
      <c r="D416" s="39" t="s">
        <v>1850</v>
      </c>
      <c r="E416" s="43">
        <v>46125</v>
      </c>
      <c r="F416" s="26" t="s">
        <v>23</v>
      </c>
      <c r="G416" s="26" t="s">
        <v>24</v>
      </c>
      <c r="H416" s="26" t="s">
        <v>25</v>
      </c>
      <c r="I416" s="26" t="s">
        <v>26</v>
      </c>
      <c r="J416" s="26" t="s">
        <v>24</v>
      </c>
      <c r="K416" s="27"/>
      <c r="L416" s="28" t="s">
        <v>25</v>
      </c>
      <c r="M416" s="29" t="str">
        <f t="shared" si="30"/>
        <v>✓ OK</v>
      </c>
      <c r="N416" s="43">
        <v>46193</v>
      </c>
      <c r="O416" s="26" t="s">
        <v>23</v>
      </c>
      <c r="P416" s="26" t="s">
        <v>24</v>
      </c>
      <c r="Q416" s="26" t="s">
        <v>25</v>
      </c>
      <c r="R416" s="26" t="s">
        <v>26</v>
      </c>
      <c r="S416" s="26" t="s">
        <v>24</v>
      </c>
      <c r="T416" s="27"/>
      <c r="U416" s="28" t="s">
        <v>25</v>
      </c>
      <c r="V416" s="29" t="str">
        <f t="shared" si="31"/>
        <v>✓ OK</v>
      </c>
      <c r="W416" s="45">
        <v>46248</v>
      </c>
      <c r="X416" s="30" t="s">
        <v>23</v>
      </c>
      <c r="Y416" s="30" t="s">
        <v>24</v>
      </c>
      <c r="Z416" s="30" t="s">
        <v>25</v>
      </c>
      <c r="AA416" s="30" t="s">
        <v>26</v>
      </c>
      <c r="AB416" s="30" t="s">
        <v>24</v>
      </c>
      <c r="AC416" s="27"/>
      <c r="AD416" s="31" t="s">
        <v>25</v>
      </c>
      <c r="AE416" s="32" t="str">
        <f t="shared" si="32"/>
        <v>✓ OK</v>
      </c>
      <c r="AF416" s="33" t="s">
        <v>27</v>
      </c>
      <c r="AG416" s="33" t="s">
        <v>23</v>
      </c>
      <c r="AH416" s="33" t="s">
        <v>24</v>
      </c>
      <c r="AI416" s="33" t="s">
        <v>25</v>
      </c>
      <c r="AJ416" s="33" t="s">
        <v>26</v>
      </c>
      <c r="AK416" s="33" t="s">
        <v>24</v>
      </c>
      <c r="AL416" s="27"/>
      <c r="AM416" s="34" t="s">
        <v>25</v>
      </c>
      <c r="AN416" s="35" t="str">
        <f t="shared" si="33"/>
        <v>✓ OK</v>
      </c>
      <c r="AO416" s="36"/>
      <c r="AP416" s="36"/>
      <c r="AQ416" s="36"/>
      <c r="AR416" s="36"/>
      <c r="AS416" s="36"/>
      <c r="AT416" s="36"/>
      <c r="AU416" s="27"/>
      <c r="AV416" s="37"/>
      <c r="AW416" s="38" t="str">
        <f t="shared" si="34"/>
        <v/>
      </c>
    </row>
    <row r="417" spans="1:49" ht="18" customHeight="1" x14ac:dyDescent="0.3">
      <c r="A417" s="23">
        <v>413</v>
      </c>
      <c r="B417" s="24" t="s">
        <v>2673</v>
      </c>
      <c r="C417" s="25" t="s">
        <v>2674</v>
      </c>
      <c r="D417" s="23" t="s">
        <v>1850</v>
      </c>
      <c r="E417" s="43">
        <v>46125</v>
      </c>
      <c r="F417" s="26" t="s">
        <v>23</v>
      </c>
      <c r="G417" s="26" t="s">
        <v>24</v>
      </c>
      <c r="H417" s="26" t="s">
        <v>25</v>
      </c>
      <c r="I417" s="26" t="s">
        <v>26</v>
      </c>
      <c r="J417" s="26" t="s">
        <v>24</v>
      </c>
      <c r="K417" s="27"/>
      <c r="L417" s="28" t="s">
        <v>25</v>
      </c>
      <c r="M417" s="29" t="str">
        <f t="shared" si="30"/>
        <v>✓ OK</v>
      </c>
      <c r="N417" s="43">
        <v>46193</v>
      </c>
      <c r="O417" s="26" t="s">
        <v>23</v>
      </c>
      <c r="P417" s="26" t="s">
        <v>24</v>
      </c>
      <c r="Q417" s="26" t="s">
        <v>25</v>
      </c>
      <c r="R417" s="26" t="s">
        <v>26</v>
      </c>
      <c r="S417" s="26" t="s">
        <v>24</v>
      </c>
      <c r="T417" s="27"/>
      <c r="U417" s="28" t="s">
        <v>25</v>
      </c>
      <c r="V417" s="29" t="str">
        <f t="shared" si="31"/>
        <v>✓ OK</v>
      </c>
      <c r="W417" s="45">
        <v>46248</v>
      </c>
      <c r="X417" s="30" t="s">
        <v>23</v>
      </c>
      <c r="Y417" s="30" t="s">
        <v>24</v>
      </c>
      <c r="Z417" s="30" t="s">
        <v>25</v>
      </c>
      <c r="AA417" s="30" t="s">
        <v>26</v>
      </c>
      <c r="AB417" s="30" t="s">
        <v>24</v>
      </c>
      <c r="AC417" s="27"/>
      <c r="AD417" s="31" t="s">
        <v>25</v>
      </c>
      <c r="AE417" s="32" t="str">
        <f t="shared" si="32"/>
        <v>✓ OK</v>
      </c>
      <c r="AF417" s="33" t="s">
        <v>27</v>
      </c>
      <c r="AG417" s="33" t="s">
        <v>23</v>
      </c>
      <c r="AH417" s="33" t="s">
        <v>24</v>
      </c>
      <c r="AI417" s="33" t="s">
        <v>25</v>
      </c>
      <c r="AJ417" s="33" t="s">
        <v>26</v>
      </c>
      <c r="AK417" s="33" t="s">
        <v>24</v>
      </c>
      <c r="AL417" s="27"/>
      <c r="AM417" s="34" t="s">
        <v>25</v>
      </c>
      <c r="AN417" s="35" t="str">
        <f t="shared" si="33"/>
        <v>✓ OK</v>
      </c>
      <c r="AO417" s="36"/>
      <c r="AP417" s="36"/>
      <c r="AQ417" s="36"/>
      <c r="AR417" s="36"/>
      <c r="AS417" s="36"/>
      <c r="AT417" s="36"/>
      <c r="AU417" s="27"/>
      <c r="AV417" s="37"/>
      <c r="AW417" s="38" t="str">
        <f t="shared" si="34"/>
        <v/>
      </c>
    </row>
    <row r="418" spans="1:49" ht="18" customHeight="1" x14ac:dyDescent="0.3">
      <c r="A418" s="39">
        <v>414</v>
      </c>
      <c r="B418" s="40" t="s">
        <v>2675</v>
      </c>
      <c r="C418" s="41" t="s">
        <v>2676</v>
      </c>
      <c r="D418" s="39" t="s">
        <v>1850</v>
      </c>
      <c r="E418" s="43">
        <v>46125</v>
      </c>
      <c r="F418" s="26" t="s">
        <v>23</v>
      </c>
      <c r="G418" s="26" t="s">
        <v>24</v>
      </c>
      <c r="H418" s="26" t="s">
        <v>25</v>
      </c>
      <c r="I418" s="26" t="s">
        <v>26</v>
      </c>
      <c r="J418" s="26" t="s">
        <v>24</v>
      </c>
      <c r="K418" s="27"/>
      <c r="L418" s="28" t="s">
        <v>25</v>
      </c>
      <c r="M418" s="29" t="str">
        <f t="shared" si="30"/>
        <v>✓ OK</v>
      </c>
      <c r="N418" s="43">
        <v>46193</v>
      </c>
      <c r="O418" s="26" t="s">
        <v>23</v>
      </c>
      <c r="P418" s="26" t="s">
        <v>24</v>
      </c>
      <c r="Q418" s="26" t="s">
        <v>25</v>
      </c>
      <c r="R418" s="26" t="s">
        <v>26</v>
      </c>
      <c r="S418" s="26" t="s">
        <v>24</v>
      </c>
      <c r="T418" s="27"/>
      <c r="U418" s="28" t="s">
        <v>25</v>
      </c>
      <c r="V418" s="29" t="str">
        <f t="shared" si="31"/>
        <v>✓ OK</v>
      </c>
      <c r="W418" s="45">
        <v>46248</v>
      </c>
      <c r="X418" s="30" t="s">
        <v>23</v>
      </c>
      <c r="Y418" s="30" t="s">
        <v>24</v>
      </c>
      <c r="Z418" s="30" t="s">
        <v>25</v>
      </c>
      <c r="AA418" s="30" t="s">
        <v>26</v>
      </c>
      <c r="AB418" s="30" t="s">
        <v>24</v>
      </c>
      <c r="AC418" s="27"/>
      <c r="AD418" s="31" t="s">
        <v>25</v>
      </c>
      <c r="AE418" s="32" t="str">
        <f t="shared" si="32"/>
        <v>✓ OK</v>
      </c>
      <c r="AF418" s="33" t="s">
        <v>27</v>
      </c>
      <c r="AG418" s="33" t="s">
        <v>23</v>
      </c>
      <c r="AH418" s="33" t="s">
        <v>24</v>
      </c>
      <c r="AI418" s="33" t="s">
        <v>25</v>
      </c>
      <c r="AJ418" s="33" t="s">
        <v>26</v>
      </c>
      <c r="AK418" s="33" t="s">
        <v>24</v>
      </c>
      <c r="AL418" s="27"/>
      <c r="AM418" s="34" t="s">
        <v>25</v>
      </c>
      <c r="AN418" s="35" t="str">
        <f t="shared" si="33"/>
        <v>✓ OK</v>
      </c>
      <c r="AO418" s="36"/>
      <c r="AP418" s="36"/>
      <c r="AQ418" s="36"/>
      <c r="AR418" s="36"/>
      <c r="AS418" s="36"/>
      <c r="AT418" s="36"/>
      <c r="AU418" s="27"/>
      <c r="AV418" s="37"/>
      <c r="AW418" s="38" t="str">
        <f t="shared" si="34"/>
        <v/>
      </c>
    </row>
    <row r="419" spans="1:49" ht="18" customHeight="1" x14ac:dyDescent="0.3">
      <c r="A419" s="23">
        <v>415</v>
      </c>
      <c r="B419" s="24" t="s">
        <v>2677</v>
      </c>
      <c r="C419" s="25" t="s">
        <v>2678</v>
      </c>
      <c r="D419" s="23" t="s">
        <v>1850</v>
      </c>
      <c r="E419" s="43">
        <v>46125</v>
      </c>
      <c r="F419" s="26" t="s">
        <v>23</v>
      </c>
      <c r="G419" s="26" t="s">
        <v>24</v>
      </c>
      <c r="H419" s="26" t="s">
        <v>25</v>
      </c>
      <c r="I419" s="26" t="s">
        <v>26</v>
      </c>
      <c r="J419" s="26" t="s">
        <v>24</v>
      </c>
      <c r="K419" s="27"/>
      <c r="L419" s="28" t="s">
        <v>25</v>
      </c>
      <c r="M419" s="29" t="str">
        <f t="shared" si="30"/>
        <v>✓ OK</v>
      </c>
      <c r="N419" s="43">
        <v>46193</v>
      </c>
      <c r="O419" s="26" t="s">
        <v>23</v>
      </c>
      <c r="P419" s="26" t="s">
        <v>24</v>
      </c>
      <c r="Q419" s="26" t="s">
        <v>25</v>
      </c>
      <c r="R419" s="26" t="s">
        <v>26</v>
      </c>
      <c r="S419" s="26" t="s">
        <v>24</v>
      </c>
      <c r="T419" s="27"/>
      <c r="U419" s="28" t="s">
        <v>25</v>
      </c>
      <c r="V419" s="29" t="str">
        <f t="shared" si="31"/>
        <v>✓ OK</v>
      </c>
      <c r="W419" s="45">
        <v>46248</v>
      </c>
      <c r="X419" s="30" t="s">
        <v>23</v>
      </c>
      <c r="Y419" s="30" t="s">
        <v>24</v>
      </c>
      <c r="Z419" s="30" t="s">
        <v>25</v>
      </c>
      <c r="AA419" s="30" t="s">
        <v>26</v>
      </c>
      <c r="AB419" s="30" t="s">
        <v>24</v>
      </c>
      <c r="AC419" s="27"/>
      <c r="AD419" s="31" t="s">
        <v>25</v>
      </c>
      <c r="AE419" s="32" t="str">
        <f t="shared" si="32"/>
        <v>✓ OK</v>
      </c>
      <c r="AF419" s="33" t="s">
        <v>27</v>
      </c>
      <c r="AG419" s="33" t="s">
        <v>23</v>
      </c>
      <c r="AH419" s="33" t="s">
        <v>24</v>
      </c>
      <c r="AI419" s="33" t="s">
        <v>25</v>
      </c>
      <c r="AJ419" s="33" t="s">
        <v>26</v>
      </c>
      <c r="AK419" s="33" t="s">
        <v>24</v>
      </c>
      <c r="AL419" s="27"/>
      <c r="AM419" s="34" t="s">
        <v>25</v>
      </c>
      <c r="AN419" s="35" t="str">
        <f t="shared" si="33"/>
        <v>✓ OK</v>
      </c>
      <c r="AO419" s="36"/>
      <c r="AP419" s="36"/>
      <c r="AQ419" s="36"/>
      <c r="AR419" s="36"/>
      <c r="AS419" s="36"/>
      <c r="AT419" s="36"/>
      <c r="AU419" s="27"/>
      <c r="AV419" s="37"/>
      <c r="AW419" s="38" t="str">
        <f t="shared" si="34"/>
        <v/>
      </c>
    </row>
    <row r="420" spans="1:49" ht="18" customHeight="1" x14ac:dyDescent="0.3">
      <c r="A420" s="39">
        <v>416</v>
      </c>
      <c r="B420" s="40" t="s">
        <v>2679</v>
      </c>
      <c r="C420" s="41" t="s">
        <v>2680</v>
      </c>
      <c r="D420" s="39" t="s">
        <v>1850</v>
      </c>
      <c r="E420" s="43">
        <v>46125</v>
      </c>
      <c r="F420" s="26" t="s">
        <v>23</v>
      </c>
      <c r="G420" s="26" t="s">
        <v>24</v>
      </c>
      <c r="H420" s="26" t="s">
        <v>25</v>
      </c>
      <c r="I420" s="26" t="s">
        <v>26</v>
      </c>
      <c r="J420" s="26" t="s">
        <v>24</v>
      </c>
      <c r="K420" s="27"/>
      <c r="L420" s="28" t="s">
        <v>25</v>
      </c>
      <c r="M420" s="29" t="str">
        <f t="shared" si="30"/>
        <v>✓ OK</v>
      </c>
      <c r="N420" s="43">
        <v>46193</v>
      </c>
      <c r="O420" s="26" t="s">
        <v>23</v>
      </c>
      <c r="P420" s="26" t="s">
        <v>24</v>
      </c>
      <c r="Q420" s="26" t="s">
        <v>25</v>
      </c>
      <c r="R420" s="26" t="s">
        <v>26</v>
      </c>
      <c r="S420" s="26" t="s">
        <v>24</v>
      </c>
      <c r="T420" s="27"/>
      <c r="U420" s="28" t="s">
        <v>25</v>
      </c>
      <c r="V420" s="29" t="str">
        <f t="shared" si="31"/>
        <v>✓ OK</v>
      </c>
      <c r="W420" s="45">
        <v>46248</v>
      </c>
      <c r="X420" s="30" t="s">
        <v>23</v>
      </c>
      <c r="Y420" s="30" t="s">
        <v>24</v>
      </c>
      <c r="Z420" s="30" t="s">
        <v>25</v>
      </c>
      <c r="AA420" s="30" t="s">
        <v>26</v>
      </c>
      <c r="AB420" s="30" t="s">
        <v>24</v>
      </c>
      <c r="AC420" s="27"/>
      <c r="AD420" s="31" t="s">
        <v>25</v>
      </c>
      <c r="AE420" s="32" t="str">
        <f t="shared" si="32"/>
        <v>✓ OK</v>
      </c>
      <c r="AF420" s="33" t="s">
        <v>27</v>
      </c>
      <c r="AG420" s="33" t="s">
        <v>23</v>
      </c>
      <c r="AH420" s="33" t="s">
        <v>24</v>
      </c>
      <c r="AI420" s="33" t="s">
        <v>25</v>
      </c>
      <c r="AJ420" s="33" t="s">
        <v>26</v>
      </c>
      <c r="AK420" s="33" t="s">
        <v>24</v>
      </c>
      <c r="AL420" s="27"/>
      <c r="AM420" s="34" t="s">
        <v>25</v>
      </c>
      <c r="AN420" s="35" t="str">
        <f t="shared" si="33"/>
        <v>✓ OK</v>
      </c>
      <c r="AO420" s="36"/>
      <c r="AP420" s="36"/>
      <c r="AQ420" s="36"/>
      <c r="AR420" s="36"/>
      <c r="AS420" s="36"/>
      <c r="AT420" s="36"/>
      <c r="AU420" s="27"/>
      <c r="AV420" s="37"/>
      <c r="AW420" s="38" t="str">
        <f t="shared" si="34"/>
        <v/>
      </c>
    </row>
    <row r="421" spans="1:49" ht="18" customHeight="1" x14ac:dyDescent="0.3">
      <c r="A421" s="23">
        <v>417</v>
      </c>
      <c r="B421" s="24" t="s">
        <v>2681</v>
      </c>
      <c r="C421" s="25" t="s">
        <v>2682</v>
      </c>
      <c r="D421" s="23" t="s">
        <v>1850</v>
      </c>
      <c r="E421" s="43">
        <v>46125</v>
      </c>
      <c r="F421" s="26" t="s">
        <v>23</v>
      </c>
      <c r="G421" s="26" t="s">
        <v>24</v>
      </c>
      <c r="H421" s="26" t="s">
        <v>25</v>
      </c>
      <c r="I421" s="26" t="s">
        <v>26</v>
      </c>
      <c r="J421" s="26" t="s">
        <v>24</v>
      </c>
      <c r="K421" s="27"/>
      <c r="L421" s="28" t="s">
        <v>25</v>
      </c>
      <c r="M421" s="29" t="str">
        <f t="shared" si="30"/>
        <v>✓ OK</v>
      </c>
      <c r="N421" s="43">
        <v>46193</v>
      </c>
      <c r="O421" s="26" t="s">
        <v>23</v>
      </c>
      <c r="P421" s="26" t="s">
        <v>24</v>
      </c>
      <c r="Q421" s="26" t="s">
        <v>25</v>
      </c>
      <c r="R421" s="26" t="s">
        <v>26</v>
      </c>
      <c r="S421" s="26" t="s">
        <v>24</v>
      </c>
      <c r="T421" s="27"/>
      <c r="U421" s="28" t="s">
        <v>25</v>
      </c>
      <c r="V421" s="29" t="str">
        <f t="shared" si="31"/>
        <v>✓ OK</v>
      </c>
      <c r="W421" s="45">
        <v>46248</v>
      </c>
      <c r="X421" s="30" t="s">
        <v>23</v>
      </c>
      <c r="Y421" s="30" t="s">
        <v>24</v>
      </c>
      <c r="Z421" s="30" t="s">
        <v>25</v>
      </c>
      <c r="AA421" s="30" t="s">
        <v>26</v>
      </c>
      <c r="AB421" s="30" t="s">
        <v>24</v>
      </c>
      <c r="AC421" s="27"/>
      <c r="AD421" s="31" t="s">
        <v>25</v>
      </c>
      <c r="AE421" s="32" t="str">
        <f t="shared" si="32"/>
        <v>✓ OK</v>
      </c>
      <c r="AF421" s="33" t="s">
        <v>27</v>
      </c>
      <c r="AG421" s="33" t="s">
        <v>23</v>
      </c>
      <c r="AH421" s="33" t="s">
        <v>24</v>
      </c>
      <c r="AI421" s="33" t="s">
        <v>25</v>
      </c>
      <c r="AJ421" s="33" t="s">
        <v>26</v>
      </c>
      <c r="AK421" s="33" t="s">
        <v>24</v>
      </c>
      <c r="AL421" s="27"/>
      <c r="AM421" s="34" t="s">
        <v>25</v>
      </c>
      <c r="AN421" s="35" t="str">
        <f t="shared" si="33"/>
        <v>✓ OK</v>
      </c>
      <c r="AO421" s="36"/>
      <c r="AP421" s="36"/>
      <c r="AQ421" s="36"/>
      <c r="AR421" s="36"/>
      <c r="AS421" s="36"/>
      <c r="AT421" s="36"/>
      <c r="AU421" s="27"/>
      <c r="AV421" s="37"/>
      <c r="AW421" s="38" t="str">
        <f t="shared" si="34"/>
        <v/>
      </c>
    </row>
    <row r="422" spans="1:49" ht="18" customHeight="1" x14ac:dyDescent="0.3">
      <c r="A422" s="39">
        <v>418</v>
      </c>
      <c r="B422" s="40" t="s">
        <v>2683</v>
      </c>
      <c r="C422" s="41" t="s">
        <v>2684</v>
      </c>
      <c r="D422" s="39" t="s">
        <v>1850</v>
      </c>
      <c r="E422" s="43">
        <v>46125</v>
      </c>
      <c r="F422" s="26" t="s">
        <v>23</v>
      </c>
      <c r="G422" s="26" t="s">
        <v>24</v>
      </c>
      <c r="H422" s="26" t="s">
        <v>25</v>
      </c>
      <c r="I422" s="26" t="s">
        <v>26</v>
      </c>
      <c r="J422" s="26" t="s">
        <v>24</v>
      </c>
      <c r="K422" s="27"/>
      <c r="L422" s="28" t="s">
        <v>25</v>
      </c>
      <c r="M422" s="29" t="str">
        <f t="shared" si="30"/>
        <v>✓ OK</v>
      </c>
      <c r="N422" s="43">
        <v>46193</v>
      </c>
      <c r="O422" s="26" t="s">
        <v>23</v>
      </c>
      <c r="P422" s="26" t="s">
        <v>24</v>
      </c>
      <c r="Q422" s="26" t="s">
        <v>25</v>
      </c>
      <c r="R422" s="26" t="s">
        <v>26</v>
      </c>
      <c r="S422" s="26" t="s">
        <v>24</v>
      </c>
      <c r="T422" s="27"/>
      <c r="U422" s="28" t="s">
        <v>25</v>
      </c>
      <c r="V422" s="29" t="str">
        <f t="shared" si="31"/>
        <v>✓ OK</v>
      </c>
      <c r="W422" s="45">
        <v>46248</v>
      </c>
      <c r="X422" s="30" t="s">
        <v>23</v>
      </c>
      <c r="Y422" s="30" t="s">
        <v>24</v>
      </c>
      <c r="Z422" s="30" t="s">
        <v>25</v>
      </c>
      <c r="AA422" s="30" t="s">
        <v>26</v>
      </c>
      <c r="AB422" s="30" t="s">
        <v>24</v>
      </c>
      <c r="AC422" s="27"/>
      <c r="AD422" s="31" t="s">
        <v>25</v>
      </c>
      <c r="AE422" s="32" t="str">
        <f t="shared" si="32"/>
        <v>✓ OK</v>
      </c>
      <c r="AF422" s="33" t="s">
        <v>27</v>
      </c>
      <c r="AG422" s="33" t="s">
        <v>23</v>
      </c>
      <c r="AH422" s="33" t="s">
        <v>24</v>
      </c>
      <c r="AI422" s="33" t="s">
        <v>25</v>
      </c>
      <c r="AJ422" s="33" t="s">
        <v>26</v>
      </c>
      <c r="AK422" s="33" t="s">
        <v>24</v>
      </c>
      <c r="AL422" s="27"/>
      <c r="AM422" s="34" t="s">
        <v>25</v>
      </c>
      <c r="AN422" s="35" t="str">
        <f t="shared" si="33"/>
        <v>✓ OK</v>
      </c>
      <c r="AO422" s="36"/>
      <c r="AP422" s="36"/>
      <c r="AQ422" s="36"/>
      <c r="AR422" s="36"/>
      <c r="AS422" s="36"/>
      <c r="AT422" s="36"/>
      <c r="AU422" s="27"/>
      <c r="AV422" s="37"/>
      <c r="AW422" s="38" t="str">
        <f t="shared" si="34"/>
        <v/>
      </c>
    </row>
    <row r="423" spans="1:49" ht="18" customHeight="1" x14ac:dyDescent="0.3">
      <c r="A423" s="23">
        <v>419</v>
      </c>
      <c r="B423" s="24" t="s">
        <v>2685</v>
      </c>
      <c r="C423" s="25" t="s">
        <v>2686</v>
      </c>
      <c r="D423" s="23" t="s">
        <v>1850</v>
      </c>
      <c r="E423" s="43">
        <v>46125</v>
      </c>
      <c r="F423" s="26" t="s">
        <v>23</v>
      </c>
      <c r="G423" s="26" t="s">
        <v>24</v>
      </c>
      <c r="H423" s="26" t="s">
        <v>25</v>
      </c>
      <c r="I423" s="26" t="s">
        <v>26</v>
      </c>
      <c r="J423" s="26" t="s">
        <v>24</v>
      </c>
      <c r="K423" s="27"/>
      <c r="L423" s="28" t="s">
        <v>25</v>
      </c>
      <c r="M423" s="29" t="str">
        <f t="shared" si="30"/>
        <v>✓ OK</v>
      </c>
      <c r="N423" s="43">
        <v>46193</v>
      </c>
      <c r="O423" s="26" t="s">
        <v>23</v>
      </c>
      <c r="P423" s="26" t="s">
        <v>24</v>
      </c>
      <c r="Q423" s="26" t="s">
        <v>25</v>
      </c>
      <c r="R423" s="26" t="s">
        <v>26</v>
      </c>
      <c r="S423" s="26" t="s">
        <v>24</v>
      </c>
      <c r="T423" s="27"/>
      <c r="U423" s="28" t="s">
        <v>25</v>
      </c>
      <c r="V423" s="29" t="str">
        <f t="shared" si="31"/>
        <v>✓ OK</v>
      </c>
      <c r="W423" s="45">
        <v>46248</v>
      </c>
      <c r="X423" s="30" t="s">
        <v>23</v>
      </c>
      <c r="Y423" s="30" t="s">
        <v>24</v>
      </c>
      <c r="Z423" s="30" t="s">
        <v>25</v>
      </c>
      <c r="AA423" s="30" t="s">
        <v>26</v>
      </c>
      <c r="AB423" s="30" t="s">
        <v>24</v>
      </c>
      <c r="AC423" s="27"/>
      <c r="AD423" s="31" t="s">
        <v>25</v>
      </c>
      <c r="AE423" s="32" t="str">
        <f t="shared" si="32"/>
        <v>✓ OK</v>
      </c>
      <c r="AF423" s="33" t="s">
        <v>27</v>
      </c>
      <c r="AG423" s="33" t="s">
        <v>23</v>
      </c>
      <c r="AH423" s="33" t="s">
        <v>24</v>
      </c>
      <c r="AI423" s="33" t="s">
        <v>25</v>
      </c>
      <c r="AJ423" s="33" t="s">
        <v>26</v>
      </c>
      <c r="AK423" s="33" t="s">
        <v>24</v>
      </c>
      <c r="AL423" s="27"/>
      <c r="AM423" s="34" t="s">
        <v>25</v>
      </c>
      <c r="AN423" s="35" t="str">
        <f t="shared" si="33"/>
        <v>✓ OK</v>
      </c>
      <c r="AO423" s="36"/>
      <c r="AP423" s="36"/>
      <c r="AQ423" s="36"/>
      <c r="AR423" s="36"/>
      <c r="AS423" s="36"/>
      <c r="AT423" s="36"/>
      <c r="AU423" s="27"/>
      <c r="AV423" s="37"/>
      <c r="AW423" s="38" t="str">
        <f t="shared" si="34"/>
        <v/>
      </c>
    </row>
    <row r="424" spans="1:49" ht="18" customHeight="1" x14ac:dyDescent="0.3">
      <c r="A424" s="39">
        <v>420</v>
      </c>
      <c r="B424" s="40" t="s">
        <v>2687</v>
      </c>
      <c r="C424" s="41" t="s">
        <v>2688</v>
      </c>
      <c r="D424" s="39" t="s">
        <v>1850</v>
      </c>
      <c r="E424" s="43">
        <v>46125</v>
      </c>
      <c r="F424" s="26" t="s">
        <v>23</v>
      </c>
      <c r="G424" s="26" t="s">
        <v>24</v>
      </c>
      <c r="H424" s="26" t="s">
        <v>25</v>
      </c>
      <c r="I424" s="26" t="s">
        <v>26</v>
      </c>
      <c r="J424" s="26" t="s">
        <v>24</v>
      </c>
      <c r="K424" s="27"/>
      <c r="L424" s="28" t="s">
        <v>25</v>
      </c>
      <c r="M424" s="29" t="str">
        <f t="shared" si="30"/>
        <v>✓ OK</v>
      </c>
      <c r="N424" s="43">
        <v>46193</v>
      </c>
      <c r="O424" s="26" t="s">
        <v>23</v>
      </c>
      <c r="P424" s="26" t="s">
        <v>24</v>
      </c>
      <c r="Q424" s="26" t="s">
        <v>25</v>
      </c>
      <c r="R424" s="26" t="s">
        <v>26</v>
      </c>
      <c r="S424" s="26" t="s">
        <v>24</v>
      </c>
      <c r="T424" s="27"/>
      <c r="U424" s="28" t="s">
        <v>25</v>
      </c>
      <c r="V424" s="29" t="str">
        <f t="shared" si="31"/>
        <v>✓ OK</v>
      </c>
      <c r="W424" s="45">
        <v>46248</v>
      </c>
      <c r="X424" s="30" t="s">
        <v>23</v>
      </c>
      <c r="Y424" s="30" t="s">
        <v>24</v>
      </c>
      <c r="Z424" s="30" t="s">
        <v>25</v>
      </c>
      <c r="AA424" s="30" t="s">
        <v>26</v>
      </c>
      <c r="AB424" s="30" t="s">
        <v>24</v>
      </c>
      <c r="AC424" s="27"/>
      <c r="AD424" s="31" t="s">
        <v>25</v>
      </c>
      <c r="AE424" s="32" t="str">
        <f t="shared" si="32"/>
        <v>✓ OK</v>
      </c>
      <c r="AF424" s="33" t="s">
        <v>27</v>
      </c>
      <c r="AG424" s="33" t="s">
        <v>23</v>
      </c>
      <c r="AH424" s="33" t="s">
        <v>24</v>
      </c>
      <c r="AI424" s="33" t="s">
        <v>25</v>
      </c>
      <c r="AJ424" s="33" t="s">
        <v>26</v>
      </c>
      <c r="AK424" s="33" t="s">
        <v>24</v>
      </c>
      <c r="AL424" s="27"/>
      <c r="AM424" s="34" t="s">
        <v>25</v>
      </c>
      <c r="AN424" s="35" t="str">
        <f t="shared" si="33"/>
        <v>✓ OK</v>
      </c>
      <c r="AO424" s="36"/>
      <c r="AP424" s="36"/>
      <c r="AQ424" s="36"/>
      <c r="AR424" s="36"/>
      <c r="AS424" s="36"/>
      <c r="AT424" s="36"/>
      <c r="AU424" s="27"/>
      <c r="AV424" s="37"/>
      <c r="AW424" s="38" t="str">
        <f t="shared" si="34"/>
        <v/>
      </c>
    </row>
    <row r="425" spans="1:49" ht="18" customHeight="1" x14ac:dyDescent="0.3">
      <c r="A425" s="23">
        <v>421</v>
      </c>
      <c r="B425" s="24" t="s">
        <v>2689</v>
      </c>
      <c r="C425" s="25" t="s">
        <v>2690</v>
      </c>
      <c r="D425" s="23" t="s">
        <v>1850</v>
      </c>
      <c r="E425" s="43">
        <v>46125</v>
      </c>
      <c r="F425" s="26" t="s">
        <v>23</v>
      </c>
      <c r="G425" s="26" t="s">
        <v>24</v>
      </c>
      <c r="H425" s="26" t="s">
        <v>25</v>
      </c>
      <c r="I425" s="26" t="s">
        <v>26</v>
      </c>
      <c r="J425" s="26" t="s">
        <v>24</v>
      </c>
      <c r="K425" s="27"/>
      <c r="L425" s="28" t="s">
        <v>25</v>
      </c>
      <c r="M425" s="29" t="str">
        <f t="shared" si="30"/>
        <v>✓ OK</v>
      </c>
      <c r="N425" s="43">
        <v>46193</v>
      </c>
      <c r="O425" s="26" t="s">
        <v>23</v>
      </c>
      <c r="P425" s="26" t="s">
        <v>24</v>
      </c>
      <c r="Q425" s="26" t="s">
        <v>25</v>
      </c>
      <c r="R425" s="26" t="s">
        <v>26</v>
      </c>
      <c r="S425" s="26" t="s">
        <v>24</v>
      </c>
      <c r="T425" s="27"/>
      <c r="U425" s="28" t="s">
        <v>25</v>
      </c>
      <c r="V425" s="29" t="str">
        <f t="shared" si="31"/>
        <v>✓ OK</v>
      </c>
      <c r="W425" s="45">
        <v>46248</v>
      </c>
      <c r="X425" s="30" t="s">
        <v>23</v>
      </c>
      <c r="Y425" s="30" t="s">
        <v>24</v>
      </c>
      <c r="Z425" s="30" t="s">
        <v>25</v>
      </c>
      <c r="AA425" s="30" t="s">
        <v>26</v>
      </c>
      <c r="AB425" s="30" t="s">
        <v>24</v>
      </c>
      <c r="AC425" s="27"/>
      <c r="AD425" s="31" t="s">
        <v>25</v>
      </c>
      <c r="AE425" s="32" t="str">
        <f t="shared" si="32"/>
        <v>✓ OK</v>
      </c>
      <c r="AF425" s="33" t="s">
        <v>27</v>
      </c>
      <c r="AG425" s="33" t="s">
        <v>23</v>
      </c>
      <c r="AH425" s="33" t="s">
        <v>24</v>
      </c>
      <c r="AI425" s="33" t="s">
        <v>25</v>
      </c>
      <c r="AJ425" s="33" t="s">
        <v>26</v>
      </c>
      <c r="AK425" s="33" t="s">
        <v>24</v>
      </c>
      <c r="AL425" s="27"/>
      <c r="AM425" s="34" t="s">
        <v>25</v>
      </c>
      <c r="AN425" s="35" t="str">
        <f t="shared" si="33"/>
        <v>✓ OK</v>
      </c>
      <c r="AO425" s="36"/>
      <c r="AP425" s="36"/>
      <c r="AQ425" s="36"/>
      <c r="AR425" s="36"/>
      <c r="AS425" s="36"/>
      <c r="AT425" s="36"/>
      <c r="AU425" s="27"/>
      <c r="AV425" s="37"/>
      <c r="AW425" s="38" t="str">
        <f t="shared" si="34"/>
        <v/>
      </c>
    </row>
    <row r="426" spans="1:49" ht="18" customHeight="1" x14ac:dyDescent="0.3">
      <c r="A426" s="39">
        <v>422</v>
      </c>
      <c r="B426" s="40" t="s">
        <v>2691</v>
      </c>
      <c r="C426" s="41" t="s">
        <v>2692</v>
      </c>
      <c r="D426" s="39" t="s">
        <v>1850</v>
      </c>
      <c r="E426" s="43">
        <v>46125</v>
      </c>
      <c r="F426" s="26" t="s">
        <v>23</v>
      </c>
      <c r="G426" s="26" t="s">
        <v>24</v>
      </c>
      <c r="H426" s="26" t="s">
        <v>25</v>
      </c>
      <c r="I426" s="26" t="s">
        <v>26</v>
      </c>
      <c r="J426" s="26" t="s">
        <v>24</v>
      </c>
      <c r="K426" s="27"/>
      <c r="L426" s="28" t="s">
        <v>25</v>
      </c>
      <c r="M426" s="29" t="str">
        <f t="shared" si="30"/>
        <v>✓ OK</v>
      </c>
      <c r="N426" s="43">
        <v>46193</v>
      </c>
      <c r="O426" s="26" t="s">
        <v>23</v>
      </c>
      <c r="P426" s="26" t="s">
        <v>24</v>
      </c>
      <c r="Q426" s="26" t="s">
        <v>25</v>
      </c>
      <c r="R426" s="26" t="s">
        <v>26</v>
      </c>
      <c r="S426" s="26" t="s">
        <v>24</v>
      </c>
      <c r="T426" s="27"/>
      <c r="U426" s="28" t="s">
        <v>25</v>
      </c>
      <c r="V426" s="29" t="str">
        <f t="shared" si="31"/>
        <v>✓ OK</v>
      </c>
      <c r="W426" s="45">
        <v>46248</v>
      </c>
      <c r="X426" s="30" t="s">
        <v>23</v>
      </c>
      <c r="Y426" s="30" t="s">
        <v>24</v>
      </c>
      <c r="Z426" s="30" t="s">
        <v>25</v>
      </c>
      <c r="AA426" s="30" t="s">
        <v>26</v>
      </c>
      <c r="AB426" s="30" t="s">
        <v>24</v>
      </c>
      <c r="AC426" s="27"/>
      <c r="AD426" s="31" t="s">
        <v>25</v>
      </c>
      <c r="AE426" s="32" t="str">
        <f t="shared" si="32"/>
        <v>✓ OK</v>
      </c>
      <c r="AF426" s="33" t="s">
        <v>27</v>
      </c>
      <c r="AG426" s="33" t="s">
        <v>23</v>
      </c>
      <c r="AH426" s="33" t="s">
        <v>24</v>
      </c>
      <c r="AI426" s="33" t="s">
        <v>25</v>
      </c>
      <c r="AJ426" s="33" t="s">
        <v>26</v>
      </c>
      <c r="AK426" s="33" t="s">
        <v>24</v>
      </c>
      <c r="AL426" s="27"/>
      <c r="AM426" s="34" t="s">
        <v>25</v>
      </c>
      <c r="AN426" s="35" t="str">
        <f t="shared" si="33"/>
        <v>✓ OK</v>
      </c>
      <c r="AO426" s="36"/>
      <c r="AP426" s="36"/>
      <c r="AQ426" s="36"/>
      <c r="AR426" s="36"/>
      <c r="AS426" s="36"/>
      <c r="AT426" s="36"/>
      <c r="AU426" s="27"/>
      <c r="AV426" s="37"/>
      <c r="AW426" s="38" t="str">
        <f t="shared" si="34"/>
        <v/>
      </c>
    </row>
    <row r="427" spans="1:49" ht="18" customHeight="1" x14ac:dyDescent="0.3">
      <c r="A427" s="23">
        <v>423</v>
      </c>
      <c r="B427" s="24" t="s">
        <v>2693</v>
      </c>
      <c r="C427" s="25" t="s">
        <v>2694</v>
      </c>
      <c r="D427" s="23" t="s">
        <v>1850</v>
      </c>
      <c r="E427" s="43">
        <v>46125</v>
      </c>
      <c r="F427" s="26" t="s">
        <v>23</v>
      </c>
      <c r="G427" s="26" t="s">
        <v>24</v>
      </c>
      <c r="H427" s="26" t="s">
        <v>25</v>
      </c>
      <c r="I427" s="26" t="s">
        <v>26</v>
      </c>
      <c r="J427" s="26" t="s">
        <v>24</v>
      </c>
      <c r="K427" s="27"/>
      <c r="L427" s="28" t="s">
        <v>25</v>
      </c>
      <c r="M427" s="29" t="str">
        <f t="shared" si="30"/>
        <v>✓ OK</v>
      </c>
      <c r="N427" s="43">
        <v>46193</v>
      </c>
      <c r="O427" s="26" t="s">
        <v>23</v>
      </c>
      <c r="P427" s="26" t="s">
        <v>24</v>
      </c>
      <c r="Q427" s="26" t="s">
        <v>25</v>
      </c>
      <c r="R427" s="26" t="s">
        <v>26</v>
      </c>
      <c r="S427" s="26" t="s">
        <v>24</v>
      </c>
      <c r="T427" s="27"/>
      <c r="U427" s="28" t="s">
        <v>25</v>
      </c>
      <c r="V427" s="29" t="str">
        <f t="shared" si="31"/>
        <v>✓ OK</v>
      </c>
      <c r="W427" s="45">
        <v>46248</v>
      </c>
      <c r="X427" s="30" t="s">
        <v>23</v>
      </c>
      <c r="Y427" s="30" t="s">
        <v>24</v>
      </c>
      <c r="Z427" s="30" t="s">
        <v>25</v>
      </c>
      <c r="AA427" s="30" t="s">
        <v>26</v>
      </c>
      <c r="AB427" s="30" t="s">
        <v>24</v>
      </c>
      <c r="AC427" s="27"/>
      <c r="AD427" s="31" t="s">
        <v>25</v>
      </c>
      <c r="AE427" s="32" t="str">
        <f t="shared" si="32"/>
        <v>✓ OK</v>
      </c>
      <c r="AF427" s="33" t="s">
        <v>27</v>
      </c>
      <c r="AG427" s="33" t="s">
        <v>23</v>
      </c>
      <c r="AH427" s="33" t="s">
        <v>24</v>
      </c>
      <c r="AI427" s="33" t="s">
        <v>25</v>
      </c>
      <c r="AJ427" s="33" t="s">
        <v>26</v>
      </c>
      <c r="AK427" s="33" t="s">
        <v>24</v>
      </c>
      <c r="AL427" s="27"/>
      <c r="AM427" s="34" t="s">
        <v>25</v>
      </c>
      <c r="AN427" s="35" t="str">
        <f t="shared" si="33"/>
        <v>✓ OK</v>
      </c>
      <c r="AO427" s="36"/>
      <c r="AP427" s="36"/>
      <c r="AQ427" s="36"/>
      <c r="AR427" s="36"/>
      <c r="AS427" s="36"/>
      <c r="AT427" s="36"/>
      <c r="AU427" s="27"/>
      <c r="AV427" s="37"/>
      <c r="AW427" s="38" t="str">
        <f t="shared" si="34"/>
        <v/>
      </c>
    </row>
    <row r="428" spans="1:49" ht="18" customHeight="1" x14ac:dyDescent="0.3">
      <c r="A428" s="39">
        <v>424</v>
      </c>
      <c r="B428" s="40" t="s">
        <v>2695</v>
      </c>
      <c r="C428" s="41" t="s">
        <v>2696</v>
      </c>
      <c r="D428" s="39" t="s">
        <v>1850</v>
      </c>
      <c r="E428" s="43">
        <v>46125</v>
      </c>
      <c r="F428" s="26" t="s">
        <v>23</v>
      </c>
      <c r="G428" s="26" t="s">
        <v>24</v>
      </c>
      <c r="H428" s="26" t="s">
        <v>25</v>
      </c>
      <c r="I428" s="26" t="s">
        <v>26</v>
      </c>
      <c r="J428" s="26" t="s">
        <v>24</v>
      </c>
      <c r="K428" s="27"/>
      <c r="L428" s="28" t="s">
        <v>25</v>
      </c>
      <c r="M428" s="29" t="str">
        <f t="shared" si="30"/>
        <v>✓ OK</v>
      </c>
      <c r="N428" s="43">
        <v>46193</v>
      </c>
      <c r="O428" s="26" t="s">
        <v>23</v>
      </c>
      <c r="P428" s="26" t="s">
        <v>24</v>
      </c>
      <c r="Q428" s="26" t="s">
        <v>25</v>
      </c>
      <c r="R428" s="26" t="s">
        <v>26</v>
      </c>
      <c r="S428" s="26" t="s">
        <v>24</v>
      </c>
      <c r="T428" s="27"/>
      <c r="U428" s="28" t="s">
        <v>25</v>
      </c>
      <c r="V428" s="29" t="str">
        <f t="shared" si="31"/>
        <v>✓ OK</v>
      </c>
      <c r="W428" s="45">
        <v>46248</v>
      </c>
      <c r="X428" s="30" t="s">
        <v>23</v>
      </c>
      <c r="Y428" s="30" t="s">
        <v>24</v>
      </c>
      <c r="Z428" s="30" t="s">
        <v>25</v>
      </c>
      <c r="AA428" s="30" t="s">
        <v>26</v>
      </c>
      <c r="AB428" s="30" t="s">
        <v>24</v>
      </c>
      <c r="AC428" s="27"/>
      <c r="AD428" s="31" t="s">
        <v>25</v>
      </c>
      <c r="AE428" s="32" t="str">
        <f t="shared" si="32"/>
        <v>✓ OK</v>
      </c>
      <c r="AF428" s="33" t="s">
        <v>27</v>
      </c>
      <c r="AG428" s="33" t="s">
        <v>23</v>
      </c>
      <c r="AH428" s="33" t="s">
        <v>24</v>
      </c>
      <c r="AI428" s="33" t="s">
        <v>25</v>
      </c>
      <c r="AJ428" s="33" t="s">
        <v>26</v>
      </c>
      <c r="AK428" s="33" t="s">
        <v>24</v>
      </c>
      <c r="AL428" s="27"/>
      <c r="AM428" s="34" t="s">
        <v>25</v>
      </c>
      <c r="AN428" s="35" t="str">
        <f t="shared" si="33"/>
        <v>✓ OK</v>
      </c>
      <c r="AO428" s="36"/>
      <c r="AP428" s="36"/>
      <c r="AQ428" s="36"/>
      <c r="AR428" s="36"/>
      <c r="AS428" s="36"/>
      <c r="AT428" s="36"/>
      <c r="AU428" s="27"/>
      <c r="AV428" s="37"/>
      <c r="AW428" s="38" t="str">
        <f t="shared" si="34"/>
        <v/>
      </c>
    </row>
    <row r="429" spans="1:49" ht="18" customHeight="1" x14ac:dyDescent="0.3">
      <c r="A429" s="23">
        <v>425</v>
      </c>
      <c r="B429" s="24" t="s">
        <v>2697</v>
      </c>
      <c r="C429" s="25" t="s">
        <v>2698</v>
      </c>
      <c r="D429" s="23" t="s">
        <v>1850</v>
      </c>
      <c r="E429" s="43">
        <v>46125</v>
      </c>
      <c r="F429" s="26" t="s">
        <v>23</v>
      </c>
      <c r="G429" s="26" t="s">
        <v>24</v>
      </c>
      <c r="H429" s="26" t="s">
        <v>25</v>
      </c>
      <c r="I429" s="26" t="s">
        <v>26</v>
      </c>
      <c r="J429" s="26" t="s">
        <v>24</v>
      </c>
      <c r="K429" s="27"/>
      <c r="L429" s="28" t="s">
        <v>25</v>
      </c>
      <c r="M429" s="29" t="str">
        <f t="shared" si="30"/>
        <v>✓ OK</v>
      </c>
      <c r="N429" s="43">
        <v>46193</v>
      </c>
      <c r="O429" s="26" t="s">
        <v>23</v>
      </c>
      <c r="P429" s="26" t="s">
        <v>24</v>
      </c>
      <c r="Q429" s="26" t="s">
        <v>25</v>
      </c>
      <c r="R429" s="26" t="s">
        <v>26</v>
      </c>
      <c r="S429" s="26" t="s">
        <v>24</v>
      </c>
      <c r="T429" s="27"/>
      <c r="U429" s="28" t="s">
        <v>25</v>
      </c>
      <c r="V429" s="29" t="str">
        <f t="shared" si="31"/>
        <v>✓ OK</v>
      </c>
      <c r="W429" s="45">
        <v>46248</v>
      </c>
      <c r="X429" s="30" t="s">
        <v>23</v>
      </c>
      <c r="Y429" s="30" t="s">
        <v>24</v>
      </c>
      <c r="Z429" s="30" t="s">
        <v>25</v>
      </c>
      <c r="AA429" s="30" t="s">
        <v>26</v>
      </c>
      <c r="AB429" s="30" t="s">
        <v>24</v>
      </c>
      <c r="AC429" s="27"/>
      <c r="AD429" s="31" t="s">
        <v>25</v>
      </c>
      <c r="AE429" s="32" t="str">
        <f t="shared" si="32"/>
        <v>✓ OK</v>
      </c>
      <c r="AF429" s="33" t="s">
        <v>27</v>
      </c>
      <c r="AG429" s="33" t="s">
        <v>23</v>
      </c>
      <c r="AH429" s="33" t="s">
        <v>24</v>
      </c>
      <c r="AI429" s="33" t="s">
        <v>25</v>
      </c>
      <c r="AJ429" s="33" t="s">
        <v>26</v>
      </c>
      <c r="AK429" s="33" t="s">
        <v>24</v>
      </c>
      <c r="AL429" s="27"/>
      <c r="AM429" s="34" t="s">
        <v>25</v>
      </c>
      <c r="AN429" s="35" t="str">
        <f t="shared" si="33"/>
        <v>✓ OK</v>
      </c>
      <c r="AO429" s="36"/>
      <c r="AP429" s="36"/>
      <c r="AQ429" s="36"/>
      <c r="AR429" s="36"/>
      <c r="AS429" s="36"/>
      <c r="AT429" s="36"/>
      <c r="AU429" s="27"/>
      <c r="AV429" s="37"/>
      <c r="AW429" s="38" t="str">
        <f t="shared" si="34"/>
        <v/>
      </c>
    </row>
    <row r="430" spans="1:49" ht="18" customHeight="1" x14ac:dyDescent="0.3">
      <c r="A430" s="39">
        <v>426</v>
      </c>
      <c r="B430" s="40" t="s">
        <v>2699</v>
      </c>
      <c r="C430" s="41" t="s">
        <v>2700</v>
      </c>
      <c r="D430" s="39" t="s">
        <v>1850</v>
      </c>
      <c r="E430" s="43">
        <v>46125</v>
      </c>
      <c r="F430" s="26" t="s">
        <v>23</v>
      </c>
      <c r="G430" s="26" t="s">
        <v>24</v>
      </c>
      <c r="H430" s="26" t="s">
        <v>25</v>
      </c>
      <c r="I430" s="26" t="s">
        <v>26</v>
      </c>
      <c r="J430" s="26" t="s">
        <v>24</v>
      </c>
      <c r="K430" s="27"/>
      <c r="L430" s="28" t="s">
        <v>25</v>
      </c>
      <c r="M430" s="29" t="str">
        <f t="shared" si="30"/>
        <v>✓ OK</v>
      </c>
      <c r="N430" s="43">
        <v>46193</v>
      </c>
      <c r="O430" s="26" t="s">
        <v>23</v>
      </c>
      <c r="P430" s="26" t="s">
        <v>24</v>
      </c>
      <c r="Q430" s="26" t="s">
        <v>25</v>
      </c>
      <c r="R430" s="26" t="s">
        <v>26</v>
      </c>
      <c r="S430" s="26" t="s">
        <v>24</v>
      </c>
      <c r="T430" s="27"/>
      <c r="U430" s="28" t="s">
        <v>25</v>
      </c>
      <c r="V430" s="29" t="str">
        <f t="shared" si="31"/>
        <v>✓ OK</v>
      </c>
      <c r="W430" s="45">
        <v>46248</v>
      </c>
      <c r="X430" s="30" t="s">
        <v>23</v>
      </c>
      <c r="Y430" s="30" t="s">
        <v>24</v>
      </c>
      <c r="Z430" s="30" t="s">
        <v>25</v>
      </c>
      <c r="AA430" s="30" t="s">
        <v>26</v>
      </c>
      <c r="AB430" s="30" t="s">
        <v>24</v>
      </c>
      <c r="AC430" s="27"/>
      <c r="AD430" s="31" t="s">
        <v>25</v>
      </c>
      <c r="AE430" s="32" t="str">
        <f t="shared" si="32"/>
        <v>✓ OK</v>
      </c>
      <c r="AF430" s="33" t="s">
        <v>27</v>
      </c>
      <c r="AG430" s="33" t="s">
        <v>23</v>
      </c>
      <c r="AH430" s="33" t="s">
        <v>24</v>
      </c>
      <c r="AI430" s="33" t="s">
        <v>25</v>
      </c>
      <c r="AJ430" s="33" t="s">
        <v>26</v>
      </c>
      <c r="AK430" s="33" t="s">
        <v>24</v>
      </c>
      <c r="AL430" s="27"/>
      <c r="AM430" s="34" t="s">
        <v>25</v>
      </c>
      <c r="AN430" s="35" t="str">
        <f t="shared" si="33"/>
        <v>✓ OK</v>
      </c>
      <c r="AO430" s="36"/>
      <c r="AP430" s="36"/>
      <c r="AQ430" s="36"/>
      <c r="AR430" s="36"/>
      <c r="AS430" s="36"/>
      <c r="AT430" s="36"/>
      <c r="AU430" s="27"/>
      <c r="AV430" s="37"/>
      <c r="AW430" s="38" t="str">
        <f t="shared" si="34"/>
        <v/>
      </c>
    </row>
    <row r="431" spans="1:49" ht="18" customHeight="1" x14ac:dyDescent="0.3">
      <c r="A431" s="23">
        <v>427</v>
      </c>
      <c r="B431" s="24" t="s">
        <v>2701</v>
      </c>
      <c r="C431" s="25" t="s">
        <v>2702</v>
      </c>
      <c r="D431" s="23" t="s">
        <v>1850</v>
      </c>
      <c r="E431" s="43">
        <v>46125</v>
      </c>
      <c r="F431" s="26" t="s">
        <v>23</v>
      </c>
      <c r="G431" s="26" t="s">
        <v>24</v>
      </c>
      <c r="H431" s="26" t="s">
        <v>25</v>
      </c>
      <c r="I431" s="26" t="s">
        <v>26</v>
      </c>
      <c r="J431" s="26" t="s">
        <v>24</v>
      </c>
      <c r="K431" s="27"/>
      <c r="L431" s="28" t="s">
        <v>25</v>
      </c>
      <c r="M431" s="29" t="str">
        <f t="shared" si="30"/>
        <v>✓ OK</v>
      </c>
      <c r="N431" s="43">
        <v>46193</v>
      </c>
      <c r="O431" s="26" t="s">
        <v>23</v>
      </c>
      <c r="P431" s="26" t="s">
        <v>24</v>
      </c>
      <c r="Q431" s="26" t="s">
        <v>25</v>
      </c>
      <c r="R431" s="26" t="s">
        <v>26</v>
      </c>
      <c r="S431" s="26" t="s">
        <v>24</v>
      </c>
      <c r="T431" s="27"/>
      <c r="U431" s="28" t="s">
        <v>25</v>
      </c>
      <c r="V431" s="29" t="str">
        <f t="shared" si="31"/>
        <v>✓ OK</v>
      </c>
      <c r="W431" s="45">
        <v>46248</v>
      </c>
      <c r="X431" s="30" t="s">
        <v>23</v>
      </c>
      <c r="Y431" s="30" t="s">
        <v>24</v>
      </c>
      <c r="Z431" s="30" t="s">
        <v>25</v>
      </c>
      <c r="AA431" s="30" t="s">
        <v>26</v>
      </c>
      <c r="AB431" s="30" t="s">
        <v>24</v>
      </c>
      <c r="AC431" s="27"/>
      <c r="AD431" s="31" t="s">
        <v>25</v>
      </c>
      <c r="AE431" s="32" t="str">
        <f t="shared" si="32"/>
        <v>✓ OK</v>
      </c>
      <c r="AF431" s="33" t="s">
        <v>27</v>
      </c>
      <c r="AG431" s="33" t="s">
        <v>23</v>
      </c>
      <c r="AH431" s="33" t="s">
        <v>24</v>
      </c>
      <c r="AI431" s="33" t="s">
        <v>25</v>
      </c>
      <c r="AJ431" s="33" t="s">
        <v>26</v>
      </c>
      <c r="AK431" s="33" t="s">
        <v>24</v>
      </c>
      <c r="AL431" s="27"/>
      <c r="AM431" s="34" t="s">
        <v>25</v>
      </c>
      <c r="AN431" s="35" t="str">
        <f t="shared" si="33"/>
        <v>✓ OK</v>
      </c>
      <c r="AO431" s="36"/>
      <c r="AP431" s="36"/>
      <c r="AQ431" s="36"/>
      <c r="AR431" s="36"/>
      <c r="AS431" s="36"/>
      <c r="AT431" s="36"/>
      <c r="AU431" s="27"/>
      <c r="AV431" s="37"/>
      <c r="AW431" s="38" t="str">
        <f t="shared" si="34"/>
        <v/>
      </c>
    </row>
    <row r="432" spans="1:49" ht="18" customHeight="1" x14ac:dyDescent="0.3">
      <c r="A432" s="39">
        <v>428</v>
      </c>
      <c r="B432" s="40" t="s">
        <v>2703</v>
      </c>
      <c r="C432" s="41" t="s">
        <v>2704</v>
      </c>
      <c r="D432" s="39" t="s">
        <v>1850</v>
      </c>
      <c r="E432" s="43">
        <v>46125</v>
      </c>
      <c r="F432" s="26" t="s">
        <v>23</v>
      </c>
      <c r="G432" s="26" t="s">
        <v>24</v>
      </c>
      <c r="H432" s="26" t="s">
        <v>25</v>
      </c>
      <c r="I432" s="26" t="s">
        <v>26</v>
      </c>
      <c r="J432" s="26" t="s">
        <v>24</v>
      </c>
      <c r="K432" s="27"/>
      <c r="L432" s="28" t="s">
        <v>25</v>
      </c>
      <c r="M432" s="29" t="str">
        <f t="shared" si="30"/>
        <v>✓ OK</v>
      </c>
      <c r="N432" s="43">
        <v>46193</v>
      </c>
      <c r="O432" s="26" t="s">
        <v>23</v>
      </c>
      <c r="P432" s="26" t="s">
        <v>24</v>
      </c>
      <c r="Q432" s="26" t="s">
        <v>25</v>
      </c>
      <c r="R432" s="26" t="s">
        <v>26</v>
      </c>
      <c r="S432" s="26" t="s">
        <v>24</v>
      </c>
      <c r="T432" s="27"/>
      <c r="U432" s="28" t="s">
        <v>25</v>
      </c>
      <c r="V432" s="29" t="str">
        <f t="shared" si="31"/>
        <v>✓ OK</v>
      </c>
      <c r="W432" s="45">
        <v>46248</v>
      </c>
      <c r="X432" s="30" t="s">
        <v>23</v>
      </c>
      <c r="Y432" s="30" t="s">
        <v>24</v>
      </c>
      <c r="Z432" s="30" t="s">
        <v>25</v>
      </c>
      <c r="AA432" s="30" t="s">
        <v>26</v>
      </c>
      <c r="AB432" s="30" t="s">
        <v>24</v>
      </c>
      <c r="AC432" s="27"/>
      <c r="AD432" s="31" t="s">
        <v>25</v>
      </c>
      <c r="AE432" s="32" t="str">
        <f t="shared" si="32"/>
        <v>✓ OK</v>
      </c>
      <c r="AF432" s="33" t="s">
        <v>27</v>
      </c>
      <c r="AG432" s="33" t="s">
        <v>23</v>
      </c>
      <c r="AH432" s="33" t="s">
        <v>24</v>
      </c>
      <c r="AI432" s="33" t="s">
        <v>25</v>
      </c>
      <c r="AJ432" s="33" t="s">
        <v>26</v>
      </c>
      <c r="AK432" s="33" t="s">
        <v>24</v>
      </c>
      <c r="AL432" s="27"/>
      <c r="AM432" s="34" t="s">
        <v>25</v>
      </c>
      <c r="AN432" s="35" t="str">
        <f t="shared" si="33"/>
        <v>✓ OK</v>
      </c>
      <c r="AO432" s="36"/>
      <c r="AP432" s="36"/>
      <c r="AQ432" s="36"/>
      <c r="AR432" s="36"/>
      <c r="AS432" s="36"/>
      <c r="AT432" s="36"/>
      <c r="AU432" s="27"/>
      <c r="AV432" s="37"/>
      <c r="AW432" s="38" t="str">
        <f t="shared" si="34"/>
        <v/>
      </c>
    </row>
    <row r="433" spans="1:49" ht="18" customHeight="1" x14ac:dyDescent="0.3">
      <c r="A433" s="23">
        <v>429</v>
      </c>
      <c r="B433" s="24" t="s">
        <v>2705</v>
      </c>
      <c r="C433" s="25" t="s">
        <v>2706</v>
      </c>
      <c r="D433" s="23" t="s">
        <v>1850</v>
      </c>
      <c r="E433" s="43">
        <v>46125</v>
      </c>
      <c r="F433" s="26" t="s">
        <v>23</v>
      </c>
      <c r="G433" s="26" t="s">
        <v>24</v>
      </c>
      <c r="H433" s="26" t="s">
        <v>25</v>
      </c>
      <c r="I433" s="26" t="s">
        <v>26</v>
      </c>
      <c r="J433" s="26" t="s">
        <v>24</v>
      </c>
      <c r="K433" s="27"/>
      <c r="L433" s="28" t="s">
        <v>25</v>
      </c>
      <c r="M433" s="29" t="str">
        <f t="shared" si="30"/>
        <v>✓ OK</v>
      </c>
      <c r="N433" s="43">
        <v>46193</v>
      </c>
      <c r="O433" s="26" t="s">
        <v>23</v>
      </c>
      <c r="P433" s="26" t="s">
        <v>24</v>
      </c>
      <c r="Q433" s="26" t="s">
        <v>25</v>
      </c>
      <c r="R433" s="26" t="s">
        <v>26</v>
      </c>
      <c r="S433" s="26" t="s">
        <v>24</v>
      </c>
      <c r="T433" s="27"/>
      <c r="U433" s="28" t="s">
        <v>25</v>
      </c>
      <c r="V433" s="29" t="str">
        <f t="shared" si="31"/>
        <v>✓ OK</v>
      </c>
      <c r="W433" s="45">
        <v>46248</v>
      </c>
      <c r="X433" s="30" t="s">
        <v>23</v>
      </c>
      <c r="Y433" s="30" t="s">
        <v>24</v>
      </c>
      <c r="Z433" s="30" t="s">
        <v>25</v>
      </c>
      <c r="AA433" s="30" t="s">
        <v>26</v>
      </c>
      <c r="AB433" s="30" t="s">
        <v>24</v>
      </c>
      <c r="AC433" s="27"/>
      <c r="AD433" s="31" t="s">
        <v>25</v>
      </c>
      <c r="AE433" s="32" t="str">
        <f t="shared" si="32"/>
        <v>✓ OK</v>
      </c>
      <c r="AF433" s="33" t="s">
        <v>27</v>
      </c>
      <c r="AG433" s="33" t="s">
        <v>23</v>
      </c>
      <c r="AH433" s="33" t="s">
        <v>24</v>
      </c>
      <c r="AI433" s="33" t="s">
        <v>25</v>
      </c>
      <c r="AJ433" s="33" t="s">
        <v>26</v>
      </c>
      <c r="AK433" s="33" t="s">
        <v>24</v>
      </c>
      <c r="AL433" s="27"/>
      <c r="AM433" s="34" t="s">
        <v>25</v>
      </c>
      <c r="AN433" s="35" t="str">
        <f t="shared" si="33"/>
        <v>✓ OK</v>
      </c>
      <c r="AO433" s="36"/>
      <c r="AP433" s="36"/>
      <c r="AQ433" s="36"/>
      <c r="AR433" s="36"/>
      <c r="AS433" s="36"/>
      <c r="AT433" s="36"/>
      <c r="AU433" s="27"/>
      <c r="AV433" s="37"/>
      <c r="AW433" s="38" t="str">
        <f t="shared" si="34"/>
        <v/>
      </c>
    </row>
    <row r="434" spans="1:49" ht="18" customHeight="1" x14ac:dyDescent="0.3">
      <c r="A434" s="39">
        <v>430</v>
      </c>
      <c r="B434" s="40" t="s">
        <v>2707</v>
      </c>
      <c r="C434" s="41" t="s">
        <v>2708</v>
      </c>
      <c r="D434" s="39" t="s">
        <v>1850</v>
      </c>
      <c r="E434" s="43">
        <v>46125</v>
      </c>
      <c r="F434" s="26" t="s">
        <v>23</v>
      </c>
      <c r="G434" s="26" t="s">
        <v>24</v>
      </c>
      <c r="H434" s="26" t="s">
        <v>25</v>
      </c>
      <c r="I434" s="26" t="s">
        <v>26</v>
      </c>
      <c r="J434" s="26" t="s">
        <v>24</v>
      </c>
      <c r="K434" s="27"/>
      <c r="L434" s="28" t="s">
        <v>25</v>
      </c>
      <c r="M434" s="29" t="str">
        <f t="shared" si="30"/>
        <v>✓ OK</v>
      </c>
      <c r="N434" s="43">
        <v>46193</v>
      </c>
      <c r="O434" s="26" t="s">
        <v>23</v>
      </c>
      <c r="P434" s="26" t="s">
        <v>24</v>
      </c>
      <c r="Q434" s="26" t="s">
        <v>25</v>
      </c>
      <c r="R434" s="26" t="s">
        <v>26</v>
      </c>
      <c r="S434" s="26" t="s">
        <v>24</v>
      </c>
      <c r="T434" s="27"/>
      <c r="U434" s="28" t="s">
        <v>25</v>
      </c>
      <c r="V434" s="29" t="str">
        <f t="shared" si="31"/>
        <v>✓ OK</v>
      </c>
      <c r="W434" s="45">
        <v>46248</v>
      </c>
      <c r="X434" s="30" t="s">
        <v>23</v>
      </c>
      <c r="Y434" s="30" t="s">
        <v>24</v>
      </c>
      <c r="Z434" s="30" t="s">
        <v>25</v>
      </c>
      <c r="AA434" s="30" t="s">
        <v>26</v>
      </c>
      <c r="AB434" s="30" t="s">
        <v>24</v>
      </c>
      <c r="AC434" s="27"/>
      <c r="AD434" s="31" t="s">
        <v>25</v>
      </c>
      <c r="AE434" s="32" t="str">
        <f t="shared" si="32"/>
        <v>✓ OK</v>
      </c>
      <c r="AF434" s="33" t="s">
        <v>27</v>
      </c>
      <c r="AG434" s="33" t="s">
        <v>23</v>
      </c>
      <c r="AH434" s="33" t="s">
        <v>24</v>
      </c>
      <c r="AI434" s="33" t="s">
        <v>25</v>
      </c>
      <c r="AJ434" s="33" t="s">
        <v>26</v>
      </c>
      <c r="AK434" s="33" t="s">
        <v>24</v>
      </c>
      <c r="AL434" s="27"/>
      <c r="AM434" s="34" t="s">
        <v>25</v>
      </c>
      <c r="AN434" s="35" t="str">
        <f t="shared" si="33"/>
        <v>✓ OK</v>
      </c>
      <c r="AO434" s="36"/>
      <c r="AP434" s="36"/>
      <c r="AQ434" s="36"/>
      <c r="AR434" s="36"/>
      <c r="AS434" s="36"/>
      <c r="AT434" s="36"/>
      <c r="AU434" s="27"/>
      <c r="AV434" s="37"/>
      <c r="AW434" s="38" t="str">
        <f t="shared" si="34"/>
        <v/>
      </c>
    </row>
    <row r="435" spans="1:49" ht="18" customHeight="1" x14ac:dyDescent="0.3">
      <c r="A435" s="23">
        <v>431</v>
      </c>
      <c r="B435" s="24" t="s">
        <v>2709</v>
      </c>
      <c r="C435" s="25" t="s">
        <v>2710</v>
      </c>
      <c r="D435" s="23" t="s">
        <v>1850</v>
      </c>
      <c r="E435" s="43">
        <v>46125</v>
      </c>
      <c r="F435" s="26" t="s">
        <v>23</v>
      </c>
      <c r="G435" s="26" t="s">
        <v>24</v>
      </c>
      <c r="H435" s="26" t="s">
        <v>25</v>
      </c>
      <c r="I435" s="26" t="s">
        <v>26</v>
      </c>
      <c r="J435" s="26" t="s">
        <v>24</v>
      </c>
      <c r="K435" s="27"/>
      <c r="L435" s="28" t="s">
        <v>25</v>
      </c>
      <c r="M435" s="29" t="str">
        <f t="shared" si="30"/>
        <v>✓ OK</v>
      </c>
      <c r="N435" s="43">
        <v>46193</v>
      </c>
      <c r="O435" s="26" t="s">
        <v>23</v>
      </c>
      <c r="P435" s="26" t="s">
        <v>24</v>
      </c>
      <c r="Q435" s="26" t="s">
        <v>25</v>
      </c>
      <c r="R435" s="26" t="s">
        <v>26</v>
      </c>
      <c r="S435" s="26" t="s">
        <v>24</v>
      </c>
      <c r="T435" s="27"/>
      <c r="U435" s="28" t="s">
        <v>25</v>
      </c>
      <c r="V435" s="29" t="str">
        <f t="shared" si="31"/>
        <v>✓ OK</v>
      </c>
      <c r="W435" s="45">
        <v>46248</v>
      </c>
      <c r="X435" s="30" t="s">
        <v>23</v>
      </c>
      <c r="Y435" s="30" t="s">
        <v>24</v>
      </c>
      <c r="Z435" s="30" t="s">
        <v>25</v>
      </c>
      <c r="AA435" s="30" t="s">
        <v>26</v>
      </c>
      <c r="AB435" s="30" t="s">
        <v>24</v>
      </c>
      <c r="AC435" s="27"/>
      <c r="AD435" s="31" t="s">
        <v>25</v>
      </c>
      <c r="AE435" s="32" t="str">
        <f t="shared" si="32"/>
        <v>✓ OK</v>
      </c>
      <c r="AF435" s="33" t="s">
        <v>27</v>
      </c>
      <c r="AG435" s="33" t="s">
        <v>23</v>
      </c>
      <c r="AH435" s="33" t="s">
        <v>24</v>
      </c>
      <c r="AI435" s="33" t="s">
        <v>25</v>
      </c>
      <c r="AJ435" s="33" t="s">
        <v>26</v>
      </c>
      <c r="AK435" s="33" t="s">
        <v>24</v>
      </c>
      <c r="AL435" s="27"/>
      <c r="AM435" s="34" t="s">
        <v>25</v>
      </c>
      <c r="AN435" s="35" t="str">
        <f t="shared" si="33"/>
        <v>✓ OK</v>
      </c>
      <c r="AO435" s="36"/>
      <c r="AP435" s="36"/>
      <c r="AQ435" s="36"/>
      <c r="AR435" s="36"/>
      <c r="AS435" s="36"/>
      <c r="AT435" s="36"/>
      <c r="AU435" s="27"/>
      <c r="AV435" s="37"/>
      <c r="AW435" s="38" t="str">
        <f t="shared" si="34"/>
        <v/>
      </c>
    </row>
    <row r="436" spans="1:49" ht="18" customHeight="1" x14ac:dyDescent="0.3">
      <c r="A436" s="39">
        <v>432</v>
      </c>
      <c r="B436" s="40" t="s">
        <v>2711</v>
      </c>
      <c r="C436" s="41" t="s">
        <v>2712</v>
      </c>
      <c r="D436" s="39" t="s">
        <v>1850</v>
      </c>
      <c r="E436" s="43">
        <v>46125</v>
      </c>
      <c r="F436" s="26" t="s">
        <v>23</v>
      </c>
      <c r="G436" s="26" t="s">
        <v>24</v>
      </c>
      <c r="H436" s="26" t="s">
        <v>25</v>
      </c>
      <c r="I436" s="26" t="s">
        <v>26</v>
      </c>
      <c r="J436" s="26" t="s">
        <v>24</v>
      </c>
      <c r="K436" s="27"/>
      <c r="L436" s="28" t="s">
        <v>25</v>
      </c>
      <c r="M436" s="29" t="str">
        <f t="shared" si="30"/>
        <v>✓ OK</v>
      </c>
      <c r="N436" s="43">
        <v>46193</v>
      </c>
      <c r="O436" s="26" t="s">
        <v>23</v>
      </c>
      <c r="P436" s="26" t="s">
        <v>24</v>
      </c>
      <c r="Q436" s="26" t="s">
        <v>25</v>
      </c>
      <c r="R436" s="26" t="s">
        <v>26</v>
      </c>
      <c r="S436" s="26" t="s">
        <v>24</v>
      </c>
      <c r="T436" s="27"/>
      <c r="U436" s="28" t="s">
        <v>25</v>
      </c>
      <c r="V436" s="29" t="str">
        <f t="shared" si="31"/>
        <v>✓ OK</v>
      </c>
      <c r="W436" s="45">
        <v>46248</v>
      </c>
      <c r="X436" s="30" t="s">
        <v>23</v>
      </c>
      <c r="Y436" s="30" t="s">
        <v>24</v>
      </c>
      <c r="Z436" s="30" t="s">
        <v>25</v>
      </c>
      <c r="AA436" s="30" t="s">
        <v>26</v>
      </c>
      <c r="AB436" s="30" t="s">
        <v>24</v>
      </c>
      <c r="AC436" s="27"/>
      <c r="AD436" s="31" t="s">
        <v>25</v>
      </c>
      <c r="AE436" s="32" t="str">
        <f t="shared" si="32"/>
        <v>✓ OK</v>
      </c>
      <c r="AF436" s="33" t="s">
        <v>27</v>
      </c>
      <c r="AG436" s="33" t="s">
        <v>23</v>
      </c>
      <c r="AH436" s="33" t="s">
        <v>24</v>
      </c>
      <c r="AI436" s="33" t="s">
        <v>25</v>
      </c>
      <c r="AJ436" s="33" t="s">
        <v>26</v>
      </c>
      <c r="AK436" s="33" t="s">
        <v>24</v>
      </c>
      <c r="AL436" s="27"/>
      <c r="AM436" s="34" t="s">
        <v>25</v>
      </c>
      <c r="AN436" s="35" t="str">
        <f t="shared" si="33"/>
        <v>✓ OK</v>
      </c>
      <c r="AO436" s="36"/>
      <c r="AP436" s="36"/>
      <c r="AQ436" s="36"/>
      <c r="AR436" s="36"/>
      <c r="AS436" s="36"/>
      <c r="AT436" s="36"/>
      <c r="AU436" s="27"/>
      <c r="AV436" s="37"/>
      <c r="AW436" s="38" t="str">
        <f t="shared" si="34"/>
        <v/>
      </c>
    </row>
    <row r="437" spans="1:49" ht="18" customHeight="1" x14ac:dyDescent="0.3">
      <c r="A437" s="23">
        <v>433</v>
      </c>
      <c r="B437" s="24" t="s">
        <v>2713</v>
      </c>
      <c r="C437" s="25" t="s">
        <v>2714</v>
      </c>
      <c r="D437" s="23" t="s">
        <v>1850</v>
      </c>
      <c r="E437" s="43">
        <v>46125</v>
      </c>
      <c r="F437" s="26" t="s">
        <v>23</v>
      </c>
      <c r="G437" s="26" t="s">
        <v>24</v>
      </c>
      <c r="H437" s="26" t="s">
        <v>25</v>
      </c>
      <c r="I437" s="26" t="s">
        <v>26</v>
      </c>
      <c r="J437" s="26" t="s">
        <v>24</v>
      </c>
      <c r="K437" s="27"/>
      <c r="L437" s="28" t="s">
        <v>25</v>
      </c>
      <c r="M437" s="29" t="str">
        <f t="shared" si="30"/>
        <v>✓ OK</v>
      </c>
      <c r="N437" s="43">
        <v>46193</v>
      </c>
      <c r="O437" s="26" t="s">
        <v>23</v>
      </c>
      <c r="P437" s="26" t="s">
        <v>24</v>
      </c>
      <c r="Q437" s="26" t="s">
        <v>25</v>
      </c>
      <c r="R437" s="26" t="s">
        <v>26</v>
      </c>
      <c r="S437" s="26" t="s">
        <v>24</v>
      </c>
      <c r="T437" s="27"/>
      <c r="U437" s="28" t="s">
        <v>25</v>
      </c>
      <c r="V437" s="29" t="str">
        <f t="shared" si="31"/>
        <v>✓ OK</v>
      </c>
      <c r="W437" s="45">
        <v>46248</v>
      </c>
      <c r="X437" s="30" t="s">
        <v>23</v>
      </c>
      <c r="Y437" s="30" t="s">
        <v>24</v>
      </c>
      <c r="Z437" s="30" t="s">
        <v>25</v>
      </c>
      <c r="AA437" s="30" t="s">
        <v>26</v>
      </c>
      <c r="AB437" s="30" t="s">
        <v>24</v>
      </c>
      <c r="AC437" s="27"/>
      <c r="AD437" s="31" t="s">
        <v>25</v>
      </c>
      <c r="AE437" s="32" t="str">
        <f t="shared" si="32"/>
        <v>✓ OK</v>
      </c>
      <c r="AF437" s="33" t="s">
        <v>27</v>
      </c>
      <c r="AG437" s="33" t="s">
        <v>23</v>
      </c>
      <c r="AH437" s="33" t="s">
        <v>24</v>
      </c>
      <c r="AI437" s="33" t="s">
        <v>25</v>
      </c>
      <c r="AJ437" s="33" t="s">
        <v>26</v>
      </c>
      <c r="AK437" s="33" t="s">
        <v>24</v>
      </c>
      <c r="AL437" s="27"/>
      <c r="AM437" s="34" t="s">
        <v>25</v>
      </c>
      <c r="AN437" s="35" t="str">
        <f t="shared" si="33"/>
        <v>✓ OK</v>
      </c>
      <c r="AO437" s="36"/>
      <c r="AP437" s="36"/>
      <c r="AQ437" s="36"/>
      <c r="AR437" s="36"/>
      <c r="AS437" s="36"/>
      <c r="AT437" s="36"/>
      <c r="AU437" s="27"/>
      <c r="AV437" s="37"/>
      <c r="AW437" s="38" t="str">
        <f t="shared" si="34"/>
        <v/>
      </c>
    </row>
    <row r="438" spans="1:49" ht="18" customHeight="1" x14ac:dyDescent="0.3">
      <c r="A438" s="39">
        <v>434</v>
      </c>
      <c r="B438" s="40" t="s">
        <v>2715</v>
      </c>
      <c r="C438" s="41" t="s">
        <v>2716</v>
      </c>
      <c r="D438" s="39" t="s">
        <v>1850</v>
      </c>
      <c r="E438" s="43">
        <v>46125</v>
      </c>
      <c r="F438" s="26" t="s">
        <v>23</v>
      </c>
      <c r="G438" s="26" t="s">
        <v>24</v>
      </c>
      <c r="H438" s="26" t="s">
        <v>25</v>
      </c>
      <c r="I438" s="26" t="s">
        <v>26</v>
      </c>
      <c r="J438" s="26" t="s">
        <v>24</v>
      </c>
      <c r="K438" s="27"/>
      <c r="L438" s="28" t="s">
        <v>25</v>
      </c>
      <c r="M438" s="29" t="str">
        <f t="shared" si="30"/>
        <v>✓ OK</v>
      </c>
      <c r="N438" s="43">
        <v>46193</v>
      </c>
      <c r="O438" s="26" t="s">
        <v>23</v>
      </c>
      <c r="P438" s="26" t="s">
        <v>24</v>
      </c>
      <c r="Q438" s="26" t="s">
        <v>25</v>
      </c>
      <c r="R438" s="26" t="s">
        <v>26</v>
      </c>
      <c r="S438" s="26" t="s">
        <v>24</v>
      </c>
      <c r="T438" s="27"/>
      <c r="U438" s="28" t="s">
        <v>25</v>
      </c>
      <c r="V438" s="29" t="str">
        <f t="shared" si="31"/>
        <v>✓ OK</v>
      </c>
      <c r="W438" s="45">
        <v>46248</v>
      </c>
      <c r="X438" s="30" t="s">
        <v>23</v>
      </c>
      <c r="Y438" s="30" t="s">
        <v>24</v>
      </c>
      <c r="Z438" s="30" t="s">
        <v>25</v>
      </c>
      <c r="AA438" s="30" t="s">
        <v>26</v>
      </c>
      <c r="AB438" s="30" t="s">
        <v>24</v>
      </c>
      <c r="AC438" s="27"/>
      <c r="AD438" s="31" t="s">
        <v>25</v>
      </c>
      <c r="AE438" s="32" t="str">
        <f t="shared" si="32"/>
        <v>✓ OK</v>
      </c>
      <c r="AF438" s="33" t="s">
        <v>27</v>
      </c>
      <c r="AG438" s="33" t="s">
        <v>23</v>
      </c>
      <c r="AH438" s="33" t="s">
        <v>24</v>
      </c>
      <c r="AI438" s="33" t="s">
        <v>25</v>
      </c>
      <c r="AJ438" s="33" t="s">
        <v>26</v>
      </c>
      <c r="AK438" s="33" t="s">
        <v>24</v>
      </c>
      <c r="AL438" s="27"/>
      <c r="AM438" s="34" t="s">
        <v>25</v>
      </c>
      <c r="AN438" s="35" t="str">
        <f t="shared" si="33"/>
        <v>✓ OK</v>
      </c>
      <c r="AO438" s="36"/>
      <c r="AP438" s="36"/>
      <c r="AQ438" s="36"/>
      <c r="AR438" s="36"/>
      <c r="AS438" s="36"/>
      <c r="AT438" s="36"/>
      <c r="AU438" s="27"/>
      <c r="AV438" s="37"/>
      <c r="AW438" s="38" t="str">
        <f t="shared" si="34"/>
        <v/>
      </c>
    </row>
    <row r="439" spans="1:49" ht="18" customHeight="1" x14ac:dyDescent="0.3">
      <c r="A439" s="23">
        <v>435</v>
      </c>
      <c r="B439" s="24" t="s">
        <v>2717</v>
      </c>
      <c r="C439" s="25" t="s">
        <v>2718</v>
      </c>
      <c r="D439" s="23" t="s">
        <v>1850</v>
      </c>
      <c r="E439" s="43">
        <v>46125</v>
      </c>
      <c r="F439" s="26" t="s">
        <v>23</v>
      </c>
      <c r="G439" s="26" t="s">
        <v>24</v>
      </c>
      <c r="H439" s="26" t="s">
        <v>25</v>
      </c>
      <c r="I439" s="26" t="s">
        <v>26</v>
      </c>
      <c r="J439" s="26" t="s">
        <v>24</v>
      </c>
      <c r="K439" s="27"/>
      <c r="L439" s="28" t="s">
        <v>25</v>
      </c>
      <c r="M439" s="29" t="str">
        <f t="shared" si="30"/>
        <v>✓ OK</v>
      </c>
      <c r="N439" s="43">
        <v>46193</v>
      </c>
      <c r="O439" s="26" t="s">
        <v>23</v>
      </c>
      <c r="P439" s="26" t="s">
        <v>24</v>
      </c>
      <c r="Q439" s="26" t="s">
        <v>25</v>
      </c>
      <c r="R439" s="26" t="s">
        <v>26</v>
      </c>
      <c r="S439" s="26" t="s">
        <v>24</v>
      </c>
      <c r="T439" s="27"/>
      <c r="U439" s="28" t="s">
        <v>25</v>
      </c>
      <c r="V439" s="29" t="str">
        <f t="shared" si="31"/>
        <v>✓ OK</v>
      </c>
      <c r="W439" s="45">
        <v>46248</v>
      </c>
      <c r="X439" s="30" t="s">
        <v>23</v>
      </c>
      <c r="Y439" s="30" t="s">
        <v>24</v>
      </c>
      <c r="Z439" s="30" t="s">
        <v>25</v>
      </c>
      <c r="AA439" s="30" t="s">
        <v>26</v>
      </c>
      <c r="AB439" s="30" t="s">
        <v>24</v>
      </c>
      <c r="AC439" s="27"/>
      <c r="AD439" s="31" t="s">
        <v>25</v>
      </c>
      <c r="AE439" s="32" t="str">
        <f t="shared" si="32"/>
        <v>✓ OK</v>
      </c>
      <c r="AF439" s="33" t="s">
        <v>27</v>
      </c>
      <c r="AG439" s="33" t="s">
        <v>23</v>
      </c>
      <c r="AH439" s="33" t="s">
        <v>24</v>
      </c>
      <c r="AI439" s="33" t="s">
        <v>25</v>
      </c>
      <c r="AJ439" s="33" t="s">
        <v>26</v>
      </c>
      <c r="AK439" s="33" t="s">
        <v>24</v>
      </c>
      <c r="AL439" s="27"/>
      <c r="AM439" s="34" t="s">
        <v>25</v>
      </c>
      <c r="AN439" s="35" t="str">
        <f t="shared" si="33"/>
        <v>✓ OK</v>
      </c>
      <c r="AO439" s="36"/>
      <c r="AP439" s="36"/>
      <c r="AQ439" s="36"/>
      <c r="AR439" s="36"/>
      <c r="AS439" s="36"/>
      <c r="AT439" s="36"/>
      <c r="AU439" s="27"/>
      <c r="AV439" s="37"/>
      <c r="AW439" s="38" t="str">
        <f t="shared" si="34"/>
        <v/>
      </c>
    </row>
    <row r="440" spans="1:49" ht="18" customHeight="1" x14ac:dyDescent="0.3">
      <c r="A440" s="39">
        <v>436</v>
      </c>
      <c r="B440" s="40" t="s">
        <v>2719</v>
      </c>
      <c r="C440" s="41" t="s">
        <v>2720</v>
      </c>
      <c r="D440" s="39" t="s">
        <v>1850</v>
      </c>
      <c r="E440" s="43">
        <v>46125</v>
      </c>
      <c r="F440" s="26" t="s">
        <v>23</v>
      </c>
      <c r="G440" s="26" t="s">
        <v>24</v>
      </c>
      <c r="H440" s="26" t="s">
        <v>25</v>
      </c>
      <c r="I440" s="26" t="s">
        <v>26</v>
      </c>
      <c r="J440" s="26" t="s">
        <v>24</v>
      </c>
      <c r="K440" s="27"/>
      <c r="L440" s="28" t="s">
        <v>25</v>
      </c>
      <c r="M440" s="29" t="str">
        <f t="shared" si="30"/>
        <v>✓ OK</v>
      </c>
      <c r="N440" s="43">
        <v>46193</v>
      </c>
      <c r="O440" s="26" t="s">
        <v>23</v>
      </c>
      <c r="P440" s="26" t="s">
        <v>24</v>
      </c>
      <c r="Q440" s="26" t="s">
        <v>25</v>
      </c>
      <c r="R440" s="26" t="s">
        <v>26</v>
      </c>
      <c r="S440" s="26" t="s">
        <v>24</v>
      </c>
      <c r="T440" s="27"/>
      <c r="U440" s="28" t="s">
        <v>25</v>
      </c>
      <c r="V440" s="29" t="str">
        <f t="shared" si="31"/>
        <v>✓ OK</v>
      </c>
      <c r="W440" s="45">
        <v>46248</v>
      </c>
      <c r="X440" s="30" t="s">
        <v>23</v>
      </c>
      <c r="Y440" s="30" t="s">
        <v>24</v>
      </c>
      <c r="Z440" s="30" t="s">
        <v>25</v>
      </c>
      <c r="AA440" s="30" t="s">
        <v>26</v>
      </c>
      <c r="AB440" s="30" t="s">
        <v>24</v>
      </c>
      <c r="AC440" s="27"/>
      <c r="AD440" s="31" t="s">
        <v>25</v>
      </c>
      <c r="AE440" s="32" t="str">
        <f t="shared" si="32"/>
        <v>✓ OK</v>
      </c>
      <c r="AF440" s="33" t="s">
        <v>27</v>
      </c>
      <c r="AG440" s="33" t="s">
        <v>23</v>
      </c>
      <c r="AH440" s="33" t="s">
        <v>24</v>
      </c>
      <c r="AI440" s="33" t="s">
        <v>25</v>
      </c>
      <c r="AJ440" s="33" t="s">
        <v>26</v>
      </c>
      <c r="AK440" s="33" t="s">
        <v>24</v>
      </c>
      <c r="AL440" s="27"/>
      <c r="AM440" s="34" t="s">
        <v>25</v>
      </c>
      <c r="AN440" s="35" t="str">
        <f t="shared" si="33"/>
        <v>✓ OK</v>
      </c>
      <c r="AO440" s="36"/>
      <c r="AP440" s="36"/>
      <c r="AQ440" s="36"/>
      <c r="AR440" s="36"/>
      <c r="AS440" s="36"/>
      <c r="AT440" s="36"/>
      <c r="AU440" s="27"/>
      <c r="AV440" s="37"/>
      <c r="AW440" s="38" t="str">
        <f t="shared" si="34"/>
        <v/>
      </c>
    </row>
    <row r="441" spans="1:49" ht="18" customHeight="1" x14ac:dyDescent="0.3">
      <c r="A441" s="23">
        <v>437</v>
      </c>
      <c r="B441" s="24" t="s">
        <v>2721</v>
      </c>
      <c r="C441" s="25" t="s">
        <v>2722</v>
      </c>
      <c r="D441" s="23" t="s">
        <v>1850</v>
      </c>
      <c r="E441" s="43">
        <v>46125</v>
      </c>
      <c r="F441" s="26" t="s">
        <v>23</v>
      </c>
      <c r="G441" s="26" t="s">
        <v>24</v>
      </c>
      <c r="H441" s="26" t="s">
        <v>25</v>
      </c>
      <c r="I441" s="26" t="s">
        <v>26</v>
      </c>
      <c r="J441" s="26" t="s">
        <v>24</v>
      </c>
      <c r="K441" s="27"/>
      <c r="L441" s="28" t="s">
        <v>25</v>
      </c>
      <c r="M441" s="29" t="str">
        <f t="shared" si="30"/>
        <v>✓ OK</v>
      </c>
      <c r="N441" s="43">
        <v>46193</v>
      </c>
      <c r="O441" s="26" t="s">
        <v>23</v>
      </c>
      <c r="P441" s="26" t="s">
        <v>24</v>
      </c>
      <c r="Q441" s="26" t="s">
        <v>25</v>
      </c>
      <c r="R441" s="26" t="s">
        <v>26</v>
      </c>
      <c r="S441" s="26" t="s">
        <v>24</v>
      </c>
      <c r="T441" s="27"/>
      <c r="U441" s="28" t="s">
        <v>25</v>
      </c>
      <c r="V441" s="29" t="str">
        <f t="shared" si="31"/>
        <v>✓ OK</v>
      </c>
      <c r="W441" s="45">
        <v>46248</v>
      </c>
      <c r="X441" s="30" t="s">
        <v>23</v>
      </c>
      <c r="Y441" s="30" t="s">
        <v>24</v>
      </c>
      <c r="Z441" s="30" t="s">
        <v>25</v>
      </c>
      <c r="AA441" s="30" t="s">
        <v>26</v>
      </c>
      <c r="AB441" s="30" t="s">
        <v>24</v>
      </c>
      <c r="AC441" s="27"/>
      <c r="AD441" s="31" t="s">
        <v>25</v>
      </c>
      <c r="AE441" s="32" t="str">
        <f t="shared" si="32"/>
        <v>✓ OK</v>
      </c>
      <c r="AF441" s="33" t="s">
        <v>27</v>
      </c>
      <c r="AG441" s="33" t="s">
        <v>23</v>
      </c>
      <c r="AH441" s="33" t="s">
        <v>24</v>
      </c>
      <c r="AI441" s="33" t="s">
        <v>25</v>
      </c>
      <c r="AJ441" s="33" t="s">
        <v>26</v>
      </c>
      <c r="AK441" s="33" t="s">
        <v>24</v>
      </c>
      <c r="AL441" s="27"/>
      <c r="AM441" s="34" t="s">
        <v>25</v>
      </c>
      <c r="AN441" s="35" t="str">
        <f t="shared" si="33"/>
        <v>✓ OK</v>
      </c>
      <c r="AO441" s="36"/>
      <c r="AP441" s="36"/>
      <c r="AQ441" s="36"/>
      <c r="AR441" s="36"/>
      <c r="AS441" s="36"/>
      <c r="AT441" s="36"/>
      <c r="AU441" s="27"/>
      <c r="AV441" s="37"/>
      <c r="AW441" s="38" t="str">
        <f t="shared" si="34"/>
        <v/>
      </c>
    </row>
    <row r="442" spans="1:49" ht="18" customHeight="1" x14ac:dyDescent="0.3">
      <c r="A442" s="39">
        <v>438</v>
      </c>
      <c r="B442" s="40" t="s">
        <v>2723</v>
      </c>
      <c r="C442" s="41" t="s">
        <v>2724</v>
      </c>
      <c r="D442" s="39" t="s">
        <v>1850</v>
      </c>
      <c r="E442" s="43">
        <v>46125</v>
      </c>
      <c r="F442" s="26" t="s">
        <v>23</v>
      </c>
      <c r="G442" s="26" t="s">
        <v>24</v>
      </c>
      <c r="H442" s="26" t="s">
        <v>25</v>
      </c>
      <c r="I442" s="26" t="s">
        <v>26</v>
      </c>
      <c r="J442" s="26" t="s">
        <v>24</v>
      </c>
      <c r="K442" s="27"/>
      <c r="L442" s="28" t="s">
        <v>25</v>
      </c>
      <c r="M442" s="29" t="str">
        <f t="shared" si="30"/>
        <v>✓ OK</v>
      </c>
      <c r="N442" s="43">
        <v>46193</v>
      </c>
      <c r="O442" s="26" t="s">
        <v>23</v>
      </c>
      <c r="P442" s="26" t="s">
        <v>24</v>
      </c>
      <c r="Q442" s="26" t="s">
        <v>25</v>
      </c>
      <c r="R442" s="26" t="s">
        <v>26</v>
      </c>
      <c r="S442" s="26" t="s">
        <v>24</v>
      </c>
      <c r="T442" s="27"/>
      <c r="U442" s="28" t="s">
        <v>25</v>
      </c>
      <c r="V442" s="29" t="str">
        <f t="shared" si="31"/>
        <v>✓ OK</v>
      </c>
      <c r="W442" s="45">
        <v>46248</v>
      </c>
      <c r="X442" s="30" t="s">
        <v>23</v>
      </c>
      <c r="Y442" s="30" t="s">
        <v>24</v>
      </c>
      <c r="Z442" s="30" t="s">
        <v>25</v>
      </c>
      <c r="AA442" s="30" t="s">
        <v>26</v>
      </c>
      <c r="AB442" s="30" t="s">
        <v>24</v>
      </c>
      <c r="AC442" s="27"/>
      <c r="AD442" s="31" t="s">
        <v>25</v>
      </c>
      <c r="AE442" s="32" t="str">
        <f t="shared" si="32"/>
        <v>✓ OK</v>
      </c>
      <c r="AF442" s="33" t="s">
        <v>27</v>
      </c>
      <c r="AG442" s="33" t="s">
        <v>23</v>
      </c>
      <c r="AH442" s="33" t="s">
        <v>24</v>
      </c>
      <c r="AI442" s="33" t="s">
        <v>25</v>
      </c>
      <c r="AJ442" s="33" t="s">
        <v>26</v>
      </c>
      <c r="AK442" s="33" t="s">
        <v>24</v>
      </c>
      <c r="AL442" s="27"/>
      <c r="AM442" s="34" t="s">
        <v>25</v>
      </c>
      <c r="AN442" s="35" t="str">
        <f t="shared" si="33"/>
        <v>✓ OK</v>
      </c>
      <c r="AO442" s="36"/>
      <c r="AP442" s="36"/>
      <c r="AQ442" s="36"/>
      <c r="AR442" s="36"/>
      <c r="AS442" s="36"/>
      <c r="AT442" s="36"/>
      <c r="AU442" s="27"/>
      <c r="AV442" s="37"/>
      <c r="AW442" s="38" t="str">
        <f t="shared" si="34"/>
        <v/>
      </c>
    </row>
    <row r="443" spans="1:49" ht="18" customHeight="1" x14ac:dyDescent="0.3">
      <c r="A443" s="23">
        <v>439</v>
      </c>
      <c r="B443" s="24" t="s">
        <v>2725</v>
      </c>
      <c r="C443" s="25" t="s">
        <v>2726</v>
      </c>
      <c r="D443" s="23" t="s">
        <v>1850</v>
      </c>
      <c r="E443" s="43">
        <v>46125</v>
      </c>
      <c r="F443" s="26" t="s">
        <v>23</v>
      </c>
      <c r="G443" s="26" t="s">
        <v>24</v>
      </c>
      <c r="H443" s="26" t="s">
        <v>25</v>
      </c>
      <c r="I443" s="26" t="s">
        <v>26</v>
      </c>
      <c r="J443" s="26" t="s">
        <v>24</v>
      </c>
      <c r="K443" s="27"/>
      <c r="L443" s="28" t="s">
        <v>25</v>
      </c>
      <c r="M443" s="29" t="str">
        <f t="shared" si="30"/>
        <v>✓ OK</v>
      </c>
      <c r="N443" s="43">
        <v>46193</v>
      </c>
      <c r="O443" s="26" t="s">
        <v>23</v>
      </c>
      <c r="P443" s="26" t="s">
        <v>24</v>
      </c>
      <c r="Q443" s="26" t="s">
        <v>25</v>
      </c>
      <c r="R443" s="26" t="s">
        <v>26</v>
      </c>
      <c r="S443" s="26" t="s">
        <v>24</v>
      </c>
      <c r="T443" s="27"/>
      <c r="U443" s="28" t="s">
        <v>25</v>
      </c>
      <c r="V443" s="29" t="str">
        <f t="shared" si="31"/>
        <v>✓ OK</v>
      </c>
      <c r="W443" s="45">
        <v>46248</v>
      </c>
      <c r="X443" s="30" t="s">
        <v>23</v>
      </c>
      <c r="Y443" s="30" t="s">
        <v>24</v>
      </c>
      <c r="Z443" s="30" t="s">
        <v>25</v>
      </c>
      <c r="AA443" s="30" t="s">
        <v>26</v>
      </c>
      <c r="AB443" s="30" t="s">
        <v>24</v>
      </c>
      <c r="AC443" s="27"/>
      <c r="AD443" s="31" t="s">
        <v>25</v>
      </c>
      <c r="AE443" s="32" t="str">
        <f t="shared" si="32"/>
        <v>✓ OK</v>
      </c>
      <c r="AF443" s="33" t="s">
        <v>27</v>
      </c>
      <c r="AG443" s="33" t="s">
        <v>23</v>
      </c>
      <c r="AH443" s="33" t="s">
        <v>24</v>
      </c>
      <c r="AI443" s="33" t="s">
        <v>25</v>
      </c>
      <c r="AJ443" s="33" t="s">
        <v>26</v>
      </c>
      <c r="AK443" s="33" t="s">
        <v>24</v>
      </c>
      <c r="AL443" s="27"/>
      <c r="AM443" s="34" t="s">
        <v>25</v>
      </c>
      <c r="AN443" s="35" t="str">
        <f t="shared" si="33"/>
        <v>✓ OK</v>
      </c>
      <c r="AO443" s="36"/>
      <c r="AP443" s="36"/>
      <c r="AQ443" s="36"/>
      <c r="AR443" s="36"/>
      <c r="AS443" s="36"/>
      <c r="AT443" s="36"/>
      <c r="AU443" s="27"/>
      <c r="AV443" s="37"/>
      <c r="AW443" s="38" t="str">
        <f t="shared" si="34"/>
        <v/>
      </c>
    </row>
    <row r="444" spans="1:49" ht="18" customHeight="1" x14ac:dyDescent="0.3">
      <c r="A444" s="39">
        <v>440</v>
      </c>
      <c r="B444" s="40" t="s">
        <v>2727</v>
      </c>
      <c r="C444" s="41" t="s">
        <v>2728</v>
      </c>
      <c r="D444" s="39" t="s">
        <v>1850</v>
      </c>
      <c r="E444" s="43">
        <v>46125</v>
      </c>
      <c r="F444" s="26" t="s">
        <v>23</v>
      </c>
      <c r="G444" s="26" t="s">
        <v>24</v>
      </c>
      <c r="H444" s="26" t="s">
        <v>25</v>
      </c>
      <c r="I444" s="26" t="s">
        <v>26</v>
      </c>
      <c r="J444" s="26" t="s">
        <v>24</v>
      </c>
      <c r="K444" s="27"/>
      <c r="L444" s="28" t="s">
        <v>25</v>
      </c>
      <c r="M444" s="29" t="str">
        <f t="shared" si="30"/>
        <v>✓ OK</v>
      </c>
      <c r="N444" s="43">
        <v>46193</v>
      </c>
      <c r="O444" s="26" t="s">
        <v>23</v>
      </c>
      <c r="P444" s="26" t="s">
        <v>24</v>
      </c>
      <c r="Q444" s="26" t="s">
        <v>25</v>
      </c>
      <c r="R444" s="26" t="s">
        <v>26</v>
      </c>
      <c r="S444" s="26" t="s">
        <v>24</v>
      </c>
      <c r="T444" s="27"/>
      <c r="U444" s="28" t="s">
        <v>25</v>
      </c>
      <c r="V444" s="29" t="str">
        <f t="shared" si="31"/>
        <v>✓ OK</v>
      </c>
      <c r="W444" s="45">
        <v>46248</v>
      </c>
      <c r="X444" s="30" t="s">
        <v>23</v>
      </c>
      <c r="Y444" s="30" t="s">
        <v>24</v>
      </c>
      <c r="Z444" s="30" t="s">
        <v>25</v>
      </c>
      <c r="AA444" s="30" t="s">
        <v>26</v>
      </c>
      <c r="AB444" s="30" t="s">
        <v>24</v>
      </c>
      <c r="AC444" s="27"/>
      <c r="AD444" s="31" t="s">
        <v>25</v>
      </c>
      <c r="AE444" s="32" t="str">
        <f t="shared" si="32"/>
        <v>✓ OK</v>
      </c>
      <c r="AF444" s="33" t="s">
        <v>27</v>
      </c>
      <c r="AG444" s="33" t="s">
        <v>23</v>
      </c>
      <c r="AH444" s="33" t="s">
        <v>24</v>
      </c>
      <c r="AI444" s="33" t="s">
        <v>25</v>
      </c>
      <c r="AJ444" s="33" t="s">
        <v>26</v>
      </c>
      <c r="AK444" s="33" t="s">
        <v>24</v>
      </c>
      <c r="AL444" s="27"/>
      <c r="AM444" s="34" t="s">
        <v>25</v>
      </c>
      <c r="AN444" s="35" t="str">
        <f t="shared" si="33"/>
        <v>✓ OK</v>
      </c>
      <c r="AO444" s="36"/>
      <c r="AP444" s="36"/>
      <c r="AQ444" s="36"/>
      <c r="AR444" s="36"/>
      <c r="AS444" s="36"/>
      <c r="AT444" s="36"/>
      <c r="AU444" s="27"/>
      <c r="AV444" s="37"/>
      <c r="AW444" s="38" t="str">
        <f t="shared" si="34"/>
        <v/>
      </c>
    </row>
    <row r="445" spans="1:49" ht="18" customHeight="1" x14ac:dyDescent="0.3">
      <c r="A445" s="23">
        <v>441</v>
      </c>
      <c r="B445" s="24" t="s">
        <v>2729</v>
      </c>
      <c r="C445" s="25" t="s">
        <v>2730</v>
      </c>
      <c r="D445" s="23" t="s">
        <v>1850</v>
      </c>
      <c r="E445" s="43">
        <v>46125</v>
      </c>
      <c r="F445" s="26" t="s">
        <v>23</v>
      </c>
      <c r="G445" s="26" t="s">
        <v>24</v>
      </c>
      <c r="H445" s="26" t="s">
        <v>25</v>
      </c>
      <c r="I445" s="26" t="s">
        <v>26</v>
      </c>
      <c r="J445" s="26" t="s">
        <v>24</v>
      </c>
      <c r="K445" s="27"/>
      <c r="L445" s="28" t="s">
        <v>25</v>
      </c>
      <c r="M445" s="29" t="str">
        <f t="shared" si="30"/>
        <v>✓ OK</v>
      </c>
      <c r="N445" s="43">
        <v>46193</v>
      </c>
      <c r="O445" s="26" t="s">
        <v>23</v>
      </c>
      <c r="P445" s="26" t="s">
        <v>24</v>
      </c>
      <c r="Q445" s="26" t="s">
        <v>25</v>
      </c>
      <c r="R445" s="26" t="s">
        <v>26</v>
      </c>
      <c r="S445" s="26" t="s">
        <v>24</v>
      </c>
      <c r="T445" s="27"/>
      <c r="U445" s="28" t="s">
        <v>25</v>
      </c>
      <c r="V445" s="29" t="str">
        <f t="shared" si="31"/>
        <v>✓ OK</v>
      </c>
      <c r="W445" s="45">
        <v>46248</v>
      </c>
      <c r="X445" s="30" t="s">
        <v>23</v>
      </c>
      <c r="Y445" s="30" t="s">
        <v>24</v>
      </c>
      <c r="Z445" s="30" t="s">
        <v>25</v>
      </c>
      <c r="AA445" s="30" t="s">
        <v>26</v>
      </c>
      <c r="AB445" s="30" t="s">
        <v>24</v>
      </c>
      <c r="AC445" s="27"/>
      <c r="AD445" s="31" t="s">
        <v>25</v>
      </c>
      <c r="AE445" s="32" t="str">
        <f t="shared" si="32"/>
        <v>✓ OK</v>
      </c>
      <c r="AF445" s="33" t="s">
        <v>27</v>
      </c>
      <c r="AG445" s="33" t="s">
        <v>23</v>
      </c>
      <c r="AH445" s="33" t="s">
        <v>24</v>
      </c>
      <c r="AI445" s="33" t="s">
        <v>25</v>
      </c>
      <c r="AJ445" s="33" t="s">
        <v>26</v>
      </c>
      <c r="AK445" s="33" t="s">
        <v>24</v>
      </c>
      <c r="AL445" s="27"/>
      <c r="AM445" s="34" t="s">
        <v>25</v>
      </c>
      <c r="AN445" s="35" t="str">
        <f t="shared" si="33"/>
        <v>✓ OK</v>
      </c>
      <c r="AO445" s="36"/>
      <c r="AP445" s="36"/>
      <c r="AQ445" s="36"/>
      <c r="AR445" s="36"/>
      <c r="AS445" s="36"/>
      <c r="AT445" s="36"/>
      <c r="AU445" s="27"/>
      <c r="AV445" s="37"/>
      <c r="AW445" s="38" t="str">
        <f t="shared" si="34"/>
        <v/>
      </c>
    </row>
    <row r="446" spans="1:49" ht="18" customHeight="1" x14ac:dyDescent="0.3">
      <c r="A446" s="39">
        <v>442</v>
      </c>
      <c r="B446" s="40" t="s">
        <v>2731</v>
      </c>
      <c r="C446" s="41" t="s">
        <v>2732</v>
      </c>
      <c r="D446" s="39" t="s">
        <v>1850</v>
      </c>
      <c r="E446" s="43">
        <v>46125</v>
      </c>
      <c r="F446" s="26" t="s">
        <v>23</v>
      </c>
      <c r="G446" s="26" t="s">
        <v>24</v>
      </c>
      <c r="H446" s="26" t="s">
        <v>25</v>
      </c>
      <c r="I446" s="26" t="s">
        <v>26</v>
      </c>
      <c r="J446" s="26" t="s">
        <v>24</v>
      </c>
      <c r="K446" s="27"/>
      <c r="L446" s="28" t="s">
        <v>25</v>
      </c>
      <c r="M446" s="29" t="str">
        <f t="shared" si="30"/>
        <v>✓ OK</v>
      </c>
      <c r="N446" s="43">
        <v>46193</v>
      </c>
      <c r="O446" s="26" t="s">
        <v>23</v>
      </c>
      <c r="P446" s="26" t="s">
        <v>24</v>
      </c>
      <c r="Q446" s="26" t="s">
        <v>25</v>
      </c>
      <c r="R446" s="26" t="s">
        <v>26</v>
      </c>
      <c r="S446" s="26" t="s">
        <v>24</v>
      </c>
      <c r="T446" s="27"/>
      <c r="U446" s="28" t="s">
        <v>25</v>
      </c>
      <c r="V446" s="29" t="str">
        <f t="shared" si="31"/>
        <v>✓ OK</v>
      </c>
      <c r="W446" s="45">
        <v>46248</v>
      </c>
      <c r="X446" s="30" t="s">
        <v>23</v>
      </c>
      <c r="Y446" s="30" t="s">
        <v>24</v>
      </c>
      <c r="Z446" s="30" t="s">
        <v>25</v>
      </c>
      <c r="AA446" s="30" t="s">
        <v>26</v>
      </c>
      <c r="AB446" s="30" t="s">
        <v>24</v>
      </c>
      <c r="AC446" s="27"/>
      <c r="AD446" s="31" t="s">
        <v>25</v>
      </c>
      <c r="AE446" s="32" t="str">
        <f t="shared" si="32"/>
        <v>✓ OK</v>
      </c>
      <c r="AF446" s="33" t="s">
        <v>27</v>
      </c>
      <c r="AG446" s="33" t="s">
        <v>23</v>
      </c>
      <c r="AH446" s="33" t="s">
        <v>24</v>
      </c>
      <c r="AI446" s="33" t="s">
        <v>25</v>
      </c>
      <c r="AJ446" s="33" t="s">
        <v>26</v>
      </c>
      <c r="AK446" s="33" t="s">
        <v>24</v>
      </c>
      <c r="AL446" s="27"/>
      <c r="AM446" s="34" t="s">
        <v>25</v>
      </c>
      <c r="AN446" s="35" t="str">
        <f t="shared" si="33"/>
        <v>✓ OK</v>
      </c>
      <c r="AO446" s="36"/>
      <c r="AP446" s="36"/>
      <c r="AQ446" s="36"/>
      <c r="AR446" s="36"/>
      <c r="AS446" s="36"/>
      <c r="AT446" s="36"/>
      <c r="AU446" s="27"/>
      <c r="AV446" s="37"/>
      <c r="AW446" s="38" t="str">
        <f t="shared" si="34"/>
        <v/>
      </c>
    </row>
    <row r="447" spans="1:49" ht="18" customHeight="1" x14ac:dyDescent="0.3">
      <c r="A447" s="23">
        <v>443</v>
      </c>
      <c r="B447" s="24" t="s">
        <v>2733</v>
      </c>
      <c r="C447" s="25" t="s">
        <v>2734</v>
      </c>
      <c r="D447" s="23" t="s">
        <v>1850</v>
      </c>
      <c r="E447" s="43">
        <v>46125</v>
      </c>
      <c r="F447" s="26" t="s">
        <v>23</v>
      </c>
      <c r="G447" s="26" t="s">
        <v>24</v>
      </c>
      <c r="H447" s="26" t="s">
        <v>25</v>
      </c>
      <c r="I447" s="26" t="s">
        <v>26</v>
      </c>
      <c r="J447" s="26" t="s">
        <v>24</v>
      </c>
      <c r="K447" s="27"/>
      <c r="L447" s="28" t="s">
        <v>25</v>
      </c>
      <c r="M447" s="29" t="str">
        <f t="shared" si="30"/>
        <v>✓ OK</v>
      </c>
      <c r="N447" s="43">
        <v>46193</v>
      </c>
      <c r="O447" s="26" t="s">
        <v>23</v>
      </c>
      <c r="P447" s="26" t="s">
        <v>24</v>
      </c>
      <c r="Q447" s="26" t="s">
        <v>25</v>
      </c>
      <c r="R447" s="26" t="s">
        <v>26</v>
      </c>
      <c r="S447" s="26" t="s">
        <v>24</v>
      </c>
      <c r="T447" s="27"/>
      <c r="U447" s="28" t="s">
        <v>25</v>
      </c>
      <c r="V447" s="29" t="str">
        <f t="shared" si="31"/>
        <v>✓ OK</v>
      </c>
      <c r="W447" s="45">
        <v>46248</v>
      </c>
      <c r="X447" s="30" t="s">
        <v>23</v>
      </c>
      <c r="Y447" s="30" t="s">
        <v>24</v>
      </c>
      <c r="Z447" s="30" t="s">
        <v>25</v>
      </c>
      <c r="AA447" s="30" t="s">
        <v>26</v>
      </c>
      <c r="AB447" s="30" t="s">
        <v>24</v>
      </c>
      <c r="AC447" s="27"/>
      <c r="AD447" s="31" t="s">
        <v>25</v>
      </c>
      <c r="AE447" s="32" t="str">
        <f t="shared" si="32"/>
        <v>✓ OK</v>
      </c>
      <c r="AF447" s="33" t="s">
        <v>27</v>
      </c>
      <c r="AG447" s="33" t="s">
        <v>23</v>
      </c>
      <c r="AH447" s="33" t="s">
        <v>24</v>
      </c>
      <c r="AI447" s="33" t="s">
        <v>25</v>
      </c>
      <c r="AJ447" s="33" t="s">
        <v>26</v>
      </c>
      <c r="AK447" s="33" t="s">
        <v>24</v>
      </c>
      <c r="AL447" s="27"/>
      <c r="AM447" s="34" t="s">
        <v>25</v>
      </c>
      <c r="AN447" s="35" t="str">
        <f t="shared" si="33"/>
        <v>✓ OK</v>
      </c>
      <c r="AO447" s="36"/>
      <c r="AP447" s="36"/>
      <c r="AQ447" s="36"/>
      <c r="AR447" s="36"/>
      <c r="AS447" s="36"/>
      <c r="AT447" s="36"/>
      <c r="AU447" s="27"/>
      <c r="AV447" s="37"/>
      <c r="AW447" s="38" t="str">
        <f t="shared" si="34"/>
        <v/>
      </c>
    </row>
    <row r="448" spans="1:49" ht="18" customHeight="1" x14ac:dyDescent="0.3">
      <c r="A448" s="39">
        <v>444</v>
      </c>
      <c r="B448" s="40" t="s">
        <v>2735</v>
      </c>
      <c r="C448" s="41" t="s">
        <v>2736</v>
      </c>
      <c r="D448" s="39" t="s">
        <v>1850</v>
      </c>
      <c r="E448" s="43">
        <v>46125</v>
      </c>
      <c r="F448" s="26" t="s">
        <v>23</v>
      </c>
      <c r="G448" s="26" t="s">
        <v>24</v>
      </c>
      <c r="H448" s="26" t="s">
        <v>25</v>
      </c>
      <c r="I448" s="26" t="s">
        <v>26</v>
      </c>
      <c r="J448" s="26" t="s">
        <v>24</v>
      </c>
      <c r="K448" s="27"/>
      <c r="L448" s="28" t="s">
        <v>25</v>
      </c>
      <c r="M448" s="29" t="str">
        <f t="shared" si="30"/>
        <v>✓ OK</v>
      </c>
      <c r="N448" s="43">
        <v>46193</v>
      </c>
      <c r="O448" s="26" t="s">
        <v>23</v>
      </c>
      <c r="P448" s="26" t="s">
        <v>24</v>
      </c>
      <c r="Q448" s="26" t="s">
        <v>25</v>
      </c>
      <c r="R448" s="26" t="s">
        <v>26</v>
      </c>
      <c r="S448" s="26" t="s">
        <v>24</v>
      </c>
      <c r="T448" s="27"/>
      <c r="U448" s="28" t="s">
        <v>25</v>
      </c>
      <c r="V448" s="29" t="str">
        <f t="shared" si="31"/>
        <v>✓ OK</v>
      </c>
      <c r="W448" s="45">
        <v>46248</v>
      </c>
      <c r="X448" s="30" t="s">
        <v>23</v>
      </c>
      <c r="Y448" s="30" t="s">
        <v>24</v>
      </c>
      <c r="Z448" s="30" t="s">
        <v>25</v>
      </c>
      <c r="AA448" s="30" t="s">
        <v>26</v>
      </c>
      <c r="AB448" s="30" t="s">
        <v>24</v>
      </c>
      <c r="AC448" s="27"/>
      <c r="AD448" s="31" t="s">
        <v>25</v>
      </c>
      <c r="AE448" s="32" t="str">
        <f t="shared" si="32"/>
        <v>✓ OK</v>
      </c>
      <c r="AF448" s="33" t="s">
        <v>27</v>
      </c>
      <c r="AG448" s="33" t="s">
        <v>23</v>
      </c>
      <c r="AH448" s="33" t="s">
        <v>24</v>
      </c>
      <c r="AI448" s="33" t="s">
        <v>25</v>
      </c>
      <c r="AJ448" s="33" t="s">
        <v>26</v>
      </c>
      <c r="AK448" s="33" t="s">
        <v>24</v>
      </c>
      <c r="AL448" s="27"/>
      <c r="AM448" s="34" t="s">
        <v>25</v>
      </c>
      <c r="AN448" s="35" t="str">
        <f t="shared" si="33"/>
        <v>✓ OK</v>
      </c>
      <c r="AO448" s="36"/>
      <c r="AP448" s="36"/>
      <c r="AQ448" s="36"/>
      <c r="AR448" s="36"/>
      <c r="AS448" s="36"/>
      <c r="AT448" s="36"/>
      <c r="AU448" s="27"/>
      <c r="AV448" s="37"/>
      <c r="AW448" s="38" t="str">
        <f t="shared" si="34"/>
        <v/>
      </c>
    </row>
    <row r="449" spans="1:49" ht="18" customHeight="1" x14ac:dyDescent="0.3">
      <c r="A449" s="23">
        <v>445</v>
      </c>
      <c r="B449" s="24" t="s">
        <v>2737</v>
      </c>
      <c r="C449" s="25" t="s">
        <v>2738</v>
      </c>
      <c r="D449" s="23" t="s">
        <v>1850</v>
      </c>
      <c r="E449" s="43">
        <v>46125</v>
      </c>
      <c r="F449" s="26" t="s">
        <v>23</v>
      </c>
      <c r="G449" s="26" t="s">
        <v>24</v>
      </c>
      <c r="H449" s="26" t="s">
        <v>25</v>
      </c>
      <c r="I449" s="26" t="s">
        <v>26</v>
      </c>
      <c r="J449" s="26" t="s">
        <v>24</v>
      </c>
      <c r="K449" s="27"/>
      <c r="L449" s="28" t="s">
        <v>25</v>
      </c>
      <c r="M449" s="29" t="str">
        <f t="shared" si="30"/>
        <v>✓ OK</v>
      </c>
      <c r="N449" s="43">
        <v>46193</v>
      </c>
      <c r="O449" s="26" t="s">
        <v>23</v>
      </c>
      <c r="P449" s="26" t="s">
        <v>24</v>
      </c>
      <c r="Q449" s="26" t="s">
        <v>25</v>
      </c>
      <c r="R449" s="26" t="s">
        <v>26</v>
      </c>
      <c r="S449" s="26" t="s">
        <v>24</v>
      </c>
      <c r="T449" s="27"/>
      <c r="U449" s="28" t="s">
        <v>25</v>
      </c>
      <c r="V449" s="29" t="str">
        <f t="shared" si="31"/>
        <v>✓ OK</v>
      </c>
      <c r="W449" s="45">
        <v>46248</v>
      </c>
      <c r="X449" s="30" t="s">
        <v>23</v>
      </c>
      <c r="Y449" s="30" t="s">
        <v>24</v>
      </c>
      <c r="Z449" s="30" t="s">
        <v>25</v>
      </c>
      <c r="AA449" s="30" t="s">
        <v>26</v>
      </c>
      <c r="AB449" s="30" t="s">
        <v>24</v>
      </c>
      <c r="AC449" s="27"/>
      <c r="AD449" s="31" t="s">
        <v>25</v>
      </c>
      <c r="AE449" s="32" t="str">
        <f t="shared" si="32"/>
        <v>✓ OK</v>
      </c>
      <c r="AF449" s="33" t="s">
        <v>27</v>
      </c>
      <c r="AG449" s="33" t="s">
        <v>23</v>
      </c>
      <c r="AH449" s="33" t="s">
        <v>24</v>
      </c>
      <c r="AI449" s="33" t="s">
        <v>25</v>
      </c>
      <c r="AJ449" s="33" t="s">
        <v>26</v>
      </c>
      <c r="AK449" s="33" t="s">
        <v>24</v>
      </c>
      <c r="AL449" s="27"/>
      <c r="AM449" s="34" t="s">
        <v>25</v>
      </c>
      <c r="AN449" s="35" t="str">
        <f t="shared" si="33"/>
        <v>✓ OK</v>
      </c>
      <c r="AO449" s="36"/>
      <c r="AP449" s="36"/>
      <c r="AQ449" s="36"/>
      <c r="AR449" s="36"/>
      <c r="AS449" s="36"/>
      <c r="AT449" s="36"/>
      <c r="AU449" s="27"/>
      <c r="AV449" s="37"/>
      <c r="AW449" s="38" t="str">
        <f t="shared" si="34"/>
        <v/>
      </c>
    </row>
    <row r="450" spans="1:49" ht="18" customHeight="1" x14ac:dyDescent="0.3">
      <c r="A450" s="39">
        <v>446</v>
      </c>
      <c r="B450" s="40" t="s">
        <v>2739</v>
      </c>
      <c r="C450" s="41" t="s">
        <v>2740</v>
      </c>
      <c r="D450" s="39" t="s">
        <v>1850</v>
      </c>
      <c r="E450" s="43">
        <v>46125</v>
      </c>
      <c r="F450" s="26" t="s">
        <v>23</v>
      </c>
      <c r="G450" s="26" t="s">
        <v>24</v>
      </c>
      <c r="H450" s="26" t="s">
        <v>25</v>
      </c>
      <c r="I450" s="26" t="s">
        <v>26</v>
      </c>
      <c r="J450" s="26" t="s">
        <v>24</v>
      </c>
      <c r="K450" s="27"/>
      <c r="L450" s="28" t="s">
        <v>25</v>
      </c>
      <c r="M450" s="29" t="str">
        <f t="shared" si="30"/>
        <v>✓ OK</v>
      </c>
      <c r="N450" s="43">
        <v>46193</v>
      </c>
      <c r="O450" s="26" t="s">
        <v>23</v>
      </c>
      <c r="P450" s="26" t="s">
        <v>24</v>
      </c>
      <c r="Q450" s="26" t="s">
        <v>25</v>
      </c>
      <c r="R450" s="26" t="s">
        <v>26</v>
      </c>
      <c r="S450" s="26" t="s">
        <v>24</v>
      </c>
      <c r="T450" s="27"/>
      <c r="U450" s="28" t="s">
        <v>25</v>
      </c>
      <c r="V450" s="29" t="str">
        <f t="shared" si="31"/>
        <v>✓ OK</v>
      </c>
      <c r="W450" s="45">
        <v>46248</v>
      </c>
      <c r="X450" s="30" t="s">
        <v>23</v>
      </c>
      <c r="Y450" s="30" t="s">
        <v>24</v>
      </c>
      <c r="Z450" s="30" t="s">
        <v>25</v>
      </c>
      <c r="AA450" s="30" t="s">
        <v>26</v>
      </c>
      <c r="AB450" s="30" t="s">
        <v>24</v>
      </c>
      <c r="AC450" s="27"/>
      <c r="AD450" s="31" t="s">
        <v>25</v>
      </c>
      <c r="AE450" s="32" t="str">
        <f t="shared" si="32"/>
        <v>✓ OK</v>
      </c>
      <c r="AF450" s="33" t="s">
        <v>27</v>
      </c>
      <c r="AG450" s="33" t="s">
        <v>23</v>
      </c>
      <c r="AH450" s="33" t="s">
        <v>24</v>
      </c>
      <c r="AI450" s="33" t="s">
        <v>25</v>
      </c>
      <c r="AJ450" s="33" t="s">
        <v>26</v>
      </c>
      <c r="AK450" s="33" t="s">
        <v>24</v>
      </c>
      <c r="AL450" s="27"/>
      <c r="AM450" s="34" t="s">
        <v>25</v>
      </c>
      <c r="AN450" s="35" t="str">
        <f t="shared" si="33"/>
        <v>✓ OK</v>
      </c>
      <c r="AO450" s="36"/>
      <c r="AP450" s="36"/>
      <c r="AQ450" s="36"/>
      <c r="AR450" s="36"/>
      <c r="AS450" s="36"/>
      <c r="AT450" s="36"/>
      <c r="AU450" s="27"/>
      <c r="AV450" s="37"/>
      <c r="AW450" s="38" t="str">
        <f t="shared" si="34"/>
        <v/>
      </c>
    </row>
    <row r="451" spans="1:49" ht="18" customHeight="1" x14ac:dyDescent="0.3">
      <c r="A451" s="23">
        <v>447</v>
      </c>
      <c r="B451" s="24" t="s">
        <v>2741</v>
      </c>
      <c r="C451" s="25" t="s">
        <v>2742</v>
      </c>
      <c r="D451" s="23" t="s">
        <v>1850</v>
      </c>
      <c r="E451" s="43">
        <v>46125</v>
      </c>
      <c r="F451" s="26" t="s">
        <v>23</v>
      </c>
      <c r="G451" s="26" t="s">
        <v>24</v>
      </c>
      <c r="H451" s="26" t="s">
        <v>25</v>
      </c>
      <c r="I451" s="26" t="s">
        <v>26</v>
      </c>
      <c r="J451" s="26" t="s">
        <v>24</v>
      </c>
      <c r="K451" s="27"/>
      <c r="L451" s="28" t="s">
        <v>25</v>
      </c>
      <c r="M451" s="29" t="str">
        <f t="shared" si="30"/>
        <v>✓ OK</v>
      </c>
      <c r="N451" s="43">
        <v>46193</v>
      </c>
      <c r="O451" s="26" t="s">
        <v>23</v>
      </c>
      <c r="P451" s="26" t="s">
        <v>24</v>
      </c>
      <c r="Q451" s="26" t="s">
        <v>25</v>
      </c>
      <c r="R451" s="26" t="s">
        <v>26</v>
      </c>
      <c r="S451" s="26" t="s">
        <v>24</v>
      </c>
      <c r="T451" s="27"/>
      <c r="U451" s="28" t="s">
        <v>25</v>
      </c>
      <c r="V451" s="29" t="str">
        <f t="shared" si="31"/>
        <v>✓ OK</v>
      </c>
      <c r="W451" s="45">
        <v>46248</v>
      </c>
      <c r="X451" s="30" t="s">
        <v>23</v>
      </c>
      <c r="Y451" s="30" t="s">
        <v>24</v>
      </c>
      <c r="Z451" s="30" t="s">
        <v>25</v>
      </c>
      <c r="AA451" s="30" t="s">
        <v>26</v>
      </c>
      <c r="AB451" s="30" t="s">
        <v>24</v>
      </c>
      <c r="AC451" s="27"/>
      <c r="AD451" s="31" t="s">
        <v>25</v>
      </c>
      <c r="AE451" s="32" t="str">
        <f t="shared" si="32"/>
        <v>✓ OK</v>
      </c>
      <c r="AF451" s="33" t="s">
        <v>27</v>
      </c>
      <c r="AG451" s="33" t="s">
        <v>23</v>
      </c>
      <c r="AH451" s="33" t="s">
        <v>24</v>
      </c>
      <c r="AI451" s="33" t="s">
        <v>25</v>
      </c>
      <c r="AJ451" s="33" t="s">
        <v>26</v>
      </c>
      <c r="AK451" s="33" t="s">
        <v>24</v>
      </c>
      <c r="AL451" s="27"/>
      <c r="AM451" s="34" t="s">
        <v>25</v>
      </c>
      <c r="AN451" s="35" t="str">
        <f t="shared" si="33"/>
        <v>✓ OK</v>
      </c>
      <c r="AO451" s="36"/>
      <c r="AP451" s="36"/>
      <c r="AQ451" s="36"/>
      <c r="AR451" s="36"/>
      <c r="AS451" s="36"/>
      <c r="AT451" s="36"/>
      <c r="AU451" s="27"/>
      <c r="AV451" s="37"/>
      <c r="AW451" s="38" t="str">
        <f t="shared" si="34"/>
        <v/>
      </c>
    </row>
    <row r="452" spans="1:49" ht="18" customHeight="1" x14ac:dyDescent="0.3">
      <c r="A452" s="39">
        <v>448</v>
      </c>
      <c r="B452" s="40" t="s">
        <v>2743</v>
      </c>
      <c r="C452" s="41" t="s">
        <v>2744</v>
      </c>
      <c r="D452" s="39" t="s">
        <v>1850</v>
      </c>
      <c r="E452" s="43">
        <v>46125</v>
      </c>
      <c r="F452" s="26" t="s">
        <v>23</v>
      </c>
      <c r="G452" s="26" t="s">
        <v>24</v>
      </c>
      <c r="H452" s="26" t="s">
        <v>25</v>
      </c>
      <c r="I452" s="26" t="s">
        <v>26</v>
      </c>
      <c r="J452" s="26" t="s">
        <v>24</v>
      </c>
      <c r="K452" s="27"/>
      <c r="L452" s="28" t="s">
        <v>25</v>
      </c>
      <c r="M452" s="29" t="str">
        <f t="shared" si="30"/>
        <v>✓ OK</v>
      </c>
      <c r="N452" s="43">
        <v>46193</v>
      </c>
      <c r="O452" s="26" t="s">
        <v>23</v>
      </c>
      <c r="P452" s="26" t="s">
        <v>24</v>
      </c>
      <c r="Q452" s="26" t="s">
        <v>25</v>
      </c>
      <c r="R452" s="26" t="s">
        <v>26</v>
      </c>
      <c r="S452" s="26" t="s">
        <v>24</v>
      </c>
      <c r="T452" s="27"/>
      <c r="U452" s="28" t="s">
        <v>25</v>
      </c>
      <c r="V452" s="29" t="str">
        <f t="shared" si="31"/>
        <v>✓ OK</v>
      </c>
      <c r="W452" s="45">
        <v>46248</v>
      </c>
      <c r="X452" s="30" t="s">
        <v>23</v>
      </c>
      <c r="Y452" s="30" t="s">
        <v>24</v>
      </c>
      <c r="Z452" s="30" t="s">
        <v>25</v>
      </c>
      <c r="AA452" s="30" t="s">
        <v>26</v>
      </c>
      <c r="AB452" s="30" t="s">
        <v>24</v>
      </c>
      <c r="AC452" s="27"/>
      <c r="AD452" s="31" t="s">
        <v>25</v>
      </c>
      <c r="AE452" s="32" t="str">
        <f t="shared" si="32"/>
        <v>✓ OK</v>
      </c>
      <c r="AF452" s="33" t="s">
        <v>27</v>
      </c>
      <c r="AG452" s="33" t="s">
        <v>23</v>
      </c>
      <c r="AH452" s="33" t="s">
        <v>24</v>
      </c>
      <c r="AI452" s="33" t="s">
        <v>25</v>
      </c>
      <c r="AJ452" s="33" t="s">
        <v>26</v>
      </c>
      <c r="AK452" s="33" t="s">
        <v>24</v>
      </c>
      <c r="AL452" s="27"/>
      <c r="AM452" s="34" t="s">
        <v>25</v>
      </c>
      <c r="AN452" s="35" t="str">
        <f t="shared" si="33"/>
        <v>✓ OK</v>
      </c>
      <c r="AO452" s="36"/>
      <c r="AP452" s="36"/>
      <c r="AQ452" s="36"/>
      <c r="AR452" s="36"/>
      <c r="AS452" s="36"/>
      <c r="AT452" s="36"/>
      <c r="AU452" s="27"/>
      <c r="AV452" s="37"/>
      <c r="AW452" s="38" t="str">
        <f t="shared" si="34"/>
        <v/>
      </c>
    </row>
    <row r="453" spans="1:49" ht="18" customHeight="1" x14ac:dyDescent="0.3">
      <c r="A453" s="23">
        <v>449</v>
      </c>
      <c r="B453" s="24" t="s">
        <v>2745</v>
      </c>
      <c r="C453" s="25" t="s">
        <v>2746</v>
      </c>
      <c r="D453" s="23" t="s">
        <v>1850</v>
      </c>
      <c r="E453" s="43">
        <v>46125</v>
      </c>
      <c r="F453" s="26" t="s">
        <v>23</v>
      </c>
      <c r="G453" s="26" t="s">
        <v>24</v>
      </c>
      <c r="H453" s="26" t="s">
        <v>25</v>
      </c>
      <c r="I453" s="26" t="s">
        <v>26</v>
      </c>
      <c r="J453" s="26" t="s">
        <v>24</v>
      </c>
      <c r="K453" s="27"/>
      <c r="L453" s="28" t="s">
        <v>25</v>
      </c>
      <c r="M453" s="29" t="str">
        <f t="shared" ref="M453:M516" si="35">IF(E453="","",IF(H453="Yes","❌ Disc",IF(G453="No","⚠ Missing",IF(J453="Yes","✓ OK","⚠ Check"))))</f>
        <v>✓ OK</v>
      </c>
      <c r="N453" s="43">
        <v>46193</v>
      </c>
      <c r="O453" s="26" t="s">
        <v>23</v>
      </c>
      <c r="P453" s="26" t="s">
        <v>24</v>
      </c>
      <c r="Q453" s="26" t="s">
        <v>25</v>
      </c>
      <c r="R453" s="26" t="s">
        <v>26</v>
      </c>
      <c r="S453" s="26" t="s">
        <v>24</v>
      </c>
      <c r="T453" s="27"/>
      <c r="U453" s="28" t="s">
        <v>25</v>
      </c>
      <c r="V453" s="29" t="str">
        <f t="shared" ref="V453:V516" si="36">IF(N453="","",IF(Q453="Yes","❌ Disc",IF(P453="No","⚠ Missing",IF(S453="Yes","✓ OK","⚠ Check"))))</f>
        <v>✓ OK</v>
      </c>
      <c r="W453" s="45">
        <v>46248</v>
      </c>
      <c r="X453" s="30" t="s">
        <v>23</v>
      </c>
      <c r="Y453" s="30" t="s">
        <v>24</v>
      </c>
      <c r="Z453" s="30" t="s">
        <v>25</v>
      </c>
      <c r="AA453" s="30" t="s">
        <v>26</v>
      </c>
      <c r="AB453" s="30" t="s">
        <v>24</v>
      </c>
      <c r="AC453" s="27"/>
      <c r="AD453" s="31" t="s">
        <v>25</v>
      </c>
      <c r="AE453" s="32" t="str">
        <f t="shared" ref="AE453:AE516" si="37">IF(W453="","",IF(Z453="Yes","❌ Disc",IF(Y453="No","⚠ Missing",IF(AB453="Yes","✓ OK","⚠ Check"))))</f>
        <v>✓ OK</v>
      </c>
      <c r="AF453" s="33" t="s">
        <v>27</v>
      </c>
      <c r="AG453" s="33" t="s">
        <v>23</v>
      </c>
      <c r="AH453" s="33" t="s">
        <v>24</v>
      </c>
      <c r="AI453" s="33" t="s">
        <v>25</v>
      </c>
      <c r="AJ453" s="33" t="s">
        <v>26</v>
      </c>
      <c r="AK453" s="33" t="s">
        <v>24</v>
      </c>
      <c r="AL453" s="27"/>
      <c r="AM453" s="34" t="s">
        <v>25</v>
      </c>
      <c r="AN453" s="35" t="str">
        <f t="shared" ref="AN453:AN516" si="38">IF(AF453="","",IF(AI453="Yes","❌ Disc",IF(AH453="No","⚠ Missing",IF(AK453="Yes","✓ OK","⚠ Check"))))</f>
        <v>✓ OK</v>
      </c>
      <c r="AO453" s="36"/>
      <c r="AP453" s="36"/>
      <c r="AQ453" s="36"/>
      <c r="AR453" s="36"/>
      <c r="AS453" s="36"/>
      <c r="AT453" s="36"/>
      <c r="AU453" s="27"/>
      <c r="AV453" s="37"/>
      <c r="AW453" s="38" t="str">
        <f t="shared" ref="AW453:AW516" si="39">IF(AO453="","",IF(AR453="Yes","❌ Disc",IF(AQ453="No","⚠ Missing",IF(AT453="Yes","✓ OK","⚠ Check"))))</f>
        <v/>
      </c>
    </row>
    <row r="454" spans="1:49" ht="18" customHeight="1" x14ac:dyDescent="0.3">
      <c r="A454" s="39">
        <v>450</v>
      </c>
      <c r="B454" s="40" t="s">
        <v>2747</v>
      </c>
      <c r="C454" s="41" t="s">
        <v>2748</v>
      </c>
      <c r="D454" s="39" t="s">
        <v>1850</v>
      </c>
      <c r="E454" s="43">
        <v>46125</v>
      </c>
      <c r="F454" s="26" t="s">
        <v>23</v>
      </c>
      <c r="G454" s="26" t="s">
        <v>24</v>
      </c>
      <c r="H454" s="26" t="s">
        <v>25</v>
      </c>
      <c r="I454" s="26" t="s">
        <v>26</v>
      </c>
      <c r="J454" s="26" t="s">
        <v>24</v>
      </c>
      <c r="K454" s="27"/>
      <c r="L454" s="28" t="s">
        <v>25</v>
      </c>
      <c r="M454" s="29" t="str">
        <f t="shared" si="35"/>
        <v>✓ OK</v>
      </c>
      <c r="N454" s="43">
        <v>46193</v>
      </c>
      <c r="O454" s="26" t="s">
        <v>23</v>
      </c>
      <c r="P454" s="26" t="s">
        <v>24</v>
      </c>
      <c r="Q454" s="26" t="s">
        <v>25</v>
      </c>
      <c r="R454" s="26" t="s">
        <v>26</v>
      </c>
      <c r="S454" s="26" t="s">
        <v>24</v>
      </c>
      <c r="T454" s="27"/>
      <c r="U454" s="28" t="s">
        <v>25</v>
      </c>
      <c r="V454" s="29" t="str">
        <f t="shared" si="36"/>
        <v>✓ OK</v>
      </c>
      <c r="W454" s="45">
        <v>46248</v>
      </c>
      <c r="X454" s="30" t="s">
        <v>23</v>
      </c>
      <c r="Y454" s="30" t="s">
        <v>24</v>
      </c>
      <c r="Z454" s="30" t="s">
        <v>25</v>
      </c>
      <c r="AA454" s="30" t="s">
        <v>26</v>
      </c>
      <c r="AB454" s="30" t="s">
        <v>24</v>
      </c>
      <c r="AC454" s="27"/>
      <c r="AD454" s="31" t="s">
        <v>25</v>
      </c>
      <c r="AE454" s="32" t="str">
        <f t="shared" si="37"/>
        <v>✓ OK</v>
      </c>
      <c r="AF454" s="33" t="s">
        <v>27</v>
      </c>
      <c r="AG454" s="33" t="s">
        <v>23</v>
      </c>
      <c r="AH454" s="33" t="s">
        <v>24</v>
      </c>
      <c r="AI454" s="33" t="s">
        <v>25</v>
      </c>
      <c r="AJ454" s="33" t="s">
        <v>26</v>
      </c>
      <c r="AK454" s="33" t="s">
        <v>24</v>
      </c>
      <c r="AL454" s="27"/>
      <c r="AM454" s="34" t="s">
        <v>25</v>
      </c>
      <c r="AN454" s="35" t="str">
        <f t="shared" si="38"/>
        <v>✓ OK</v>
      </c>
      <c r="AO454" s="36"/>
      <c r="AP454" s="36"/>
      <c r="AQ454" s="36"/>
      <c r="AR454" s="36"/>
      <c r="AS454" s="36"/>
      <c r="AT454" s="36"/>
      <c r="AU454" s="27"/>
      <c r="AV454" s="37"/>
      <c r="AW454" s="38" t="str">
        <f t="shared" si="39"/>
        <v/>
      </c>
    </row>
    <row r="455" spans="1:49" ht="18" customHeight="1" x14ac:dyDescent="0.3">
      <c r="A455" s="23">
        <v>451</v>
      </c>
      <c r="B455" s="24" t="s">
        <v>2749</v>
      </c>
      <c r="C455" s="25" t="s">
        <v>2750</v>
      </c>
      <c r="D455" s="23" t="s">
        <v>1850</v>
      </c>
      <c r="E455" s="43">
        <v>46125</v>
      </c>
      <c r="F455" s="26" t="s">
        <v>23</v>
      </c>
      <c r="G455" s="26" t="s">
        <v>24</v>
      </c>
      <c r="H455" s="26" t="s">
        <v>25</v>
      </c>
      <c r="I455" s="26" t="s">
        <v>26</v>
      </c>
      <c r="J455" s="26" t="s">
        <v>24</v>
      </c>
      <c r="K455" s="27"/>
      <c r="L455" s="28" t="s">
        <v>25</v>
      </c>
      <c r="M455" s="29" t="str">
        <f t="shared" si="35"/>
        <v>✓ OK</v>
      </c>
      <c r="N455" s="43">
        <v>46193</v>
      </c>
      <c r="O455" s="26" t="s">
        <v>23</v>
      </c>
      <c r="P455" s="26" t="s">
        <v>24</v>
      </c>
      <c r="Q455" s="26" t="s">
        <v>25</v>
      </c>
      <c r="R455" s="26" t="s">
        <v>26</v>
      </c>
      <c r="S455" s="26" t="s">
        <v>24</v>
      </c>
      <c r="T455" s="27"/>
      <c r="U455" s="28" t="s">
        <v>25</v>
      </c>
      <c r="V455" s="29" t="str">
        <f t="shared" si="36"/>
        <v>✓ OK</v>
      </c>
      <c r="W455" s="45">
        <v>46248</v>
      </c>
      <c r="X455" s="30" t="s">
        <v>23</v>
      </c>
      <c r="Y455" s="30" t="s">
        <v>24</v>
      </c>
      <c r="Z455" s="30" t="s">
        <v>25</v>
      </c>
      <c r="AA455" s="30" t="s">
        <v>26</v>
      </c>
      <c r="AB455" s="30" t="s">
        <v>24</v>
      </c>
      <c r="AC455" s="27"/>
      <c r="AD455" s="31" t="s">
        <v>25</v>
      </c>
      <c r="AE455" s="32" t="str">
        <f t="shared" si="37"/>
        <v>✓ OK</v>
      </c>
      <c r="AF455" s="33" t="s">
        <v>27</v>
      </c>
      <c r="AG455" s="33" t="s">
        <v>23</v>
      </c>
      <c r="AH455" s="33" t="s">
        <v>24</v>
      </c>
      <c r="AI455" s="33" t="s">
        <v>25</v>
      </c>
      <c r="AJ455" s="33" t="s">
        <v>26</v>
      </c>
      <c r="AK455" s="33" t="s">
        <v>24</v>
      </c>
      <c r="AL455" s="27"/>
      <c r="AM455" s="34" t="s">
        <v>25</v>
      </c>
      <c r="AN455" s="35" t="str">
        <f t="shared" si="38"/>
        <v>✓ OK</v>
      </c>
      <c r="AO455" s="36"/>
      <c r="AP455" s="36"/>
      <c r="AQ455" s="36"/>
      <c r="AR455" s="36"/>
      <c r="AS455" s="36"/>
      <c r="AT455" s="36"/>
      <c r="AU455" s="27"/>
      <c r="AV455" s="37"/>
      <c r="AW455" s="38" t="str">
        <f t="shared" si="39"/>
        <v/>
      </c>
    </row>
    <row r="456" spans="1:49" ht="18" customHeight="1" x14ac:dyDescent="0.3">
      <c r="A456" s="39">
        <v>452</v>
      </c>
      <c r="B456" s="40" t="s">
        <v>2751</v>
      </c>
      <c r="C456" s="41" t="s">
        <v>2752</v>
      </c>
      <c r="D456" s="39" t="s">
        <v>1850</v>
      </c>
      <c r="E456" s="43">
        <v>46125</v>
      </c>
      <c r="F456" s="26" t="s">
        <v>23</v>
      </c>
      <c r="G456" s="26" t="s">
        <v>24</v>
      </c>
      <c r="H456" s="26" t="s">
        <v>25</v>
      </c>
      <c r="I456" s="26" t="s">
        <v>26</v>
      </c>
      <c r="J456" s="26" t="s">
        <v>24</v>
      </c>
      <c r="K456" s="27"/>
      <c r="L456" s="28" t="s">
        <v>25</v>
      </c>
      <c r="M456" s="29" t="str">
        <f t="shared" si="35"/>
        <v>✓ OK</v>
      </c>
      <c r="N456" s="43">
        <v>46193</v>
      </c>
      <c r="O456" s="26" t="s">
        <v>23</v>
      </c>
      <c r="P456" s="26" t="s">
        <v>24</v>
      </c>
      <c r="Q456" s="26" t="s">
        <v>25</v>
      </c>
      <c r="R456" s="26" t="s">
        <v>26</v>
      </c>
      <c r="S456" s="26" t="s">
        <v>24</v>
      </c>
      <c r="T456" s="27"/>
      <c r="U456" s="28" t="s">
        <v>25</v>
      </c>
      <c r="V456" s="29" t="str">
        <f t="shared" si="36"/>
        <v>✓ OK</v>
      </c>
      <c r="W456" s="45">
        <v>46248</v>
      </c>
      <c r="X456" s="30" t="s">
        <v>23</v>
      </c>
      <c r="Y456" s="30" t="s">
        <v>24</v>
      </c>
      <c r="Z456" s="30" t="s">
        <v>25</v>
      </c>
      <c r="AA456" s="30" t="s">
        <v>26</v>
      </c>
      <c r="AB456" s="30" t="s">
        <v>24</v>
      </c>
      <c r="AC456" s="27"/>
      <c r="AD456" s="31" t="s">
        <v>25</v>
      </c>
      <c r="AE456" s="32" t="str">
        <f t="shared" si="37"/>
        <v>✓ OK</v>
      </c>
      <c r="AF456" s="33" t="s">
        <v>27</v>
      </c>
      <c r="AG456" s="33" t="s">
        <v>23</v>
      </c>
      <c r="AH456" s="33" t="s">
        <v>24</v>
      </c>
      <c r="AI456" s="33" t="s">
        <v>25</v>
      </c>
      <c r="AJ456" s="33" t="s">
        <v>26</v>
      </c>
      <c r="AK456" s="33" t="s">
        <v>24</v>
      </c>
      <c r="AL456" s="27"/>
      <c r="AM456" s="34" t="s">
        <v>25</v>
      </c>
      <c r="AN456" s="35" t="str">
        <f t="shared" si="38"/>
        <v>✓ OK</v>
      </c>
      <c r="AO456" s="36"/>
      <c r="AP456" s="36"/>
      <c r="AQ456" s="36"/>
      <c r="AR456" s="36"/>
      <c r="AS456" s="36"/>
      <c r="AT456" s="36"/>
      <c r="AU456" s="27"/>
      <c r="AV456" s="37"/>
      <c r="AW456" s="38" t="str">
        <f t="shared" si="39"/>
        <v/>
      </c>
    </row>
    <row r="457" spans="1:49" ht="18" customHeight="1" x14ac:dyDescent="0.3">
      <c r="A457" s="23">
        <v>453</v>
      </c>
      <c r="B457" s="24" t="s">
        <v>2753</v>
      </c>
      <c r="C457" s="25" t="s">
        <v>2754</v>
      </c>
      <c r="D457" s="23" t="s">
        <v>1850</v>
      </c>
      <c r="E457" s="43">
        <v>46125</v>
      </c>
      <c r="F457" s="26" t="s">
        <v>23</v>
      </c>
      <c r="G457" s="26" t="s">
        <v>24</v>
      </c>
      <c r="H457" s="26" t="s">
        <v>25</v>
      </c>
      <c r="I457" s="26" t="s">
        <v>26</v>
      </c>
      <c r="J457" s="26" t="s">
        <v>24</v>
      </c>
      <c r="K457" s="27"/>
      <c r="L457" s="28" t="s">
        <v>25</v>
      </c>
      <c r="M457" s="29" t="str">
        <f t="shared" si="35"/>
        <v>✓ OK</v>
      </c>
      <c r="N457" s="43">
        <v>46193</v>
      </c>
      <c r="O457" s="26" t="s">
        <v>23</v>
      </c>
      <c r="P457" s="26" t="s">
        <v>24</v>
      </c>
      <c r="Q457" s="26" t="s">
        <v>25</v>
      </c>
      <c r="R457" s="26" t="s">
        <v>26</v>
      </c>
      <c r="S457" s="26" t="s">
        <v>24</v>
      </c>
      <c r="T457" s="27"/>
      <c r="U457" s="28" t="s">
        <v>25</v>
      </c>
      <c r="V457" s="29" t="str">
        <f t="shared" si="36"/>
        <v>✓ OK</v>
      </c>
      <c r="W457" s="45">
        <v>46248</v>
      </c>
      <c r="X457" s="30" t="s">
        <v>23</v>
      </c>
      <c r="Y457" s="30" t="s">
        <v>24</v>
      </c>
      <c r="Z457" s="30" t="s">
        <v>25</v>
      </c>
      <c r="AA457" s="30" t="s">
        <v>26</v>
      </c>
      <c r="AB457" s="30" t="s">
        <v>24</v>
      </c>
      <c r="AC457" s="27"/>
      <c r="AD457" s="31" t="s">
        <v>25</v>
      </c>
      <c r="AE457" s="32" t="str">
        <f t="shared" si="37"/>
        <v>✓ OK</v>
      </c>
      <c r="AF457" s="33" t="s">
        <v>27</v>
      </c>
      <c r="AG457" s="33" t="s">
        <v>23</v>
      </c>
      <c r="AH457" s="33" t="s">
        <v>24</v>
      </c>
      <c r="AI457" s="33" t="s">
        <v>25</v>
      </c>
      <c r="AJ457" s="33" t="s">
        <v>26</v>
      </c>
      <c r="AK457" s="33" t="s">
        <v>24</v>
      </c>
      <c r="AL457" s="27"/>
      <c r="AM457" s="34" t="s">
        <v>25</v>
      </c>
      <c r="AN457" s="35" t="str">
        <f t="shared" si="38"/>
        <v>✓ OK</v>
      </c>
      <c r="AO457" s="36"/>
      <c r="AP457" s="36"/>
      <c r="AQ457" s="36"/>
      <c r="AR457" s="36"/>
      <c r="AS457" s="36"/>
      <c r="AT457" s="36"/>
      <c r="AU457" s="27"/>
      <c r="AV457" s="37"/>
      <c r="AW457" s="38" t="str">
        <f t="shared" si="39"/>
        <v/>
      </c>
    </row>
    <row r="458" spans="1:49" ht="18" customHeight="1" x14ac:dyDescent="0.3">
      <c r="A458" s="39">
        <v>454</v>
      </c>
      <c r="B458" s="40" t="s">
        <v>2755</v>
      </c>
      <c r="C458" s="41" t="s">
        <v>2756</v>
      </c>
      <c r="D458" s="39" t="s">
        <v>1850</v>
      </c>
      <c r="E458" s="43">
        <v>46125</v>
      </c>
      <c r="F458" s="26" t="s">
        <v>23</v>
      </c>
      <c r="G458" s="26" t="s">
        <v>24</v>
      </c>
      <c r="H458" s="26" t="s">
        <v>25</v>
      </c>
      <c r="I458" s="26" t="s">
        <v>26</v>
      </c>
      <c r="J458" s="26" t="s">
        <v>24</v>
      </c>
      <c r="K458" s="27"/>
      <c r="L458" s="28" t="s">
        <v>25</v>
      </c>
      <c r="M458" s="29" t="str">
        <f t="shared" si="35"/>
        <v>✓ OK</v>
      </c>
      <c r="N458" s="43">
        <v>46193</v>
      </c>
      <c r="O458" s="26" t="s">
        <v>23</v>
      </c>
      <c r="P458" s="26" t="s">
        <v>24</v>
      </c>
      <c r="Q458" s="26" t="s">
        <v>25</v>
      </c>
      <c r="R458" s="26" t="s">
        <v>26</v>
      </c>
      <c r="S458" s="26" t="s">
        <v>24</v>
      </c>
      <c r="T458" s="27"/>
      <c r="U458" s="28" t="s">
        <v>25</v>
      </c>
      <c r="V458" s="29" t="str">
        <f t="shared" si="36"/>
        <v>✓ OK</v>
      </c>
      <c r="W458" s="45">
        <v>46248</v>
      </c>
      <c r="X458" s="30" t="s">
        <v>23</v>
      </c>
      <c r="Y458" s="30" t="s">
        <v>24</v>
      </c>
      <c r="Z458" s="30" t="s">
        <v>25</v>
      </c>
      <c r="AA458" s="30" t="s">
        <v>26</v>
      </c>
      <c r="AB458" s="30" t="s">
        <v>24</v>
      </c>
      <c r="AC458" s="27"/>
      <c r="AD458" s="31" t="s">
        <v>25</v>
      </c>
      <c r="AE458" s="32" t="str">
        <f t="shared" si="37"/>
        <v>✓ OK</v>
      </c>
      <c r="AF458" s="33" t="s">
        <v>27</v>
      </c>
      <c r="AG458" s="33" t="s">
        <v>23</v>
      </c>
      <c r="AH458" s="33" t="s">
        <v>24</v>
      </c>
      <c r="AI458" s="33" t="s">
        <v>25</v>
      </c>
      <c r="AJ458" s="33" t="s">
        <v>26</v>
      </c>
      <c r="AK458" s="33" t="s">
        <v>24</v>
      </c>
      <c r="AL458" s="27"/>
      <c r="AM458" s="34" t="s">
        <v>25</v>
      </c>
      <c r="AN458" s="35" t="str">
        <f t="shared" si="38"/>
        <v>✓ OK</v>
      </c>
      <c r="AO458" s="36"/>
      <c r="AP458" s="36"/>
      <c r="AQ458" s="36"/>
      <c r="AR458" s="36"/>
      <c r="AS458" s="36"/>
      <c r="AT458" s="36"/>
      <c r="AU458" s="27"/>
      <c r="AV458" s="37"/>
      <c r="AW458" s="38" t="str">
        <f t="shared" si="39"/>
        <v/>
      </c>
    </row>
    <row r="459" spans="1:49" ht="18" customHeight="1" x14ac:dyDescent="0.3">
      <c r="A459" s="23">
        <v>455</v>
      </c>
      <c r="B459" s="24" t="s">
        <v>2757</v>
      </c>
      <c r="C459" s="25" t="s">
        <v>2758</v>
      </c>
      <c r="D459" s="23" t="s">
        <v>1850</v>
      </c>
      <c r="E459" s="43">
        <v>46125</v>
      </c>
      <c r="F459" s="26" t="s">
        <v>23</v>
      </c>
      <c r="G459" s="26" t="s">
        <v>24</v>
      </c>
      <c r="H459" s="26" t="s">
        <v>25</v>
      </c>
      <c r="I459" s="26" t="s">
        <v>26</v>
      </c>
      <c r="J459" s="26" t="s">
        <v>24</v>
      </c>
      <c r="K459" s="27"/>
      <c r="L459" s="28" t="s">
        <v>25</v>
      </c>
      <c r="M459" s="29" t="str">
        <f t="shared" si="35"/>
        <v>✓ OK</v>
      </c>
      <c r="N459" s="43">
        <v>46193</v>
      </c>
      <c r="O459" s="26" t="s">
        <v>23</v>
      </c>
      <c r="P459" s="26" t="s">
        <v>24</v>
      </c>
      <c r="Q459" s="26" t="s">
        <v>25</v>
      </c>
      <c r="R459" s="26" t="s">
        <v>26</v>
      </c>
      <c r="S459" s="26" t="s">
        <v>24</v>
      </c>
      <c r="T459" s="27"/>
      <c r="U459" s="28" t="s">
        <v>25</v>
      </c>
      <c r="V459" s="29" t="str">
        <f t="shared" si="36"/>
        <v>✓ OK</v>
      </c>
      <c r="W459" s="45">
        <v>46248</v>
      </c>
      <c r="X459" s="30" t="s">
        <v>23</v>
      </c>
      <c r="Y459" s="30" t="s">
        <v>24</v>
      </c>
      <c r="Z459" s="30" t="s">
        <v>25</v>
      </c>
      <c r="AA459" s="30" t="s">
        <v>26</v>
      </c>
      <c r="AB459" s="30" t="s">
        <v>24</v>
      </c>
      <c r="AC459" s="27"/>
      <c r="AD459" s="31" t="s">
        <v>25</v>
      </c>
      <c r="AE459" s="32" t="str">
        <f t="shared" si="37"/>
        <v>✓ OK</v>
      </c>
      <c r="AF459" s="33" t="s">
        <v>27</v>
      </c>
      <c r="AG459" s="33" t="s">
        <v>23</v>
      </c>
      <c r="AH459" s="33" t="s">
        <v>24</v>
      </c>
      <c r="AI459" s="33" t="s">
        <v>25</v>
      </c>
      <c r="AJ459" s="33" t="s">
        <v>26</v>
      </c>
      <c r="AK459" s="33" t="s">
        <v>24</v>
      </c>
      <c r="AL459" s="27"/>
      <c r="AM459" s="34" t="s">
        <v>25</v>
      </c>
      <c r="AN459" s="35" t="str">
        <f t="shared" si="38"/>
        <v>✓ OK</v>
      </c>
      <c r="AO459" s="36"/>
      <c r="AP459" s="36"/>
      <c r="AQ459" s="36"/>
      <c r="AR459" s="36"/>
      <c r="AS459" s="36"/>
      <c r="AT459" s="36"/>
      <c r="AU459" s="27"/>
      <c r="AV459" s="37"/>
      <c r="AW459" s="38" t="str">
        <f t="shared" si="39"/>
        <v/>
      </c>
    </row>
    <row r="460" spans="1:49" ht="18" customHeight="1" x14ac:dyDescent="0.3">
      <c r="A460" s="39">
        <v>456</v>
      </c>
      <c r="B460" s="40" t="s">
        <v>2759</v>
      </c>
      <c r="C460" s="41" t="s">
        <v>2760</v>
      </c>
      <c r="D460" s="39" t="s">
        <v>1850</v>
      </c>
      <c r="E460" s="43">
        <v>46125</v>
      </c>
      <c r="F460" s="26" t="s">
        <v>23</v>
      </c>
      <c r="G460" s="26" t="s">
        <v>24</v>
      </c>
      <c r="H460" s="26" t="s">
        <v>25</v>
      </c>
      <c r="I460" s="26" t="s">
        <v>26</v>
      </c>
      <c r="J460" s="26" t="s">
        <v>24</v>
      </c>
      <c r="K460" s="27"/>
      <c r="L460" s="28" t="s">
        <v>25</v>
      </c>
      <c r="M460" s="29" t="str">
        <f t="shared" si="35"/>
        <v>✓ OK</v>
      </c>
      <c r="N460" s="43">
        <v>46193</v>
      </c>
      <c r="O460" s="26" t="s">
        <v>23</v>
      </c>
      <c r="P460" s="26" t="s">
        <v>24</v>
      </c>
      <c r="Q460" s="26" t="s">
        <v>25</v>
      </c>
      <c r="R460" s="26" t="s">
        <v>26</v>
      </c>
      <c r="S460" s="26" t="s">
        <v>24</v>
      </c>
      <c r="T460" s="27"/>
      <c r="U460" s="28" t="s">
        <v>25</v>
      </c>
      <c r="V460" s="29" t="str">
        <f t="shared" si="36"/>
        <v>✓ OK</v>
      </c>
      <c r="W460" s="45">
        <v>46248</v>
      </c>
      <c r="X460" s="30" t="s">
        <v>23</v>
      </c>
      <c r="Y460" s="30" t="s">
        <v>24</v>
      </c>
      <c r="Z460" s="30" t="s">
        <v>25</v>
      </c>
      <c r="AA460" s="30" t="s">
        <v>26</v>
      </c>
      <c r="AB460" s="30" t="s">
        <v>24</v>
      </c>
      <c r="AC460" s="27"/>
      <c r="AD460" s="31" t="s">
        <v>25</v>
      </c>
      <c r="AE460" s="32" t="str">
        <f t="shared" si="37"/>
        <v>✓ OK</v>
      </c>
      <c r="AF460" s="33" t="s">
        <v>27</v>
      </c>
      <c r="AG460" s="33" t="s">
        <v>23</v>
      </c>
      <c r="AH460" s="33" t="s">
        <v>24</v>
      </c>
      <c r="AI460" s="33" t="s">
        <v>25</v>
      </c>
      <c r="AJ460" s="33" t="s">
        <v>26</v>
      </c>
      <c r="AK460" s="33" t="s">
        <v>24</v>
      </c>
      <c r="AL460" s="27"/>
      <c r="AM460" s="34" t="s">
        <v>25</v>
      </c>
      <c r="AN460" s="35" t="str">
        <f t="shared" si="38"/>
        <v>✓ OK</v>
      </c>
      <c r="AO460" s="36"/>
      <c r="AP460" s="36"/>
      <c r="AQ460" s="36"/>
      <c r="AR460" s="36"/>
      <c r="AS460" s="36"/>
      <c r="AT460" s="36"/>
      <c r="AU460" s="27"/>
      <c r="AV460" s="37"/>
      <c r="AW460" s="38" t="str">
        <f t="shared" si="39"/>
        <v/>
      </c>
    </row>
    <row r="461" spans="1:49" ht="18" customHeight="1" x14ac:dyDescent="0.3">
      <c r="A461" s="23">
        <v>457</v>
      </c>
      <c r="B461" s="24" t="s">
        <v>2761</v>
      </c>
      <c r="C461" s="25" t="s">
        <v>2762</v>
      </c>
      <c r="D461" s="23" t="s">
        <v>1850</v>
      </c>
      <c r="E461" s="43">
        <v>46125</v>
      </c>
      <c r="F461" s="26" t="s">
        <v>23</v>
      </c>
      <c r="G461" s="26" t="s">
        <v>24</v>
      </c>
      <c r="H461" s="26" t="s">
        <v>25</v>
      </c>
      <c r="I461" s="26" t="s">
        <v>26</v>
      </c>
      <c r="J461" s="26" t="s">
        <v>24</v>
      </c>
      <c r="K461" s="27"/>
      <c r="L461" s="28" t="s">
        <v>25</v>
      </c>
      <c r="M461" s="29" t="str">
        <f t="shared" si="35"/>
        <v>✓ OK</v>
      </c>
      <c r="N461" s="43">
        <v>46193</v>
      </c>
      <c r="O461" s="26" t="s">
        <v>23</v>
      </c>
      <c r="P461" s="26" t="s">
        <v>24</v>
      </c>
      <c r="Q461" s="26" t="s">
        <v>25</v>
      </c>
      <c r="R461" s="26" t="s">
        <v>26</v>
      </c>
      <c r="S461" s="26" t="s">
        <v>24</v>
      </c>
      <c r="T461" s="27"/>
      <c r="U461" s="28" t="s">
        <v>25</v>
      </c>
      <c r="V461" s="29" t="str">
        <f t="shared" si="36"/>
        <v>✓ OK</v>
      </c>
      <c r="W461" s="45">
        <v>46248</v>
      </c>
      <c r="X461" s="30" t="s">
        <v>23</v>
      </c>
      <c r="Y461" s="30" t="s">
        <v>24</v>
      </c>
      <c r="Z461" s="30" t="s">
        <v>25</v>
      </c>
      <c r="AA461" s="30" t="s">
        <v>26</v>
      </c>
      <c r="AB461" s="30" t="s">
        <v>24</v>
      </c>
      <c r="AC461" s="27"/>
      <c r="AD461" s="31" t="s">
        <v>25</v>
      </c>
      <c r="AE461" s="32" t="str">
        <f t="shared" si="37"/>
        <v>✓ OK</v>
      </c>
      <c r="AF461" s="33" t="s">
        <v>27</v>
      </c>
      <c r="AG461" s="33" t="s">
        <v>23</v>
      </c>
      <c r="AH461" s="33" t="s">
        <v>24</v>
      </c>
      <c r="AI461" s="33" t="s">
        <v>25</v>
      </c>
      <c r="AJ461" s="33" t="s">
        <v>26</v>
      </c>
      <c r="AK461" s="33" t="s">
        <v>24</v>
      </c>
      <c r="AL461" s="27"/>
      <c r="AM461" s="34" t="s">
        <v>25</v>
      </c>
      <c r="AN461" s="35" t="str">
        <f t="shared" si="38"/>
        <v>✓ OK</v>
      </c>
      <c r="AO461" s="36"/>
      <c r="AP461" s="36"/>
      <c r="AQ461" s="36"/>
      <c r="AR461" s="36"/>
      <c r="AS461" s="36"/>
      <c r="AT461" s="36"/>
      <c r="AU461" s="27"/>
      <c r="AV461" s="37"/>
      <c r="AW461" s="38" t="str">
        <f t="shared" si="39"/>
        <v/>
      </c>
    </row>
    <row r="462" spans="1:49" ht="18" customHeight="1" x14ac:dyDescent="0.3">
      <c r="A462" s="39">
        <v>458</v>
      </c>
      <c r="B462" s="40" t="s">
        <v>2763</v>
      </c>
      <c r="C462" s="41" t="s">
        <v>2764</v>
      </c>
      <c r="D462" s="39" t="s">
        <v>1850</v>
      </c>
      <c r="E462" s="43">
        <v>46125</v>
      </c>
      <c r="F462" s="26" t="s">
        <v>23</v>
      </c>
      <c r="G462" s="26" t="s">
        <v>24</v>
      </c>
      <c r="H462" s="26" t="s">
        <v>25</v>
      </c>
      <c r="I462" s="26" t="s">
        <v>26</v>
      </c>
      <c r="J462" s="26" t="s">
        <v>24</v>
      </c>
      <c r="K462" s="27"/>
      <c r="L462" s="28" t="s">
        <v>25</v>
      </c>
      <c r="M462" s="29" t="str">
        <f t="shared" si="35"/>
        <v>✓ OK</v>
      </c>
      <c r="N462" s="43">
        <v>46193</v>
      </c>
      <c r="O462" s="26" t="s">
        <v>23</v>
      </c>
      <c r="P462" s="26" t="s">
        <v>24</v>
      </c>
      <c r="Q462" s="26" t="s">
        <v>25</v>
      </c>
      <c r="R462" s="26" t="s">
        <v>26</v>
      </c>
      <c r="S462" s="26" t="s">
        <v>24</v>
      </c>
      <c r="T462" s="27"/>
      <c r="U462" s="28" t="s">
        <v>25</v>
      </c>
      <c r="V462" s="29" t="str">
        <f t="shared" si="36"/>
        <v>✓ OK</v>
      </c>
      <c r="W462" s="45">
        <v>46248</v>
      </c>
      <c r="X462" s="30" t="s">
        <v>23</v>
      </c>
      <c r="Y462" s="30" t="s">
        <v>24</v>
      </c>
      <c r="Z462" s="30" t="s">
        <v>25</v>
      </c>
      <c r="AA462" s="30" t="s">
        <v>26</v>
      </c>
      <c r="AB462" s="30" t="s">
        <v>24</v>
      </c>
      <c r="AC462" s="27"/>
      <c r="AD462" s="31" t="s">
        <v>25</v>
      </c>
      <c r="AE462" s="32" t="str">
        <f t="shared" si="37"/>
        <v>✓ OK</v>
      </c>
      <c r="AF462" s="33" t="s">
        <v>27</v>
      </c>
      <c r="AG462" s="33" t="s">
        <v>23</v>
      </c>
      <c r="AH462" s="33" t="s">
        <v>24</v>
      </c>
      <c r="AI462" s="33" t="s">
        <v>25</v>
      </c>
      <c r="AJ462" s="33" t="s">
        <v>26</v>
      </c>
      <c r="AK462" s="33" t="s">
        <v>24</v>
      </c>
      <c r="AL462" s="27"/>
      <c r="AM462" s="34" t="s">
        <v>25</v>
      </c>
      <c r="AN462" s="35" t="str">
        <f t="shared" si="38"/>
        <v>✓ OK</v>
      </c>
      <c r="AO462" s="36"/>
      <c r="AP462" s="36"/>
      <c r="AQ462" s="36"/>
      <c r="AR462" s="36"/>
      <c r="AS462" s="36"/>
      <c r="AT462" s="36"/>
      <c r="AU462" s="27"/>
      <c r="AV462" s="37"/>
      <c r="AW462" s="38" t="str">
        <f t="shared" si="39"/>
        <v/>
      </c>
    </row>
    <row r="463" spans="1:49" ht="18" customHeight="1" x14ac:dyDescent="0.3">
      <c r="A463" s="23">
        <v>459</v>
      </c>
      <c r="B463" s="24" t="s">
        <v>2765</v>
      </c>
      <c r="C463" s="25" t="s">
        <v>2766</v>
      </c>
      <c r="D463" s="23" t="s">
        <v>1850</v>
      </c>
      <c r="E463" s="43">
        <v>46125</v>
      </c>
      <c r="F463" s="26" t="s">
        <v>23</v>
      </c>
      <c r="G463" s="26" t="s">
        <v>24</v>
      </c>
      <c r="H463" s="26" t="s">
        <v>25</v>
      </c>
      <c r="I463" s="26" t="s">
        <v>26</v>
      </c>
      <c r="J463" s="26" t="s">
        <v>24</v>
      </c>
      <c r="K463" s="27"/>
      <c r="L463" s="28" t="s">
        <v>25</v>
      </c>
      <c r="M463" s="29" t="str">
        <f t="shared" si="35"/>
        <v>✓ OK</v>
      </c>
      <c r="N463" s="43">
        <v>46193</v>
      </c>
      <c r="O463" s="26" t="s">
        <v>23</v>
      </c>
      <c r="P463" s="26" t="s">
        <v>24</v>
      </c>
      <c r="Q463" s="26" t="s">
        <v>25</v>
      </c>
      <c r="R463" s="26" t="s">
        <v>26</v>
      </c>
      <c r="S463" s="26" t="s">
        <v>24</v>
      </c>
      <c r="T463" s="27"/>
      <c r="U463" s="28" t="s">
        <v>25</v>
      </c>
      <c r="V463" s="29" t="str">
        <f t="shared" si="36"/>
        <v>✓ OK</v>
      </c>
      <c r="W463" s="45">
        <v>46248</v>
      </c>
      <c r="X463" s="30" t="s">
        <v>23</v>
      </c>
      <c r="Y463" s="30" t="s">
        <v>24</v>
      </c>
      <c r="Z463" s="30" t="s">
        <v>25</v>
      </c>
      <c r="AA463" s="30" t="s">
        <v>26</v>
      </c>
      <c r="AB463" s="30" t="s">
        <v>24</v>
      </c>
      <c r="AC463" s="27"/>
      <c r="AD463" s="31" t="s">
        <v>25</v>
      </c>
      <c r="AE463" s="32" t="str">
        <f t="shared" si="37"/>
        <v>✓ OK</v>
      </c>
      <c r="AF463" s="33" t="s">
        <v>27</v>
      </c>
      <c r="AG463" s="33" t="s">
        <v>23</v>
      </c>
      <c r="AH463" s="33" t="s">
        <v>24</v>
      </c>
      <c r="AI463" s="33" t="s">
        <v>25</v>
      </c>
      <c r="AJ463" s="33" t="s">
        <v>26</v>
      </c>
      <c r="AK463" s="33" t="s">
        <v>24</v>
      </c>
      <c r="AL463" s="27"/>
      <c r="AM463" s="34" t="s">
        <v>25</v>
      </c>
      <c r="AN463" s="35" t="str">
        <f t="shared" si="38"/>
        <v>✓ OK</v>
      </c>
      <c r="AO463" s="36"/>
      <c r="AP463" s="36"/>
      <c r="AQ463" s="36"/>
      <c r="AR463" s="36"/>
      <c r="AS463" s="36"/>
      <c r="AT463" s="36"/>
      <c r="AU463" s="27"/>
      <c r="AV463" s="37"/>
      <c r="AW463" s="38" t="str">
        <f t="shared" si="39"/>
        <v/>
      </c>
    </row>
    <row r="464" spans="1:49" ht="18" customHeight="1" x14ac:dyDescent="0.3">
      <c r="A464" s="39">
        <v>460</v>
      </c>
      <c r="B464" s="40" t="s">
        <v>2767</v>
      </c>
      <c r="C464" s="41" t="s">
        <v>2768</v>
      </c>
      <c r="D464" s="39" t="s">
        <v>1850</v>
      </c>
      <c r="E464" s="43">
        <v>46125</v>
      </c>
      <c r="F464" s="26" t="s">
        <v>23</v>
      </c>
      <c r="G464" s="26" t="s">
        <v>24</v>
      </c>
      <c r="H464" s="26" t="s">
        <v>25</v>
      </c>
      <c r="I464" s="26" t="s">
        <v>26</v>
      </c>
      <c r="J464" s="26" t="s">
        <v>24</v>
      </c>
      <c r="K464" s="27"/>
      <c r="L464" s="28" t="s">
        <v>25</v>
      </c>
      <c r="M464" s="29" t="str">
        <f t="shared" si="35"/>
        <v>✓ OK</v>
      </c>
      <c r="N464" s="43">
        <v>46193</v>
      </c>
      <c r="O464" s="26" t="s">
        <v>23</v>
      </c>
      <c r="P464" s="26" t="s">
        <v>24</v>
      </c>
      <c r="Q464" s="26" t="s">
        <v>25</v>
      </c>
      <c r="R464" s="26" t="s">
        <v>26</v>
      </c>
      <c r="S464" s="26" t="s">
        <v>24</v>
      </c>
      <c r="T464" s="27"/>
      <c r="U464" s="28" t="s">
        <v>25</v>
      </c>
      <c r="V464" s="29" t="str">
        <f t="shared" si="36"/>
        <v>✓ OK</v>
      </c>
      <c r="W464" s="45">
        <v>46248</v>
      </c>
      <c r="X464" s="30" t="s">
        <v>23</v>
      </c>
      <c r="Y464" s="30" t="s">
        <v>24</v>
      </c>
      <c r="Z464" s="30" t="s">
        <v>25</v>
      </c>
      <c r="AA464" s="30" t="s">
        <v>26</v>
      </c>
      <c r="AB464" s="30" t="s">
        <v>24</v>
      </c>
      <c r="AC464" s="27"/>
      <c r="AD464" s="31" t="s">
        <v>25</v>
      </c>
      <c r="AE464" s="32" t="str">
        <f t="shared" si="37"/>
        <v>✓ OK</v>
      </c>
      <c r="AF464" s="33" t="s">
        <v>27</v>
      </c>
      <c r="AG464" s="33" t="s">
        <v>23</v>
      </c>
      <c r="AH464" s="33" t="s">
        <v>24</v>
      </c>
      <c r="AI464" s="33" t="s">
        <v>25</v>
      </c>
      <c r="AJ464" s="33" t="s">
        <v>26</v>
      </c>
      <c r="AK464" s="33" t="s">
        <v>24</v>
      </c>
      <c r="AL464" s="27"/>
      <c r="AM464" s="34" t="s">
        <v>25</v>
      </c>
      <c r="AN464" s="35" t="str">
        <f t="shared" si="38"/>
        <v>✓ OK</v>
      </c>
      <c r="AO464" s="36"/>
      <c r="AP464" s="36"/>
      <c r="AQ464" s="36"/>
      <c r="AR464" s="36"/>
      <c r="AS464" s="36"/>
      <c r="AT464" s="36"/>
      <c r="AU464" s="27"/>
      <c r="AV464" s="37"/>
      <c r="AW464" s="38" t="str">
        <f t="shared" si="39"/>
        <v/>
      </c>
    </row>
    <row r="465" spans="1:49" ht="18" customHeight="1" x14ac:dyDescent="0.3">
      <c r="A465" s="23">
        <v>461</v>
      </c>
      <c r="B465" s="24" t="s">
        <v>2769</v>
      </c>
      <c r="C465" s="25" t="s">
        <v>2770</v>
      </c>
      <c r="D465" s="23" t="s">
        <v>1850</v>
      </c>
      <c r="E465" s="43">
        <v>46125</v>
      </c>
      <c r="F465" s="26" t="s">
        <v>23</v>
      </c>
      <c r="G465" s="26" t="s">
        <v>24</v>
      </c>
      <c r="H465" s="26" t="s">
        <v>25</v>
      </c>
      <c r="I465" s="26" t="s">
        <v>26</v>
      </c>
      <c r="J465" s="26" t="s">
        <v>24</v>
      </c>
      <c r="K465" s="27"/>
      <c r="L465" s="28" t="s">
        <v>25</v>
      </c>
      <c r="M465" s="29" t="str">
        <f t="shared" si="35"/>
        <v>✓ OK</v>
      </c>
      <c r="N465" s="43">
        <v>46193</v>
      </c>
      <c r="O465" s="26" t="s">
        <v>23</v>
      </c>
      <c r="P465" s="26" t="s">
        <v>24</v>
      </c>
      <c r="Q465" s="26" t="s">
        <v>25</v>
      </c>
      <c r="R465" s="26" t="s">
        <v>26</v>
      </c>
      <c r="S465" s="26" t="s">
        <v>24</v>
      </c>
      <c r="T465" s="27"/>
      <c r="U465" s="28" t="s">
        <v>25</v>
      </c>
      <c r="V465" s="29" t="str">
        <f t="shared" si="36"/>
        <v>✓ OK</v>
      </c>
      <c r="W465" s="45">
        <v>46248</v>
      </c>
      <c r="X465" s="30" t="s">
        <v>23</v>
      </c>
      <c r="Y465" s="30" t="s">
        <v>24</v>
      </c>
      <c r="Z465" s="30" t="s">
        <v>25</v>
      </c>
      <c r="AA465" s="30" t="s">
        <v>26</v>
      </c>
      <c r="AB465" s="30" t="s">
        <v>24</v>
      </c>
      <c r="AC465" s="27"/>
      <c r="AD465" s="31" t="s">
        <v>25</v>
      </c>
      <c r="AE465" s="32" t="str">
        <f t="shared" si="37"/>
        <v>✓ OK</v>
      </c>
      <c r="AF465" s="33" t="s">
        <v>27</v>
      </c>
      <c r="AG465" s="33" t="s">
        <v>23</v>
      </c>
      <c r="AH465" s="33" t="s">
        <v>24</v>
      </c>
      <c r="AI465" s="33" t="s">
        <v>25</v>
      </c>
      <c r="AJ465" s="33" t="s">
        <v>26</v>
      </c>
      <c r="AK465" s="33" t="s">
        <v>24</v>
      </c>
      <c r="AL465" s="27"/>
      <c r="AM465" s="34" t="s">
        <v>25</v>
      </c>
      <c r="AN465" s="35" t="str">
        <f t="shared" si="38"/>
        <v>✓ OK</v>
      </c>
      <c r="AO465" s="36"/>
      <c r="AP465" s="36"/>
      <c r="AQ465" s="36"/>
      <c r="AR465" s="36"/>
      <c r="AS465" s="36"/>
      <c r="AT465" s="36"/>
      <c r="AU465" s="27"/>
      <c r="AV465" s="37"/>
      <c r="AW465" s="38" t="str">
        <f t="shared" si="39"/>
        <v/>
      </c>
    </row>
    <row r="466" spans="1:49" ht="18" customHeight="1" x14ac:dyDescent="0.3">
      <c r="A466" s="39">
        <v>462</v>
      </c>
      <c r="B466" s="40" t="s">
        <v>2771</v>
      </c>
      <c r="C466" s="41" t="s">
        <v>2772</v>
      </c>
      <c r="D466" s="39" t="s">
        <v>1850</v>
      </c>
      <c r="E466" s="43">
        <v>46125</v>
      </c>
      <c r="F466" s="26" t="s">
        <v>23</v>
      </c>
      <c r="G466" s="26" t="s">
        <v>24</v>
      </c>
      <c r="H466" s="26" t="s">
        <v>25</v>
      </c>
      <c r="I466" s="26" t="s">
        <v>26</v>
      </c>
      <c r="J466" s="26" t="s">
        <v>24</v>
      </c>
      <c r="K466" s="27"/>
      <c r="L466" s="28" t="s">
        <v>25</v>
      </c>
      <c r="M466" s="29" t="str">
        <f t="shared" si="35"/>
        <v>✓ OK</v>
      </c>
      <c r="N466" s="43">
        <v>46193</v>
      </c>
      <c r="O466" s="26" t="s">
        <v>23</v>
      </c>
      <c r="P466" s="26" t="s">
        <v>24</v>
      </c>
      <c r="Q466" s="26" t="s">
        <v>25</v>
      </c>
      <c r="R466" s="26" t="s">
        <v>26</v>
      </c>
      <c r="S466" s="26" t="s">
        <v>24</v>
      </c>
      <c r="T466" s="27"/>
      <c r="U466" s="28" t="s">
        <v>25</v>
      </c>
      <c r="V466" s="29" t="str">
        <f t="shared" si="36"/>
        <v>✓ OK</v>
      </c>
      <c r="W466" s="45">
        <v>46248</v>
      </c>
      <c r="X466" s="30" t="s">
        <v>23</v>
      </c>
      <c r="Y466" s="30" t="s">
        <v>24</v>
      </c>
      <c r="Z466" s="30" t="s">
        <v>25</v>
      </c>
      <c r="AA466" s="30" t="s">
        <v>26</v>
      </c>
      <c r="AB466" s="30" t="s">
        <v>24</v>
      </c>
      <c r="AC466" s="27"/>
      <c r="AD466" s="31" t="s">
        <v>25</v>
      </c>
      <c r="AE466" s="32" t="str">
        <f t="shared" si="37"/>
        <v>✓ OK</v>
      </c>
      <c r="AF466" s="33" t="s">
        <v>27</v>
      </c>
      <c r="AG466" s="33" t="s">
        <v>23</v>
      </c>
      <c r="AH466" s="33" t="s">
        <v>24</v>
      </c>
      <c r="AI466" s="33" t="s">
        <v>25</v>
      </c>
      <c r="AJ466" s="33" t="s">
        <v>26</v>
      </c>
      <c r="AK466" s="33" t="s">
        <v>24</v>
      </c>
      <c r="AL466" s="27"/>
      <c r="AM466" s="34" t="s">
        <v>25</v>
      </c>
      <c r="AN466" s="35" t="str">
        <f t="shared" si="38"/>
        <v>✓ OK</v>
      </c>
      <c r="AO466" s="36"/>
      <c r="AP466" s="36"/>
      <c r="AQ466" s="36"/>
      <c r="AR466" s="36"/>
      <c r="AS466" s="36"/>
      <c r="AT466" s="36"/>
      <c r="AU466" s="27"/>
      <c r="AV466" s="37"/>
      <c r="AW466" s="38" t="str">
        <f t="shared" si="39"/>
        <v/>
      </c>
    </row>
    <row r="467" spans="1:49" ht="18" customHeight="1" x14ac:dyDescent="0.3">
      <c r="A467" s="23">
        <v>463</v>
      </c>
      <c r="B467" s="24" t="s">
        <v>2773</v>
      </c>
      <c r="C467" s="25" t="s">
        <v>2774</v>
      </c>
      <c r="D467" s="23" t="s">
        <v>1850</v>
      </c>
      <c r="E467" s="43">
        <v>46125</v>
      </c>
      <c r="F467" s="26" t="s">
        <v>23</v>
      </c>
      <c r="G467" s="26" t="s">
        <v>24</v>
      </c>
      <c r="H467" s="26" t="s">
        <v>25</v>
      </c>
      <c r="I467" s="26" t="s">
        <v>26</v>
      </c>
      <c r="J467" s="26" t="s">
        <v>24</v>
      </c>
      <c r="K467" s="27"/>
      <c r="L467" s="28" t="s">
        <v>25</v>
      </c>
      <c r="M467" s="29" t="str">
        <f t="shared" si="35"/>
        <v>✓ OK</v>
      </c>
      <c r="N467" s="43">
        <v>46193</v>
      </c>
      <c r="O467" s="26" t="s">
        <v>23</v>
      </c>
      <c r="P467" s="26" t="s">
        <v>24</v>
      </c>
      <c r="Q467" s="26" t="s">
        <v>25</v>
      </c>
      <c r="R467" s="26" t="s">
        <v>26</v>
      </c>
      <c r="S467" s="26" t="s">
        <v>24</v>
      </c>
      <c r="T467" s="27"/>
      <c r="U467" s="28" t="s">
        <v>25</v>
      </c>
      <c r="V467" s="29" t="str">
        <f t="shared" si="36"/>
        <v>✓ OK</v>
      </c>
      <c r="W467" s="45">
        <v>46248</v>
      </c>
      <c r="X467" s="30" t="s">
        <v>23</v>
      </c>
      <c r="Y467" s="30" t="s">
        <v>24</v>
      </c>
      <c r="Z467" s="30" t="s">
        <v>25</v>
      </c>
      <c r="AA467" s="30" t="s">
        <v>26</v>
      </c>
      <c r="AB467" s="30" t="s">
        <v>24</v>
      </c>
      <c r="AC467" s="27"/>
      <c r="AD467" s="31" t="s">
        <v>25</v>
      </c>
      <c r="AE467" s="32" t="str">
        <f t="shared" si="37"/>
        <v>✓ OK</v>
      </c>
      <c r="AF467" s="33" t="s">
        <v>27</v>
      </c>
      <c r="AG467" s="33" t="s">
        <v>23</v>
      </c>
      <c r="AH467" s="33" t="s">
        <v>24</v>
      </c>
      <c r="AI467" s="33" t="s">
        <v>25</v>
      </c>
      <c r="AJ467" s="33" t="s">
        <v>26</v>
      </c>
      <c r="AK467" s="33" t="s">
        <v>24</v>
      </c>
      <c r="AL467" s="27"/>
      <c r="AM467" s="34" t="s">
        <v>25</v>
      </c>
      <c r="AN467" s="35" t="str">
        <f t="shared" si="38"/>
        <v>✓ OK</v>
      </c>
      <c r="AO467" s="36"/>
      <c r="AP467" s="36"/>
      <c r="AQ467" s="36"/>
      <c r="AR467" s="36"/>
      <c r="AS467" s="36"/>
      <c r="AT467" s="36"/>
      <c r="AU467" s="27"/>
      <c r="AV467" s="37"/>
      <c r="AW467" s="38" t="str">
        <f t="shared" si="39"/>
        <v/>
      </c>
    </row>
    <row r="468" spans="1:49" ht="18" customHeight="1" x14ac:dyDescent="0.3">
      <c r="A468" s="39">
        <v>464</v>
      </c>
      <c r="B468" s="40" t="s">
        <v>2775</v>
      </c>
      <c r="C468" s="41" t="s">
        <v>2776</v>
      </c>
      <c r="D468" s="39" t="s">
        <v>1850</v>
      </c>
      <c r="E468" s="43">
        <v>46125</v>
      </c>
      <c r="F468" s="26" t="s">
        <v>23</v>
      </c>
      <c r="G468" s="26" t="s">
        <v>24</v>
      </c>
      <c r="H468" s="26" t="s">
        <v>25</v>
      </c>
      <c r="I468" s="26" t="s">
        <v>26</v>
      </c>
      <c r="J468" s="26" t="s">
        <v>24</v>
      </c>
      <c r="K468" s="27"/>
      <c r="L468" s="28" t="s">
        <v>25</v>
      </c>
      <c r="M468" s="29" t="str">
        <f t="shared" si="35"/>
        <v>✓ OK</v>
      </c>
      <c r="N468" s="43">
        <v>46193</v>
      </c>
      <c r="O468" s="26" t="s">
        <v>23</v>
      </c>
      <c r="P468" s="26" t="s">
        <v>24</v>
      </c>
      <c r="Q468" s="26" t="s">
        <v>25</v>
      </c>
      <c r="R468" s="26" t="s">
        <v>26</v>
      </c>
      <c r="S468" s="26" t="s">
        <v>24</v>
      </c>
      <c r="T468" s="27"/>
      <c r="U468" s="28" t="s">
        <v>25</v>
      </c>
      <c r="V468" s="29" t="str">
        <f t="shared" si="36"/>
        <v>✓ OK</v>
      </c>
      <c r="W468" s="45">
        <v>46248</v>
      </c>
      <c r="X468" s="30" t="s">
        <v>23</v>
      </c>
      <c r="Y468" s="30" t="s">
        <v>24</v>
      </c>
      <c r="Z468" s="30" t="s">
        <v>25</v>
      </c>
      <c r="AA468" s="30" t="s">
        <v>26</v>
      </c>
      <c r="AB468" s="30" t="s">
        <v>24</v>
      </c>
      <c r="AC468" s="27"/>
      <c r="AD468" s="31" t="s">
        <v>25</v>
      </c>
      <c r="AE468" s="32" t="str">
        <f t="shared" si="37"/>
        <v>✓ OK</v>
      </c>
      <c r="AF468" s="33" t="s">
        <v>27</v>
      </c>
      <c r="AG468" s="33" t="s">
        <v>23</v>
      </c>
      <c r="AH468" s="33" t="s">
        <v>24</v>
      </c>
      <c r="AI468" s="33" t="s">
        <v>25</v>
      </c>
      <c r="AJ468" s="33" t="s">
        <v>26</v>
      </c>
      <c r="AK468" s="33" t="s">
        <v>24</v>
      </c>
      <c r="AL468" s="27"/>
      <c r="AM468" s="34" t="s">
        <v>25</v>
      </c>
      <c r="AN468" s="35" t="str">
        <f t="shared" si="38"/>
        <v>✓ OK</v>
      </c>
      <c r="AO468" s="36"/>
      <c r="AP468" s="36"/>
      <c r="AQ468" s="36"/>
      <c r="AR468" s="36"/>
      <c r="AS468" s="36"/>
      <c r="AT468" s="36"/>
      <c r="AU468" s="27"/>
      <c r="AV468" s="37"/>
      <c r="AW468" s="38" t="str">
        <f t="shared" si="39"/>
        <v/>
      </c>
    </row>
    <row r="469" spans="1:49" ht="18" customHeight="1" x14ac:dyDescent="0.3">
      <c r="A469" s="23">
        <v>465</v>
      </c>
      <c r="B469" s="24" t="s">
        <v>2777</v>
      </c>
      <c r="C469" s="25" t="s">
        <v>2778</v>
      </c>
      <c r="D469" s="23" t="s">
        <v>1850</v>
      </c>
      <c r="E469" s="43">
        <v>46125</v>
      </c>
      <c r="F469" s="26" t="s">
        <v>23</v>
      </c>
      <c r="G469" s="26" t="s">
        <v>24</v>
      </c>
      <c r="H469" s="26" t="s">
        <v>25</v>
      </c>
      <c r="I469" s="26" t="s">
        <v>26</v>
      </c>
      <c r="J469" s="26" t="s">
        <v>24</v>
      </c>
      <c r="K469" s="27"/>
      <c r="L469" s="28" t="s">
        <v>25</v>
      </c>
      <c r="M469" s="29" t="str">
        <f t="shared" si="35"/>
        <v>✓ OK</v>
      </c>
      <c r="N469" s="43">
        <v>46193</v>
      </c>
      <c r="O469" s="26" t="s">
        <v>23</v>
      </c>
      <c r="P469" s="26" t="s">
        <v>24</v>
      </c>
      <c r="Q469" s="26" t="s">
        <v>25</v>
      </c>
      <c r="R469" s="26" t="s">
        <v>26</v>
      </c>
      <c r="S469" s="26" t="s">
        <v>24</v>
      </c>
      <c r="T469" s="27"/>
      <c r="U469" s="28" t="s">
        <v>25</v>
      </c>
      <c r="V469" s="29" t="str">
        <f t="shared" si="36"/>
        <v>✓ OK</v>
      </c>
      <c r="W469" s="45">
        <v>46248</v>
      </c>
      <c r="X469" s="30" t="s">
        <v>23</v>
      </c>
      <c r="Y469" s="30" t="s">
        <v>24</v>
      </c>
      <c r="Z469" s="30" t="s">
        <v>25</v>
      </c>
      <c r="AA469" s="30" t="s">
        <v>26</v>
      </c>
      <c r="AB469" s="30" t="s">
        <v>24</v>
      </c>
      <c r="AC469" s="27"/>
      <c r="AD469" s="31" t="s">
        <v>25</v>
      </c>
      <c r="AE469" s="32" t="str">
        <f t="shared" si="37"/>
        <v>✓ OK</v>
      </c>
      <c r="AF469" s="33" t="s">
        <v>27</v>
      </c>
      <c r="AG469" s="33" t="s">
        <v>23</v>
      </c>
      <c r="AH469" s="33" t="s">
        <v>24</v>
      </c>
      <c r="AI469" s="33" t="s">
        <v>25</v>
      </c>
      <c r="AJ469" s="33" t="s">
        <v>26</v>
      </c>
      <c r="AK469" s="33" t="s">
        <v>24</v>
      </c>
      <c r="AL469" s="27"/>
      <c r="AM469" s="34" t="s">
        <v>25</v>
      </c>
      <c r="AN469" s="35" t="str">
        <f t="shared" si="38"/>
        <v>✓ OK</v>
      </c>
      <c r="AO469" s="36"/>
      <c r="AP469" s="36"/>
      <c r="AQ469" s="36"/>
      <c r="AR469" s="36"/>
      <c r="AS469" s="36"/>
      <c r="AT469" s="36"/>
      <c r="AU469" s="27"/>
      <c r="AV469" s="37"/>
      <c r="AW469" s="38" t="str">
        <f t="shared" si="39"/>
        <v/>
      </c>
    </row>
    <row r="470" spans="1:49" ht="18" customHeight="1" x14ac:dyDescent="0.3">
      <c r="A470" s="39">
        <v>466</v>
      </c>
      <c r="B470" s="40" t="s">
        <v>2779</v>
      </c>
      <c r="C470" s="41" t="s">
        <v>2780</v>
      </c>
      <c r="D470" s="39" t="s">
        <v>1850</v>
      </c>
      <c r="E470" s="43">
        <v>46125</v>
      </c>
      <c r="F470" s="26" t="s">
        <v>23</v>
      </c>
      <c r="G470" s="26" t="s">
        <v>24</v>
      </c>
      <c r="H470" s="26" t="s">
        <v>25</v>
      </c>
      <c r="I470" s="26" t="s">
        <v>26</v>
      </c>
      <c r="J470" s="26" t="s">
        <v>24</v>
      </c>
      <c r="K470" s="27"/>
      <c r="L470" s="28" t="s">
        <v>25</v>
      </c>
      <c r="M470" s="29" t="str">
        <f t="shared" si="35"/>
        <v>✓ OK</v>
      </c>
      <c r="N470" s="43">
        <v>46193</v>
      </c>
      <c r="O470" s="26" t="s">
        <v>23</v>
      </c>
      <c r="P470" s="26" t="s">
        <v>24</v>
      </c>
      <c r="Q470" s="26" t="s">
        <v>25</v>
      </c>
      <c r="R470" s="26" t="s">
        <v>26</v>
      </c>
      <c r="S470" s="26" t="s">
        <v>24</v>
      </c>
      <c r="T470" s="27"/>
      <c r="U470" s="28" t="s">
        <v>25</v>
      </c>
      <c r="V470" s="29" t="str">
        <f t="shared" si="36"/>
        <v>✓ OK</v>
      </c>
      <c r="W470" s="45">
        <v>46248</v>
      </c>
      <c r="X470" s="30" t="s">
        <v>23</v>
      </c>
      <c r="Y470" s="30" t="s">
        <v>24</v>
      </c>
      <c r="Z470" s="30" t="s">
        <v>25</v>
      </c>
      <c r="AA470" s="30" t="s">
        <v>26</v>
      </c>
      <c r="AB470" s="30" t="s">
        <v>24</v>
      </c>
      <c r="AC470" s="27"/>
      <c r="AD470" s="31" t="s">
        <v>25</v>
      </c>
      <c r="AE470" s="32" t="str">
        <f t="shared" si="37"/>
        <v>✓ OK</v>
      </c>
      <c r="AF470" s="33" t="s">
        <v>27</v>
      </c>
      <c r="AG470" s="33" t="s">
        <v>23</v>
      </c>
      <c r="AH470" s="33" t="s">
        <v>24</v>
      </c>
      <c r="AI470" s="33" t="s">
        <v>25</v>
      </c>
      <c r="AJ470" s="33" t="s">
        <v>26</v>
      </c>
      <c r="AK470" s="33" t="s">
        <v>24</v>
      </c>
      <c r="AL470" s="27"/>
      <c r="AM470" s="34" t="s">
        <v>25</v>
      </c>
      <c r="AN470" s="35" t="str">
        <f t="shared" si="38"/>
        <v>✓ OK</v>
      </c>
      <c r="AO470" s="36"/>
      <c r="AP470" s="36"/>
      <c r="AQ470" s="36"/>
      <c r="AR470" s="36"/>
      <c r="AS470" s="36"/>
      <c r="AT470" s="36"/>
      <c r="AU470" s="27"/>
      <c r="AV470" s="37"/>
      <c r="AW470" s="38" t="str">
        <f t="shared" si="39"/>
        <v/>
      </c>
    </row>
    <row r="471" spans="1:49" ht="18" customHeight="1" x14ac:dyDescent="0.3">
      <c r="A471" s="23">
        <v>467</v>
      </c>
      <c r="B471" s="24" t="s">
        <v>2781</v>
      </c>
      <c r="C471" s="25" t="s">
        <v>2782</v>
      </c>
      <c r="D471" s="23" t="s">
        <v>1850</v>
      </c>
      <c r="E471" s="43">
        <v>46125</v>
      </c>
      <c r="F471" s="26" t="s">
        <v>23</v>
      </c>
      <c r="G471" s="26" t="s">
        <v>24</v>
      </c>
      <c r="H471" s="26" t="s">
        <v>25</v>
      </c>
      <c r="I471" s="26" t="s">
        <v>26</v>
      </c>
      <c r="J471" s="26" t="s">
        <v>24</v>
      </c>
      <c r="K471" s="27"/>
      <c r="L471" s="28" t="s">
        <v>25</v>
      </c>
      <c r="M471" s="29" t="str">
        <f t="shared" si="35"/>
        <v>✓ OK</v>
      </c>
      <c r="N471" s="43">
        <v>46193</v>
      </c>
      <c r="O471" s="26" t="s">
        <v>23</v>
      </c>
      <c r="P471" s="26" t="s">
        <v>24</v>
      </c>
      <c r="Q471" s="26" t="s">
        <v>25</v>
      </c>
      <c r="R471" s="26" t="s">
        <v>26</v>
      </c>
      <c r="S471" s="26" t="s">
        <v>24</v>
      </c>
      <c r="T471" s="27"/>
      <c r="U471" s="28" t="s">
        <v>25</v>
      </c>
      <c r="V471" s="29" t="str">
        <f t="shared" si="36"/>
        <v>✓ OK</v>
      </c>
      <c r="W471" s="45">
        <v>46248</v>
      </c>
      <c r="X471" s="30" t="s">
        <v>23</v>
      </c>
      <c r="Y471" s="30" t="s">
        <v>24</v>
      </c>
      <c r="Z471" s="30" t="s">
        <v>25</v>
      </c>
      <c r="AA471" s="30" t="s">
        <v>26</v>
      </c>
      <c r="AB471" s="30" t="s">
        <v>24</v>
      </c>
      <c r="AC471" s="27"/>
      <c r="AD471" s="31" t="s">
        <v>25</v>
      </c>
      <c r="AE471" s="32" t="str">
        <f t="shared" si="37"/>
        <v>✓ OK</v>
      </c>
      <c r="AF471" s="33" t="s">
        <v>27</v>
      </c>
      <c r="AG471" s="33" t="s">
        <v>23</v>
      </c>
      <c r="AH471" s="33" t="s">
        <v>24</v>
      </c>
      <c r="AI471" s="33" t="s">
        <v>25</v>
      </c>
      <c r="AJ471" s="33" t="s">
        <v>26</v>
      </c>
      <c r="AK471" s="33" t="s">
        <v>24</v>
      </c>
      <c r="AL471" s="27"/>
      <c r="AM471" s="34" t="s">
        <v>25</v>
      </c>
      <c r="AN471" s="35" t="str">
        <f t="shared" si="38"/>
        <v>✓ OK</v>
      </c>
      <c r="AO471" s="36"/>
      <c r="AP471" s="36"/>
      <c r="AQ471" s="36"/>
      <c r="AR471" s="36"/>
      <c r="AS471" s="36"/>
      <c r="AT471" s="36"/>
      <c r="AU471" s="27"/>
      <c r="AV471" s="37"/>
      <c r="AW471" s="38" t="str">
        <f t="shared" si="39"/>
        <v/>
      </c>
    </row>
    <row r="472" spans="1:49" ht="18" customHeight="1" x14ac:dyDescent="0.3">
      <c r="A472" s="39">
        <v>468</v>
      </c>
      <c r="B472" s="40" t="s">
        <v>2783</v>
      </c>
      <c r="C472" s="41" t="s">
        <v>2784</v>
      </c>
      <c r="D472" s="39" t="s">
        <v>1850</v>
      </c>
      <c r="E472" s="43">
        <v>46125</v>
      </c>
      <c r="F472" s="26" t="s">
        <v>23</v>
      </c>
      <c r="G472" s="26" t="s">
        <v>24</v>
      </c>
      <c r="H472" s="26" t="s">
        <v>25</v>
      </c>
      <c r="I472" s="26" t="s">
        <v>26</v>
      </c>
      <c r="J472" s="26" t="s">
        <v>24</v>
      </c>
      <c r="K472" s="27"/>
      <c r="L472" s="28" t="s">
        <v>25</v>
      </c>
      <c r="M472" s="29" t="str">
        <f t="shared" si="35"/>
        <v>✓ OK</v>
      </c>
      <c r="N472" s="43">
        <v>46193</v>
      </c>
      <c r="O472" s="26" t="s">
        <v>23</v>
      </c>
      <c r="P472" s="26" t="s">
        <v>24</v>
      </c>
      <c r="Q472" s="26" t="s">
        <v>25</v>
      </c>
      <c r="R472" s="26" t="s">
        <v>26</v>
      </c>
      <c r="S472" s="26" t="s">
        <v>24</v>
      </c>
      <c r="T472" s="27"/>
      <c r="U472" s="28" t="s">
        <v>25</v>
      </c>
      <c r="V472" s="29" t="str">
        <f t="shared" si="36"/>
        <v>✓ OK</v>
      </c>
      <c r="W472" s="45">
        <v>46248</v>
      </c>
      <c r="X472" s="30" t="s">
        <v>23</v>
      </c>
      <c r="Y472" s="30" t="s">
        <v>24</v>
      </c>
      <c r="Z472" s="30" t="s">
        <v>25</v>
      </c>
      <c r="AA472" s="30" t="s">
        <v>26</v>
      </c>
      <c r="AB472" s="30" t="s">
        <v>24</v>
      </c>
      <c r="AC472" s="27"/>
      <c r="AD472" s="31" t="s">
        <v>25</v>
      </c>
      <c r="AE472" s="32" t="str">
        <f t="shared" si="37"/>
        <v>✓ OK</v>
      </c>
      <c r="AF472" s="33" t="s">
        <v>27</v>
      </c>
      <c r="AG472" s="33" t="s">
        <v>23</v>
      </c>
      <c r="AH472" s="33" t="s">
        <v>24</v>
      </c>
      <c r="AI472" s="33" t="s">
        <v>25</v>
      </c>
      <c r="AJ472" s="33" t="s">
        <v>26</v>
      </c>
      <c r="AK472" s="33" t="s">
        <v>24</v>
      </c>
      <c r="AL472" s="27"/>
      <c r="AM472" s="34" t="s">
        <v>25</v>
      </c>
      <c r="AN472" s="35" t="str">
        <f t="shared" si="38"/>
        <v>✓ OK</v>
      </c>
      <c r="AO472" s="36"/>
      <c r="AP472" s="36"/>
      <c r="AQ472" s="36"/>
      <c r="AR472" s="36"/>
      <c r="AS472" s="36"/>
      <c r="AT472" s="36"/>
      <c r="AU472" s="27"/>
      <c r="AV472" s="37"/>
      <c r="AW472" s="38" t="str">
        <f t="shared" si="39"/>
        <v/>
      </c>
    </row>
    <row r="473" spans="1:49" ht="18" customHeight="1" x14ac:dyDescent="0.3">
      <c r="A473" s="23">
        <v>469</v>
      </c>
      <c r="B473" s="24" t="s">
        <v>2785</v>
      </c>
      <c r="C473" s="25" t="s">
        <v>2786</v>
      </c>
      <c r="D473" s="23" t="s">
        <v>1850</v>
      </c>
      <c r="E473" s="43">
        <v>46125</v>
      </c>
      <c r="F473" s="26" t="s">
        <v>23</v>
      </c>
      <c r="G473" s="26" t="s">
        <v>24</v>
      </c>
      <c r="H473" s="26" t="s">
        <v>25</v>
      </c>
      <c r="I473" s="26" t="s">
        <v>26</v>
      </c>
      <c r="J473" s="26" t="s">
        <v>24</v>
      </c>
      <c r="K473" s="27"/>
      <c r="L473" s="28" t="s">
        <v>25</v>
      </c>
      <c r="M473" s="29" t="str">
        <f t="shared" si="35"/>
        <v>✓ OK</v>
      </c>
      <c r="N473" s="43">
        <v>46193</v>
      </c>
      <c r="O473" s="26" t="s">
        <v>23</v>
      </c>
      <c r="P473" s="26" t="s">
        <v>24</v>
      </c>
      <c r="Q473" s="26" t="s">
        <v>25</v>
      </c>
      <c r="R473" s="26" t="s">
        <v>26</v>
      </c>
      <c r="S473" s="26" t="s">
        <v>24</v>
      </c>
      <c r="T473" s="27"/>
      <c r="U473" s="28" t="s">
        <v>25</v>
      </c>
      <c r="V473" s="29" t="str">
        <f t="shared" si="36"/>
        <v>✓ OK</v>
      </c>
      <c r="W473" s="45">
        <v>46248</v>
      </c>
      <c r="X473" s="30" t="s">
        <v>23</v>
      </c>
      <c r="Y473" s="30" t="s">
        <v>24</v>
      </c>
      <c r="Z473" s="30" t="s">
        <v>25</v>
      </c>
      <c r="AA473" s="30" t="s">
        <v>26</v>
      </c>
      <c r="AB473" s="30" t="s">
        <v>24</v>
      </c>
      <c r="AC473" s="27"/>
      <c r="AD473" s="31" t="s">
        <v>25</v>
      </c>
      <c r="AE473" s="32" t="str">
        <f t="shared" si="37"/>
        <v>✓ OK</v>
      </c>
      <c r="AF473" s="33" t="s">
        <v>27</v>
      </c>
      <c r="AG473" s="33" t="s">
        <v>23</v>
      </c>
      <c r="AH473" s="33" t="s">
        <v>24</v>
      </c>
      <c r="AI473" s="33" t="s">
        <v>25</v>
      </c>
      <c r="AJ473" s="33" t="s">
        <v>26</v>
      </c>
      <c r="AK473" s="33" t="s">
        <v>24</v>
      </c>
      <c r="AL473" s="27"/>
      <c r="AM473" s="34" t="s">
        <v>25</v>
      </c>
      <c r="AN473" s="35" t="str">
        <f t="shared" si="38"/>
        <v>✓ OK</v>
      </c>
      <c r="AO473" s="36"/>
      <c r="AP473" s="36"/>
      <c r="AQ473" s="36"/>
      <c r="AR473" s="36"/>
      <c r="AS473" s="36"/>
      <c r="AT473" s="36"/>
      <c r="AU473" s="27"/>
      <c r="AV473" s="37"/>
      <c r="AW473" s="38" t="str">
        <f t="shared" si="39"/>
        <v/>
      </c>
    </row>
    <row r="474" spans="1:49" ht="18" customHeight="1" x14ac:dyDescent="0.3">
      <c r="A474" s="39">
        <v>470</v>
      </c>
      <c r="B474" s="40" t="s">
        <v>2787</v>
      </c>
      <c r="C474" s="41" t="s">
        <v>2788</v>
      </c>
      <c r="D474" s="39" t="s">
        <v>1850</v>
      </c>
      <c r="E474" s="43">
        <v>46125</v>
      </c>
      <c r="F474" s="26" t="s">
        <v>23</v>
      </c>
      <c r="G474" s="26" t="s">
        <v>24</v>
      </c>
      <c r="H474" s="26" t="s">
        <v>25</v>
      </c>
      <c r="I474" s="26" t="s">
        <v>26</v>
      </c>
      <c r="J474" s="26" t="s">
        <v>24</v>
      </c>
      <c r="K474" s="27"/>
      <c r="L474" s="28" t="s">
        <v>25</v>
      </c>
      <c r="M474" s="29" t="str">
        <f t="shared" si="35"/>
        <v>✓ OK</v>
      </c>
      <c r="N474" s="43">
        <v>46193</v>
      </c>
      <c r="O474" s="26" t="s">
        <v>23</v>
      </c>
      <c r="P474" s="26" t="s">
        <v>24</v>
      </c>
      <c r="Q474" s="26" t="s">
        <v>25</v>
      </c>
      <c r="R474" s="26" t="s">
        <v>26</v>
      </c>
      <c r="S474" s="26" t="s">
        <v>24</v>
      </c>
      <c r="T474" s="27"/>
      <c r="U474" s="28" t="s">
        <v>25</v>
      </c>
      <c r="V474" s="29" t="str">
        <f t="shared" si="36"/>
        <v>✓ OK</v>
      </c>
      <c r="W474" s="45">
        <v>46248</v>
      </c>
      <c r="X474" s="30" t="s">
        <v>23</v>
      </c>
      <c r="Y474" s="30" t="s">
        <v>24</v>
      </c>
      <c r="Z474" s="30" t="s">
        <v>25</v>
      </c>
      <c r="AA474" s="30" t="s">
        <v>26</v>
      </c>
      <c r="AB474" s="30" t="s">
        <v>24</v>
      </c>
      <c r="AC474" s="27"/>
      <c r="AD474" s="31" t="s">
        <v>25</v>
      </c>
      <c r="AE474" s="32" t="str">
        <f t="shared" si="37"/>
        <v>✓ OK</v>
      </c>
      <c r="AF474" s="33" t="s">
        <v>27</v>
      </c>
      <c r="AG474" s="33" t="s">
        <v>23</v>
      </c>
      <c r="AH474" s="33" t="s">
        <v>24</v>
      </c>
      <c r="AI474" s="33" t="s">
        <v>25</v>
      </c>
      <c r="AJ474" s="33" t="s">
        <v>26</v>
      </c>
      <c r="AK474" s="33" t="s">
        <v>24</v>
      </c>
      <c r="AL474" s="27"/>
      <c r="AM474" s="34" t="s">
        <v>25</v>
      </c>
      <c r="AN474" s="35" t="str">
        <f t="shared" si="38"/>
        <v>✓ OK</v>
      </c>
      <c r="AO474" s="36"/>
      <c r="AP474" s="36"/>
      <c r="AQ474" s="36"/>
      <c r="AR474" s="36"/>
      <c r="AS474" s="36"/>
      <c r="AT474" s="36"/>
      <c r="AU474" s="27"/>
      <c r="AV474" s="37"/>
      <c r="AW474" s="38" t="str">
        <f t="shared" si="39"/>
        <v/>
      </c>
    </row>
    <row r="475" spans="1:49" ht="18" customHeight="1" x14ac:dyDescent="0.3">
      <c r="A475" s="23">
        <v>471</v>
      </c>
      <c r="B475" s="24" t="s">
        <v>2789</v>
      </c>
      <c r="C475" s="25" t="s">
        <v>2790</v>
      </c>
      <c r="D475" s="23" t="s">
        <v>1850</v>
      </c>
      <c r="E475" s="43">
        <v>46125</v>
      </c>
      <c r="F475" s="26" t="s">
        <v>23</v>
      </c>
      <c r="G475" s="26" t="s">
        <v>24</v>
      </c>
      <c r="H475" s="26" t="s">
        <v>25</v>
      </c>
      <c r="I475" s="26" t="s">
        <v>26</v>
      </c>
      <c r="J475" s="26" t="s">
        <v>24</v>
      </c>
      <c r="K475" s="27"/>
      <c r="L475" s="28" t="s">
        <v>25</v>
      </c>
      <c r="M475" s="29" t="str">
        <f t="shared" si="35"/>
        <v>✓ OK</v>
      </c>
      <c r="N475" s="43">
        <v>46193</v>
      </c>
      <c r="O475" s="26" t="s">
        <v>23</v>
      </c>
      <c r="P475" s="26" t="s">
        <v>24</v>
      </c>
      <c r="Q475" s="26" t="s">
        <v>25</v>
      </c>
      <c r="R475" s="26" t="s">
        <v>26</v>
      </c>
      <c r="S475" s="26" t="s">
        <v>24</v>
      </c>
      <c r="T475" s="27"/>
      <c r="U475" s="28" t="s">
        <v>25</v>
      </c>
      <c r="V475" s="29" t="str">
        <f t="shared" si="36"/>
        <v>✓ OK</v>
      </c>
      <c r="W475" s="45">
        <v>46248</v>
      </c>
      <c r="X475" s="30" t="s">
        <v>23</v>
      </c>
      <c r="Y475" s="30" t="s">
        <v>24</v>
      </c>
      <c r="Z475" s="30" t="s">
        <v>25</v>
      </c>
      <c r="AA475" s="30" t="s">
        <v>26</v>
      </c>
      <c r="AB475" s="30" t="s">
        <v>24</v>
      </c>
      <c r="AC475" s="27"/>
      <c r="AD475" s="31" t="s">
        <v>25</v>
      </c>
      <c r="AE475" s="32" t="str">
        <f t="shared" si="37"/>
        <v>✓ OK</v>
      </c>
      <c r="AF475" s="33" t="s">
        <v>27</v>
      </c>
      <c r="AG475" s="33" t="s">
        <v>23</v>
      </c>
      <c r="AH475" s="33" t="s">
        <v>24</v>
      </c>
      <c r="AI475" s="33" t="s">
        <v>25</v>
      </c>
      <c r="AJ475" s="33" t="s">
        <v>26</v>
      </c>
      <c r="AK475" s="33" t="s">
        <v>24</v>
      </c>
      <c r="AL475" s="27"/>
      <c r="AM475" s="34" t="s">
        <v>25</v>
      </c>
      <c r="AN475" s="35" t="str">
        <f t="shared" si="38"/>
        <v>✓ OK</v>
      </c>
      <c r="AO475" s="36"/>
      <c r="AP475" s="36"/>
      <c r="AQ475" s="36"/>
      <c r="AR475" s="36"/>
      <c r="AS475" s="36"/>
      <c r="AT475" s="36"/>
      <c r="AU475" s="27"/>
      <c r="AV475" s="37"/>
      <c r="AW475" s="38" t="str">
        <f t="shared" si="39"/>
        <v/>
      </c>
    </row>
    <row r="476" spans="1:49" ht="18" customHeight="1" x14ac:dyDescent="0.3">
      <c r="A476" s="39">
        <v>472</v>
      </c>
      <c r="B476" s="40" t="s">
        <v>2791</v>
      </c>
      <c r="C476" s="41" t="s">
        <v>2792</v>
      </c>
      <c r="D476" s="39" t="s">
        <v>1850</v>
      </c>
      <c r="E476" s="43">
        <v>46125</v>
      </c>
      <c r="F476" s="26" t="s">
        <v>23</v>
      </c>
      <c r="G476" s="26" t="s">
        <v>24</v>
      </c>
      <c r="H476" s="26" t="s">
        <v>25</v>
      </c>
      <c r="I476" s="26" t="s">
        <v>26</v>
      </c>
      <c r="J476" s="26" t="s">
        <v>24</v>
      </c>
      <c r="K476" s="27"/>
      <c r="L476" s="28" t="s">
        <v>25</v>
      </c>
      <c r="M476" s="29" t="str">
        <f t="shared" si="35"/>
        <v>✓ OK</v>
      </c>
      <c r="N476" s="43">
        <v>46193</v>
      </c>
      <c r="O476" s="26" t="s">
        <v>23</v>
      </c>
      <c r="P476" s="26" t="s">
        <v>24</v>
      </c>
      <c r="Q476" s="26" t="s">
        <v>25</v>
      </c>
      <c r="R476" s="26" t="s">
        <v>26</v>
      </c>
      <c r="S476" s="26" t="s">
        <v>24</v>
      </c>
      <c r="T476" s="27"/>
      <c r="U476" s="28" t="s">
        <v>25</v>
      </c>
      <c r="V476" s="29" t="str">
        <f t="shared" si="36"/>
        <v>✓ OK</v>
      </c>
      <c r="W476" s="45">
        <v>46248</v>
      </c>
      <c r="X476" s="30" t="s">
        <v>23</v>
      </c>
      <c r="Y476" s="30" t="s">
        <v>24</v>
      </c>
      <c r="Z476" s="30" t="s">
        <v>25</v>
      </c>
      <c r="AA476" s="30" t="s">
        <v>26</v>
      </c>
      <c r="AB476" s="30" t="s">
        <v>24</v>
      </c>
      <c r="AC476" s="27"/>
      <c r="AD476" s="31" t="s">
        <v>25</v>
      </c>
      <c r="AE476" s="32" t="str">
        <f t="shared" si="37"/>
        <v>✓ OK</v>
      </c>
      <c r="AF476" s="33" t="s">
        <v>27</v>
      </c>
      <c r="AG476" s="33" t="s">
        <v>23</v>
      </c>
      <c r="AH476" s="33" t="s">
        <v>24</v>
      </c>
      <c r="AI476" s="33" t="s">
        <v>25</v>
      </c>
      <c r="AJ476" s="33" t="s">
        <v>26</v>
      </c>
      <c r="AK476" s="33" t="s">
        <v>24</v>
      </c>
      <c r="AL476" s="27"/>
      <c r="AM476" s="34" t="s">
        <v>25</v>
      </c>
      <c r="AN476" s="35" t="str">
        <f t="shared" si="38"/>
        <v>✓ OK</v>
      </c>
      <c r="AO476" s="36"/>
      <c r="AP476" s="36"/>
      <c r="AQ476" s="36"/>
      <c r="AR476" s="36"/>
      <c r="AS476" s="36"/>
      <c r="AT476" s="36"/>
      <c r="AU476" s="27"/>
      <c r="AV476" s="37"/>
      <c r="AW476" s="38" t="str">
        <f t="shared" si="39"/>
        <v/>
      </c>
    </row>
    <row r="477" spans="1:49" ht="18" customHeight="1" x14ac:dyDescent="0.3">
      <c r="A477" s="23">
        <v>473</v>
      </c>
      <c r="B477" s="24" t="s">
        <v>2793</v>
      </c>
      <c r="C477" s="25" t="s">
        <v>2794</v>
      </c>
      <c r="D477" s="23" t="s">
        <v>1850</v>
      </c>
      <c r="E477" s="43">
        <v>46125</v>
      </c>
      <c r="F477" s="26" t="s">
        <v>23</v>
      </c>
      <c r="G477" s="26" t="s">
        <v>24</v>
      </c>
      <c r="H477" s="26" t="s">
        <v>25</v>
      </c>
      <c r="I477" s="26" t="s">
        <v>26</v>
      </c>
      <c r="J477" s="26" t="s">
        <v>24</v>
      </c>
      <c r="K477" s="27"/>
      <c r="L477" s="28" t="s">
        <v>25</v>
      </c>
      <c r="M477" s="29" t="str">
        <f t="shared" si="35"/>
        <v>✓ OK</v>
      </c>
      <c r="N477" s="43">
        <v>46193</v>
      </c>
      <c r="O477" s="26" t="s">
        <v>23</v>
      </c>
      <c r="P477" s="26" t="s">
        <v>24</v>
      </c>
      <c r="Q477" s="26" t="s">
        <v>25</v>
      </c>
      <c r="R477" s="26" t="s">
        <v>26</v>
      </c>
      <c r="S477" s="26" t="s">
        <v>24</v>
      </c>
      <c r="T477" s="27"/>
      <c r="U477" s="28" t="s">
        <v>25</v>
      </c>
      <c r="V477" s="29" t="str">
        <f t="shared" si="36"/>
        <v>✓ OK</v>
      </c>
      <c r="W477" s="45">
        <v>46248</v>
      </c>
      <c r="X477" s="30" t="s">
        <v>23</v>
      </c>
      <c r="Y477" s="30" t="s">
        <v>24</v>
      </c>
      <c r="Z477" s="30" t="s">
        <v>25</v>
      </c>
      <c r="AA477" s="30" t="s">
        <v>26</v>
      </c>
      <c r="AB477" s="30" t="s">
        <v>24</v>
      </c>
      <c r="AC477" s="27"/>
      <c r="AD477" s="31" t="s">
        <v>25</v>
      </c>
      <c r="AE477" s="32" t="str">
        <f t="shared" si="37"/>
        <v>✓ OK</v>
      </c>
      <c r="AF477" s="33" t="s">
        <v>27</v>
      </c>
      <c r="AG477" s="33" t="s">
        <v>23</v>
      </c>
      <c r="AH477" s="33" t="s">
        <v>24</v>
      </c>
      <c r="AI477" s="33" t="s">
        <v>25</v>
      </c>
      <c r="AJ477" s="33" t="s">
        <v>26</v>
      </c>
      <c r="AK477" s="33" t="s">
        <v>24</v>
      </c>
      <c r="AL477" s="27"/>
      <c r="AM477" s="34" t="s">
        <v>25</v>
      </c>
      <c r="AN477" s="35" t="str">
        <f t="shared" si="38"/>
        <v>✓ OK</v>
      </c>
      <c r="AO477" s="36"/>
      <c r="AP477" s="36"/>
      <c r="AQ477" s="36"/>
      <c r="AR477" s="36"/>
      <c r="AS477" s="36"/>
      <c r="AT477" s="36"/>
      <c r="AU477" s="27"/>
      <c r="AV477" s="37"/>
      <c r="AW477" s="38" t="str">
        <f t="shared" si="39"/>
        <v/>
      </c>
    </row>
    <row r="478" spans="1:49" ht="18" customHeight="1" x14ac:dyDescent="0.3">
      <c r="A478" s="39">
        <v>474</v>
      </c>
      <c r="B478" s="40" t="s">
        <v>2795</v>
      </c>
      <c r="C478" s="41" t="s">
        <v>2796</v>
      </c>
      <c r="D478" s="39" t="s">
        <v>1850</v>
      </c>
      <c r="E478" s="43">
        <v>46125</v>
      </c>
      <c r="F478" s="26" t="s">
        <v>23</v>
      </c>
      <c r="G478" s="26" t="s">
        <v>24</v>
      </c>
      <c r="H478" s="26" t="s">
        <v>25</v>
      </c>
      <c r="I478" s="26" t="s">
        <v>26</v>
      </c>
      <c r="J478" s="26" t="s">
        <v>24</v>
      </c>
      <c r="K478" s="27"/>
      <c r="L478" s="28" t="s">
        <v>25</v>
      </c>
      <c r="M478" s="29" t="str">
        <f t="shared" si="35"/>
        <v>✓ OK</v>
      </c>
      <c r="N478" s="43">
        <v>46193</v>
      </c>
      <c r="O478" s="26" t="s">
        <v>23</v>
      </c>
      <c r="P478" s="26" t="s">
        <v>24</v>
      </c>
      <c r="Q478" s="26" t="s">
        <v>25</v>
      </c>
      <c r="R478" s="26" t="s">
        <v>26</v>
      </c>
      <c r="S478" s="26" t="s">
        <v>24</v>
      </c>
      <c r="T478" s="27"/>
      <c r="U478" s="28" t="s">
        <v>25</v>
      </c>
      <c r="V478" s="29" t="str">
        <f t="shared" si="36"/>
        <v>✓ OK</v>
      </c>
      <c r="W478" s="45">
        <v>46248</v>
      </c>
      <c r="X478" s="30" t="s">
        <v>23</v>
      </c>
      <c r="Y478" s="30" t="s">
        <v>24</v>
      </c>
      <c r="Z478" s="30" t="s">
        <v>25</v>
      </c>
      <c r="AA478" s="30" t="s">
        <v>26</v>
      </c>
      <c r="AB478" s="30" t="s">
        <v>24</v>
      </c>
      <c r="AC478" s="27"/>
      <c r="AD478" s="31" t="s">
        <v>25</v>
      </c>
      <c r="AE478" s="32" t="str">
        <f t="shared" si="37"/>
        <v>✓ OK</v>
      </c>
      <c r="AF478" s="33" t="s">
        <v>27</v>
      </c>
      <c r="AG478" s="33" t="s">
        <v>23</v>
      </c>
      <c r="AH478" s="33" t="s">
        <v>24</v>
      </c>
      <c r="AI478" s="33" t="s">
        <v>25</v>
      </c>
      <c r="AJ478" s="33" t="s">
        <v>26</v>
      </c>
      <c r="AK478" s="33" t="s">
        <v>24</v>
      </c>
      <c r="AL478" s="27"/>
      <c r="AM478" s="34" t="s">
        <v>25</v>
      </c>
      <c r="AN478" s="35" t="str">
        <f t="shared" si="38"/>
        <v>✓ OK</v>
      </c>
      <c r="AO478" s="36"/>
      <c r="AP478" s="36"/>
      <c r="AQ478" s="36"/>
      <c r="AR478" s="36"/>
      <c r="AS478" s="36"/>
      <c r="AT478" s="36"/>
      <c r="AU478" s="27"/>
      <c r="AV478" s="37"/>
      <c r="AW478" s="38" t="str">
        <f t="shared" si="39"/>
        <v/>
      </c>
    </row>
    <row r="479" spans="1:49" ht="18" customHeight="1" x14ac:dyDescent="0.3">
      <c r="A479" s="23">
        <v>475</v>
      </c>
      <c r="B479" s="24" t="s">
        <v>2797</v>
      </c>
      <c r="C479" s="25" t="s">
        <v>2798</v>
      </c>
      <c r="D479" s="23" t="s">
        <v>1850</v>
      </c>
      <c r="E479" s="43">
        <v>46125</v>
      </c>
      <c r="F479" s="26" t="s">
        <v>23</v>
      </c>
      <c r="G479" s="26" t="s">
        <v>24</v>
      </c>
      <c r="H479" s="26" t="s">
        <v>25</v>
      </c>
      <c r="I479" s="26" t="s">
        <v>26</v>
      </c>
      <c r="J479" s="26" t="s">
        <v>24</v>
      </c>
      <c r="K479" s="27"/>
      <c r="L479" s="28" t="s">
        <v>25</v>
      </c>
      <c r="M479" s="29" t="str">
        <f t="shared" si="35"/>
        <v>✓ OK</v>
      </c>
      <c r="N479" s="43">
        <v>46193</v>
      </c>
      <c r="O479" s="26" t="s">
        <v>23</v>
      </c>
      <c r="P479" s="26" t="s">
        <v>24</v>
      </c>
      <c r="Q479" s="26" t="s">
        <v>25</v>
      </c>
      <c r="R479" s="26" t="s">
        <v>26</v>
      </c>
      <c r="S479" s="26" t="s">
        <v>24</v>
      </c>
      <c r="T479" s="27"/>
      <c r="U479" s="28" t="s">
        <v>25</v>
      </c>
      <c r="V479" s="29" t="str">
        <f t="shared" si="36"/>
        <v>✓ OK</v>
      </c>
      <c r="W479" s="45">
        <v>46248</v>
      </c>
      <c r="X479" s="30" t="s">
        <v>23</v>
      </c>
      <c r="Y479" s="30" t="s">
        <v>24</v>
      </c>
      <c r="Z479" s="30" t="s">
        <v>25</v>
      </c>
      <c r="AA479" s="30" t="s">
        <v>26</v>
      </c>
      <c r="AB479" s="30" t="s">
        <v>24</v>
      </c>
      <c r="AC479" s="27"/>
      <c r="AD479" s="31" t="s">
        <v>25</v>
      </c>
      <c r="AE479" s="32" t="str">
        <f t="shared" si="37"/>
        <v>✓ OK</v>
      </c>
      <c r="AF479" s="33" t="s">
        <v>27</v>
      </c>
      <c r="AG479" s="33" t="s">
        <v>23</v>
      </c>
      <c r="AH479" s="33" t="s">
        <v>24</v>
      </c>
      <c r="AI479" s="33" t="s">
        <v>25</v>
      </c>
      <c r="AJ479" s="33" t="s">
        <v>26</v>
      </c>
      <c r="AK479" s="33" t="s">
        <v>24</v>
      </c>
      <c r="AL479" s="27"/>
      <c r="AM479" s="34" t="s">
        <v>25</v>
      </c>
      <c r="AN479" s="35" t="str">
        <f t="shared" si="38"/>
        <v>✓ OK</v>
      </c>
      <c r="AO479" s="36"/>
      <c r="AP479" s="36"/>
      <c r="AQ479" s="36"/>
      <c r="AR479" s="36"/>
      <c r="AS479" s="36"/>
      <c r="AT479" s="36"/>
      <c r="AU479" s="27"/>
      <c r="AV479" s="37"/>
      <c r="AW479" s="38" t="str">
        <f t="shared" si="39"/>
        <v/>
      </c>
    </row>
    <row r="480" spans="1:49" ht="18" customHeight="1" x14ac:dyDescent="0.3">
      <c r="A480" s="39">
        <v>476</v>
      </c>
      <c r="B480" s="40" t="s">
        <v>2799</v>
      </c>
      <c r="C480" s="41" t="s">
        <v>2800</v>
      </c>
      <c r="D480" s="39" t="s">
        <v>1850</v>
      </c>
      <c r="E480" s="43">
        <v>46125</v>
      </c>
      <c r="F480" s="26" t="s">
        <v>23</v>
      </c>
      <c r="G480" s="26" t="s">
        <v>24</v>
      </c>
      <c r="H480" s="26" t="s">
        <v>25</v>
      </c>
      <c r="I480" s="26" t="s">
        <v>26</v>
      </c>
      <c r="J480" s="26" t="s">
        <v>24</v>
      </c>
      <c r="K480" s="27"/>
      <c r="L480" s="28" t="s">
        <v>25</v>
      </c>
      <c r="M480" s="29" t="str">
        <f t="shared" si="35"/>
        <v>✓ OK</v>
      </c>
      <c r="N480" s="43">
        <v>46193</v>
      </c>
      <c r="O480" s="26" t="s">
        <v>23</v>
      </c>
      <c r="P480" s="26" t="s">
        <v>24</v>
      </c>
      <c r="Q480" s="26" t="s">
        <v>25</v>
      </c>
      <c r="R480" s="26" t="s">
        <v>26</v>
      </c>
      <c r="S480" s="26" t="s">
        <v>24</v>
      </c>
      <c r="T480" s="27"/>
      <c r="U480" s="28" t="s">
        <v>25</v>
      </c>
      <c r="V480" s="29" t="str">
        <f t="shared" si="36"/>
        <v>✓ OK</v>
      </c>
      <c r="W480" s="45">
        <v>46248</v>
      </c>
      <c r="X480" s="30" t="s">
        <v>23</v>
      </c>
      <c r="Y480" s="30" t="s">
        <v>24</v>
      </c>
      <c r="Z480" s="30" t="s">
        <v>25</v>
      </c>
      <c r="AA480" s="30" t="s">
        <v>26</v>
      </c>
      <c r="AB480" s="30" t="s">
        <v>24</v>
      </c>
      <c r="AC480" s="27"/>
      <c r="AD480" s="31" t="s">
        <v>25</v>
      </c>
      <c r="AE480" s="32" t="str">
        <f t="shared" si="37"/>
        <v>✓ OK</v>
      </c>
      <c r="AF480" s="33" t="s">
        <v>27</v>
      </c>
      <c r="AG480" s="33" t="s">
        <v>23</v>
      </c>
      <c r="AH480" s="33" t="s">
        <v>24</v>
      </c>
      <c r="AI480" s="33" t="s">
        <v>25</v>
      </c>
      <c r="AJ480" s="33" t="s">
        <v>26</v>
      </c>
      <c r="AK480" s="33" t="s">
        <v>24</v>
      </c>
      <c r="AL480" s="27"/>
      <c r="AM480" s="34" t="s">
        <v>25</v>
      </c>
      <c r="AN480" s="35" t="str">
        <f t="shared" si="38"/>
        <v>✓ OK</v>
      </c>
      <c r="AO480" s="36"/>
      <c r="AP480" s="36"/>
      <c r="AQ480" s="36"/>
      <c r="AR480" s="36"/>
      <c r="AS480" s="36"/>
      <c r="AT480" s="36"/>
      <c r="AU480" s="27"/>
      <c r="AV480" s="37"/>
      <c r="AW480" s="38" t="str">
        <f t="shared" si="39"/>
        <v/>
      </c>
    </row>
    <row r="481" spans="1:49" ht="18" customHeight="1" x14ac:dyDescent="0.3">
      <c r="A481" s="23">
        <v>477</v>
      </c>
      <c r="B481" s="24" t="s">
        <v>2801</v>
      </c>
      <c r="C481" s="25" t="s">
        <v>2802</v>
      </c>
      <c r="D481" s="23" t="s">
        <v>1850</v>
      </c>
      <c r="E481" s="43">
        <v>46125</v>
      </c>
      <c r="F481" s="26" t="s">
        <v>23</v>
      </c>
      <c r="G481" s="26" t="s">
        <v>24</v>
      </c>
      <c r="H481" s="26" t="s">
        <v>25</v>
      </c>
      <c r="I481" s="26" t="s">
        <v>26</v>
      </c>
      <c r="J481" s="26" t="s">
        <v>24</v>
      </c>
      <c r="K481" s="27"/>
      <c r="L481" s="28" t="s">
        <v>25</v>
      </c>
      <c r="M481" s="29" t="str">
        <f t="shared" si="35"/>
        <v>✓ OK</v>
      </c>
      <c r="N481" s="43">
        <v>46193</v>
      </c>
      <c r="O481" s="26" t="s">
        <v>23</v>
      </c>
      <c r="P481" s="26" t="s">
        <v>24</v>
      </c>
      <c r="Q481" s="26" t="s">
        <v>25</v>
      </c>
      <c r="R481" s="26" t="s">
        <v>26</v>
      </c>
      <c r="S481" s="26" t="s">
        <v>24</v>
      </c>
      <c r="T481" s="27"/>
      <c r="U481" s="28" t="s">
        <v>25</v>
      </c>
      <c r="V481" s="29" t="str">
        <f t="shared" si="36"/>
        <v>✓ OK</v>
      </c>
      <c r="W481" s="45">
        <v>46248</v>
      </c>
      <c r="X481" s="30" t="s">
        <v>23</v>
      </c>
      <c r="Y481" s="30" t="s">
        <v>24</v>
      </c>
      <c r="Z481" s="30" t="s">
        <v>25</v>
      </c>
      <c r="AA481" s="30" t="s">
        <v>26</v>
      </c>
      <c r="AB481" s="30" t="s">
        <v>24</v>
      </c>
      <c r="AC481" s="27"/>
      <c r="AD481" s="31" t="s">
        <v>25</v>
      </c>
      <c r="AE481" s="32" t="str">
        <f t="shared" si="37"/>
        <v>✓ OK</v>
      </c>
      <c r="AF481" s="33" t="s">
        <v>27</v>
      </c>
      <c r="AG481" s="33" t="s">
        <v>23</v>
      </c>
      <c r="AH481" s="33" t="s">
        <v>24</v>
      </c>
      <c r="AI481" s="33" t="s">
        <v>25</v>
      </c>
      <c r="AJ481" s="33" t="s">
        <v>26</v>
      </c>
      <c r="AK481" s="33" t="s">
        <v>24</v>
      </c>
      <c r="AL481" s="27"/>
      <c r="AM481" s="34" t="s">
        <v>25</v>
      </c>
      <c r="AN481" s="35" t="str">
        <f t="shared" si="38"/>
        <v>✓ OK</v>
      </c>
      <c r="AO481" s="36"/>
      <c r="AP481" s="36"/>
      <c r="AQ481" s="36"/>
      <c r="AR481" s="36"/>
      <c r="AS481" s="36"/>
      <c r="AT481" s="36"/>
      <c r="AU481" s="27"/>
      <c r="AV481" s="37"/>
      <c r="AW481" s="38" t="str">
        <f t="shared" si="39"/>
        <v/>
      </c>
    </row>
    <row r="482" spans="1:49" ht="18" customHeight="1" x14ac:dyDescent="0.3">
      <c r="A482" s="39">
        <v>478</v>
      </c>
      <c r="B482" s="40" t="s">
        <v>2803</v>
      </c>
      <c r="C482" s="41" t="s">
        <v>2804</v>
      </c>
      <c r="D482" s="39" t="s">
        <v>1850</v>
      </c>
      <c r="E482" s="43">
        <v>46125</v>
      </c>
      <c r="F482" s="26" t="s">
        <v>23</v>
      </c>
      <c r="G482" s="26" t="s">
        <v>24</v>
      </c>
      <c r="H482" s="26" t="s">
        <v>25</v>
      </c>
      <c r="I482" s="26" t="s">
        <v>26</v>
      </c>
      <c r="J482" s="26" t="s">
        <v>24</v>
      </c>
      <c r="K482" s="27"/>
      <c r="L482" s="28" t="s">
        <v>25</v>
      </c>
      <c r="M482" s="29" t="str">
        <f t="shared" si="35"/>
        <v>✓ OK</v>
      </c>
      <c r="N482" s="43">
        <v>46193</v>
      </c>
      <c r="O482" s="26" t="s">
        <v>23</v>
      </c>
      <c r="P482" s="26" t="s">
        <v>24</v>
      </c>
      <c r="Q482" s="26" t="s">
        <v>25</v>
      </c>
      <c r="R482" s="26" t="s">
        <v>26</v>
      </c>
      <c r="S482" s="26" t="s">
        <v>24</v>
      </c>
      <c r="T482" s="27"/>
      <c r="U482" s="28" t="s">
        <v>25</v>
      </c>
      <c r="V482" s="29" t="str">
        <f t="shared" si="36"/>
        <v>✓ OK</v>
      </c>
      <c r="W482" s="45">
        <v>46248</v>
      </c>
      <c r="X482" s="30" t="s">
        <v>23</v>
      </c>
      <c r="Y482" s="30" t="s">
        <v>24</v>
      </c>
      <c r="Z482" s="30" t="s">
        <v>25</v>
      </c>
      <c r="AA482" s="30" t="s">
        <v>26</v>
      </c>
      <c r="AB482" s="30" t="s">
        <v>24</v>
      </c>
      <c r="AC482" s="27"/>
      <c r="AD482" s="31" t="s">
        <v>25</v>
      </c>
      <c r="AE482" s="32" t="str">
        <f t="shared" si="37"/>
        <v>✓ OK</v>
      </c>
      <c r="AF482" s="33" t="s">
        <v>27</v>
      </c>
      <c r="AG482" s="33" t="s">
        <v>23</v>
      </c>
      <c r="AH482" s="33" t="s">
        <v>24</v>
      </c>
      <c r="AI482" s="33" t="s">
        <v>25</v>
      </c>
      <c r="AJ482" s="33" t="s">
        <v>26</v>
      </c>
      <c r="AK482" s="33" t="s">
        <v>24</v>
      </c>
      <c r="AL482" s="27"/>
      <c r="AM482" s="34" t="s">
        <v>25</v>
      </c>
      <c r="AN482" s="35" t="str">
        <f t="shared" si="38"/>
        <v>✓ OK</v>
      </c>
      <c r="AO482" s="36"/>
      <c r="AP482" s="36"/>
      <c r="AQ482" s="36"/>
      <c r="AR482" s="36"/>
      <c r="AS482" s="36"/>
      <c r="AT482" s="36"/>
      <c r="AU482" s="27"/>
      <c r="AV482" s="37"/>
      <c r="AW482" s="38" t="str">
        <f t="shared" si="39"/>
        <v/>
      </c>
    </row>
    <row r="483" spans="1:49" ht="18" customHeight="1" x14ac:dyDescent="0.3">
      <c r="A483" s="23">
        <v>479</v>
      </c>
      <c r="B483" s="24" t="s">
        <v>2805</v>
      </c>
      <c r="C483" s="25" t="s">
        <v>2806</v>
      </c>
      <c r="D483" s="23" t="s">
        <v>1850</v>
      </c>
      <c r="E483" s="43">
        <v>46125</v>
      </c>
      <c r="F483" s="26" t="s">
        <v>23</v>
      </c>
      <c r="G483" s="26" t="s">
        <v>24</v>
      </c>
      <c r="H483" s="26" t="s">
        <v>25</v>
      </c>
      <c r="I483" s="26" t="s">
        <v>26</v>
      </c>
      <c r="J483" s="26" t="s">
        <v>24</v>
      </c>
      <c r="K483" s="27"/>
      <c r="L483" s="28" t="s">
        <v>25</v>
      </c>
      <c r="M483" s="29" t="str">
        <f t="shared" si="35"/>
        <v>✓ OK</v>
      </c>
      <c r="N483" s="43">
        <v>46193</v>
      </c>
      <c r="O483" s="26" t="s">
        <v>23</v>
      </c>
      <c r="P483" s="26" t="s">
        <v>24</v>
      </c>
      <c r="Q483" s="26" t="s">
        <v>25</v>
      </c>
      <c r="R483" s="26" t="s">
        <v>26</v>
      </c>
      <c r="S483" s="26" t="s">
        <v>24</v>
      </c>
      <c r="T483" s="27"/>
      <c r="U483" s="28" t="s">
        <v>25</v>
      </c>
      <c r="V483" s="29" t="str">
        <f t="shared" si="36"/>
        <v>✓ OK</v>
      </c>
      <c r="W483" s="45">
        <v>46248</v>
      </c>
      <c r="X483" s="30" t="s">
        <v>23</v>
      </c>
      <c r="Y483" s="30" t="s">
        <v>24</v>
      </c>
      <c r="Z483" s="30" t="s">
        <v>25</v>
      </c>
      <c r="AA483" s="30" t="s">
        <v>26</v>
      </c>
      <c r="AB483" s="30" t="s">
        <v>24</v>
      </c>
      <c r="AC483" s="27"/>
      <c r="AD483" s="31" t="s">
        <v>25</v>
      </c>
      <c r="AE483" s="32" t="str">
        <f t="shared" si="37"/>
        <v>✓ OK</v>
      </c>
      <c r="AF483" s="33" t="s">
        <v>27</v>
      </c>
      <c r="AG483" s="33" t="s">
        <v>23</v>
      </c>
      <c r="AH483" s="33" t="s">
        <v>24</v>
      </c>
      <c r="AI483" s="33" t="s">
        <v>25</v>
      </c>
      <c r="AJ483" s="33" t="s">
        <v>26</v>
      </c>
      <c r="AK483" s="33" t="s">
        <v>24</v>
      </c>
      <c r="AL483" s="27"/>
      <c r="AM483" s="34" t="s">
        <v>25</v>
      </c>
      <c r="AN483" s="35" t="str">
        <f t="shared" si="38"/>
        <v>✓ OK</v>
      </c>
      <c r="AO483" s="36"/>
      <c r="AP483" s="36"/>
      <c r="AQ483" s="36"/>
      <c r="AR483" s="36"/>
      <c r="AS483" s="36"/>
      <c r="AT483" s="36"/>
      <c r="AU483" s="27"/>
      <c r="AV483" s="37"/>
      <c r="AW483" s="38" t="str">
        <f t="shared" si="39"/>
        <v/>
      </c>
    </row>
    <row r="484" spans="1:49" ht="18" customHeight="1" x14ac:dyDescent="0.3">
      <c r="A484" s="39">
        <v>480</v>
      </c>
      <c r="B484" s="40" t="s">
        <v>2807</v>
      </c>
      <c r="C484" s="41" t="s">
        <v>2808</v>
      </c>
      <c r="D484" s="39" t="s">
        <v>1850</v>
      </c>
      <c r="E484" s="43">
        <v>46125</v>
      </c>
      <c r="F484" s="26" t="s">
        <v>23</v>
      </c>
      <c r="G484" s="26" t="s">
        <v>24</v>
      </c>
      <c r="H484" s="26" t="s">
        <v>25</v>
      </c>
      <c r="I484" s="26" t="s">
        <v>26</v>
      </c>
      <c r="J484" s="26" t="s">
        <v>24</v>
      </c>
      <c r="K484" s="27"/>
      <c r="L484" s="28" t="s">
        <v>25</v>
      </c>
      <c r="M484" s="29" t="str">
        <f t="shared" si="35"/>
        <v>✓ OK</v>
      </c>
      <c r="N484" s="43">
        <v>46193</v>
      </c>
      <c r="O484" s="26" t="s">
        <v>23</v>
      </c>
      <c r="P484" s="26" t="s">
        <v>24</v>
      </c>
      <c r="Q484" s="26" t="s">
        <v>25</v>
      </c>
      <c r="R484" s="26" t="s">
        <v>26</v>
      </c>
      <c r="S484" s="26" t="s">
        <v>24</v>
      </c>
      <c r="T484" s="27"/>
      <c r="U484" s="28" t="s">
        <v>25</v>
      </c>
      <c r="V484" s="29" t="str">
        <f t="shared" si="36"/>
        <v>✓ OK</v>
      </c>
      <c r="W484" s="45">
        <v>46248</v>
      </c>
      <c r="X484" s="30" t="s">
        <v>23</v>
      </c>
      <c r="Y484" s="30" t="s">
        <v>24</v>
      </c>
      <c r="Z484" s="30" t="s">
        <v>25</v>
      </c>
      <c r="AA484" s="30" t="s">
        <v>26</v>
      </c>
      <c r="AB484" s="30" t="s">
        <v>24</v>
      </c>
      <c r="AC484" s="27"/>
      <c r="AD484" s="31" t="s">
        <v>25</v>
      </c>
      <c r="AE484" s="32" t="str">
        <f t="shared" si="37"/>
        <v>✓ OK</v>
      </c>
      <c r="AF484" s="33" t="s">
        <v>27</v>
      </c>
      <c r="AG484" s="33" t="s">
        <v>23</v>
      </c>
      <c r="AH484" s="33" t="s">
        <v>24</v>
      </c>
      <c r="AI484" s="33" t="s">
        <v>25</v>
      </c>
      <c r="AJ484" s="33" t="s">
        <v>26</v>
      </c>
      <c r="AK484" s="33" t="s">
        <v>24</v>
      </c>
      <c r="AL484" s="27"/>
      <c r="AM484" s="34" t="s">
        <v>25</v>
      </c>
      <c r="AN484" s="35" t="str">
        <f t="shared" si="38"/>
        <v>✓ OK</v>
      </c>
      <c r="AO484" s="36"/>
      <c r="AP484" s="36"/>
      <c r="AQ484" s="36"/>
      <c r="AR484" s="36"/>
      <c r="AS484" s="36"/>
      <c r="AT484" s="36"/>
      <c r="AU484" s="27"/>
      <c r="AV484" s="37"/>
      <c r="AW484" s="38" t="str">
        <f t="shared" si="39"/>
        <v/>
      </c>
    </row>
    <row r="485" spans="1:49" ht="18" customHeight="1" x14ac:dyDescent="0.3">
      <c r="A485" s="23">
        <v>481</v>
      </c>
      <c r="B485" s="24" t="s">
        <v>2809</v>
      </c>
      <c r="C485" s="25" t="s">
        <v>2810</v>
      </c>
      <c r="D485" s="23" t="s">
        <v>1850</v>
      </c>
      <c r="E485" s="43">
        <v>46125</v>
      </c>
      <c r="F485" s="26" t="s">
        <v>23</v>
      </c>
      <c r="G485" s="26" t="s">
        <v>24</v>
      </c>
      <c r="H485" s="26" t="s">
        <v>25</v>
      </c>
      <c r="I485" s="26" t="s">
        <v>26</v>
      </c>
      <c r="J485" s="26" t="s">
        <v>24</v>
      </c>
      <c r="K485" s="27"/>
      <c r="L485" s="28" t="s">
        <v>25</v>
      </c>
      <c r="M485" s="29" t="str">
        <f t="shared" si="35"/>
        <v>✓ OK</v>
      </c>
      <c r="N485" s="43">
        <v>46193</v>
      </c>
      <c r="O485" s="26" t="s">
        <v>23</v>
      </c>
      <c r="P485" s="26" t="s">
        <v>24</v>
      </c>
      <c r="Q485" s="26" t="s">
        <v>25</v>
      </c>
      <c r="R485" s="26" t="s">
        <v>26</v>
      </c>
      <c r="S485" s="26" t="s">
        <v>24</v>
      </c>
      <c r="T485" s="27"/>
      <c r="U485" s="28" t="s">
        <v>25</v>
      </c>
      <c r="V485" s="29" t="str">
        <f t="shared" si="36"/>
        <v>✓ OK</v>
      </c>
      <c r="W485" s="45">
        <v>46248</v>
      </c>
      <c r="X485" s="30" t="s">
        <v>23</v>
      </c>
      <c r="Y485" s="30" t="s">
        <v>24</v>
      </c>
      <c r="Z485" s="30" t="s">
        <v>25</v>
      </c>
      <c r="AA485" s="30" t="s">
        <v>26</v>
      </c>
      <c r="AB485" s="30" t="s">
        <v>24</v>
      </c>
      <c r="AC485" s="27"/>
      <c r="AD485" s="31" t="s">
        <v>25</v>
      </c>
      <c r="AE485" s="32" t="str">
        <f t="shared" si="37"/>
        <v>✓ OK</v>
      </c>
      <c r="AF485" s="33" t="s">
        <v>27</v>
      </c>
      <c r="AG485" s="33" t="s">
        <v>23</v>
      </c>
      <c r="AH485" s="33" t="s">
        <v>24</v>
      </c>
      <c r="AI485" s="33" t="s">
        <v>25</v>
      </c>
      <c r="AJ485" s="33" t="s">
        <v>26</v>
      </c>
      <c r="AK485" s="33" t="s">
        <v>24</v>
      </c>
      <c r="AL485" s="27"/>
      <c r="AM485" s="34" t="s">
        <v>25</v>
      </c>
      <c r="AN485" s="35" t="str">
        <f t="shared" si="38"/>
        <v>✓ OK</v>
      </c>
      <c r="AO485" s="36"/>
      <c r="AP485" s="36"/>
      <c r="AQ485" s="36"/>
      <c r="AR485" s="36"/>
      <c r="AS485" s="36"/>
      <c r="AT485" s="36"/>
      <c r="AU485" s="27"/>
      <c r="AV485" s="37"/>
      <c r="AW485" s="38" t="str">
        <f t="shared" si="39"/>
        <v/>
      </c>
    </row>
    <row r="486" spans="1:49" ht="18" customHeight="1" x14ac:dyDescent="0.3">
      <c r="A486" s="39">
        <v>482</v>
      </c>
      <c r="B486" s="40" t="s">
        <v>2811</v>
      </c>
      <c r="C486" s="41" t="s">
        <v>2812</v>
      </c>
      <c r="D486" s="39" t="s">
        <v>1850</v>
      </c>
      <c r="E486" s="43">
        <v>46125</v>
      </c>
      <c r="F486" s="26" t="s">
        <v>23</v>
      </c>
      <c r="G486" s="26" t="s">
        <v>24</v>
      </c>
      <c r="H486" s="26" t="s">
        <v>25</v>
      </c>
      <c r="I486" s="26" t="s">
        <v>26</v>
      </c>
      <c r="J486" s="26" t="s">
        <v>24</v>
      </c>
      <c r="K486" s="27"/>
      <c r="L486" s="28" t="s">
        <v>25</v>
      </c>
      <c r="M486" s="29" t="str">
        <f t="shared" si="35"/>
        <v>✓ OK</v>
      </c>
      <c r="N486" s="43">
        <v>46193</v>
      </c>
      <c r="O486" s="26" t="s">
        <v>23</v>
      </c>
      <c r="P486" s="26" t="s">
        <v>24</v>
      </c>
      <c r="Q486" s="26" t="s">
        <v>25</v>
      </c>
      <c r="R486" s="26" t="s">
        <v>26</v>
      </c>
      <c r="S486" s="26" t="s">
        <v>24</v>
      </c>
      <c r="T486" s="27"/>
      <c r="U486" s="28" t="s">
        <v>25</v>
      </c>
      <c r="V486" s="29" t="str">
        <f t="shared" si="36"/>
        <v>✓ OK</v>
      </c>
      <c r="W486" s="45">
        <v>46248</v>
      </c>
      <c r="X486" s="30" t="s">
        <v>23</v>
      </c>
      <c r="Y486" s="30" t="s">
        <v>24</v>
      </c>
      <c r="Z486" s="30" t="s">
        <v>25</v>
      </c>
      <c r="AA486" s="30" t="s">
        <v>26</v>
      </c>
      <c r="AB486" s="30" t="s">
        <v>24</v>
      </c>
      <c r="AC486" s="27"/>
      <c r="AD486" s="31" t="s">
        <v>25</v>
      </c>
      <c r="AE486" s="32" t="str">
        <f t="shared" si="37"/>
        <v>✓ OK</v>
      </c>
      <c r="AF486" s="33" t="s">
        <v>27</v>
      </c>
      <c r="AG486" s="33" t="s">
        <v>23</v>
      </c>
      <c r="AH486" s="33" t="s">
        <v>24</v>
      </c>
      <c r="AI486" s="33" t="s">
        <v>25</v>
      </c>
      <c r="AJ486" s="33" t="s">
        <v>26</v>
      </c>
      <c r="AK486" s="33" t="s">
        <v>24</v>
      </c>
      <c r="AL486" s="27"/>
      <c r="AM486" s="34" t="s">
        <v>25</v>
      </c>
      <c r="AN486" s="35" t="str">
        <f t="shared" si="38"/>
        <v>✓ OK</v>
      </c>
      <c r="AO486" s="36"/>
      <c r="AP486" s="36"/>
      <c r="AQ486" s="36"/>
      <c r="AR486" s="36"/>
      <c r="AS486" s="36"/>
      <c r="AT486" s="36"/>
      <c r="AU486" s="27"/>
      <c r="AV486" s="37"/>
      <c r="AW486" s="38" t="str">
        <f t="shared" si="39"/>
        <v/>
      </c>
    </row>
    <row r="487" spans="1:49" ht="18" customHeight="1" x14ac:dyDescent="0.3">
      <c r="A487" s="23">
        <v>483</v>
      </c>
      <c r="B487" s="24" t="s">
        <v>2813</v>
      </c>
      <c r="C487" s="25" t="s">
        <v>2814</v>
      </c>
      <c r="D487" s="23" t="s">
        <v>1850</v>
      </c>
      <c r="E487" s="43">
        <v>46125</v>
      </c>
      <c r="F487" s="26" t="s">
        <v>23</v>
      </c>
      <c r="G487" s="26" t="s">
        <v>24</v>
      </c>
      <c r="H487" s="26" t="s">
        <v>25</v>
      </c>
      <c r="I487" s="26" t="s">
        <v>26</v>
      </c>
      <c r="J487" s="26" t="s">
        <v>24</v>
      </c>
      <c r="K487" s="27"/>
      <c r="L487" s="28" t="s">
        <v>25</v>
      </c>
      <c r="M487" s="29" t="str">
        <f t="shared" si="35"/>
        <v>✓ OK</v>
      </c>
      <c r="N487" s="43">
        <v>46193</v>
      </c>
      <c r="O487" s="26" t="s">
        <v>23</v>
      </c>
      <c r="P487" s="26" t="s">
        <v>24</v>
      </c>
      <c r="Q487" s="26" t="s">
        <v>25</v>
      </c>
      <c r="R487" s="26" t="s">
        <v>26</v>
      </c>
      <c r="S487" s="26" t="s">
        <v>24</v>
      </c>
      <c r="T487" s="27"/>
      <c r="U487" s="28" t="s">
        <v>25</v>
      </c>
      <c r="V487" s="29" t="str">
        <f t="shared" si="36"/>
        <v>✓ OK</v>
      </c>
      <c r="W487" s="45">
        <v>46248</v>
      </c>
      <c r="X487" s="30" t="s">
        <v>23</v>
      </c>
      <c r="Y487" s="30" t="s">
        <v>24</v>
      </c>
      <c r="Z487" s="30" t="s">
        <v>25</v>
      </c>
      <c r="AA487" s="30" t="s">
        <v>26</v>
      </c>
      <c r="AB487" s="30" t="s">
        <v>24</v>
      </c>
      <c r="AC487" s="27"/>
      <c r="AD487" s="31" t="s">
        <v>25</v>
      </c>
      <c r="AE487" s="32" t="str">
        <f t="shared" si="37"/>
        <v>✓ OK</v>
      </c>
      <c r="AF487" s="33" t="s">
        <v>27</v>
      </c>
      <c r="AG487" s="33" t="s">
        <v>23</v>
      </c>
      <c r="AH487" s="33" t="s">
        <v>24</v>
      </c>
      <c r="AI487" s="33" t="s">
        <v>25</v>
      </c>
      <c r="AJ487" s="33" t="s">
        <v>26</v>
      </c>
      <c r="AK487" s="33" t="s">
        <v>24</v>
      </c>
      <c r="AL487" s="27"/>
      <c r="AM487" s="34" t="s">
        <v>25</v>
      </c>
      <c r="AN487" s="35" t="str">
        <f t="shared" si="38"/>
        <v>✓ OK</v>
      </c>
      <c r="AO487" s="36"/>
      <c r="AP487" s="36"/>
      <c r="AQ487" s="36"/>
      <c r="AR487" s="36"/>
      <c r="AS487" s="36"/>
      <c r="AT487" s="36"/>
      <c r="AU487" s="27"/>
      <c r="AV487" s="37"/>
      <c r="AW487" s="38" t="str">
        <f t="shared" si="39"/>
        <v/>
      </c>
    </row>
    <row r="488" spans="1:49" ht="18" customHeight="1" x14ac:dyDescent="0.3">
      <c r="A488" s="39">
        <v>484</v>
      </c>
      <c r="B488" s="40" t="s">
        <v>2815</v>
      </c>
      <c r="C488" s="41" t="s">
        <v>2816</v>
      </c>
      <c r="D488" s="39" t="s">
        <v>1850</v>
      </c>
      <c r="E488" s="43">
        <v>46125</v>
      </c>
      <c r="F488" s="26" t="s">
        <v>23</v>
      </c>
      <c r="G488" s="26" t="s">
        <v>24</v>
      </c>
      <c r="H488" s="26" t="s">
        <v>25</v>
      </c>
      <c r="I488" s="26" t="s">
        <v>26</v>
      </c>
      <c r="J488" s="26" t="s">
        <v>24</v>
      </c>
      <c r="K488" s="27"/>
      <c r="L488" s="28" t="s">
        <v>25</v>
      </c>
      <c r="M488" s="29" t="str">
        <f t="shared" si="35"/>
        <v>✓ OK</v>
      </c>
      <c r="N488" s="43">
        <v>46193</v>
      </c>
      <c r="O488" s="26" t="s">
        <v>23</v>
      </c>
      <c r="P488" s="26" t="s">
        <v>24</v>
      </c>
      <c r="Q488" s="26" t="s">
        <v>25</v>
      </c>
      <c r="R488" s="26" t="s">
        <v>26</v>
      </c>
      <c r="S488" s="26" t="s">
        <v>24</v>
      </c>
      <c r="T488" s="27"/>
      <c r="U488" s="28" t="s">
        <v>25</v>
      </c>
      <c r="V488" s="29" t="str">
        <f t="shared" si="36"/>
        <v>✓ OK</v>
      </c>
      <c r="W488" s="45">
        <v>46248</v>
      </c>
      <c r="X488" s="30" t="s">
        <v>23</v>
      </c>
      <c r="Y488" s="30" t="s">
        <v>24</v>
      </c>
      <c r="Z488" s="30" t="s">
        <v>25</v>
      </c>
      <c r="AA488" s="30" t="s">
        <v>26</v>
      </c>
      <c r="AB488" s="30" t="s">
        <v>24</v>
      </c>
      <c r="AC488" s="27"/>
      <c r="AD488" s="31" t="s">
        <v>25</v>
      </c>
      <c r="AE488" s="32" t="str">
        <f t="shared" si="37"/>
        <v>✓ OK</v>
      </c>
      <c r="AF488" s="33" t="s">
        <v>27</v>
      </c>
      <c r="AG488" s="33" t="s">
        <v>23</v>
      </c>
      <c r="AH488" s="33" t="s">
        <v>24</v>
      </c>
      <c r="AI488" s="33" t="s">
        <v>25</v>
      </c>
      <c r="AJ488" s="33" t="s">
        <v>26</v>
      </c>
      <c r="AK488" s="33" t="s">
        <v>24</v>
      </c>
      <c r="AL488" s="27"/>
      <c r="AM488" s="34" t="s">
        <v>25</v>
      </c>
      <c r="AN488" s="35" t="str">
        <f t="shared" si="38"/>
        <v>✓ OK</v>
      </c>
      <c r="AO488" s="36"/>
      <c r="AP488" s="36"/>
      <c r="AQ488" s="36"/>
      <c r="AR488" s="36"/>
      <c r="AS488" s="36"/>
      <c r="AT488" s="36"/>
      <c r="AU488" s="27"/>
      <c r="AV488" s="37"/>
      <c r="AW488" s="38" t="str">
        <f t="shared" si="39"/>
        <v/>
      </c>
    </row>
    <row r="489" spans="1:49" ht="18" customHeight="1" x14ac:dyDescent="0.3">
      <c r="A489" s="23">
        <v>485</v>
      </c>
      <c r="B489" s="24" t="s">
        <v>2817</v>
      </c>
      <c r="C489" s="25" t="s">
        <v>2818</v>
      </c>
      <c r="D489" s="23" t="s">
        <v>2819</v>
      </c>
      <c r="E489" s="43">
        <v>46126</v>
      </c>
      <c r="F489" s="26" t="s">
        <v>23</v>
      </c>
      <c r="G489" s="26" t="s">
        <v>24</v>
      </c>
      <c r="H489" s="26" t="s">
        <v>25</v>
      </c>
      <c r="I489" s="26" t="s">
        <v>26</v>
      </c>
      <c r="J489" s="26" t="s">
        <v>24</v>
      </c>
      <c r="K489" s="27"/>
      <c r="L489" s="28" t="s">
        <v>25</v>
      </c>
      <c r="M489" s="29" t="str">
        <f t="shared" si="35"/>
        <v>✓ OK</v>
      </c>
      <c r="N489" s="43">
        <v>46193</v>
      </c>
      <c r="O489" s="26" t="s">
        <v>23</v>
      </c>
      <c r="P489" s="26" t="s">
        <v>24</v>
      </c>
      <c r="Q489" s="26" t="s">
        <v>25</v>
      </c>
      <c r="R489" s="26" t="s">
        <v>26</v>
      </c>
      <c r="S489" s="26" t="s">
        <v>24</v>
      </c>
      <c r="T489" s="27"/>
      <c r="U489" s="28" t="s">
        <v>25</v>
      </c>
      <c r="V489" s="29" t="str">
        <f t="shared" si="36"/>
        <v>✓ OK</v>
      </c>
      <c r="W489" s="45">
        <v>46248</v>
      </c>
      <c r="X489" s="30" t="s">
        <v>23</v>
      </c>
      <c r="Y489" s="30" t="s">
        <v>24</v>
      </c>
      <c r="Z489" s="30" t="s">
        <v>25</v>
      </c>
      <c r="AA489" s="30" t="s">
        <v>26</v>
      </c>
      <c r="AB489" s="30" t="s">
        <v>24</v>
      </c>
      <c r="AC489" s="27"/>
      <c r="AD489" s="31" t="s">
        <v>25</v>
      </c>
      <c r="AE489" s="32" t="str">
        <f t="shared" si="37"/>
        <v>✓ OK</v>
      </c>
      <c r="AF489" s="33" t="s">
        <v>27</v>
      </c>
      <c r="AG489" s="33" t="s">
        <v>23</v>
      </c>
      <c r="AH489" s="33" t="s">
        <v>24</v>
      </c>
      <c r="AI489" s="33" t="s">
        <v>25</v>
      </c>
      <c r="AJ489" s="33" t="s">
        <v>26</v>
      </c>
      <c r="AK489" s="33" t="s">
        <v>24</v>
      </c>
      <c r="AL489" s="27"/>
      <c r="AM489" s="34" t="s">
        <v>25</v>
      </c>
      <c r="AN489" s="35" t="str">
        <f t="shared" si="38"/>
        <v>✓ OK</v>
      </c>
      <c r="AO489" s="36"/>
      <c r="AP489" s="36"/>
      <c r="AQ489" s="36"/>
      <c r="AR489" s="36"/>
      <c r="AS489" s="36"/>
      <c r="AT489" s="36"/>
      <c r="AU489" s="27"/>
      <c r="AV489" s="37"/>
      <c r="AW489" s="38" t="str">
        <f t="shared" si="39"/>
        <v/>
      </c>
    </row>
    <row r="490" spans="1:49" ht="18" customHeight="1" x14ac:dyDescent="0.3">
      <c r="A490" s="39">
        <v>486</v>
      </c>
      <c r="B490" s="40" t="s">
        <v>2820</v>
      </c>
      <c r="C490" s="41" t="s">
        <v>2821</v>
      </c>
      <c r="D490" s="39" t="s">
        <v>2819</v>
      </c>
      <c r="E490" s="43">
        <v>46126</v>
      </c>
      <c r="F490" s="26" t="s">
        <v>23</v>
      </c>
      <c r="G490" s="26" t="s">
        <v>24</v>
      </c>
      <c r="H490" s="26" t="s">
        <v>25</v>
      </c>
      <c r="I490" s="26" t="s">
        <v>26</v>
      </c>
      <c r="J490" s="26" t="s">
        <v>24</v>
      </c>
      <c r="K490" s="27"/>
      <c r="L490" s="28" t="s">
        <v>25</v>
      </c>
      <c r="M490" s="29" t="str">
        <f t="shared" si="35"/>
        <v>✓ OK</v>
      </c>
      <c r="N490" s="43">
        <v>46193</v>
      </c>
      <c r="O490" s="26" t="s">
        <v>23</v>
      </c>
      <c r="P490" s="26" t="s">
        <v>24</v>
      </c>
      <c r="Q490" s="26" t="s">
        <v>25</v>
      </c>
      <c r="R490" s="26" t="s">
        <v>26</v>
      </c>
      <c r="S490" s="26" t="s">
        <v>24</v>
      </c>
      <c r="T490" s="27"/>
      <c r="U490" s="28" t="s">
        <v>25</v>
      </c>
      <c r="V490" s="29" t="str">
        <f t="shared" si="36"/>
        <v>✓ OK</v>
      </c>
      <c r="W490" s="45">
        <v>46248</v>
      </c>
      <c r="X490" s="30" t="s">
        <v>23</v>
      </c>
      <c r="Y490" s="30" t="s">
        <v>24</v>
      </c>
      <c r="Z490" s="30" t="s">
        <v>25</v>
      </c>
      <c r="AA490" s="30" t="s">
        <v>26</v>
      </c>
      <c r="AB490" s="30" t="s">
        <v>24</v>
      </c>
      <c r="AC490" s="27"/>
      <c r="AD490" s="31" t="s">
        <v>25</v>
      </c>
      <c r="AE490" s="32" t="str">
        <f t="shared" si="37"/>
        <v>✓ OK</v>
      </c>
      <c r="AF490" s="33" t="s">
        <v>27</v>
      </c>
      <c r="AG490" s="33" t="s">
        <v>23</v>
      </c>
      <c r="AH490" s="33" t="s">
        <v>24</v>
      </c>
      <c r="AI490" s="33" t="s">
        <v>25</v>
      </c>
      <c r="AJ490" s="33" t="s">
        <v>26</v>
      </c>
      <c r="AK490" s="33" t="s">
        <v>24</v>
      </c>
      <c r="AL490" s="27"/>
      <c r="AM490" s="34" t="s">
        <v>25</v>
      </c>
      <c r="AN490" s="35" t="str">
        <f t="shared" si="38"/>
        <v>✓ OK</v>
      </c>
      <c r="AO490" s="36"/>
      <c r="AP490" s="36"/>
      <c r="AQ490" s="36"/>
      <c r="AR490" s="36"/>
      <c r="AS490" s="36"/>
      <c r="AT490" s="36"/>
      <c r="AU490" s="27"/>
      <c r="AV490" s="37"/>
      <c r="AW490" s="38" t="str">
        <f t="shared" si="39"/>
        <v/>
      </c>
    </row>
    <row r="491" spans="1:49" ht="18" customHeight="1" x14ac:dyDescent="0.3">
      <c r="A491" s="23">
        <v>487</v>
      </c>
      <c r="B491" s="24" t="s">
        <v>2822</v>
      </c>
      <c r="C491" s="25" t="s">
        <v>2823</v>
      </c>
      <c r="D491" s="23" t="s">
        <v>2819</v>
      </c>
      <c r="E491" s="43">
        <v>46126</v>
      </c>
      <c r="F491" s="26" t="s">
        <v>23</v>
      </c>
      <c r="G491" s="26" t="s">
        <v>24</v>
      </c>
      <c r="H491" s="26" t="s">
        <v>25</v>
      </c>
      <c r="I491" s="26" t="s">
        <v>26</v>
      </c>
      <c r="J491" s="26" t="s">
        <v>24</v>
      </c>
      <c r="K491" s="27"/>
      <c r="L491" s="28" t="s">
        <v>25</v>
      </c>
      <c r="M491" s="29" t="str">
        <f t="shared" si="35"/>
        <v>✓ OK</v>
      </c>
      <c r="N491" s="43">
        <v>46193</v>
      </c>
      <c r="O491" s="26" t="s">
        <v>23</v>
      </c>
      <c r="P491" s="26" t="s">
        <v>24</v>
      </c>
      <c r="Q491" s="26" t="s">
        <v>25</v>
      </c>
      <c r="R491" s="26" t="s">
        <v>26</v>
      </c>
      <c r="S491" s="26" t="s">
        <v>24</v>
      </c>
      <c r="T491" s="27"/>
      <c r="U491" s="28" t="s">
        <v>25</v>
      </c>
      <c r="V491" s="29" t="str">
        <f t="shared" si="36"/>
        <v>✓ OK</v>
      </c>
      <c r="W491" s="45">
        <v>46248</v>
      </c>
      <c r="X491" s="30" t="s">
        <v>23</v>
      </c>
      <c r="Y491" s="30" t="s">
        <v>24</v>
      </c>
      <c r="Z491" s="30" t="s">
        <v>25</v>
      </c>
      <c r="AA491" s="30" t="s">
        <v>26</v>
      </c>
      <c r="AB491" s="30" t="s">
        <v>24</v>
      </c>
      <c r="AC491" s="27"/>
      <c r="AD491" s="31" t="s">
        <v>25</v>
      </c>
      <c r="AE491" s="32" t="str">
        <f t="shared" si="37"/>
        <v>✓ OK</v>
      </c>
      <c r="AF491" s="33" t="s">
        <v>27</v>
      </c>
      <c r="AG491" s="33" t="s">
        <v>23</v>
      </c>
      <c r="AH491" s="33" t="s">
        <v>24</v>
      </c>
      <c r="AI491" s="33" t="s">
        <v>25</v>
      </c>
      <c r="AJ491" s="33" t="s">
        <v>26</v>
      </c>
      <c r="AK491" s="33" t="s">
        <v>24</v>
      </c>
      <c r="AL491" s="27"/>
      <c r="AM491" s="34" t="s">
        <v>25</v>
      </c>
      <c r="AN491" s="35" t="str">
        <f t="shared" si="38"/>
        <v>✓ OK</v>
      </c>
      <c r="AO491" s="36"/>
      <c r="AP491" s="36"/>
      <c r="AQ491" s="36"/>
      <c r="AR491" s="36"/>
      <c r="AS491" s="36"/>
      <c r="AT491" s="36"/>
      <c r="AU491" s="27"/>
      <c r="AV491" s="37"/>
      <c r="AW491" s="38" t="str">
        <f t="shared" si="39"/>
        <v/>
      </c>
    </row>
    <row r="492" spans="1:49" ht="18" customHeight="1" x14ac:dyDescent="0.3">
      <c r="A492" s="39">
        <v>488</v>
      </c>
      <c r="B492" s="40" t="s">
        <v>2824</v>
      </c>
      <c r="C492" s="41" t="s">
        <v>2825</v>
      </c>
      <c r="D492" s="39" t="s">
        <v>2819</v>
      </c>
      <c r="E492" s="43">
        <v>46126</v>
      </c>
      <c r="F492" s="26" t="s">
        <v>23</v>
      </c>
      <c r="G492" s="26" t="s">
        <v>24</v>
      </c>
      <c r="H492" s="26" t="s">
        <v>25</v>
      </c>
      <c r="I492" s="26" t="s">
        <v>26</v>
      </c>
      <c r="J492" s="26" t="s">
        <v>24</v>
      </c>
      <c r="K492" s="27"/>
      <c r="L492" s="28" t="s">
        <v>25</v>
      </c>
      <c r="M492" s="29" t="str">
        <f t="shared" si="35"/>
        <v>✓ OK</v>
      </c>
      <c r="N492" s="43">
        <v>46193</v>
      </c>
      <c r="O492" s="26" t="s">
        <v>23</v>
      </c>
      <c r="P492" s="26" t="s">
        <v>24</v>
      </c>
      <c r="Q492" s="26" t="s">
        <v>25</v>
      </c>
      <c r="R492" s="26" t="s">
        <v>26</v>
      </c>
      <c r="S492" s="26" t="s">
        <v>24</v>
      </c>
      <c r="T492" s="27"/>
      <c r="U492" s="28" t="s">
        <v>25</v>
      </c>
      <c r="V492" s="29" t="str">
        <f t="shared" si="36"/>
        <v>✓ OK</v>
      </c>
      <c r="W492" s="45">
        <v>46248</v>
      </c>
      <c r="X492" s="30" t="s">
        <v>23</v>
      </c>
      <c r="Y492" s="30" t="s">
        <v>24</v>
      </c>
      <c r="Z492" s="30" t="s">
        <v>25</v>
      </c>
      <c r="AA492" s="30" t="s">
        <v>26</v>
      </c>
      <c r="AB492" s="30" t="s">
        <v>24</v>
      </c>
      <c r="AC492" s="27"/>
      <c r="AD492" s="31" t="s">
        <v>25</v>
      </c>
      <c r="AE492" s="32" t="str">
        <f t="shared" si="37"/>
        <v>✓ OK</v>
      </c>
      <c r="AF492" s="33" t="s">
        <v>27</v>
      </c>
      <c r="AG492" s="33" t="s">
        <v>23</v>
      </c>
      <c r="AH492" s="33" t="s">
        <v>24</v>
      </c>
      <c r="AI492" s="33" t="s">
        <v>25</v>
      </c>
      <c r="AJ492" s="33" t="s">
        <v>26</v>
      </c>
      <c r="AK492" s="33" t="s">
        <v>24</v>
      </c>
      <c r="AL492" s="27"/>
      <c r="AM492" s="34" t="s">
        <v>25</v>
      </c>
      <c r="AN492" s="35" t="str">
        <f t="shared" si="38"/>
        <v>✓ OK</v>
      </c>
      <c r="AO492" s="36"/>
      <c r="AP492" s="36"/>
      <c r="AQ492" s="36"/>
      <c r="AR492" s="36"/>
      <c r="AS492" s="36"/>
      <c r="AT492" s="36"/>
      <c r="AU492" s="27"/>
      <c r="AV492" s="37"/>
      <c r="AW492" s="38" t="str">
        <f t="shared" si="39"/>
        <v/>
      </c>
    </row>
    <row r="493" spans="1:49" ht="18" customHeight="1" x14ac:dyDescent="0.3">
      <c r="A493" s="23">
        <v>489</v>
      </c>
      <c r="B493" s="24" t="s">
        <v>2826</v>
      </c>
      <c r="C493" s="25" t="s">
        <v>2827</v>
      </c>
      <c r="D493" s="23" t="s">
        <v>2819</v>
      </c>
      <c r="E493" s="43">
        <v>46126</v>
      </c>
      <c r="F493" s="26" t="s">
        <v>23</v>
      </c>
      <c r="G493" s="26" t="s">
        <v>24</v>
      </c>
      <c r="H493" s="26" t="s">
        <v>25</v>
      </c>
      <c r="I493" s="26" t="s">
        <v>26</v>
      </c>
      <c r="J493" s="26" t="s">
        <v>24</v>
      </c>
      <c r="K493" s="27"/>
      <c r="L493" s="28" t="s">
        <v>25</v>
      </c>
      <c r="M493" s="29" t="str">
        <f t="shared" si="35"/>
        <v>✓ OK</v>
      </c>
      <c r="N493" s="43">
        <v>46193</v>
      </c>
      <c r="O493" s="26" t="s">
        <v>23</v>
      </c>
      <c r="P493" s="26" t="s">
        <v>24</v>
      </c>
      <c r="Q493" s="26" t="s">
        <v>25</v>
      </c>
      <c r="R493" s="26" t="s">
        <v>26</v>
      </c>
      <c r="S493" s="26" t="s">
        <v>24</v>
      </c>
      <c r="T493" s="27"/>
      <c r="U493" s="28" t="s">
        <v>25</v>
      </c>
      <c r="V493" s="29" t="str">
        <f t="shared" si="36"/>
        <v>✓ OK</v>
      </c>
      <c r="W493" s="45">
        <v>46248</v>
      </c>
      <c r="X493" s="30" t="s">
        <v>23</v>
      </c>
      <c r="Y493" s="30" t="s">
        <v>24</v>
      </c>
      <c r="Z493" s="30" t="s">
        <v>25</v>
      </c>
      <c r="AA493" s="30" t="s">
        <v>26</v>
      </c>
      <c r="AB493" s="30" t="s">
        <v>24</v>
      </c>
      <c r="AC493" s="27"/>
      <c r="AD493" s="31" t="s">
        <v>25</v>
      </c>
      <c r="AE493" s="32" t="str">
        <f t="shared" si="37"/>
        <v>✓ OK</v>
      </c>
      <c r="AF493" s="33" t="s">
        <v>27</v>
      </c>
      <c r="AG493" s="33" t="s">
        <v>23</v>
      </c>
      <c r="AH493" s="33" t="s">
        <v>24</v>
      </c>
      <c r="AI493" s="33" t="s">
        <v>25</v>
      </c>
      <c r="AJ493" s="33" t="s">
        <v>26</v>
      </c>
      <c r="AK493" s="33" t="s">
        <v>24</v>
      </c>
      <c r="AL493" s="27"/>
      <c r="AM493" s="34" t="s">
        <v>25</v>
      </c>
      <c r="AN493" s="35" t="str">
        <f t="shared" si="38"/>
        <v>✓ OK</v>
      </c>
      <c r="AO493" s="36"/>
      <c r="AP493" s="36"/>
      <c r="AQ493" s="36"/>
      <c r="AR493" s="36"/>
      <c r="AS493" s="36"/>
      <c r="AT493" s="36"/>
      <c r="AU493" s="27"/>
      <c r="AV493" s="37"/>
      <c r="AW493" s="38" t="str">
        <f t="shared" si="39"/>
        <v/>
      </c>
    </row>
    <row r="494" spans="1:49" ht="18" customHeight="1" x14ac:dyDescent="0.3">
      <c r="A494" s="39">
        <v>490</v>
      </c>
      <c r="B494" s="40" t="s">
        <v>2828</v>
      </c>
      <c r="C494" s="41" t="s">
        <v>2829</v>
      </c>
      <c r="D494" s="39" t="s">
        <v>2819</v>
      </c>
      <c r="E494" s="43">
        <v>46126</v>
      </c>
      <c r="F494" s="26" t="s">
        <v>23</v>
      </c>
      <c r="G494" s="26" t="s">
        <v>24</v>
      </c>
      <c r="H494" s="26" t="s">
        <v>25</v>
      </c>
      <c r="I494" s="26" t="s">
        <v>26</v>
      </c>
      <c r="J494" s="26" t="s">
        <v>24</v>
      </c>
      <c r="K494" s="27"/>
      <c r="L494" s="28" t="s">
        <v>25</v>
      </c>
      <c r="M494" s="29" t="str">
        <f t="shared" si="35"/>
        <v>✓ OK</v>
      </c>
      <c r="N494" s="43">
        <v>46193</v>
      </c>
      <c r="O494" s="26" t="s">
        <v>23</v>
      </c>
      <c r="P494" s="26" t="s">
        <v>24</v>
      </c>
      <c r="Q494" s="26" t="s">
        <v>25</v>
      </c>
      <c r="R494" s="26" t="s">
        <v>26</v>
      </c>
      <c r="S494" s="26" t="s">
        <v>24</v>
      </c>
      <c r="T494" s="27"/>
      <c r="U494" s="28" t="s">
        <v>25</v>
      </c>
      <c r="V494" s="29" t="str">
        <f t="shared" si="36"/>
        <v>✓ OK</v>
      </c>
      <c r="W494" s="45">
        <v>46248</v>
      </c>
      <c r="X494" s="30" t="s">
        <v>23</v>
      </c>
      <c r="Y494" s="30" t="s">
        <v>24</v>
      </c>
      <c r="Z494" s="30" t="s">
        <v>25</v>
      </c>
      <c r="AA494" s="30" t="s">
        <v>26</v>
      </c>
      <c r="AB494" s="30" t="s">
        <v>24</v>
      </c>
      <c r="AC494" s="27"/>
      <c r="AD494" s="31" t="s">
        <v>25</v>
      </c>
      <c r="AE494" s="32" t="str">
        <f t="shared" si="37"/>
        <v>✓ OK</v>
      </c>
      <c r="AF494" s="33" t="s">
        <v>27</v>
      </c>
      <c r="AG494" s="33" t="s">
        <v>23</v>
      </c>
      <c r="AH494" s="33" t="s">
        <v>24</v>
      </c>
      <c r="AI494" s="33" t="s">
        <v>25</v>
      </c>
      <c r="AJ494" s="33" t="s">
        <v>26</v>
      </c>
      <c r="AK494" s="33" t="s">
        <v>24</v>
      </c>
      <c r="AL494" s="27"/>
      <c r="AM494" s="34" t="s">
        <v>25</v>
      </c>
      <c r="AN494" s="35" t="str">
        <f t="shared" si="38"/>
        <v>✓ OK</v>
      </c>
      <c r="AO494" s="36"/>
      <c r="AP494" s="36"/>
      <c r="AQ494" s="36"/>
      <c r="AR494" s="36"/>
      <c r="AS494" s="36"/>
      <c r="AT494" s="36"/>
      <c r="AU494" s="27"/>
      <c r="AV494" s="37"/>
      <c r="AW494" s="38" t="str">
        <f t="shared" si="39"/>
        <v/>
      </c>
    </row>
    <row r="495" spans="1:49" ht="18" customHeight="1" x14ac:dyDescent="0.3">
      <c r="A495" s="23">
        <v>491</v>
      </c>
      <c r="B495" s="24" t="s">
        <v>2830</v>
      </c>
      <c r="C495" s="25" t="s">
        <v>2831</v>
      </c>
      <c r="D495" s="23" t="s">
        <v>2819</v>
      </c>
      <c r="E495" s="43">
        <v>46126</v>
      </c>
      <c r="F495" s="26" t="s">
        <v>23</v>
      </c>
      <c r="G495" s="26" t="s">
        <v>24</v>
      </c>
      <c r="H495" s="26" t="s">
        <v>25</v>
      </c>
      <c r="I495" s="26" t="s">
        <v>26</v>
      </c>
      <c r="J495" s="26" t="s">
        <v>24</v>
      </c>
      <c r="K495" s="27"/>
      <c r="L495" s="28" t="s">
        <v>25</v>
      </c>
      <c r="M495" s="29" t="str">
        <f t="shared" si="35"/>
        <v>✓ OK</v>
      </c>
      <c r="N495" s="43">
        <v>46193</v>
      </c>
      <c r="O495" s="26" t="s">
        <v>23</v>
      </c>
      <c r="P495" s="26" t="s">
        <v>24</v>
      </c>
      <c r="Q495" s="26" t="s">
        <v>25</v>
      </c>
      <c r="R495" s="26" t="s">
        <v>26</v>
      </c>
      <c r="S495" s="26" t="s">
        <v>24</v>
      </c>
      <c r="T495" s="27"/>
      <c r="U495" s="28" t="s">
        <v>25</v>
      </c>
      <c r="V495" s="29" t="str">
        <f t="shared" si="36"/>
        <v>✓ OK</v>
      </c>
      <c r="W495" s="45">
        <v>46248</v>
      </c>
      <c r="X495" s="30" t="s">
        <v>23</v>
      </c>
      <c r="Y495" s="30" t="s">
        <v>24</v>
      </c>
      <c r="Z495" s="30" t="s">
        <v>25</v>
      </c>
      <c r="AA495" s="30" t="s">
        <v>26</v>
      </c>
      <c r="AB495" s="30" t="s">
        <v>24</v>
      </c>
      <c r="AC495" s="27"/>
      <c r="AD495" s="31" t="s">
        <v>25</v>
      </c>
      <c r="AE495" s="32" t="str">
        <f t="shared" si="37"/>
        <v>✓ OK</v>
      </c>
      <c r="AF495" s="33" t="s">
        <v>27</v>
      </c>
      <c r="AG495" s="33" t="s">
        <v>23</v>
      </c>
      <c r="AH495" s="33" t="s">
        <v>24</v>
      </c>
      <c r="AI495" s="33" t="s">
        <v>25</v>
      </c>
      <c r="AJ495" s="33" t="s">
        <v>26</v>
      </c>
      <c r="AK495" s="33" t="s">
        <v>24</v>
      </c>
      <c r="AL495" s="27"/>
      <c r="AM495" s="34" t="s">
        <v>25</v>
      </c>
      <c r="AN495" s="35" t="str">
        <f t="shared" si="38"/>
        <v>✓ OK</v>
      </c>
      <c r="AO495" s="36"/>
      <c r="AP495" s="36"/>
      <c r="AQ495" s="36"/>
      <c r="AR495" s="36"/>
      <c r="AS495" s="36"/>
      <c r="AT495" s="36"/>
      <c r="AU495" s="27"/>
      <c r="AV495" s="37"/>
      <c r="AW495" s="38" t="str">
        <f t="shared" si="39"/>
        <v/>
      </c>
    </row>
    <row r="496" spans="1:49" ht="18" customHeight="1" x14ac:dyDescent="0.3">
      <c r="A496" s="39">
        <v>492</v>
      </c>
      <c r="B496" s="40" t="s">
        <v>2832</v>
      </c>
      <c r="C496" s="41" t="s">
        <v>2833</v>
      </c>
      <c r="D496" s="39" t="s">
        <v>2819</v>
      </c>
      <c r="E496" s="43">
        <v>46126</v>
      </c>
      <c r="F496" s="26" t="s">
        <v>23</v>
      </c>
      <c r="G496" s="26" t="s">
        <v>24</v>
      </c>
      <c r="H496" s="26" t="s">
        <v>25</v>
      </c>
      <c r="I496" s="26" t="s">
        <v>26</v>
      </c>
      <c r="J496" s="26" t="s">
        <v>24</v>
      </c>
      <c r="K496" s="27"/>
      <c r="L496" s="28" t="s">
        <v>25</v>
      </c>
      <c r="M496" s="29" t="str">
        <f t="shared" si="35"/>
        <v>✓ OK</v>
      </c>
      <c r="N496" s="43">
        <v>46193</v>
      </c>
      <c r="O496" s="26" t="s">
        <v>23</v>
      </c>
      <c r="P496" s="26" t="s">
        <v>24</v>
      </c>
      <c r="Q496" s="26" t="s">
        <v>25</v>
      </c>
      <c r="R496" s="26" t="s">
        <v>26</v>
      </c>
      <c r="S496" s="26" t="s">
        <v>24</v>
      </c>
      <c r="T496" s="27"/>
      <c r="U496" s="28" t="s">
        <v>25</v>
      </c>
      <c r="V496" s="29" t="str">
        <f t="shared" si="36"/>
        <v>✓ OK</v>
      </c>
      <c r="W496" s="45">
        <v>46248</v>
      </c>
      <c r="X496" s="30" t="s">
        <v>23</v>
      </c>
      <c r="Y496" s="30" t="s">
        <v>24</v>
      </c>
      <c r="Z496" s="30" t="s">
        <v>25</v>
      </c>
      <c r="AA496" s="30" t="s">
        <v>26</v>
      </c>
      <c r="AB496" s="30" t="s">
        <v>24</v>
      </c>
      <c r="AC496" s="27"/>
      <c r="AD496" s="31" t="s">
        <v>25</v>
      </c>
      <c r="AE496" s="32" t="str">
        <f t="shared" si="37"/>
        <v>✓ OK</v>
      </c>
      <c r="AF496" s="33" t="s">
        <v>27</v>
      </c>
      <c r="AG496" s="33" t="s">
        <v>23</v>
      </c>
      <c r="AH496" s="33" t="s">
        <v>24</v>
      </c>
      <c r="AI496" s="33" t="s">
        <v>25</v>
      </c>
      <c r="AJ496" s="33" t="s">
        <v>26</v>
      </c>
      <c r="AK496" s="33" t="s">
        <v>24</v>
      </c>
      <c r="AL496" s="27"/>
      <c r="AM496" s="34" t="s">
        <v>25</v>
      </c>
      <c r="AN496" s="35" t="str">
        <f t="shared" si="38"/>
        <v>✓ OK</v>
      </c>
      <c r="AO496" s="36"/>
      <c r="AP496" s="36"/>
      <c r="AQ496" s="36"/>
      <c r="AR496" s="36"/>
      <c r="AS496" s="36"/>
      <c r="AT496" s="36"/>
      <c r="AU496" s="27"/>
      <c r="AV496" s="37"/>
      <c r="AW496" s="38" t="str">
        <f t="shared" si="39"/>
        <v/>
      </c>
    </row>
    <row r="497" spans="1:49" ht="18" customHeight="1" x14ac:dyDescent="0.3">
      <c r="A497" s="23">
        <v>493</v>
      </c>
      <c r="B497" s="24" t="s">
        <v>2834</v>
      </c>
      <c r="C497" s="25" t="s">
        <v>2835</v>
      </c>
      <c r="D497" s="23" t="s">
        <v>2819</v>
      </c>
      <c r="E497" s="43">
        <v>46126</v>
      </c>
      <c r="F497" s="26" t="s">
        <v>23</v>
      </c>
      <c r="G497" s="26" t="s">
        <v>24</v>
      </c>
      <c r="H497" s="26" t="s">
        <v>25</v>
      </c>
      <c r="I497" s="26" t="s">
        <v>26</v>
      </c>
      <c r="J497" s="26" t="s">
        <v>24</v>
      </c>
      <c r="K497" s="27"/>
      <c r="L497" s="28" t="s">
        <v>25</v>
      </c>
      <c r="M497" s="29" t="str">
        <f t="shared" si="35"/>
        <v>✓ OK</v>
      </c>
      <c r="N497" s="43">
        <v>46193</v>
      </c>
      <c r="O497" s="26" t="s">
        <v>23</v>
      </c>
      <c r="P497" s="26" t="s">
        <v>24</v>
      </c>
      <c r="Q497" s="26" t="s">
        <v>25</v>
      </c>
      <c r="R497" s="26" t="s">
        <v>26</v>
      </c>
      <c r="S497" s="26" t="s">
        <v>24</v>
      </c>
      <c r="T497" s="27"/>
      <c r="U497" s="28" t="s">
        <v>25</v>
      </c>
      <c r="V497" s="29" t="str">
        <f t="shared" si="36"/>
        <v>✓ OK</v>
      </c>
      <c r="W497" s="45">
        <v>46248</v>
      </c>
      <c r="X497" s="30" t="s">
        <v>23</v>
      </c>
      <c r="Y497" s="30" t="s">
        <v>24</v>
      </c>
      <c r="Z497" s="30" t="s">
        <v>25</v>
      </c>
      <c r="AA497" s="30" t="s">
        <v>26</v>
      </c>
      <c r="AB497" s="30" t="s">
        <v>24</v>
      </c>
      <c r="AC497" s="27"/>
      <c r="AD497" s="31" t="s">
        <v>25</v>
      </c>
      <c r="AE497" s="32" t="str">
        <f t="shared" si="37"/>
        <v>✓ OK</v>
      </c>
      <c r="AF497" s="33" t="s">
        <v>27</v>
      </c>
      <c r="AG497" s="33" t="s">
        <v>23</v>
      </c>
      <c r="AH497" s="33" t="s">
        <v>24</v>
      </c>
      <c r="AI497" s="33" t="s">
        <v>25</v>
      </c>
      <c r="AJ497" s="33" t="s">
        <v>26</v>
      </c>
      <c r="AK497" s="33" t="s">
        <v>24</v>
      </c>
      <c r="AL497" s="27"/>
      <c r="AM497" s="34" t="s">
        <v>25</v>
      </c>
      <c r="AN497" s="35" t="str">
        <f t="shared" si="38"/>
        <v>✓ OK</v>
      </c>
      <c r="AO497" s="36"/>
      <c r="AP497" s="36"/>
      <c r="AQ497" s="36"/>
      <c r="AR497" s="36"/>
      <c r="AS497" s="36"/>
      <c r="AT497" s="36"/>
      <c r="AU497" s="27"/>
      <c r="AV497" s="37"/>
      <c r="AW497" s="38" t="str">
        <f t="shared" si="39"/>
        <v/>
      </c>
    </row>
    <row r="498" spans="1:49" ht="18" customHeight="1" x14ac:dyDescent="0.3">
      <c r="A498" s="39">
        <v>494</v>
      </c>
      <c r="B498" s="40" t="s">
        <v>2836</v>
      </c>
      <c r="C498" s="41" t="s">
        <v>2837</v>
      </c>
      <c r="D498" s="39" t="s">
        <v>2819</v>
      </c>
      <c r="E498" s="43">
        <v>46126</v>
      </c>
      <c r="F498" s="26" t="s">
        <v>23</v>
      </c>
      <c r="G498" s="26" t="s">
        <v>24</v>
      </c>
      <c r="H498" s="26" t="s">
        <v>25</v>
      </c>
      <c r="I498" s="26" t="s">
        <v>26</v>
      </c>
      <c r="J498" s="26" t="s">
        <v>24</v>
      </c>
      <c r="K498" s="27"/>
      <c r="L498" s="28" t="s">
        <v>25</v>
      </c>
      <c r="M498" s="29" t="str">
        <f t="shared" si="35"/>
        <v>✓ OK</v>
      </c>
      <c r="N498" s="43">
        <v>46193</v>
      </c>
      <c r="O498" s="26" t="s">
        <v>23</v>
      </c>
      <c r="P498" s="26" t="s">
        <v>24</v>
      </c>
      <c r="Q498" s="26" t="s">
        <v>25</v>
      </c>
      <c r="R498" s="26" t="s">
        <v>26</v>
      </c>
      <c r="S498" s="26" t="s">
        <v>24</v>
      </c>
      <c r="T498" s="27"/>
      <c r="U498" s="28" t="s">
        <v>25</v>
      </c>
      <c r="V498" s="29" t="str">
        <f t="shared" si="36"/>
        <v>✓ OK</v>
      </c>
      <c r="W498" s="45">
        <v>46248</v>
      </c>
      <c r="X498" s="30" t="s">
        <v>23</v>
      </c>
      <c r="Y498" s="30" t="s">
        <v>24</v>
      </c>
      <c r="Z498" s="30" t="s">
        <v>25</v>
      </c>
      <c r="AA498" s="30" t="s">
        <v>26</v>
      </c>
      <c r="AB498" s="30" t="s">
        <v>24</v>
      </c>
      <c r="AC498" s="27"/>
      <c r="AD498" s="31" t="s">
        <v>25</v>
      </c>
      <c r="AE498" s="32" t="str">
        <f t="shared" si="37"/>
        <v>✓ OK</v>
      </c>
      <c r="AF498" s="33" t="s">
        <v>27</v>
      </c>
      <c r="AG498" s="33" t="s">
        <v>23</v>
      </c>
      <c r="AH498" s="33" t="s">
        <v>24</v>
      </c>
      <c r="AI498" s="33" t="s">
        <v>25</v>
      </c>
      <c r="AJ498" s="33" t="s">
        <v>26</v>
      </c>
      <c r="AK498" s="33" t="s">
        <v>24</v>
      </c>
      <c r="AL498" s="27"/>
      <c r="AM498" s="34" t="s">
        <v>25</v>
      </c>
      <c r="AN498" s="35" t="str">
        <f t="shared" si="38"/>
        <v>✓ OK</v>
      </c>
      <c r="AO498" s="36"/>
      <c r="AP498" s="36"/>
      <c r="AQ498" s="36"/>
      <c r="AR498" s="36"/>
      <c r="AS498" s="36"/>
      <c r="AT498" s="36"/>
      <c r="AU498" s="27"/>
      <c r="AV498" s="37"/>
      <c r="AW498" s="38" t="str">
        <f t="shared" si="39"/>
        <v/>
      </c>
    </row>
    <row r="499" spans="1:49" ht="18" customHeight="1" x14ac:dyDescent="0.3">
      <c r="A499" s="23">
        <v>495</v>
      </c>
      <c r="B499" s="24" t="s">
        <v>2838</v>
      </c>
      <c r="C499" s="25" t="s">
        <v>2839</v>
      </c>
      <c r="D499" s="23" t="s">
        <v>2819</v>
      </c>
      <c r="E499" s="43">
        <v>46126</v>
      </c>
      <c r="F499" s="26" t="s">
        <v>23</v>
      </c>
      <c r="G499" s="26" t="s">
        <v>24</v>
      </c>
      <c r="H499" s="26" t="s">
        <v>25</v>
      </c>
      <c r="I499" s="26" t="s">
        <v>26</v>
      </c>
      <c r="J499" s="26" t="s">
        <v>24</v>
      </c>
      <c r="K499" s="27"/>
      <c r="L499" s="28" t="s">
        <v>25</v>
      </c>
      <c r="M499" s="29" t="str">
        <f t="shared" si="35"/>
        <v>✓ OK</v>
      </c>
      <c r="N499" s="43">
        <v>46193</v>
      </c>
      <c r="O499" s="26" t="s">
        <v>23</v>
      </c>
      <c r="P499" s="26" t="s">
        <v>24</v>
      </c>
      <c r="Q499" s="26" t="s">
        <v>25</v>
      </c>
      <c r="R499" s="26" t="s">
        <v>26</v>
      </c>
      <c r="S499" s="26" t="s">
        <v>24</v>
      </c>
      <c r="T499" s="27"/>
      <c r="U499" s="28" t="s">
        <v>25</v>
      </c>
      <c r="V499" s="29" t="str">
        <f t="shared" si="36"/>
        <v>✓ OK</v>
      </c>
      <c r="W499" s="45">
        <v>46248</v>
      </c>
      <c r="X499" s="30" t="s">
        <v>23</v>
      </c>
      <c r="Y499" s="30" t="s">
        <v>24</v>
      </c>
      <c r="Z499" s="30" t="s">
        <v>25</v>
      </c>
      <c r="AA499" s="30" t="s">
        <v>26</v>
      </c>
      <c r="AB499" s="30" t="s">
        <v>24</v>
      </c>
      <c r="AC499" s="27"/>
      <c r="AD499" s="31" t="s">
        <v>25</v>
      </c>
      <c r="AE499" s="32" t="str">
        <f t="shared" si="37"/>
        <v>✓ OK</v>
      </c>
      <c r="AF499" s="33" t="s">
        <v>27</v>
      </c>
      <c r="AG499" s="33" t="s">
        <v>23</v>
      </c>
      <c r="AH499" s="33" t="s">
        <v>24</v>
      </c>
      <c r="AI499" s="33" t="s">
        <v>25</v>
      </c>
      <c r="AJ499" s="33" t="s">
        <v>26</v>
      </c>
      <c r="AK499" s="33" t="s">
        <v>24</v>
      </c>
      <c r="AL499" s="27"/>
      <c r="AM499" s="34" t="s">
        <v>25</v>
      </c>
      <c r="AN499" s="35" t="str">
        <f t="shared" si="38"/>
        <v>✓ OK</v>
      </c>
      <c r="AO499" s="36"/>
      <c r="AP499" s="36"/>
      <c r="AQ499" s="36"/>
      <c r="AR499" s="36"/>
      <c r="AS499" s="36"/>
      <c r="AT499" s="36"/>
      <c r="AU499" s="27"/>
      <c r="AV499" s="37"/>
      <c r="AW499" s="38" t="str">
        <f t="shared" si="39"/>
        <v/>
      </c>
    </row>
    <row r="500" spans="1:49" ht="18" customHeight="1" x14ac:dyDescent="0.3">
      <c r="A500" s="39">
        <v>496</v>
      </c>
      <c r="B500" s="40" t="s">
        <v>2840</v>
      </c>
      <c r="C500" s="41" t="s">
        <v>2841</v>
      </c>
      <c r="D500" s="39" t="s">
        <v>2819</v>
      </c>
      <c r="E500" s="43">
        <v>46126</v>
      </c>
      <c r="F500" s="26" t="s">
        <v>23</v>
      </c>
      <c r="G500" s="26" t="s">
        <v>24</v>
      </c>
      <c r="H500" s="26" t="s">
        <v>25</v>
      </c>
      <c r="I500" s="26" t="s">
        <v>26</v>
      </c>
      <c r="J500" s="26" t="s">
        <v>24</v>
      </c>
      <c r="K500" s="27"/>
      <c r="L500" s="28" t="s">
        <v>25</v>
      </c>
      <c r="M500" s="29" t="str">
        <f t="shared" si="35"/>
        <v>✓ OK</v>
      </c>
      <c r="N500" s="43">
        <v>46193</v>
      </c>
      <c r="O500" s="26" t="s">
        <v>23</v>
      </c>
      <c r="P500" s="26" t="s">
        <v>24</v>
      </c>
      <c r="Q500" s="26" t="s">
        <v>25</v>
      </c>
      <c r="R500" s="26" t="s">
        <v>26</v>
      </c>
      <c r="S500" s="26" t="s">
        <v>24</v>
      </c>
      <c r="T500" s="27"/>
      <c r="U500" s="28" t="s">
        <v>25</v>
      </c>
      <c r="V500" s="29" t="str">
        <f t="shared" si="36"/>
        <v>✓ OK</v>
      </c>
      <c r="W500" s="45">
        <v>46248</v>
      </c>
      <c r="X500" s="30" t="s">
        <v>23</v>
      </c>
      <c r="Y500" s="30" t="s">
        <v>24</v>
      </c>
      <c r="Z500" s="30" t="s">
        <v>25</v>
      </c>
      <c r="AA500" s="30" t="s">
        <v>26</v>
      </c>
      <c r="AB500" s="30" t="s">
        <v>24</v>
      </c>
      <c r="AC500" s="27"/>
      <c r="AD500" s="31" t="s">
        <v>25</v>
      </c>
      <c r="AE500" s="32" t="str">
        <f t="shared" si="37"/>
        <v>✓ OK</v>
      </c>
      <c r="AF500" s="33" t="s">
        <v>27</v>
      </c>
      <c r="AG500" s="33" t="s">
        <v>23</v>
      </c>
      <c r="AH500" s="33" t="s">
        <v>24</v>
      </c>
      <c r="AI500" s="33" t="s">
        <v>25</v>
      </c>
      <c r="AJ500" s="33" t="s">
        <v>26</v>
      </c>
      <c r="AK500" s="33" t="s">
        <v>24</v>
      </c>
      <c r="AL500" s="27"/>
      <c r="AM500" s="34" t="s">
        <v>25</v>
      </c>
      <c r="AN500" s="35" t="str">
        <f t="shared" si="38"/>
        <v>✓ OK</v>
      </c>
      <c r="AO500" s="36"/>
      <c r="AP500" s="36"/>
      <c r="AQ500" s="36"/>
      <c r="AR500" s="36"/>
      <c r="AS500" s="36"/>
      <c r="AT500" s="36"/>
      <c r="AU500" s="27"/>
      <c r="AV500" s="37"/>
      <c r="AW500" s="38" t="str">
        <f t="shared" si="39"/>
        <v/>
      </c>
    </row>
    <row r="501" spans="1:49" ht="18" customHeight="1" x14ac:dyDescent="0.3">
      <c r="A501" s="23">
        <v>497</v>
      </c>
      <c r="B501" s="24" t="s">
        <v>2842</v>
      </c>
      <c r="C501" s="25" t="s">
        <v>2843</v>
      </c>
      <c r="D501" s="23" t="s">
        <v>2819</v>
      </c>
      <c r="E501" s="43">
        <v>46126</v>
      </c>
      <c r="F501" s="26" t="s">
        <v>23</v>
      </c>
      <c r="G501" s="26" t="s">
        <v>24</v>
      </c>
      <c r="H501" s="26" t="s">
        <v>25</v>
      </c>
      <c r="I501" s="26" t="s">
        <v>26</v>
      </c>
      <c r="J501" s="26" t="s">
        <v>24</v>
      </c>
      <c r="K501" s="27"/>
      <c r="L501" s="28" t="s">
        <v>25</v>
      </c>
      <c r="M501" s="29" t="str">
        <f t="shared" si="35"/>
        <v>✓ OK</v>
      </c>
      <c r="N501" s="43">
        <v>46193</v>
      </c>
      <c r="O501" s="26" t="s">
        <v>23</v>
      </c>
      <c r="P501" s="26" t="s">
        <v>24</v>
      </c>
      <c r="Q501" s="26" t="s">
        <v>25</v>
      </c>
      <c r="R501" s="26" t="s">
        <v>26</v>
      </c>
      <c r="S501" s="26" t="s">
        <v>24</v>
      </c>
      <c r="T501" s="27"/>
      <c r="U501" s="28" t="s">
        <v>25</v>
      </c>
      <c r="V501" s="29" t="str">
        <f t="shared" si="36"/>
        <v>✓ OK</v>
      </c>
      <c r="W501" s="45">
        <v>46248</v>
      </c>
      <c r="X501" s="30" t="s">
        <v>23</v>
      </c>
      <c r="Y501" s="30" t="s">
        <v>24</v>
      </c>
      <c r="Z501" s="30" t="s">
        <v>25</v>
      </c>
      <c r="AA501" s="30" t="s">
        <v>26</v>
      </c>
      <c r="AB501" s="30" t="s">
        <v>24</v>
      </c>
      <c r="AC501" s="27"/>
      <c r="AD501" s="31" t="s">
        <v>25</v>
      </c>
      <c r="AE501" s="32" t="str">
        <f t="shared" si="37"/>
        <v>✓ OK</v>
      </c>
      <c r="AF501" s="33" t="s">
        <v>27</v>
      </c>
      <c r="AG501" s="33" t="s">
        <v>23</v>
      </c>
      <c r="AH501" s="33" t="s">
        <v>24</v>
      </c>
      <c r="AI501" s="33" t="s">
        <v>25</v>
      </c>
      <c r="AJ501" s="33" t="s">
        <v>26</v>
      </c>
      <c r="AK501" s="33" t="s">
        <v>24</v>
      </c>
      <c r="AL501" s="27"/>
      <c r="AM501" s="34" t="s">
        <v>25</v>
      </c>
      <c r="AN501" s="35" t="str">
        <f t="shared" si="38"/>
        <v>✓ OK</v>
      </c>
      <c r="AO501" s="36"/>
      <c r="AP501" s="36"/>
      <c r="AQ501" s="36"/>
      <c r="AR501" s="36"/>
      <c r="AS501" s="36"/>
      <c r="AT501" s="36"/>
      <c r="AU501" s="27"/>
      <c r="AV501" s="37"/>
      <c r="AW501" s="38" t="str">
        <f t="shared" si="39"/>
        <v/>
      </c>
    </row>
    <row r="502" spans="1:49" ht="18" customHeight="1" x14ac:dyDescent="0.3">
      <c r="A502" s="39">
        <v>498</v>
      </c>
      <c r="B502" s="40" t="s">
        <v>2844</v>
      </c>
      <c r="C502" s="41" t="s">
        <v>2845</v>
      </c>
      <c r="D502" s="39" t="s">
        <v>2819</v>
      </c>
      <c r="E502" s="43">
        <v>46126</v>
      </c>
      <c r="F502" s="26" t="s">
        <v>23</v>
      </c>
      <c r="G502" s="26" t="s">
        <v>24</v>
      </c>
      <c r="H502" s="26" t="s">
        <v>25</v>
      </c>
      <c r="I502" s="26" t="s">
        <v>26</v>
      </c>
      <c r="J502" s="26" t="s">
        <v>24</v>
      </c>
      <c r="K502" s="27"/>
      <c r="L502" s="28" t="s">
        <v>25</v>
      </c>
      <c r="M502" s="29" t="str">
        <f t="shared" si="35"/>
        <v>✓ OK</v>
      </c>
      <c r="N502" s="43">
        <v>46193</v>
      </c>
      <c r="O502" s="26" t="s">
        <v>23</v>
      </c>
      <c r="P502" s="26" t="s">
        <v>24</v>
      </c>
      <c r="Q502" s="26" t="s">
        <v>25</v>
      </c>
      <c r="R502" s="26" t="s">
        <v>26</v>
      </c>
      <c r="S502" s="26" t="s">
        <v>24</v>
      </c>
      <c r="T502" s="27"/>
      <c r="U502" s="28" t="s">
        <v>25</v>
      </c>
      <c r="V502" s="29" t="str">
        <f t="shared" si="36"/>
        <v>✓ OK</v>
      </c>
      <c r="W502" s="45">
        <v>46248</v>
      </c>
      <c r="X502" s="30" t="s">
        <v>23</v>
      </c>
      <c r="Y502" s="30" t="s">
        <v>24</v>
      </c>
      <c r="Z502" s="30" t="s">
        <v>25</v>
      </c>
      <c r="AA502" s="30" t="s">
        <v>26</v>
      </c>
      <c r="AB502" s="30" t="s">
        <v>24</v>
      </c>
      <c r="AC502" s="27"/>
      <c r="AD502" s="31" t="s">
        <v>25</v>
      </c>
      <c r="AE502" s="32" t="str">
        <f t="shared" si="37"/>
        <v>✓ OK</v>
      </c>
      <c r="AF502" s="33" t="s">
        <v>27</v>
      </c>
      <c r="AG502" s="33" t="s">
        <v>23</v>
      </c>
      <c r="AH502" s="33" t="s">
        <v>24</v>
      </c>
      <c r="AI502" s="33" t="s">
        <v>25</v>
      </c>
      <c r="AJ502" s="33" t="s">
        <v>26</v>
      </c>
      <c r="AK502" s="33" t="s">
        <v>24</v>
      </c>
      <c r="AL502" s="27"/>
      <c r="AM502" s="34" t="s">
        <v>25</v>
      </c>
      <c r="AN502" s="35" t="str">
        <f t="shared" si="38"/>
        <v>✓ OK</v>
      </c>
      <c r="AO502" s="36"/>
      <c r="AP502" s="36"/>
      <c r="AQ502" s="36"/>
      <c r="AR502" s="36"/>
      <c r="AS502" s="36"/>
      <c r="AT502" s="36"/>
      <c r="AU502" s="27"/>
      <c r="AV502" s="37"/>
      <c r="AW502" s="38" t="str">
        <f t="shared" si="39"/>
        <v/>
      </c>
    </row>
    <row r="503" spans="1:49" ht="18" customHeight="1" x14ac:dyDescent="0.3">
      <c r="A503" s="23">
        <v>499</v>
      </c>
      <c r="B503" s="24" t="s">
        <v>2846</v>
      </c>
      <c r="C503" s="25" t="s">
        <v>2847</v>
      </c>
      <c r="D503" s="23" t="s">
        <v>2819</v>
      </c>
      <c r="E503" s="43">
        <v>46126</v>
      </c>
      <c r="F503" s="26" t="s">
        <v>23</v>
      </c>
      <c r="G503" s="26" t="s">
        <v>24</v>
      </c>
      <c r="H503" s="26" t="s">
        <v>25</v>
      </c>
      <c r="I503" s="26" t="s">
        <v>26</v>
      </c>
      <c r="J503" s="26" t="s">
        <v>24</v>
      </c>
      <c r="K503" s="27"/>
      <c r="L503" s="28" t="s">
        <v>25</v>
      </c>
      <c r="M503" s="29" t="str">
        <f t="shared" si="35"/>
        <v>✓ OK</v>
      </c>
      <c r="N503" s="43">
        <v>46193</v>
      </c>
      <c r="O503" s="26" t="s">
        <v>23</v>
      </c>
      <c r="P503" s="26" t="s">
        <v>24</v>
      </c>
      <c r="Q503" s="26" t="s">
        <v>25</v>
      </c>
      <c r="R503" s="26" t="s">
        <v>26</v>
      </c>
      <c r="S503" s="26" t="s">
        <v>24</v>
      </c>
      <c r="T503" s="27"/>
      <c r="U503" s="28" t="s">
        <v>25</v>
      </c>
      <c r="V503" s="29" t="str">
        <f t="shared" si="36"/>
        <v>✓ OK</v>
      </c>
      <c r="W503" s="45">
        <v>46248</v>
      </c>
      <c r="X503" s="30" t="s">
        <v>23</v>
      </c>
      <c r="Y503" s="30" t="s">
        <v>24</v>
      </c>
      <c r="Z503" s="30" t="s">
        <v>25</v>
      </c>
      <c r="AA503" s="30" t="s">
        <v>26</v>
      </c>
      <c r="AB503" s="30" t="s">
        <v>24</v>
      </c>
      <c r="AC503" s="27"/>
      <c r="AD503" s="31" t="s">
        <v>25</v>
      </c>
      <c r="AE503" s="32" t="str">
        <f t="shared" si="37"/>
        <v>✓ OK</v>
      </c>
      <c r="AF503" s="33" t="s">
        <v>27</v>
      </c>
      <c r="AG503" s="33" t="s">
        <v>23</v>
      </c>
      <c r="AH503" s="33" t="s">
        <v>24</v>
      </c>
      <c r="AI503" s="33" t="s">
        <v>25</v>
      </c>
      <c r="AJ503" s="33" t="s">
        <v>26</v>
      </c>
      <c r="AK503" s="33" t="s">
        <v>24</v>
      </c>
      <c r="AL503" s="27"/>
      <c r="AM503" s="34" t="s">
        <v>25</v>
      </c>
      <c r="AN503" s="35" t="str">
        <f t="shared" si="38"/>
        <v>✓ OK</v>
      </c>
      <c r="AO503" s="36"/>
      <c r="AP503" s="36"/>
      <c r="AQ503" s="36"/>
      <c r="AR503" s="36"/>
      <c r="AS503" s="36"/>
      <c r="AT503" s="36"/>
      <c r="AU503" s="27"/>
      <c r="AV503" s="37"/>
      <c r="AW503" s="38" t="str">
        <f t="shared" si="39"/>
        <v/>
      </c>
    </row>
    <row r="504" spans="1:49" ht="18" customHeight="1" x14ac:dyDescent="0.3">
      <c r="A504" s="39">
        <v>500</v>
      </c>
      <c r="B504" s="40" t="s">
        <v>2848</v>
      </c>
      <c r="C504" s="41" t="s">
        <v>2849</v>
      </c>
      <c r="D504" s="39" t="s">
        <v>2819</v>
      </c>
      <c r="E504" s="43">
        <v>46126</v>
      </c>
      <c r="F504" s="26" t="s">
        <v>23</v>
      </c>
      <c r="G504" s="26" t="s">
        <v>24</v>
      </c>
      <c r="H504" s="26" t="s">
        <v>25</v>
      </c>
      <c r="I504" s="26" t="s">
        <v>26</v>
      </c>
      <c r="J504" s="26" t="s">
        <v>24</v>
      </c>
      <c r="K504" s="27"/>
      <c r="L504" s="28" t="s">
        <v>25</v>
      </c>
      <c r="M504" s="29" t="str">
        <f t="shared" si="35"/>
        <v>✓ OK</v>
      </c>
      <c r="N504" s="43">
        <v>46193</v>
      </c>
      <c r="O504" s="26" t="s">
        <v>23</v>
      </c>
      <c r="P504" s="26" t="s">
        <v>24</v>
      </c>
      <c r="Q504" s="26" t="s">
        <v>25</v>
      </c>
      <c r="R504" s="26" t="s">
        <v>26</v>
      </c>
      <c r="S504" s="26" t="s">
        <v>24</v>
      </c>
      <c r="T504" s="27"/>
      <c r="U504" s="28" t="s">
        <v>25</v>
      </c>
      <c r="V504" s="29" t="str">
        <f t="shared" si="36"/>
        <v>✓ OK</v>
      </c>
      <c r="W504" s="45">
        <v>46248</v>
      </c>
      <c r="X504" s="30" t="s">
        <v>23</v>
      </c>
      <c r="Y504" s="30" t="s">
        <v>24</v>
      </c>
      <c r="Z504" s="30" t="s">
        <v>25</v>
      </c>
      <c r="AA504" s="30" t="s">
        <v>26</v>
      </c>
      <c r="AB504" s="30" t="s">
        <v>24</v>
      </c>
      <c r="AC504" s="27"/>
      <c r="AD504" s="31" t="s">
        <v>25</v>
      </c>
      <c r="AE504" s="32" t="str">
        <f t="shared" si="37"/>
        <v>✓ OK</v>
      </c>
      <c r="AF504" s="33" t="s">
        <v>27</v>
      </c>
      <c r="AG504" s="33" t="s">
        <v>23</v>
      </c>
      <c r="AH504" s="33" t="s">
        <v>24</v>
      </c>
      <c r="AI504" s="33" t="s">
        <v>25</v>
      </c>
      <c r="AJ504" s="33" t="s">
        <v>26</v>
      </c>
      <c r="AK504" s="33" t="s">
        <v>24</v>
      </c>
      <c r="AL504" s="27"/>
      <c r="AM504" s="34" t="s">
        <v>25</v>
      </c>
      <c r="AN504" s="35" t="str">
        <f t="shared" si="38"/>
        <v>✓ OK</v>
      </c>
      <c r="AO504" s="36"/>
      <c r="AP504" s="36"/>
      <c r="AQ504" s="36"/>
      <c r="AR504" s="36"/>
      <c r="AS504" s="36"/>
      <c r="AT504" s="36"/>
      <c r="AU504" s="27"/>
      <c r="AV504" s="37"/>
      <c r="AW504" s="38" t="str">
        <f t="shared" si="39"/>
        <v/>
      </c>
    </row>
    <row r="505" spans="1:49" ht="18" customHeight="1" x14ac:dyDescent="0.3">
      <c r="A505" s="23">
        <v>501</v>
      </c>
      <c r="B505" s="24" t="s">
        <v>2850</v>
      </c>
      <c r="C505" s="25" t="s">
        <v>2851</v>
      </c>
      <c r="D505" s="23" t="s">
        <v>2819</v>
      </c>
      <c r="E505" s="43">
        <v>46126</v>
      </c>
      <c r="F505" s="26" t="s">
        <v>23</v>
      </c>
      <c r="G505" s="26" t="s">
        <v>24</v>
      </c>
      <c r="H505" s="26" t="s">
        <v>25</v>
      </c>
      <c r="I505" s="26" t="s">
        <v>26</v>
      </c>
      <c r="J505" s="26" t="s">
        <v>24</v>
      </c>
      <c r="K505" s="27"/>
      <c r="L505" s="28" t="s">
        <v>25</v>
      </c>
      <c r="M505" s="29" t="str">
        <f t="shared" si="35"/>
        <v>✓ OK</v>
      </c>
      <c r="N505" s="43">
        <v>46193</v>
      </c>
      <c r="O505" s="26" t="s">
        <v>23</v>
      </c>
      <c r="P505" s="26" t="s">
        <v>24</v>
      </c>
      <c r="Q505" s="26" t="s">
        <v>25</v>
      </c>
      <c r="R505" s="26" t="s">
        <v>26</v>
      </c>
      <c r="S505" s="26" t="s">
        <v>24</v>
      </c>
      <c r="T505" s="27"/>
      <c r="U505" s="28" t="s">
        <v>25</v>
      </c>
      <c r="V505" s="29" t="str">
        <f t="shared" si="36"/>
        <v>✓ OK</v>
      </c>
      <c r="W505" s="45">
        <v>46248</v>
      </c>
      <c r="X505" s="30" t="s">
        <v>23</v>
      </c>
      <c r="Y505" s="30" t="s">
        <v>24</v>
      </c>
      <c r="Z505" s="30" t="s">
        <v>25</v>
      </c>
      <c r="AA505" s="30" t="s">
        <v>26</v>
      </c>
      <c r="AB505" s="30" t="s">
        <v>24</v>
      </c>
      <c r="AC505" s="27"/>
      <c r="AD505" s="31" t="s">
        <v>25</v>
      </c>
      <c r="AE505" s="32" t="str">
        <f t="shared" si="37"/>
        <v>✓ OK</v>
      </c>
      <c r="AF505" s="33" t="s">
        <v>27</v>
      </c>
      <c r="AG505" s="33" t="s">
        <v>23</v>
      </c>
      <c r="AH505" s="33" t="s">
        <v>24</v>
      </c>
      <c r="AI505" s="33" t="s">
        <v>25</v>
      </c>
      <c r="AJ505" s="33" t="s">
        <v>26</v>
      </c>
      <c r="AK505" s="33" t="s">
        <v>24</v>
      </c>
      <c r="AL505" s="27"/>
      <c r="AM505" s="34" t="s">
        <v>25</v>
      </c>
      <c r="AN505" s="35" t="str">
        <f t="shared" si="38"/>
        <v>✓ OK</v>
      </c>
      <c r="AO505" s="36"/>
      <c r="AP505" s="36"/>
      <c r="AQ505" s="36"/>
      <c r="AR505" s="36"/>
      <c r="AS505" s="36"/>
      <c r="AT505" s="36"/>
      <c r="AU505" s="27"/>
      <c r="AV505" s="37"/>
      <c r="AW505" s="38" t="str">
        <f t="shared" si="39"/>
        <v/>
      </c>
    </row>
    <row r="506" spans="1:49" ht="18" customHeight="1" x14ac:dyDescent="0.3">
      <c r="A506" s="39">
        <v>502</v>
      </c>
      <c r="B506" s="40" t="s">
        <v>2852</v>
      </c>
      <c r="C506" s="41" t="s">
        <v>2853</v>
      </c>
      <c r="D506" s="39" t="s">
        <v>2819</v>
      </c>
      <c r="E506" s="43">
        <v>46126</v>
      </c>
      <c r="F506" s="26" t="s">
        <v>23</v>
      </c>
      <c r="G506" s="26" t="s">
        <v>24</v>
      </c>
      <c r="H506" s="26" t="s">
        <v>25</v>
      </c>
      <c r="I506" s="26" t="s">
        <v>26</v>
      </c>
      <c r="J506" s="26" t="s">
        <v>24</v>
      </c>
      <c r="K506" s="27"/>
      <c r="L506" s="28" t="s">
        <v>25</v>
      </c>
      <c r="M506" s="29" t="str">
        <f t="shared" si="35"/>
        <v>✓ OK</v>
      </c>
      <c r="N506" s="43">
        <v>46193</v>
      </c>
      <c r="O506" s="26" t="s">
        <v>23</v>
      </c>
      <c r="P506" s="26" t="s">
        <v>24</v>
      </c>
      <c r="Q506" s="26" t="s">
        <v>25</v>
      </c>
      <c r="R506" s="26" t="s">
        <v>26</v>
      </c>
      <c r="S506" s="26" t="s">
        <v>24</v>
      </c>
      <c r="T506" s="27"/>
      <c r="U506" s="28" t="s">
        <v>25</v>
      </c>
      <c r="V506" s="29" t="str">
        <f t="shared" si="36"/>
        <v>✓ OK</v>
      </c>
      <c r="W506" s="45">
        <v>46248</v>
      </c>
      <c r="X506" s="30" t="s">
        <v>23</v>
      </c>
      <c r="Y506" s="30" t="s">
        <v>24</v>
      </c>
      <c r="Z506" s="30" t="s">
        <v>25</v>
      </c>
      <c r="AA506" s="30" t="s">
        <v>26</v>
      </c>
      <c r="AB506" s="30" t="s">
        <v>24</v>
      </c>
      <c r="AC506" s="27"/>
      <c r="AD506" s="31" t="s">
        <v>25</v>
      </c>
      <c r="AE506" s="32" t="str">
        <f t="shared" si="37"/>
        <v>✓ OK</v>
      </c>
      <c r="AF506" s="33" t="s">
        <v>27</v>
      </c>
      <c r="AG506" s="33" t="s">
        <v>23</v>
      </c>
      <c r="AH506" s="33" t="s">
        <v>24</v>
      </c>
      <c r="AI506" s="33" t="s">
        <v>25</v>
      </c>
      <c r="AJ506" s="33" t="s">
        <v>26</v>
      </c>
      <c r="AK506" s="33" t="s">
        <v>24</v>
      </c>
      <c r="AL506" s="27"/>
      <c r="AM506" s="34" t="s">
        <v>25</v>
      </c>
      <c r="AN506" s="35" t="str">
        <f t="shared" si="38"/>
        <v>✓ OK</v>
      </c>
      <c r="AO506" s="36"/>
      <c r="AP506" s="36"/>
      <c r="AQ506" s="36"/>
      <c r="AR506" s="36"/>
      <c r="AS506" s="36"/>
      <c r="AT506" s="36"/>
      <c r="AU506" s="27"/>
      <c r="AV506" s="37"/>
      <c r="AW506" s="38" t="str">
        <f t="shared" si="39"/>
        <v/>
      </c>
    </row>
    <row r="507" spans="1:49" ht="18" customHeight="1" x14ac:dyDescent="0.3">
      <c r="A507" s="23">
        <v>503</v>
      </c>
      <c r="B507" s="24" t="s">
        <v>2854</v>
      </c>
      <c r="C507" s="25" t="s">
        <v>2855</v>
      </c>
      <c r="D507" s="23" t="s">
        <v>2819</v>
      </c>
      <c r="E507" s="43">
        <v>46126</v>
      </c>
      <c r="F507" s="26" t="s">
        <v>23</v>
      </c>
      <c r="G507" s="26" t="s">
        <v>24</v>
      </c>
      <c r="H507" s="26" t="s">
        <v>25</v>
      </c>
      <c r="I507" s="26" t="s">
        <v>26</v>
      </c>
      <c r="J507" s="26" t="s">
        <v>24</v>
      </c>
      <c r="K507" s="27"/>
      <c r="L507" s="28" t="s">
        <v>25</v>
      </c>
      <c r="M507" s="29" t="str">
        <f t="shared" si="35"/>
        <v>✓ OK</v>
      </c>
      <c r="N507" s="43">
        <v>46193</v>
      </c>
      <c r="O507" s="26" t="s">
        <v>23</v>
      </c>
      <c r="P507" s="26" t="s">
        <v>24</v>
      </c>
      <c r="Q507" s="26" t="s">
        <v>25</v>
      </c>
      <c r="R507" s="26" t="s">
        <v>26</v>
      </c>
      <c r="S507" s="26" t="s">
        <v>24</v>
      </c>
      <c r="T507" s="27"/>
      <c r="U507" s="28" t="s">
        <v>25</v>
      </c>
      <c r="V507" s="29" t="str">
        <f t="shared" si="36"/>
        <v>✓ OK</v>
      </c>
      <c r="W507" s="45">
        <v>46248</v>
      </c>
      <c r="X507" s="30" t="s">
        <v>23</v>
      </c>
      <c r="Y507" s="30" t="s">
        <v>24</v>
      </c>
      <c r="Z507" s="30" t="s">
        <v>25</v>
      </c>
      <c r="AA507" s="30" t="s">
        <v>26</v>
      </c>
      <c r="AB507" s="30" t="s">
        <v>24</v>
      </c>
      <c r="AC507" s="27"/>
      <c r="AD507" s="31" t="s">
        <v>25</v>
      </c>
      <c r="AE507" s="32" t="str">
        <f t="shared" si="37"/>
        <v>✓ OK</v>
      </c>
      <c r="AF507" s="33" t="s">
        <v>27</v>
      </c>
      <c r="AG507" s="33" t="s">
        <v>23</v>
      </c>
      <c r="AH507" s="33" t="s">
        <v>24</v>
      </c>
      <c r="AI507" s="33" t="s">
        <v>25</v>
      </c>
      <c r="AJ507" s="33" t="s">
        <v>26</v>
      </c>
      <c r="AK507" s="33" t="s">
        <v>24</v>
      </c>
      <c r="AL507" s="27"/>
      <c r="AM507" s="34" t="s">
        <v>25</v>
      </c>
      <c r="AN507" s="35" t="str">
        <f t="shared" si="38"/>
        <v>✓ OK</v>
      </c>
      <c r="AO507" s="36"/>
      <c r="AP507" s="36"/>
      <c r="AQ507" s="36"/>
      <c r="AR507" s="36"/>
      <c r="AS507" s="36"/>
      <c r="AT507" s="36"/>
      <c r="AU507" s="27"/>
      <c r="AV507" s="37"/>
      <c r="AW507" s="38" t="str">
        <f t="shared" si="39"/>
        <v/>
      </c>
    </row>
    <row r="508" spans="1:49" ht="18" customHeight="1" x14ac:dyDescent="0.3">
      <c r="A508" s="39">
        <v>504</v>
      </c>
      <c r="B508" s="40" t="s">
        <v>2856</v>
      </c>
      <c r="C508" s="41" t="s">
        <v>2857</v>
      </c>
      <c r="D508" s="39" t="s">
        <v>2819</v>
      </c>
      <c r="E508" s="43">
        <v>46126</v>
      </c>
      <c r="F508" s="26" t="s">
        <v>23</v>
      </c>
      <c r="G508" s="26" t="s">
        <v>24</v>
      </c>
      <c r="H508" s="26" t="s">
        <v>25</v>
      </c>
      <c r="I508" s="26" t="s">
        <v>26</v>
      </c>
      <c r="J508" s="26" t="s">
        <v>24</v>
      </c>
      <c r="K508" s="27"/>
      <c r="L508" s="28" t="s">
        <v>25</v>
      </c>
      <c r="M508" s="29" t="str">
        <f t="shared" si="35"/>
        <v>✓ OK</v>
      </c>
      <c r="N508" s="43">
        <v>46193</v>
      </c>
      <c r="O508" s="26" t="s">
        <v>23</v>
      </c>
      <c r="P508" s="26" t="s">
        <v>24</v>
      </c>
      <c r="Q508" s="26" t="s">
        <v>25</v>
      </c>
      <c r="R508" s="26" t="s">
        <v>26</v>
      </c>
      <c r="S508" s="26" t="s">
        <v>24</v>
      </c>
      <c r="T508" s="27"/>
      <c r="U508" s="28" t="s">
        <v>25</v>
      </c>
      <c r="V508" s="29" t="str">
        <f t="shared" si="36"/>
        <v>✓ OK</v>
      </c>
      <c r="W508" s="45">
        <v>46248</v>
      </c>
      <c r="X508" s="30" t="s">
        <v>23</v>
      </c>
      <c r="Y508" s="30" t="s">
        <v>24</v>
      </c>
      <c r="Z508" s="30" t="s">
        <v>25</v>
      </c>
      <c r="AA508" s="30" t="s">
        <v>26</v>
      </c>
      <c r="AB508" s="30" t="s">
        <v>24</v>
      </c>
      <c r="AC508" s="27"/>
      <c r="AD508" s="31" t="s">
        <v>25</v>
      </c>
      <c r="AE508" s="32" t="str">
        <f t="shared" si="37"/>
        <v>✓ OK</v>
      </c>
      <c r="AF508" s="33" t="s">
        <v>27</v>
      </c>
      <c r="AG508" s="33" t="s">
        <v>23</v>
      </c>
      <c r="AH508" s="33" t="s">
        <v>24</v>
      </c>
      <c r="AI508" s="33" t="s">
        <v>25</v>
      </c>
      <c r="AJ508" s="33" t="s">
        <v>26</v>
      </c>
      <c r="AK508" s="33" t="s">
        <v>24</v>
      </c>
      <c r="AL508" s="27"/>
      <c r="AM508" s="34" t="s">
        <v>25</v>
      </c>
      <c r="AN508" s="35" t="str">
        <f t="shared" si="38"/>
        <v>✓ OK</v>
      </c>
      <c r="AO508" s="36"/>
      <c r="AP508" s="36"/>
      <c r="AQ508" s="36"/>
      <c r="AR508" s="36"/>
      <c r="AS508" s="36"/>
      <c r="AT508" s="36"/>
      <c r="AU508" s="27"/>
      <c r="AV508" s="37"/>
      <c r="AW508" s="38" t="str">
        <f t="shared" si="39"/>
        <v/>
      </c>
    </row>
    <row r="509" spans="1:49" ht="18" customHeight="1" x14ac:dyDescent="0.3">
      <c r="A509" s="23">
        <v>505</v>
      </c>
      <c r="B509" s="24" t="s">
        <v>2858</v>
      </c>
      <c r="C509" s="25" t="s">
        <v>2859</v>
      </c>
      <c r="D509" s="23" t="s">
        <v>2819</v>
      </c>
      <c r="E509" s="43">
        <v>46126</v>
      </c>
      <c r="F509" s="26" t="s">
        <v>23</v>
      </c>
      <c r="G509" s="26" t="s">
        <v>24</v>
      </c>
      <c r="H509" s="26" t="s">
        <v>25</v>
      </c>
      <c r="I509" s="26" t="s">
        <v>26</v>
      </c>
      <c r="J509" s="26" t="s">
        <v>24</v>
      </c>
      <c r="K509" s="27"/>
      <c r="L509" s="28" t="s">
        <v>25</v>
      </c>
      <c r="M509" s="29" t="str">
        <f t="shared" si="35"/>
        <v>✓ OK</v>
      </c>
      <c r="N509" s="43">
        <v>46193</v>
      </c>
      <c r="O509" s="26" t="s">
        <v>23</v>
      </c>
      <c r="P509" s="26" t="s">
        <v>24</v>
      </c>
      <c r="Q509" s="26" t="s">
        <v>25</v>
      </c>
      <c r="R509" s="26" t="s">
        <v>26</v>
      </c>
      <c r="S509" s="26" t="s">
        <v>24</v>
      </c>
      <c r="T509" s="27"/>
      <c r="U509" s="28" t="s">
        <v>25</v>
      </c>
      <c r="V509" s="29" t="str">
        <f t="shared" si="36"/>
        <v>✓ OK</v>
      </c>
      <c r="W509" s="45">
        <v>46248</v>
      </c>
      <c r="X509" s="30" t="s">
        <v>23</v>
      </c>
      <c r="Y509" s="30" t="s">
        <v>24</v>
      </c>
      <c r="Z509" s="30" t="s">
        <v>25</v>
      </c>
      <c r="AA509" s="30" t="s">
        <v>26</v>
      </c>
      <c r="AB509" s="30" t="s">
        <v>24</v>
      </c>
      <c r="AC509" s="27"/>
      <c r="AD509" s="31" t="s">
        <v>25</v>
      </c>
      <c r="AE509" s="32" t="str">
        <f t="shared" si="37"/>
        <v>✓ OK</v>
      </c>
      <c r="AF509" s="33" t="s">
        <v>27</v>
      </c>
      <c r="AG509" s="33" t="s">
        <v>23</v>
      </c>
      <c r="AH509" s="33" t="s">
        <v>24</v>
      </c>
      <c r="AI509" s="33" t="s">
        <v>25</v>
      </c>
      <c r="AJ509" s="33" t="s">
        <v>26</v>
      </c>
      <c r="AK509" s="33" t="s">
        <v>24</v>
      </c>
      <c r="AL509" s="27"/>
      <c r="AM509" s="34" t="s">
        <v>25</v>
      </c>
      <c r="AN509" s="35" t="str">
        <f t="shared" si="38"/>
        <v>✓ OK</v>
      </c>
      <c r="AO509" s="36"/>
      <c r="AP509" s="36"/>
      <c r="AQ509" s="36"/>
      <c r="AR509" s="36"/>
      <c r="AS509" s="36"/>
      <c r="AT509" s="36"/>
      <c r="AU509" s="27"/>
      <c r="AV509" s="37"/>
      <c r="AW509" s="38" t="str">
        <f t="shared" si="39"/>
        <v/>
      </c>
    </row>
    <row r="510" spans="1:49" ht="18" customHeight="1" x14ac:dyDescent="0.3">
      <c r="A510" s="39">
        <v>506</v>
      </c>
      <c r="B510" s="40" t="s">
        <v>2860</v>
      </c>
      <c r="C510" s="41" t="s">
        <v>2861</v>
      </c>
      <c r="D510" s="39" t="s">
        <v>2819</v>
      </c>
      <c r="E510" s="43">
        <v>46126</v>
      </c>
      <c r="F510" s="26" t="s">
        <v>23</v>
      </c>
      <c r="G510" s="26" t="s">
        <v>24</v>
      </c>
      <c r="H510" s="26" t="s">
        <v>25</v>
      </c>
      <c r="I510" s="26" t="s">
        <v>26</v>
      </c>
      <c r="J510" s="26" t="s">
        <v>24</v>
      </c>
      <c r="K510" s="27"/>
      <c r="L510" s="28" t="s">
        <v>25</v>
      </c>
      <c r="M510" s="29" t="str">
        <f t="shared" si="35"/>
        <v>✓ OK</v>
      </c>
      <c r="N510" s="43">
        <v>46193</v>
      </c>
      <c r="O510" s="26" t="s">
        <v>23</v>
      </c>
      <c r="P510" s="26" t="s">
        <v>24</v>
      </c>
      <c r="Q510" s="26" t="s">
        <v>25</v>
      </c>
      <c r="R510" s="26" t="s">
        <v>26</v>
      </c>
      <c r="S510" s="26" t="s">
        <v>24</v>
      </c>
      <c r="T510" s="27"/>
      <c r="U510" s="28" t="s">
        <v>25</v>
      </c>
      <c r="V510" s="29" t="str">
        <f t="shared" si="36"/>
        <v>✓ OK</v>
      </c>
      <c r="W510" s="45">
        <v>46248</v>
      </c>
      <c r="X510" s="30" t="s">
        <v>23</v>
      </c>
      <c r="Y510" s="30" t="s">
        <v>24</v>
      </c>
      <c r="Z510" s="30" t="s">
        <v>25</v>
      </c>
      <c r="AA510" s="30" t="s">
        <v>26</v>
      </c>
      <c r="AB510" s="30" t="s">
        <v>24</v>
      </c>
      <c r="AC510" s="27"/>
      <c r="AD510" s="31" t="s">
        <v>25</v>
      </c>
      <c r="AE510" s="32" t="str">
        <f t="shared" si="37"/>
        <v>✓ OK</v>
      </c>
      <c r="AF510" s="33" t="s">
        <v>27</v>
      </c>
      <c r="AG510" s="33" t="s">
        <v>23</v>
      </c>
      <c r="AH510" s="33" t="s">
        <v>24</v>
      </c>
      <c r="AI510" s="33" t="s">
        <v>25</v>
      </c>
      <c r="AJ510" s="33" t="s">
        <v>26</v>
      </c>
      <c r="AK510" s="33" t="s">
        <v>24</v>
      </c>
      <c r="AL510" s="27"/>
      <c r="AM510" s="34" t="s">
        <v>25</v>
      </c>
      <c r="AN510" s="35" t="str">
        <f t="shared" si="38"/>
        <v>✓ OK</v>
      </c>
      <c r="AO510" s="36"/>
      <c r="AP510" s="36"/>
      <c r="AQ510" s="36"/>
      <c r="AR510" s="36"/>
      <c r="AS510" s="36"/>
      <c r="AT510" s="36"/>
      <c r="AU510" s="27"/>
      <c r="AV510" s="37"/>
      <c r="AW510" s="38" t="str">
        <f t="shared" si="39"/>
        <v/>
      </c>
    </row>
    <row r="511" spans="1:49" ht="18" customHeight="1" x14ac:dyDescent="0.3">
      <c r="A511" s="23">
        <v>507</v>
      </c>
      <c r="B511" s="24" t="s">
        <v>2862</v>
      </c>
      <c r="C511" s="25" t="s">
        <v>2863</v>
      </c>
      <c r="D511" s="23" t="s">
        <v>2819</v>
      </c>
      <c r="E511" s="43">
        <v>46126</v>
      </c>
      <c r="F511" s="26" t="s">
        <v>23</v>
      </c>
      <c r="G511" s="26" t="s">
        <v>24</v>
      </c>
      <c r="H511" s="26" t="s">
        <v>25</v>
      </c>
      <c r="I511" s="26" t="s">
        <v>26</v>
      </c>
      <c r="J511" s="26" t="s">
        <v>24</v>
      </c>
      <c r="K511" s="27"/>
      <c r="L511" s="28" t="s">
        <v>25</v>
      </c>
      <c r="M511" s="29" t="str">
        <f t="shared" si="35"/>
        <v>✓ OK</v>
      </c>
      <c r="N511" s="43">
        <v>46193</v>
      </c>
      <c r="O511" s="26" t="s">
        <v>23</v>
      </c>
      <c r="P511" s="26" t="s">
        <v>24</v>
      </c>
      <c r="Q511" s="26" t="s">
        <v>25</v>
      </c>
      <c r="R511" s="26" t="s">
        <v>26</v>
      </c>
      <c r="S511" s="26" t="s">
        <v>24</v>
      </c>
      <c r="T511" s="27"/>
      <c r="U511" s="28" t="s">
        <v>25</v>
      </c>
      <c r="V511" s="29" t="str">
        <f t="shared" si="36"/>
        <v>✓ OK</v>
      </c>
      <c r="W511" s="45">
        <v>46248</v>
      </c>
      <c r="X511" s="30" t="s">
        <v>23</v>
      </c>
      <c r="Y511" s="30" t="s">
        <v>24</v>
      </c>
      <c r="Z511" s="30" t="s">
        <v>25</v>
      </c>
      <c r="AA511" s="30" t="s">
        <v>26</v>
      </c>
      <c r="AB511" s="30" t="s">
        <v>24</v>
      </c>
      <c r="AC511" s="27"/>
      <c r="AD511" s="31" t="s">
        <v>25</v>
      </c>
      <c r="AE511" s="32" t="str">
        <f t="shared" si="37"/>
        <v>✓ OK</v>
      </c>
      <c r="AF511" s="33" t="s">
        <v>27</v>
      </c>
      <c r="AG511" s="33" t="s">
        <v>23</v>
      </c>
      <c r="AH511" s="33" t="s">
        <v>24</v>
      </c>
      <c r="AI511" s="33" t="s">
        <v>25</v>
      </c>
      <c r="AJ511" s="33" t="s">
        <v>26</v>
      </c>
      <c r="AK511" s="33" t="s">
        <v>24</v>
      </c>
      <c r="AL511" s="27"/>
      <c r="AM511" s="34" t="s">
        <v>25</v>
      </c>
      <c r="AN511" s="35" t="str">
        <f t="shared" si="38"/>
        <v>✓ OK</v>
      </c>
      <c r="AO511" s="36"/>
      <c r="AP511" s="36"/>
      <c r="AQ511" s="36"/>
      <c r="AR511" s="36"/>
      <c r="AS511" s="36"/>
      <c r="AT511" s="36"/>
      <c r="AU511" s="27"/>
      <c r="AV511" s="37"/>
      <c r="AW511" s="38" t="str">
        <f t="shared" si="39"/>
        <v/>
      </c>
    </row>
    <row r="512" spans="1:49" ht="18" customHeight="1" x14ac:dyDescent="0.3">
      <c r="A512" s="39">
        <v>508</v>
      </c>
      <c r="B512" s="40" t="s">
        <v>2864</v>
      </c>
      <c r="C512" s="41" t="s">
        <v>2865</v>
      </c>
      <c r="D512" s="39" t="s">
        <v>2819</v>
      </c>
      <c r="E512" s="43">
        <v>46126</v>
      </c>
      <c r="F512" s="26" t="s">
        <v>23</v>
      </c>
      <c r="G512" s="26" t="s">
        <v>24</v>
      </c>
      <c r="H512" s="26" t="s">
        <v>25</v>
      </c>
      <c r="I512" s="26" t="s">
        <v>26</v>
      </c>
      <c r="J512" s="26" t="s">
        <v>24</v>
      </c>
      <c r="K512" s="27"/>
      <c r="L512" s="28" t="s">
        <v>25</v>
      </c>
      <c r="M512" s="29" t="str">
        <f t="shared" si="35"/>
        <v>✓ OK</v>
      </c>
      <c r="N512" s="43">
        <v>46193</v>
      </c>
      <c r="O512" s="26" t="s">
        <v>23</v>
      </c>
      <c r="P512" s="26" t="s">
        <v>24</v>
      </c>
      <c r="Q512" s="26" t="s">
        <v>25</v>
      </c>
      <c r="R512" s="26" t="s">
        <v>26</v>
      </c>
      <c r="S512" s="26" t="s">
        <v>24</v>
      </c>
      <c r="T512" s="27"/>
      <c r="U512" s="28" t="s">
        <v>25</v>
      </c>
      <c r="V512" s="29" t="str">
        <f t="shared" si="36"/>
        <v>✓ OK</v>
      </c>
      <c r="W512" s="45">
        <v>46248</v>
      </c>
      <c r="X512" s="30" t="s">
        <v>23</v>
      </c>
      <c r="Y512" s="30" t="s">
        <v>24</v>
      </c>
      <c r="Z512" s="30" t="s">
        <v>25</v>
      </c>
      <c r="AA512" s="30" t="s">
        <v>26</v>
      </c>
      <c r="AB512" s="30" t="s">
        <v>24</v>
      </c>
      <c r="AC512" s="27"/>
      <c r="AD512" s="31" t="s">
        <v>25</v>
      </c>
      <c r="AE512" s="32" t="str">
        <f t="shared" si="37"/>
        <v>✓ OK</v>
      </c>
      <c r="AF512" s="33" t="s">
        <v>27</v>
      </c>
      <c r="AG512" s="33" t="s">
        <v>23</v>
      </c>
      <c r="AH512" s="33" t="s">
        <v>24</v>
      </c>
      <c r="AI512" s="33" t="s">
        <v>25</v>
      </c>
      <c r="AJ512" s="33" t="s">
        <v>26</v>
      </c>
      <c r="AK512" s="33" t="s">
        <v>24</v>
      </c>
      <c r="AL512" s="27"/>
      <c r="AM512" s="34" t="s">
        <v>25</v>
      </c>
      <c r="AN512" s="35" t="str">
        <f t="shared" si="38"/>
        <v>✓ OK</v>
      </c>
      <c r="AO512" s="36"/>
      <c r="AP512" s="36"/>
      <c r="AQ512" s="36"/>
      <c r="AR512" s="36"/>
      <c r="AS512" s="36"/>
      <c r="AT512" s="36"/>
      <c r="AU512" s="27"/>
      <c r="AV512" s="37"/>
      <c r="AW512" s="38" t="str">
        <f t="shared" si="39"/>
        <v/>
      </c>
    </row>
    <row r="513" spans="1:49" ht="18" customHeight="1" x14ac:dyDescent="0.3">
      <c r="A513" s="23">
        <v>509</v>
      </c>
      <c r="B513" s="24" t="s">
        <v>2866</v>
      </c>
      <c r="C513" s="25" t="s">
        <v>2867</v>
      </c>
      <c r="D513" s="23" t="s">
        <v>2819</v>
      </c>
      <c r="E513" s="43">
        <v>46126</v>
      </c>
      <c r="F513" s="26" t="s">
        <v>23</v>
      </c>
      <c r="G513" s="26" t="s">
        <v>24</v>
      </c>
      <c r="H513" s="26" t="s">
        <v>25</v>
      </c>
      <c r="I513" s="26" t="s">
        <v>26</v>
      </c>
      <c r="J513" s="26" t="s">
        <v>24</v>
      </c>
      <c r="K513" s="27"/>
      <c r="L513" s="28" t="s">
        <v>25</v>
      </c>
      <c r="M513" s="29" t="str">
        <f t="shared" si="35"/>
        <v>✓ OK</v>
      </c>
      <c r="N513" s="43">
        <v>46193</v>
      </c>
      <c r="O513" s="26" t="s">
        <v>23</v>
      </c>
      <c r="P513" s="26" t="s">
        <v>24</v>
      </c>
      <c r="Q513" s="26" t="s">
        <v>25</v>
      </c>
      <c r="R513" s="26" t="s">
        <v>26</v>
      </c>
      <c r="S513" s="26" t="s">
        <v>24</v>
      </c>
      <c r="T513" s="27"/>
      <c r="U513" s="28" t="s">
        <v>25</v>
      </c>
      <c r="V513" s="29" t="str">
        <f t="shared" si="36"/>
        <v>✓ OK</v>
      </c>
      <c r="W513" s="45">
        <v>46248</v>
      </c>
      <c r="X513" s="30" t="s">
        <v>23</v>
      </c>
      <c r="Y513" s="30" t="s">
        <v>24</v>
      </c>
      <c r="Z513" s="30" t="s">
        <v>25</v>
      </c>
      <c r="AA513" s="30" t="s">
        <v>26</v>
      </c>
      <c r="AB513" s="30" t="s">
        <v>24</v>
      </c>
      <c r="AC513" s="27"/>
      <c r="AD513" s="31" t="s">
        <v>25</v>
      </c>
      <c r="AE513" s="32" t="str">
        <f t="shared" si="37"/>
        <v>✓ OK</v>
      </c>
      <c r="AF513" s="33" t="s">
        <v>27</v>
      </c>
      <c r="AG513" s="33" t="s">
        <v>23</v>
      </c>
      <c r="AH513" s="33" t="s">
        <v>24</v>
      </c>
      <c r="AI513" s="33" t="s">
        <v>25</v>
      </c>
      <c r="AJ513" s="33" t="s">
        <v>26</v>
      </c>
      <c r="AK513" s="33" t="s">
        <v>24</v>
      </c>
      <c r="AL513" s="27"/>
      <c r="AM513" s="34" t="s">
        <v>25</v>
      </c>
      <c r="AN513" s="35" t="str">
        <f t="shared" si="38"/>
        <v>✓ OK</v>
      </c>
      <c r="AO513" s="36"/>
      <c r="AP513" s="36"/>
      <c r="AQ513" s="36"/>
      <c r="AR513" s="36"/>
      <c r="AS513" s="36"/>
      <c r="AT513" s="36"/>
      <c r="AU513" s="27"/>
      <c r="AV513" s="37"/>
      <c r="AW513" s="38" t="str">
        <f t="shared" si="39"/>
        <v/>
      </c>
    </row>
    <row r="514" spans="1:49" ht="18" customHeight="1" x14ac:dyDescent="0.3">
      <c r="A514" s="39">
        <v>510</v>
      </c>
      <c r="B514" s="40" t="s">
        <v>2868</v>
      </c>
      <c r="C514" s="41" t="s">
        <v>2869</v>
      </c>
      <c r="D514" s="39" t="s">
        <v>2819</v>
      </c>
      <c r="E514" s="43">
        <v>46126</v>
      </c>
      <c r="F514" s="26" t="s">
        <v>23</v>
      </c>
      <c r="G514" s="26" t="s">
        <v>24</v>
      </c>
      <c r="H514" s="26" t="s">
        <v>25</v>
      </c>
      <c r="I514" s="26" t="s">
        <v>26</v>
      </c>
      <c r="J514" s="26" t="s">
        <v>24</v>
      </c>
      <c r="K514" s="27"/>
      <c r="L514" s="28" t="s">
        <v>25</v>
      </c>
      <c r="M514" s="29" t="str">
        <f t="shared" si="35"/>
        <v>✓ OK</v>
      </c>
      <c r="N514" s="43">
        <v>46193</v>
      </c>
      <c r="O514" s="26" t="s">
        <v>23</v>
      </c>
      <c r="P514" s="26" t="s">
        <v>24</v>
      </c>
      <c r="Q514" s="26" t="s">
        <v>25</v>
      </c>
      <c r="R514" s="26" t="s">
        <v>26</v>
      </c>
      <c r="S514" s="26" t="s">
        <v>24</v>
      </c>
      <c r="T514" s="27"/>
      <c r="U514" s="28" t="s">
        <v>25</v>
      </c>
      <c r="V514" s="29" t="str">
        <f t="shared" si="36"/>
        <v>✓ OK</v>
      </c>
      <c r="W514" s="45">
        <v>46248</v>
      </c>
      <c r="X514" s="30" t="s">
        <v>23</v>
      </c>
      <c r="Y514" s="30" t="s">
        <v>24</v>
      </c>
      <c r="Z514" s="30" t="s">
        <v>25</v>
      </c>
      <c r="AA514" s="30" t="s">
        <v>26</v>
      </c>
      <c r="AB514" s="30" t="s">
        <v>24</v>
      </c>
      <c r="AC514" s="27"/>
      <c r="AD514" s="31" t="s">
        <v>25</v>
      </c>
      <c r="AE514" s="32" t="str">
        <f t="shared" si="37"/>
        <v>✓ OK</v>
      </c>
      <c r="AF514" s="33" t="s">
        <v>27</v>
      </c>
      <c r="AG514" s="33" t="s">
        <v>23</v>
      </c>
      <c r="AH514" s="33" t="s">
        <v>24</v>
      </c>
      <c r="AI514" s="33" t="s">
        <v>25</v>
      </c>
      <c r="AJ514" s="33" t="s">
        <v>26</v>
      </c>
      <c r="AK514" s="33" t="s">
        <v>24</v>
      </c>
      <c r="AL514" s="27"/>
      <c r="AM514" s="34" t="s">
        <v>25</v>
      </c>
      <c r="AN514" s="35" t="str">
        <f t="shared" si="38"/>
        <v>✓ OK</v>
      </c>
      <c r="AO514" s="36"/>
      <c r="AP514" s="36"/>
      <c r="AQ514" s="36"/>
      <c r="AR514" s="36"/>
      <c r="AS514" s="36"/>
      <c r="AT514" s="36"/>
      <c r="AU514" s="27"/>
      <c r="AV514" s="37"/>
      <c r="AW514" s="38" t="str">
        <f t="shared" si="39"/>
        <v/>
      </c>
    </row>
    <row r="515" spans="1:49" ht="18" customHeight="1" x14ac:dyDescent="0.3">
      <c r="A515" s="23">
        <v>511</v>
      </c>
      <c r="B515" s="24" t="s">
        <v>2870</v>
      </c>
      <c r="C515" s="25" t="s">
        <v>2871</v>
      </c>
      <c r="D515" s="23" t="s">
        <v>2819</v>
      </c>
      <c r="E515" s="43">
        <v>46126</v>
      </c>
      <c r="F515" s="26" t="s">
        <v>23</v>
      </c>
      <c r="G515" s="26" t="s">
        <v>24</v>
      </c>
      <c r="H515" s="26" t="s">
        <v>25</v>
      </c>
      <c r="I515" s="26" t="s">
        <v>26</v>
      </c>
      <c r="J515" s="26" t="s">
        <v>24</v>
      </c>
      <c r="K515" s="27"/>
      <c r="L515" s="28" t="s">
        <v>25</v>
      </c>
      <c r="M515" s="29" t="str">
        <f t="shared" si="35"/>
        <v>✓ OK</v>
      </c>
      <c r="N515" s="43">
        <v>46193</v>
      </c>
      <c r="O515" s="26" t="s">
        <v>23</v>
      </c>
      <c r="P515" s="26" t="s">
        <v>24</v>
      </c>
      <c r="Q515" s="26" t="s">
        <v>25</v>
      </c>
      <c r="R515" s="26" t="s">
        <v>26</v>
      </c>
      <c r="S515" s="26" t="s">
        <v>24</v>
      </c>
      <c r="T515" s="27"/>
      <c r="U515" s="28" t="s">
        <v>25</v>
      </c>
      <c r="V515" s="29" t="str">
        <f t="shared" si="36"/>
        <v>✓ OK</v>
      </c>
      <c r="W515" s="45">
        <v>46248</v>
      </c>
      <c r="X515" s="30" t="s">
        <v>23</v>
      </c>
      <c r="Y515" s="30" t="s">
        <v>24</v>
      </c>
      <c r="Z515" s="30" t="s">
        <v>25</v>
      </c>
      <c r="AA515" s="30" t="s">
        <v>26</v>
      </c>
      <c r="AB515" s="30" t="s">
        <v>24</v>
      </c>
      <c r="AC515" s="27"/>
      <c r="AD515" s="31" t="s">
        <v>25</v>
      </c>
      <c r="AE515" s="32" t="str">
        <f t="shared" si="37"/>
        <v>✓ OK</v>
      </c>
      <c r="AF515" s="33" t="s">
        <v>27</v>
      </c>
      <c r="AG515" s="33" t="s">
        <v>23</v>
      </c>
      <c r="AH515" s="33" t="s">
        <v>24</v>
      </c>
      <c r="AI515" s="33" t="s">
        <v>25</v>
      </c>
      <c r="AJ515" s="33" t="s">
        <v>26</v>
      </c>
      <c r="AK515" s="33" t="s">
        <v>24</v>
      </c>
      <c r="AL515" s="27"/>
      <c r="AM515" s="34" t="s">
        <v>25</v>
      </c>
      <c r="AN515" s="35" t="str">
        <f t="shared" si="38"/>
        <v>✓ OK</v>
      </c>
      <c r="AO515" s="36"/>
      <c r="AP515" s="36"/>
      <c r="AQ515" s="36"/>
      <c r="AR515" s="36"/>
      <c r="AS515" s="36"/>
      <c r="AT515" s="36"/>
      <c r="AU515" s="27"/>
      <c r="AV515" s="37"/>
      <c r="AW515" s="38" t="str">
        <f t="shared" si="39"/>
        <v/>
      </c>
    </row>
    <row r="516" spans="1:49" ht="18" customHeight="1" x14ac:dyDescent="0.3">
      <c r="A516" s="39">
        <v>512</v>
      </c>
      <c r="B516" s="40" t="s">
        <v>2872</v>
      </c>
      <c r="C516" s="41" t="s">
        <v>2873</v>
      </c>
      <c r="D516" s="39" t="s">
        <v>2819</v>
      </c>
      <c r="E516" s="43">
        <v>46126</v>
      </c>
      <c r="F516" s="26" t="s">
        <v>23</v>
      </c>
      <c r="G516" s="26" t="s">
        <v>24</v>
      </c>
      <c r="H516" s="26" t="s">
        <v>25</v>
      </c>
      <c r="I516" s="26" t="s">
        <v>26</v>
      </c>
      <c r="J516" s="26" t="s">
        <v>24</v>
      </c>
      <c r="K516" s="27"/>
      <c r="L516" s="28" t="s">
        <v>25</v>
      </c>
      <c r="M516" s="29" t="str">
        <f t="shared" si="35"/>
        <v>✓ OK</v>
      </c>
      <c r="N516" s="43">
        <v>46193</v>
      </c>
      <c r="O516" s="26" t="s">
        <v>23</v>
      </c>
      <c r="P516" s="26" t="s">
        <v>24</v>
      </c>
      <c r="Q516" s="26" t="s">
        <v>25</v>
      </c>
      <c r="R516" s="26" t="s">
        <v>26</v>
      </c>
      <c r="S516" s="26" t="s">
        <v>24</v>
      </c>
      <c r="T516" s="27"/>
      <c r="U516" s="28" t="s">
        <v>25</v>
      </c>
      <c r="V516" s="29" t="str">
        <f t="shared" si="36"/>
        <v>✓ OK</v>
      </c>
      <c r="W516" s="45">
        <v>46248</v>
      </c>
      <c r="X516" s="30" t="s">
        <v>23</v>
      </c>
      <c r="Y516" s="30" t="s">
        <v>24</v>
      </c>
      <c r="Z516" s="30" t="s">
        <v>25</v>
      </c>
      <c r="AA516" s="30" t="s">
        <v>26</v>
      </c>
      <c r="AB516" s="30" t="s">
        <v>24</v>
      </c>
      <c r="AC516" s="27"/>
      <c r="AD516" s="31" t="s">
        <v>25</v>
      </c>
      <c r="AE516" s="32" t="str">
        <f t="shared" si="37"/>
        <v>✓ OK</v>
      </c>
      <c r="AF516" s="33" t="s">
        <v>27</v>
      </c>
      <c r="AG516" s="33" t="s">
        <v>23</v>
      </c>
      <c r="AH516" s="33" t="s">
        <v>24</v>
      </c>
      <c r="AI516" s="33" t="s">
        <v>25</v>
      </c>
      <c r="AJ516" s="33" t="s">
        <v>26</v>
      </c>
      <c r="AK516" s="33" t="s">
        <v>24</v>
      </c>
      <c r="AL516" s="27"/>
      <c r="AM516" s="34" t="s">
        <v>25</v>
      </c>
      <c r="AN516" s="35" t="str">
        <f t="shared" si="38"/>
        <v>✓ OK</v>
      </c>
      <c r="AO516" s="36"/>
      <c r="AP516" s="36"/>
      <c r="AQ516" s="36"/>
      <c r="AR516" s="36"/>
      <c r="AS516" s="36"/>
      <c r="AT516" s="36"/>
      <c r="AU516" s="27"/>
      <c r="AV516" s="37"/>
      <c r="AW516" s="38" t="str">
        <f t="shared" si="39"/>
        <v/>
      </c>
    </row>
    <row r="517" spans="1:49" ht="18" customHeight="1" x14ac:dyDescent="0.3">
      <c r="A517" s="23">
        <v>513</v>
      </c>
      <c r="B517" s="24" t="s">
        <v>2874</v>
      </c>
      <c r="C517" s="25" t="s">
        <v>2875</v>
      </c>
      <c r="D517" s="23" t="s">
        <v>2819</v>
      </c>
      <c r="E517" s="43">
        <v>46126</v>
      </c>
      <c r="F517" s="26" t="s">
        <v>23</v>
      </c>
      <c r="G517" s="26" t="s">
        <v>24</v>
      </c>
      <c r="H517" s="26" t="s">
        <v>25</v>
      </c>
      <c r="I517" s="26" t="s">
        <v>26</v>
      </c>
      <c r="J517" s="26" t="s">
        <v>24</v>
      </c>
      <c r="K517" s="27"/>
      <c r="L517" s="28" t="s">
        <v>25</v>
      </c>
      <c r="M517" s="29" t="str">
        <f t="shared" ref="M517:M580" si="40">IF(E517="","",IF(H517="Yes","❌ Disc",IF(G517="No","⚠ Missing",IF(J517="Yes","✓ OK","⚠ Check"))))</f>
        <v>✓ OK</v>
      </c>
      <c r="N517" s="43">
        <v>46193</v>
      </c>
      <c r="O517" s="26" t="s">
        <v>23</v>
      </c>
      <c r="P517" s="26" t="s">
        <v>24</v>
      </c>
      <c r="Q517" s="26" t="s">
        <v>25</v>
      </c>
      <c r="R517" s="26" t="s">
        <v>26</v>
      </c>
      <c r="S517" s="26" t="s">
        <v>24</v>
      </c>
      <c r="T517" s="27"/>
      <c r="U517" s="28" t="s">
        <v>25</v>
      </c>
      <c r="V517" s="29" t="str">
        <f t="shared" ref="V517:V580" si="41">IF(N517="","",IF(Q517="Yes","❌ Disc",IF(P517="No","⚠ Missing",IF(S517="Yes","✓ OK","⚠ Check"))))</f>
        <v>✓ OK</v>
      </c>
      <c r="W517" s="45">
        <v>46248</v>
      </c>
      <c r="X517" s="30" t="s">
        <v>23</v>
      </c>
      <c r="Y517" s="30" t="s">
        <v>24</v>
      </c>
      <c r="Z517" s="30" t="s">
        <v>25</v>
      </c>
      <c r="AA517" s="30" t="s">
        <v>26</v>
      </c>
      <c r="AB517" s="30" t="s">
        <v>24</v>
      </c>
      <c r="AC517" s="27"/>
      <c r="AD517" s="31" t="s">
        <v>25</v>
      </c>
      <c r="AE517" s="32" t="str">
        <f t="shared" ref="AE517:AE580" si="42">IF(W517="","",IF(Z517="Yes","❌ Disc",IF(Y517="No","⚠ Missing",IF(AB517="Yes","✓ OK","⚠ Check"))))</f>
        <v>✓ OK</v>
      </c>
      <c r="AF517" s="33" t="s">
        <v>27</v>
      </c>
      <c r="AG517" s="33" t="s">
        <v>23</v>
      </c>
      <c r="AH517" s="33" t="s">
        <v>24</v>
      </c>
      <c r="AI517" s="33" t="s">
        <v>25</v>
      </c>
      <c r="AJ517" s="33" t="s">
        <v>26</v>
      </c>
      <c r="AK517" s="33" t="s">
        <v>24</v>
      </c>
      <c r="AL517" s="27"/>
      <c r="AM517" s="34" t="s">
        <v>25</v>
      </c>
      <c r="AN517" s="35" t="str">
        <f t="shared" ref="AN517:AN580" si="43">IF(AF517="","",IF(AI517="Yes","❌ Disc",IF(AH517="No","⚠ Missing",IF(AK517="Yes","✓ OK","⚠ Check"))))</f>
        <v>✓ OK</v>
      </c>
      <c r="AO517" s="36"/>
      <c r="AP517" s="36"/>
      <c r="AQ517" s="36"/>
      <c r="AR517" s="36"/>
      <c r="AS517" s="36"/>
      <c r="AT517" s="36"/>
      <c r="AU517" s="27"/>
      <c r="AV517" s="37"/>
      <c r="AW517" s="38" t="str">
        <f t="shared" ref="AW517:AW580" si="44">IF(AO517="","",IF(AR517="Yes","❌ Disc",IF(AQ517="No","⚠ Missing",IF(AT517="Yes","✓ OK","⚠ Check"))))</f>
        <v/>
      </c>
    </row>
    <row r="518" spans="1:49" ht="18" customHeight="1" x14ac:dyDescent="0.3">
      <c r="A518" s="39">
        <v>514</v>
      </c>
      <c r="B518" s="40" t="s">
        <v>2876</v>
      </c>
      <c r="C518" s="41" t="s">
        <v>2877</v>
      </c>
      <c r="D518" s="39" t="s">
        <v>2819</v>
      </c>
      <c r="E518" s="43">
        <v>46126</v>
      </c>
      <c r="F518" s="26" t="s">
        <v>23</v>
      </c>
      <c r="G518" s="26" t="s">
        <v>24</v>
      </c>
      <c r="H518" s="26" t="s">
        <v>25</v>
      </c>
      <c r="I518" s="26" t="s">
        <v>26</v>
      </c>
      <c r="J518" s="26" t="s">
        <v>24</v>
      </c>
      <c r="K518" s="27"/>
      <c r="L518" s="28" t="s">
        <v>25</v>
      </c>
      <c r="M518" s="29" t="str">
        <f t="shared" si="40"/>
        <v>✓ OK</v>
      </c>
      <c r="N518" s="43">
        <v>46193</v>
      </c>
      <c r="O518" s="26" t="s">
        <v>23</v>
      </c>
      <c r="P518" s="26" t="s">
        <v>24</v>
      </c>
      <c r="Q518" s="26" t="s">
        <v>25</v>
      </c>
      <c r="R518" s="26" t="s">
        <v>26</v>
      </c>
      <c r="S518" s="26" t="s">
        <v>24</v>
      </c>
      <c r="T518" s="27"/>
      <c r="U518" s="28" t="s">
        <v>25</v>
      </c>
      <c r="V518" s="29" t="str">
        <f t="shared" si="41"/>
        <v>✓ OK</v>
      </c>
      <c r="W518" s="45">
        <v>46248</v>
      </c>
      <c r="X518" s="30" t="s">
        <v>23</v>
      </c>
      <c r="Y518" s="30" t="s">
        <v>24</v>
      </c>
      <c r="Z518" s="30" t="s">
        <v>25</v>
      </c>
      <c r="AA518" s="30" t="s">
        <v>26</v>
      </c>
      <c r="AB518" s="30" t="s">
        <v>24</v>
      </c>
      <c r="AC518" s="27"/>
      <c r="AD518" s="31" t="s">
        <v>25</v>
      </c>
      <c r="AE518" s="32" t="str">
        <f t="shared" si="42"/>
        <v>✓ OK</v>
      </c>
      <c r="AF518" s="33" t="s">
        <v>27</v>
      </c>
      <c r="AG518" s="33" t="s">
        <v>23</v>
      </c>
      <c r="AH518" s="33" t="s">
        <v>24</v>
      </c>
      <c r="AI518" s="33" t="s">
        <v>25</v>
      </c>
      <c r="AJ518" s="33" t="s">
        <v>26</v>
      </c>
      <c r="AK518" s="33" t="s">
        <v>24</v>
      </c>
      <c r="AL518" s="27"/>
      <c r="AM518" s="34" t="s">
        <v>25</v>
      </c>
      <c r="AN518" s="35" t="str">
        <f t="shared" si="43"/>
        <v>✓ OK</v>
      </c>
      <c r="AO518" s="36"/>
      <c r="AP518" s="36"/>
      <c r="AQ518" s="36"/>
      <c r="AR518" s="36"/>
      <c r="AS518" s="36"/>
      <c r="AT518" s="36"/>
      <c r="AU518" s="27"/>
      <c r="AV518" s="37"/>
      <c r="AW518" s="38" t="str">
        <f t="shared" si="44"/>
        <v/>
      </c>
    </row>
    <row r="519" spans="1:49" ht="18" customHeight="1" x14ac:dyDescent="0.3">
      <c r="A519" s="23">
        <v>515</v>
      </c>
      <c r="B519" s="24" t="s">
        <v>2878</v>
      </c>
      <c r="C519" s="25" t="s">
        <v>2879</v>
      </c>
      <c r="D519" s="23" t="s">
        <v>2819</v>
      </c>
      <c r="E519" s="43">
        <v>46126</v>
      </c>
      <c r="F519" s="26" t="s">
        <v>23</v>
      </c>
      <c r="G519" s="26" t="s">
        <v>24</v>
      </c>
      <c r="H519" s="26" t="s">
        <v>25</v>
      </c>
      <c r="I519" s="26" t="s">
        <v>26</v>
      </c>
      <c r="J519" s="26" t="s">
        <v>24</v>
      </c>
      <c r="K519" s="27"/>
      <c r="L519" s="28" t="s">
        <v>25</v>
      </c>
      <c r="M519" s="29" t="str">
        <f t="shared" si="40"/>
        <v>✓ OK</v>
      </c>
      <c r="N519" s="43">
        <v>46193</v>
      </c>
      <c r="O519" s="26" t="s">
        <v>23</v>
      </c>
      <c r="P519" s="26" t="s">
        <v>24</v>
      </c>
      <c r="Q519" s="26" t="s">
        <v>25</v>
      </c>
      <c r="R519" s="26" t="s">
        <v>26</v>
      </c>
      <c r="S519" s="26" t="s">
        <v>24</v>
      </c>
      <c r="T519" s="27"/>
      <c r="U519" s="28" t="s">
        <v>25</v>
      </c>
      <c r="V519" s="29" t="str">
        <f t="shared" si="41"/>
        <v>✓ OK</v>
      </c>
      <c r="W519" s="45">
        <v>46248</v>
      </c>
      <c r="X519" s="30" t="s">
        <v>23</v>
      </c>
      <c r="Y519" s="30" t="s">
        <v>24</v>
      </c>
      <c r="Z519" s="30" t="s">
        <v>25</v>
      </c>
      <c r="AA519" s="30" t="s">
        <v>26</v>
      </c>
      <c r="AB519" s="30" t="s">
        <v>24</v>
      </c>
      <c r="AC519" s="27"/>
      <c r="AD519" s="31" t="s">
        <v>25</v>
      </c>
      <c r="AE519" s="32" t="str">
        <f t="shared" si="42"/>
        <v>✓ OK</v>
      </c>
      <c r="AF519" s="33" t="s">
        <v>27</v>
      </c>
      <c r="AG519" s="33" t="s">
        <v>23</v>
      </c>
      <c r="AH519" s="33" t="s">
        <v>24</v>
      </c>
      <c r="AI519" s="33" t="s">
        <v>25</v>
      </c>
      <c r="AJ519" s="33" t="s">
        <v>26</v>
      </c>
      <c r="AK519" s="33" t="s">
        <v>24</v>
      </c>
      <c r="AL519" s="27"/>
      <c r="AM519" s="34" t="s">
        <v>25</v>
      </c>
      <c r="AN519" s="35" t="str">
        <f t="shared" si="43"/>
        <v>✓ OK</v>
      </c>
      <c r="AO519" s="36"/>
      <c r="AP519" s="36"/>
      <c r="AQ519" s="36"/>
      <c r="AR519" s="36"/>
      <c r="AS519" s="36"/>
      <c r="AT519" s="36"/>
      <c r="AU519" s="27"/>
      <c r="AV519" s="37"/>
      <c r="AW519" s="38" t="str">
        <f t="shared" si="44"/>
        <v/>
      </c>
    </row>
    <row r="520" spans="1:49" ht="18" customHeight="1" x14ac:dyDescent="0.3">
      <c r="A520" s="39">
        <v>516</v>
      </c>
      <c r="B520" s="40" t="s">
        <v>2880</v>
      </c>
      <c r="C520" s="41" t="s">
        <v>2881</v>
      </c>
      <c r="D520" s="39" t="s">
        <v>2819</v>
      </c>
      <c r="E520" s="43">
        <v>46126</v>
      </c>
      <c r="F520" s="26" t="s">
        <v>23</v>
      </c>
      <c r="G520" s="26" t="s">
        <v>24</v>
      </c>
      <c r="H520" s="26" t="s">
        <v>25</v>
      </c>
      <c r="I520" s="26" t="s">
        <v>26</v>
      </c>
      <c r="J520" s="26" t="s">
        <v>24</v>
      </c>
      <c r="K520" s="27"/>
      <c r="L520" s="28" t="s">
        <v>25</v>
      </c>
      <c r="M520" s="29" t="str">
        <f t="shared" si="40"/>
        <v>✓ OK</v>
      </c>
      <c r="N520" s="43">
        <v>46193</v>
      </c>
      <c r="O520" s="26" t="s">
        <v>23</v>
      </c>
      <c r="P520" s="26" t="s">
        <v>24</v>
      </c>
      <c r="Q520" s="26" t="s">
        <v>25</v>
      </c>
      <c r="R520" s="26" t="s">
        <v>26</v>
      </c>
      <c r="S520" s="26" t="s">
        <v>24</v>
      </c>
      <c r="T520" s="27"/>
      <c r="U520" s="28" t="s">
        <v>25</v>
      </c>
      <c r="V520" s="29" t="str">
        <f t="shared" si="41"/>
        <v>✓ OK</v>
      </c>
      <c r="W520" s="45">
        <v>46248</v>
      </c>
      <c r="X520" s="30" t="s">
        <v>23</v>
      </c>
      <c r="Y520" s="30" t="s">
        <v>24</v>
      </c>
      <c r="Z520" s="30" t="s">
        <v>25</v>
      </c>
      <c r="AA520" s="30" t="s">
        <v>26</v>
      </c>
      <c r="AB520" s="30" t="s">
        <v>24</v>
      </c>
      <c r="AC520" s="27"/>
      <c r="AD520" s="31" t="s">
        <v>25</v>
      </c>
      <c r="AE520" s="32" t="str">
        <f t="shared" si="42"/>
        <v>✓ OK</v>
      </c>
      <c r="AF520" s="33" t="s">
        <v>27</v>
      </c>
      <c r="AG520" s="33" t="s">
        <v>23</v>
      </c>
      <c r="AH520" s="33" t="s">
        <v>24</v>
      </c>
      <c r="AI520" s="33" t="s">
        <v>25</v>
      </c>
      <c r="AJ520" s="33" t="s">
        <v>26</v>
      </c>
      <c r="AK520" s="33" t="s">
        <v>24</v>
      </c>
      <c r="AL520" s="27"/>
      <c r="AM520" s="34" t="s">
        <v>25</v>
      </c>
      <c r="AN520" s="35" t="str">
        <f t="shared" si="43"/>
        <v>✓ OK</v>
      </c>
      <c r="AO520" s="36"/>
      <c r="AP520" s="36"/>
      <c r="AQ520" s="36"/>
      <c r="AR520" s="36"/>
      <c r="AS520" s="36"/>
      <c r="AT520" s="36"/>
      <c r="AU520" s="27"/>
      <c r="AV520" s="37"/>
      <c r="AW520" s="38" t="str">
        <f t="shared" si="44"/>
        <v/>
      </c>
    </row>
    <row r="521" spans="1:49" ht="18" customHeight="1" x14ac:dyDescent="0.3">
      <c r="A521" s="23">
        <v>517</v>
      </c>
      <c r="B521" s="24" t="s">
        <v>2882</v>
      </c>
      <c r="C521" s="25" t="s">
        <v>2883</v>
      </c>
      <c r="D521" s="23" t="s">
        <v>2819</v>
      </c>
      <c r="E521" s="43">
        <v>46126</v>
      </c>
      <c r="F521" s="26" t="s">
        <v>23</v>
      </c>
      <c r="G521" s="26" t="s">
        <v>24</v>
      </c>
      <c r="H521" s="26" t="s">
        <v>25</v>
      </c>
      <c r="I521" s="26" t="s">
        <v>26</v>
      </c>
      <c r="J521" s="26" t="s">
        <v>24</v>
      </c>
      <c r="K521" s="27"/>
      <c r="L521" s="28" t="s">
        <v>25</v>
      </c>
      <c r="M521" s="29" t="str">
        <f t="shared" si="40"/>
        <v>✓ OK</v>
      </c>
      <c r="N521" s="43">
        <v>46193</v>
      </c>
      <c r="O521" s="26" t="s">
        <v>23</v>
      </c>
      <c r="P521" s="26" t="s">
        <v>24</v>
      </c>
      <c r="Q521" s="26" t="s">
        <v>25</v>
      </c>
      <c r="R521" s="26" t="s">
        <v>26</v>
      </c>
      <c r="S521" s="26" t="s">
        <v>24</v>
      </c>
      <c r="T521" s="27"/>
      <c r="U521" s="28" t="s">
        <v>25</v>
      </c>
      <c r="V521" s="29" t="str">
        <f t="shared" si="41"/>
        <v>✓ OK</v>
      </c>
      <c r="W521" s="45">
        <v>46248</v>
      </c>
      <c r="X521" s="30" t="s">
        <v>23</v>
      </c>
      <c r="Y521" s="30" t="s">
        <v>24</v>
      </c>
      <c r="Z521" s="30" t="s">
        <v>25</v>
      </c>
      <c r="AA521" s="30" t="s">
        <v>26</v>
      </c>
      <c r="AB521" s="30" t="s">
        <v>24</v>
      </c>
      <c r="AC521" s="27"/>
      <c r="AD521" s="31" t="s">
        <v>25</v>
      </c>
      <c r="AE521" s="32" t="str">
        <f t="shared" si="42"/>
        <v>✓ OK</v>
      </c>
      <c r="AF521" s="33" t="s">
        <v>27</v>
      </c>
      <c r="AG521" s="33" t="s">
        <v>23</v>
      </c>
      <c r="AH521" s="33" t="s">
        <v>24</v>
      </c>
      <c r="AI521" s="33" t="s">
        <v>25</v>
      </c>
      <c r="AJ521" s="33" t="s">
        <v>26</v>
      </c>
      <c r="AK521" s="33" t="s">
        <v>24</v>
      </c>
      <c r="AL521" s="27"/>
      <c r="AM521" s="34" t="s">
        <v>25</v>
      </c>
      <c r="AN521" s="35" t="str">
        <f t="shared" si="43"/>
        <v>✓ OK</v>
      </c>
      <c r="AO521" s="36"/>
      <c r="AP521" s="36"/>
      <c r="AQ521" s="36"/>
      <c r="AR521" s="36"/>
      <c r="AS521" s="36"/>
      <c r="AT521" s="36"/>
      <c r="AU521" s="27"/>
      <c r="AV521" s="37"/>
      <c r="AW521" s="38" t="str">
        <f t="shared" si="44"/>
        <v/>
      </c>
    </row>
    <row r="522" spans="1:49" ht="18" customHeight="1" x14ac:dyDescent="0.3">
      <c r="A522" s="39">
        <v>518</v>
      </c>
      <c r="B522" s="40" t="s">
        <v>2884</v>
      </c>
      <c r="C522" s="41" t="s">
        <v>2885</v>
      </c>
      <c r="D522" s="39" t="s">
        <v>2819</v>
      </c>
      <c r="E522" s="43">
        <v>46126</v>
      </c>
      <c r="F522" s="26" t="s">
        <v>23</v>
      </c>
      <c r="G522" s="26" t="s">
        <v>24</v>
      </c>
      <c r="H522" s="26" t="s">
        <v>25</v>
      </c>
      <c r="I522" s="26" t="s">
        <v>26</v>
      </c>
      <c r="J522" s="26" t="s">
        <v>24</v>
      </c>
      <c r="K522" s="27"/>
      <c r="L522" s="28" t="s">
        <v>25</v>
      </c>
      <c r="M522" s="29" t="str">
        <f t="shared" si="40"/>
        <v>✓ OK</v>
      </c>
      <c r="N522" s="43">
        <v>46193</v>
      </c>
      <c r="O522" s="26" t="s">
        <v>23</v>
      </c>
      <c r="P522" s="26" t="s">
        <v>24</v>
      </c>
      <c r="Q522" s="26" t="s">
        <v>25</v>
      </c>
      <c r="R522" s="26" t="s">
        <v>26</v>
      </c>
      <c r="S522" s="26" t="s">
        <v>24</v>
      </c>
      <c r="T522" s="27"/>
      <c r="U522" s="28" t="s">
        <v>25</v>
      </c>
      <c r="V522" s="29" t="str">
        <f t="shared" si="41"/>
        <v>✓ OK</v>
      </c>
      <c r="W522" s="45">
        <v>46248</v>
      </c>
      <c r="X522" s="30" t="s">
        <v>23</v>
      </c>
      <c r="Y522" s="30" t="s">
        <v>24</v>
      </c>
      <c r="Z522" s="30" t="s">
        <v>25</v>
      </c>
      <c r="AA522" s="30" t="s">
        <v>26</v>
      </c>
      <c r="AB522" s="30" t="s">
        <v>24</v>
      </c>
      <c r="AC522" s="27"/>
      <c r="AD522" s="31" t="s">
        <v>25</v>
      </c>
      <c r="AE522" s="32" t="str">
        <f t="shared" si="42"/>
        <v>✓ OK</v>
      </c>
      <c r="AF522" s="33" t="s">
        <v>27</v>
      </c>
      <c r="AG522" s="33" t="s">
        <v>23</v>
      </c>
      <c r="AH522" s="33" t="s">
        <v>24</v>
      </c>
      <c r="AI522" s="33" t="s">
        <v>25</v>
      </c>
      <c r="AJ522" s="33" t="s">
        <v>26</v>
      </c>
      <c r="AK522" s="33" t="s">
        <v>24</v>
      </c>
      <c r="AL522" s="27"/>
      <c r="AM522" s="34" t="s">
        <v>25</v>
      </c>
      <c r="AN522" s="35" t="str">
        <f t="shared" si="43"/>
        <v>✓ OK</v>
      </c>
      <c r="AO522" s="36"/>
      <c r="AP522" s="36"/>
      <c r="AQ522" s="36"/>
      <c r="AR522" s="36"/>
      <c r="AS522" s="36"/>
      <c r="AT522" s="36"/>
      <c r="AU522" s="27"/>
      <c r="AV522" s="37"/>
      <c r="AW522" s="38" t="str">
        <f t="shared" si="44"/>
        <v/>
      </c>
    </row>
    <row r="523" spans="1:49" ht="18" customHeight="1" x14ac:dyDescent="0.3">
      <c r="A523" s="23">
        <v>519</v>
      </c>
      <c r="B523" s="24" t="s">
        <v>2886</v>
      </c>
      <c r="C523" s="25" t="s">
        <v>2887</v>
      </c>
      <c r="D523" s="23" t="s">
        <v>2819</v>
      </c>
      <c r="E523" s="43">
        <v>46126</v>
      </c>
      <c r="F523" s="26" t="s">
        <v>23</v>
      </c>
      <c r="G523" s="26" t="s">
        <v>24</v>
      </c>
      <c r="H523" s="26" t="s">
        <v>25</v>
      </c>
      <c r="I523" s="26" t="s">
        <v>26</v>
      </c>
      <c r="J523" s="26" t="s">
        <v>24</v>
      </c>
      <c r="K523" s="27"/>
      <c r="L523" s="28" t="s">
        <v>25</v>
      </c>
      <c r="M523" s="29" t="str">
        <f t="shared" si="40"/>
        <v>✓ OK</v>
      </c>
      <c r="N523" s="43">
        <v>46193</v>
      </c>
      <c r="O523" s="26" t="s">
        <v>23</v>
      </c>
      <c r="P523" s="26" t="s">
        <v>24</v>
      </c>
      <c r="Q523" s="26" t="s">
        <v>25</v>
      </c>
      <c r="R523" s="26" t="s">
        <v>26</v>
      </c>
      <c r="S523" s="26" t="s">
        <v>24</v>
      </c>
      <c r="T523" s="27"/>
      <c r="U523" s="28" t="s">
        <v>25</v>
      </c>
      <c r="V523" s="29" t="str">
        <f t="shared" si="41"/>
        <v>✓ OK</v>
      </c>
      <c r="W523" s="45">
        <v>46248</v>
      </c>
      <c r="X523" s="30" t="s">
        <v>23</v>
      </c>
      <c r="Y523" s="30" t="s">
        <v>24</v>
      </c>
      <c r="Z523" s="30" t="s">
        <v>25</v>
      </c>
      <c r="AA523" s="30" t="s">
        <v>26</v>
      </c>
      <c r="AB523" s="30" t="s">
        <v>24</v>
      </c>
      <c r="AC523" s="27"/>
      <c r="AD523" s="31" t="s">
        <v>25</v>
      </c>
      <c r="AE523" s="32" t="str">
        <f t="shared" si="42"/>
        <v>✓ OK</v>
      </c>
      <c r="AF523" s="33" t="s">
        <v>27</v>
      </c>
      <c r="AG523" s="33" t="s">
        <v>23</v>
      </c>
      <c r="AH523" s="33" t="s">
        <v>24</v>
      </c>
      <c r="AI523" s="33" t="s">
        <v>25</v>
      </c>
      <c r="AJ523" s="33" t="s">
        <v>26</v>
      </c>
      <c r="AK523" s="33" t="s">
        <v>24</v>
      </c>
      <c r="AL523" s="27"/>
      <c r="AM523" s="34" t="s">
        <v>25</v>
      </c>
      <c r="AN523" s="35" t="str">
        <f t="shared" si="43"/>
        <v>✓ OK</v>
      </c>
      <c r="AO523" s="36"/>
      <c r="AP523" s="36"/>
      <c r="AQ523" s="36"/>
      <c r="AR523" s="36"/>
      <c r="AS523" s="36"/>
      <c r="AT523" s="36"/>
      <c r="AU523" s="27"/>
      <c r="AV523" s="37"/>
      <c r="AW523" s="38" t="str">
        <f t="shared" si="44"/>
        <v/>
      </c>
    </row>
    <row r="524" spans="1:49" ht="18" customHeight="1" x14ac:dyDescent="0.3">
      <c r="A524" s="39">
        <v>520</v>
      </c>
      <c r="B524" s="40" t="s">
        <v>2888</v>
      </c>
      <c r="C524" s="41" t="s">
        <v>2889</v>
      </c>
      <c r="D524" s="39" t="s">
        <v>2819</v>
      </c>
      <c r="E524" s="43">
        <v>46126</v>
      </c>
      <c r="F524" s="26" t="s">
        <v>23</v>
      </c>
      <c r="G524" s="26" t="s">
        <v>24</v>
      </c>
      <c r="H524" s="26" t="s">
        <v>25</v>
      </c>
      <c r="I524" s="26" t="s">
        <v>26</v>
      </c>
      <c r="J524" s="26" t="s">
        <v>24</v>
      </c>
      <c r="K524" s="27"/>
      <c r="L524" s="28" t="s">
        <v>25</v>
      </c>
      <c r="M524" s="29" t="str">
        <f t="shared" si="40"/>
        <v>✓ OK</v>
      </c>
      <c r="N524" s="43">
        <v>46193</v>
      </c>
      <c r="O524" s="26" t="s">
        <v>23</v>
      </c>
      <c r="P524" s="26" t="s">
        <v>24</v>
      </c>
      <c r="Q524" s="26" t="s">
        <v>25</v>
      </c>
      <c r="R524" s="26" t="s">
        <v>26</v>
      </c>
      <c r="S524" s="26" t="s">
        <v>24</v>
      </c>
      <c r="T524" s="27"/>
      <c r="U524" s="28" t="s">
        <v>25</v>
      </c>
      <c r="V524" s="29" t="str">
        <f t="shared" si="41"/>
        <v>✓ OK</v>
      </c>
      <c r="W524" s="45">
        <v>46248</v>
      </c>
      <c r="X524" s="30" t="s">
        <v>23</v>
      </c>
      <c r="Y524" s="30" t="s">
        <v>24</v>
      </c>
      <c r="Z524" s="30" t="s">
        <v>25</v>
      </c>
      <c r="AA524" s="30" t="s">
        <v>26</v>
      </c>
      <c r="AB524" s="30" t="s">
        <v>24</v>
      </c>
      <c r="AC524" s="27"/>
      <c r="AD524" s="31" t="s">
        <v>25</v>
      </c>
      <c r="AE524" s="32" t="str">
        <f t="shared" si="42"/>
        <v>✓ OK</v>
      </c>
      <c r="AF524" s="33" t="s">
        <v>27</v>
      </c>
      <c r="AG524" s="33" t="s">
        <v>23</v>
      </c>
      <c r="AH524" s="33" t="s">
        <v>24</v>
      </c>
      <c r="AI524" s="33" t="s">
        <v>25</v>
      </c>
      <c r="AJ524" s="33" t="s">
        <v>26</v>
      </c>
      <c r="AK524" s="33" t="s">
        <v>24</v>
      </c>
      <c r="AL524" s="27"/>
      <c r="AM524" s="34" t="s">
        <v>25</v>
      </c>
      <c r="AN524" s="35" t="str">
        <f t="shared" si="43"/>
        <v>✓ OK</v>
      </c>
      <c r="AO524" s="36"/>
      <c r="AP524" s="36"/>
      <c r="AQ524" s="36"/>
      <c r="AR524" s="36"/>
      <c r="AS524" s="36"/>
      <c r="AT524" s="36"/>
      <c r="AU524" s="27"/>
      <c r="AV524" s="37"/>
      <c r="AW524" s="38" t="str">
        <f t="shared" si="44"/>
        <v/>
      </c>
    </row>
    <row r="525" spans="1:49" ht="18" customHeight="1" x14ac:dyDescent="0.3">
      <c r="A525" s="23">
        <v>521</v>
      </c>
      <c r="B525" s="24" t="s">
        <v>2890</v>
      </c>
      <c r="C525" s="25" t="s">
        <v>2891</v>
      </c>
      <c r="D525" s="23" t="s">
        <v>2819</v>
      </c>
      <c r="E525" s="43">
        <v>46126</v>
      </c>
      <c r="F525" s="26" t="s">
        <v>23</v>
      </c>
      <c r="G525" s="26" t="s">
        <v>24</v>
      </c>
      <c r="H525" s="26" t="s">
        <v>25</v>
      </c>
      <c r="I525" s="26" t="s">
        <v>26</v>
      </c>
      <c r="J525" s="26" t="s">
        <v>24</v>
      </c>
      <c r="K525" s="27"/>
      <c r="L525" s="28" t="s">
        <v>25</v>
      </c>
      <c r="M525" s="29" t="str">
        <f t="shared" si="40"/>
        <v>✓ OK</v>
      </c>
      <c r="N525" s="43">
        <v>46193</v>
      </c>
      <c r="O525" s="26" t="s">
        <v>23</v>
      </c>
      <c r="P525" s="26" t="s">
        <v>24</v>
      </c>
      <c r="Q525" s="26" t="s">
        <v>25</v>
      </c>
      <c r="R525" s="26" t="s">
        <v>26</v>
      </c>
      <c r="S525" s="26" t="s">
        <v>24</v>
      </c>
      <c r="T525" s="27"/>
      <c r="U525" s="28" t="s">
        <v>25</v>
      </c>
      <c r="V525" s="29" t="str">
        <f t="shared" si="41"/>
        <v>✓ OK</v>
      </c>
      <c r="W525" s="45">
        <v>46248</v>
      </c>
      <c r="X525" s="30" t="s">
        <v>23</v>
      </c>
      <c r="Y525" s="30" t="s">
        <v>24</v>
      </c>
      <c r="Z525" s="30" t="s">
        <v>25</v>
      </c>
      <c r="AA525" s="30" t="s">
        <v>26</v>
      </c>
      <c r="AB525" s="30" t="s">
        <v>24</v>
      </c>
      <c r="AC525" s="27"/>
      <c r="AD525" s="31" t="s">
        <v>25</v>
      </c>
      <c r="AE525" s="32" t="str">
        <f t="shared" si="42"/>
        <v>✓ OK</v>
      </c>
      <c r="AF525" s="33" t="s">
        <v>27</v>
      </c>
      <c r="AG525" s="33" t="s">
        <v>23</v>
      </c>
      <c r="AH525" s="33" t="s">
        <v>24</v>
      </c>
      <c r="AI525" s="33" t="s">
        <v>25</v>
      </c>
      <c r="AJ525" s="33" t="s">
        <v>26</v>
      </c>
      <c r="AK525" s="33" t="s">
        <v>24</v>
      </c>
      <c r="AL525" s="27"/>
      <c r="AM525" s="34" t="s">
        <v>25</v>
      </c>
      <c r="AN525" s="35" t="str">
        <f t="shared" si="43"/>
        <v>✓ OK</v>
      </c>
      <c r="AO525" s="36"/>
      <c r="AP525" s="36"/>
      <c r="AQ525" s="36"/>
      <c r="AR525" s="36"/>
      <c r="AS525" s="36"/>
      <c r="AT525" s="36"/>
      <c r="AU525" s="27"/>
      <c r="AV525" s="37"/>
      <c r="AW525" s="38" t="str">
        <f t="shared" si="44"/>
        <v/>
      </c>
    </row>
    <row r="526" spans="1:49" ht="18" customHeight="1" x14ac:dyDescent="0.3">
      <c r="A526" s="39">
        <v>522</v>
      </c>
      <c r="B526" s="40" t="s">
        <v>2892</v>
      </c>
      <c r="C526" s="41" t="s">
        <v>2893</v>
      </c>
      <c r="D526" s="39" t="s">
        <v>2819</v>
      </c>
      <c r="E526" s="43">
        <v>46126</v>
      </c>
      <c r="F526" s="26" t="s">
        <v>23</v>
      </c>
      <c r="G526" s="26" t="s">
        <v>24</v>
      </c>
      <c r="H526" s="26" t="s">
        <v>25</v>
      </c>
      <c r="I526" s="26" t="s">
        <v>26</v>
      </c>
      <c r="J526" s="26" t="s">
        <v>24</v>
      </c>
      <c r="K526" s="27"/>
      <c r="L526" s="28" t="s">
        <v>25</v>
      </c>
      <c r="M526" s="29" t="str">
        <f t="shared" si="40"/>
        <v>✓ OK</v>
      </c>
      <c r="N526" s="43">
        <v>46193</v>
      </c>
      <c r="O526" s="26" t="s">
        <v>23</v>
      </c>
      <c r="P526" s="26" t="s">
        <v>24</v>
      </c>
      <c r="Q526" s="26" t="s">
        <v>25</v>
      </c>
      <c r="R526" s="26" t="s">
        <v>26</v>
      </c>
      <c r="S526" s="26" t="s">
        <v>24</v>
      </c>
      <c r="T526" s="27"/>
      <c r="U526" s="28" t="s">
        <v>25</v>
      </c>
      <c r="V526" s="29" t="str">
        <f t="shared" si="41"/>
        <v>✓ OK</v>
      </c>
      <c r="W526" s="45">
        <v>46248</v>
      </c>
      <c r="X526" s="30" t="s">
        <v>23</v>
      </c>
      <c r="Y526" s="30" t="s">
        <v>24</v>
      </c>
      <c r="Z526" s="30" t="s">
        <v>25</v>
      </c>
      <c r="AA526" s="30" t="s">
        <v>26</v>
      </c>
      <c r="AB526" s="30" t="s">
        <v>24</v>
      </c>
      <c r="AC526" s="27"/>
      <c r="AD526" s="31" t="s">
        <v>25</v>
      </c>
      <c r="AE526" s="32" t="str">
        <f t="shared" si="42"/>
        <v>✓ OK</v>
      </c>
      <c r="AF526" s="33" t="s">
        <v>27</v>
      </c>
      <c r="AG526" s="33" t="s">
        <v>23</v>
      </c>
      <c r="AH526" s="33" t="s">
        <v>24</v>
      </c>
      <c r="AI526" s="33" t="s">
        <v>25</v>
      </c>
      <c r="AJ526" s="33" t="s">
        <v>26</v>
      </c>
      <c r="AK526" s="33" t="s">
        <v>24</v>
      </c>
      <c r="AL526" s="27"/>
      <c r="AM526" s="34" t="s">
        <v>25</v>
      </c>
      <c r="AN526" s="35" t="str">
        <f t="shared" si="43"/>
        <v>✓ OK</v>
      </c>
      <c r="AO526" s="36"/>
      <c r="AP526" s="36"/>
      <c r="AQ526" s="36"/>
      <c r="AR526" s="36"/>
      <c r="AS526" s="36"/>
      <c r="AT526" s="36"/>
      <c r="AU526" s="27"/>
      <c r="AV526" s="37"/>
      <c r="AW526" s="38" t="str">
        <f t="shared" si="44"/>
        <v/>
      </c>
    </row>
    <row r="527" spans="1:49" ht="18" customHeight="1" x14ac:dyDescent="0.3">
      <c r="A527" s="23">
        <v>523</v>
      </c>
      <c r="B527" s="24" t="s">
        <v>2894</v>
      </c>
      <c r="C527" s="25" t="s">
        <v>2895</v>
      </c>
      <c r="D527" s="23" t="s">
        <v>2819</v>
      </c>
      <c r="E527" s="43">
        <v>46126</v>
      </c>
      <c r="F527" s="26" t="s">
        <v>23</v>
      </c>
      <c r="G527" s="26" t="s">
        <v>24</v>
      </c>
      <c r="H527" s="26" t="s">
        <v>25</v>
      </c>
      <c r="I527" s="26" t="s">
        <v>26</v>
      </c>
      <c r="J527" s="26" t="s">
        <v>24</v>
      </c>
      <c r="K527" s="27"/>
      <c r="L527" s="28" t="s">
        <v>25</v>
      </c>
      <c r="M527" s="29" t="str">
        <f t="shared" si="40"/>
        <v>✓ OK</v>
      </c>
      <c r="N527" s="43">
        <v>46193</v>
      </c>
      <c r="O527" s="26" t="s">
        <v>23</v>
      </c>
      <c r="P527" s="26" t="s">
        <v>24</v>
      </c>
      <c r="Q527" s="26" t="s">
        <v>25</v>
      </c>
      <c r="R527" s="26" t="s">
        <v>26</v>
      </c>
      <c r="S527" s="26" t="s">
        <v>24</v>
      </c>
      <c r="T527" s="27"/>
      <c r="U527" s="28" t="s">
        <v>25</v>
      </c>
      <c r="V527" s="29" t="str">
        <f t="shared" si="41"/>
        <v>✓ OK</v>
      </c>
      <c r="W527" s="45">
        <v>46248</v>
      </c>
      <c r="X527" s="30" t="s">
        <v>23</v>
      </c>
      <c r="Y527" s="30" t="s">
        <v>24</v>
      </c>
      <c r="Z527" s="30" t="s">
        <v>25</v>
      </c>
      <c r="AA527" s="30" t="s">
        <v>26</v>
      </c>
      <c r="AB527" s="30" t="s">
        <v>24</v>
      </c>
      <c r="AC527" s="27"/>
      <c r="AD527" s="31" t="s">
        <v>25</v>
      </c>
      <c r="AE527" s="32" t="str">
        <f t="shared" si="42"/>
        <v>✓ OK</v>
      </c>
      <c r="AF527" s="33" t="s">
        <v>27</v>
      </c>
      <c r="AG527" s="33" t="s">
        <v>23</v>
      </c>
      <c r="AH527" s="33" t="s">
        <v>24</v>
      </c>
      <c r="AI527" s="33" t="s">
        <v>25</v>
      </c>
      <c r="AJ527" s="33" t="s">
        <v>26</v>
      </c>
      <c r="AK527" s="33" t="s">
        <v>24</v>
      </c>
      <c r="AL527" s="27"/>
      <c r="AM527" s="34" t="s">
        <v>25</v>
      </c>
      <c r="AN527" s="35" t="str">
        <f t="shared" si="43"/>
        <v>✓ OK</v>
      </c>
      <c r="AO527" s="36"/>
      <c r="AP527" s="36"/>
      <c r="AQ527" s="36"/>
      <c r="AR527" s="36"/>
      <c r="AS527" s="36"/>
      <c r="AT527" s="36"/>
      <c r="AU527" s="27"/>
      <c r="AV527" s="37"/>
      <c r="AW527" s="38" t="str">
        <f t="shared" si="44"/>
        <v/>
      </c>
    </row>
    <row r="528" spans="1:49" ht="18" customHeight="1" x14ac:dyDescent="0.3">
      <c r="A528" s="39">
        <v>524</v>
      </c>
      <c r="B528" s="40" t="s">
        <v>2896</v>
      </c>
      <c r="C528" s="41" t="s">
        <v>2897</v>
      </c>
      <c r="D528" s="39" t="s">
        <v>2819</v>
      </c>
      <c r="E528" s="43">
        <v>46126</v>
      </c>
      <c r="F528" s="26" t="s">
        <v>23</v>
      </c>
      <c r="G528" s="26" t="s">
        <v>24</v>
      </c>
      <c r="H528" s="26" t="s">
        <v>25</v>
      </c>
      <c r="I528" s="26" t="s">
        <v>26</v>
      </c>
      <c r="J528" s="26" t="s">
        <v>24</v>
      </c>
      <c r="K528" s="27"/>
      <c r="L528" s="28" t="s">
        <v>25</v>
      </c>
      <c r="M528" s="29" t="str">
        <f t="shared" si="40"/>
        <v>✓ OK</v>
      </c>
      <c r="N528" s="43">
        <v>46193</v>
      </c>
      <c r="O528" s="26" t="s">
        <v>23</v>
      </c>
      <c r="P528" s="26" t="s">
        <v>24</v>
      </c>
      <c r="Q528" s="26" t="s">
        <v>25</v>
      </c>
      <c r="R528" s="26" t="s">
        <v>26</v>
      </c>
      <c r="S528" s="26" t="s">
        <v>24</v>
      </c>
      <c r="T528" s="27"/>
      <c r="U528" s="28" t="s">
        <v>25</v>
      </c>
      <c r="V528" s="29" t="str">
        <f t="shared" si="41"/>
        <v>✓ OK</v>
      </c>
      <c r="W528" s="45">
        <v>46248</v>
      </c>
      <c r="X528" s="30" t="s">
        <v>23</v>
      </c>
      <c r="Y528" s="30" t="s">
        <v>24</v>
      </c>
      <c r="Z528" s="30" t="s">
        <v>25</v>
      </c>
      <c r="AA528" s="30" t="s">
        <v>26</v>
      </c>
      <c r="AB528" s="30" t="s">
        <v>24</v>
      </c>
      <c r="AC528" s="27"/>
      <c r="AD528" s="31" t="s">
        <v>25</v>
      </c>
      <c r="AE528" s="32" t="str">
        <f t="shared" si="42"/>
        <v>✓ OK</v>
      </c>
      <c r="AF528" s="33" t="s">
        <v>27</v>
      </c>
      <c r="AG528" s="33" t="s">
        <v>23</v>
      </c>
      <c r="AH528" s="33" t="s">
        <v>24</v>
      </c>
      <c r="AI528" s="33" t="s">
        <v>25</v>
      </c>
      <c r="AJ528" s="33" t="s">
        <v>26</v>
      </c>
      <c r="AK528" s="33" t="s">
        <v>24</v>
      </c>
      <c r="AL528" s="27"/>
      <c r="AM528" s="34" t="s">
        <v>25</v>
      </c>
      <c r="AN528" s="35" t="str">
        <f t="shared" si="43"/>
        <v>✓ OK</v>
      </c>
      <c r="AO528" s="36"/>
      <c r="AP528" s="36"/>
      <c r="AQ528" s="36"/>
      <c r="AR528" s="36"/>
      <c r="AS528" s="36"/>
      <c r="AT528" s="36"/>
      <c r="AU528" s="27"/>
      <c r="AV528" s="37"/>
      <c r="AW528" s="38" t="str">
        <f t="shared" si="44"/>
        <v/>
      </c>
    </row>
    <row r="529" spans="1:49" ht="18" customHeight="1" x14ac:dyDescent="0.3">
      <c r="A529" s="23">
        <v>525</v>
      </c>
      <c r="B529" s="24" t="s">
        <v>2898</v>
      </c>
      <c r="C529" s="25" t="s">
        <v>2899</v>
      </c>
      <c r="D529" s="23" t="s">
        <v>2819</v>
      </c>
      <c r="E529" s="43">
        <v>46126</v>
      </c>
      <c r="F529" s="26" t="s">
        <v>23</v>
      </c>
      <c r="G529" s="26" t="s">
        <v>24</v>
      </c>
      <c r="H529" s="26" t="s">
        <v>25</v>
      </c>
      <c r="I529" s="26" t="s">
        <v>26</v>
      </c>
      <c r="J529" s="26" t="s">
        <v>24</v>
      </c>
      <c r="K529" s="27"/>
      <c r="L529" s="28" t="s">
        <v>25</v>
      </c>
      <c r="M529" s="29" t="str">
        <f t="shared" si="40"/>
        <v>✓ OK</v>
      </c>
      <c r="N529" s="43">
        <v>46193</v>
      </c>
      <c r="O529" s="26" t="s">
        <v>23</v>
      </c>
      <c r="P529" s="26" t="s">
        <v>24</v>
      </c>
      <c r="Q529" s="26" t="s">
        <v>25</v>
      </c>
      <c r="R529" s="26" t="s">
        <v>26</v>
      </c>
      <c r="S529" s="26" t="s">
        <v>24</v>
      </c>
      <c r="T529" s="27"/>
      <c r="U529" s="28" t="s">
        <v>25</v>
      </c>
      <c r="V529" s="29" t="str">
        <f t="shared" si="41"/>
        <v>✓ OK</v>
      </c>
      <c r="W529" s="45">
        <v>46248</v>
      </c>
      <c r="X529" s="30" t="s">
        <v>23</v>
      </c>
      <c r="Y529" s="30" t="s">
        <v>24</v>
      </c>
      <c r="Z529" s="30" t="s">
        <v>25</v>
      </c>
      <c r="AA529" s="30" t="s">
        <v>26</v>
      </c>
      <c r="AB529" s="30" t="s">
        <v>24</v>
      </c>
      <c r="AC529" s="27"/>
      <c r="AD529" s="31" t="s">
        <v>25</v>
      </c>
      <c r="AE529" s="32" t="str">
        <f t="shared" si="42"/>
        <v>✓ OK</v>
      </c>
      <c r="AF529" s="33" t="s">
        <v>27</v>
      </c>
      <c r="AG529" s="33" t="s">
        <v>23</v>
      </c>
      <c r="AH529" s="33" t="s">
        <v>24</v>
      </c>
      <c r="AI529" s="33" t="s">
        <v>25</v>
      </c>
      <c r="AJ529" s="33" t="s">
        <v>26</v>
      </c>
      <c r="AK529" s="33" t="s">
        <v>24</v>
      </c>
      <c r="AL529" s="27"/>
      <c r="AM529" s="34" t="s">
        <v>25</v>
      </c>
      <c r="AN529" s="35" t="str">
        <f t="shared" si="43"/>
        <v>✓ OK</v>
      </c>
      <c r="AO529" s="36"/>
      <c r="AP529" s="36"/>
      <c r="AQ529" s="36"/>
      <c r="AR529" s="36"/>
      <c r="AS529" s="36"/>
      <c r="AT529" s="36"/>
      <c r="AU529" s="27"/>
      <c r="AV529" s="37"/>
      <c r="AW529" s="38" t="str">
        <f t="shared" si="44"/>
        <v/>
      </c>
    </row>
    <row r="530" spans="1:49" ht="18" customHeight="1" x14ac:dyDescent="0.3">
      <c r="A530" s="39">
        <v>526</v>
      </c>
      <c r="B530" s="40" t="s">
        <v>2900</v>
      </c>
      <c r="C530" s="41" t="s">
        <v>2901</v>
      </c>
      <c r="D530" s="39" t="s">
        <v>2819</v>
      </c>
      <c r="E530" s="43">
        <v>46126</v>
      </c>
      <c r="F530" s="26" t="s">
        <v>23</v>
      </c>
      <c r="G530" s="26" t="s">
        <v>24</v>
      </c>
      <c r="H530" s="26" t="s">
        <v>25</v>
      </c>
      <c r="I530" s="26" t="s">
        <v>26</v>
      </c>
      <c r="J530" s="26" t="s">
        <v>24</v>
      </c>
      <c r="K530" s="27"/>
      <c r="L530" s="28" t="s">
        <v>25</v>
      </c>
      <c r="M530" s="29" t="str">
        <f t="shared" si="40"/>
        <v>✓ OK</v>
      </c>
      <c r="N530" s="43">
        <v>46193</v>
      </c>
      <c r="O530" s="26" t="s">
        <v>23</v>
      </c>
      <c r="P530" s="26" t="s">
        <v>24</v>
      </c>
      <c r="Q530" s="26" t="s">
        <v>25</v>
      </c>
      <c r="R530" s="26" t="s">
        <v>26</v>
      </c>
      <c r="S530" s="26" t="s">
        <v>24</v>
      </c>
      <c r="T530" s="27"/>
      <c r="U530" s="28" t="s">
        <v>25</v>
      </c>
      <c r="V530" s="29" t="str">
        <f t="shared" si="41"/>
        <v>✓ OK</v>
      </c>
      <c r="W530" s="45">
        <v>46248</v>
      </c>
      <c r="X530" s="30" t="s">
        <v>23</v>
      </c>
      <c r="Y530" s="30" t="s">
        <v>24</v>
      </c>
      <c r="Z530" s="30" t="s">
        <v>25</v>
      </c>
      <c r="AA530" s="30" t="s">
        <v>26</v>
      </c>
      <c r="AB530" s="30" t="s">
        <v>24</v>
      </c>
      <c r="AC530" s="27"/>
      <c r="AD530" s="31" t="s">
        <v>25</v>
      </c>
      <c r="AE530" s="32" t="str">
        <f t="shared" si="42"/>
        <v>✓ OK</v>
      </c>
      <c r="AF530" s="33" t="s">
        <v>27</v>
      </c>
      <c r="AG530" s="33" t="s">
        <v>23</v>
      </c>
      <c r="AH530" s="33" t="s">
        <v>24</v>
      </c>
      <c r="AI530" s="33" t="s">
        <v>25</v>
      </c>
      <c r="AJ530" s="33" t="s">
        <v>26</v>
      </c>
      <c r="AK530" s="33" t="s">
        <v>24</v>
      </c>
      <c r="AL530" s="27"/>
      <c r="AM530" s="34" t="s">
        <v>25</v>
      </c>
      <c r="AN530" s="35" t="str">
        <f t="shared" si="43"/>
        <v>✓ OK</v>
      </c>
      <c r="AO530" s="36"/>
      <c r="AP530" s="36"/>
      <c r="AQ530" s="36"/>
      <c r="AR530" s="36"/>
      <c r="AS530" s="36"/>
      <c r="AT530" s="36"/>
      <c r="AU530" s="27"/>
      <c r="AV530" s="37"/>
      <c r="AW530" s="38" t="str">
        <f t="shared" si="44"/>
        <v/>
      </c>
    </row>
    <row r="531" spans="1:49" ht="18" customHeight="1" x14ac:dyDescent="0.3">
      <c r="A531" s="23">
        <v>527</v>
      </c>
      <c r="B531" s="24" t="s">
        <v>2902</v>
      </c>
      <c r="C531" s="25" t="s">
        <v>2903</v>
      </c>
      <c r="D531" s="23" t="s">
        <v>2819</v>
      </c>
      <c r="E531" s="43">
        <v>46126</v>
      </c>
      <c r="F531" s="26" t="s">
        <v>23</v>
      </c>
      <c r="G531" s="26" t="s">
        <v>24</v>
      </c>
      <c r="H531" s="26" t="s">
        <v>25</v>
      </c>
      <c r="I531" s="26" t="s">
        <v>26</v>
      </c>
      <c r="J531" s="26" t="s">
        <v>24</v>
      </c>
      <c r="K531" s="27"/>
      <c r="L531" s="28" t="s">
        <v>25</v>
      </c>
      <c r="M531" s="29" t="str">
        <f t="shared" si="40"/>
        <v>✓ OK</v>
      </c>
      <c r="N531" s="43">
        <v>46193</v>
      </c>
      <c r="O531" s="26" t="s">
        <v>23</v>
      </c>
      <c r="P531" s="26" t="s">
        <v>24</v>
      </c>
      <c r="Q531" s="26" t="s">
        <v>25</v>
      </c>
      <c r="R531" s="26" t="s">
        <v>26</v>
      </c>
      <c r="S531" s="26" t="s">
        <v>24</v>
      </c>
      <c r="T531" s="27"/>
      <c r="U531" s="28" t="s">
        <v>25</v>
      </c>
      <c r="V531" s="29" t="str">
        <f t="shared" si="41"/>
        <v>✓ OK</v>
      </c>
      <c r="W531" s="45">
        <v>46248</v>
      </c>
      <c r="X531" s="30" t="s">
        <v>23</v>
      </c>
      <c r="Y531" s="30" t="s">
        <v>24</v>
      </c>
      <c r="Z531" s="30" t="s">
        <v>25</v>
      </c>
      <c r="AA531" s="30" t="s">
        <v>26</v>
      </c>
      <c r="AB531" s="30" t="s">
        <v>24</v>
      </c>
      <c r="AC531" s="27"/>
      <c r="AD531" s="31" t="s">
        <v>25</v>
      </c>
      <c r="AE531" s="32" t="str">
        <f t="shared" si="42"/>
        <v>✓ OK</v>
      </c>
      <c r="AF531" s="33" t="s">
        <v>27</v>
      </c>
      <c r="AG531" s="33" t="s">
        <v>23</v>
      </c>
      <c r="AH531" s="33" t="s">
        <v>24</v>
      </c>
      <c r="AI531" s="33" t="s">
        <v>25</v>
      </c>
      <c r="AJ531" s="33" t="s">
        <v>26</v>
      </c>
      <c r="AK531" s="33" t="s">
        <v>24</v>
      </c>
      <c r="AL531" s="27"/>
      <c r="AM531" s="34" t="s">
        <v>25</v>
      </c>
      <c r="AN531" s="35" t="str">
        <f t="shared" si="43"/>
        <v>✓ OK</v>
      </c>
      <c r="AO531" s="36"/>
      <c r="AP531" s="36"/>
      <c r="AQ531" s="36"/>
      <c r="AR531" s="36"/>
      <c r="AS531" s="36"/>
      <c r="AT531" s="36"/>
      <c r="AU531" s="27"/>
      <c r="AV531" s="37"/>
      <c r="AW531" s="38" t="str">
        <f t="shared" si="44"/>
        <v/>
      </c>
    </row>
    <row r="532" spans="1:49" ht="18" customHeight="1" x14ac:dyDescent="0.3">
      <c r="A532" s="39">
        <v>528</v>
      </c>
      <c r="B532" s="40" t="s">
        <v>2904</v>
      </c>
      <c r="C532" s="41" t="s">
        <v>2905</v>
      </c>
      <c r="D532" s="39" t="s">
        <v>2819</v>
      </c>
      <c r="E532" s="43">
        <v>46126</v>
      </c>
      <c r="F532" s="26" t="s">
        <v>23</v>
      </c>
      <c r="G532" s="26" t="s">
        <v>24</v>
      </c>
      <c r="H532" s="26" t="s">
        <v>25</v>
      </c>
      <c r="I532" s="26" t="s">
        <v>26</v>
      </c>
      <c r="J532" s="26" t="s">
        <v>24</v>
      </c>
      <c r="K532" s="27"/>
      <c r="L532" s="28" t="s">
        <v>25</v>
      </c>
      <c r="M532" s="29" t="str">
        <f t="shared" si="40"/>
        <v>✓ OK</v>
      </c>
      <c r="N532" s="43">
        <v>46193</v>
      </c>
      <c r="O532" s="26" t="s">
        <v>23</v>
      </c>
      <c r="P532" s="26" t="s">
        <v>24</v>
      </c>
      <c r="Q532" s="26" t="s">
        <v>25</v>
      </c>
      <c r="R532" s="26" t="s">
        <v>26</v>
      </c>
      <c r="S532" s="26" t="s">
        <v>24</v>
      </c>
      <c r="T532" s="27"/>
      <c r="U532" s="28" t="s">
        <v>25</v>
      </c>
      <c r="V532" s="29" t="str">
        <f t="shared" si="41"/>
        <v>✓ OK</v>
      </c>
      <c r="W532" s="45">
        <v>46248</v>
      </c>
      <c r="X532" s="30" t="s">
        <v>23</v>
      </c>
      <c r="Y532" s="30" t="s">
        <v>24</v>
      </c>
      <c r="Z532" s="30" t="s">
        <v>25</v>
      </c>
      <c r="AA532" s="30" t="s">
        <v>26</v>
      </c>
      <c r="AB532" s="30" t="s">
        <v>24</v>
      </c>
      <c r="AC532" s="27"/>
      <c r="AD532" s="31" t="s">
        <v>25</v>
      </c>
      <c r="AE532" s="32" t="str">
        <f t="shared" si="42"/>
        <v>✓ OK</v>
      </c>
      <c r="AF532" s="33" t="s">
        <v>27</v>
      </c>
      <c r="AG532" s="33" t="s">
        <v>23</v>
      </c>
      <c r="AH532" s="33" t="s">
        <v>24</v>
      </c>
      <c r="AI532" s="33" t="s">
        <v>25</v>
      </c>
      <c r="AJ532" s="33" t="s">
        <v>26</v>
      </c>
      <c r="AK532" s="33" t="s">
        <v>24</v>
      </c>
      <c r="AL532" s="27"/>
      <c r="AM532" s="34" t="s">
        <v>25</v>
      </c>
      <c r="AN532" s="35" t="str">
        <f t="shared" si="43"/>
        <v>✓ OK</v>
      </c>
      <c r="AO532" s="36"/>
      <c r="AP532" s="36"/>
      <c r="AQ532" s="36"/>
      <c r="AR532" s="36"/>
      <c r="AS532" s="36"/>
      <c r="AT532" s="36"/>
      <c r="AU532" s="27"/>
      <c r="AV532" s="37"/>
      <c r="AW532" s="38" t="str">
        <f t="shared" si="44"/>
        <v/>
      </c>
    </row>
    <row r="533" spans="1:49" ht="18" customHeight="1" x14ac:dyDescent="0.3">
      <c r="A533" s="23">
        <v>529</v>
      </c>
      <c r="B533" s="24" t="s">
        <v>2906</v>
      </c>
      <c r="C533" s="25" t="s">
        <v>2907</v>
      </c>
      <c r="D533" s="23" t="s">
        <v>2819</v>
      </c>
      <c r="E533" s="43">
        <v>46126</v>
      </c>
      <c r="F533" s="26" t="s">
        <v>23</v>
      </c>
      <c r="G533" s="26" t="s">
        <v>24</v>
      </c>
      <c r="H533" s="26" t="s">
        <v>25</v>
      </c>
      <c r="I533" s="26" t="s">
        <v>26</v>
      </c>
      <c r="J533" s="26" t="s">
        <v>24</v>
      </c>
      <c r="K533" s="27"/>
      <c r="L533" s="28" t="s">
        <v>25</v>
      </c>
      <c r="M533" s="29" t="str">
        <f t="shared" si="40"/>
        <v>✓ OK</v>
      </c>
      <c r="N533" s="43">
        <v>46193</v>
      </c>
      <c r="O533" s="26" t="s">
        <v>23</v>
      </c>
      <c r="P533" s="26" t="s">
        <v>24</v>
      </c>
      <c r="Q533" s="26" t="s">
        <v>25</v>
      </c>
      <c r="R533" s="26" t="s">
        <v>26</v>
      </c>
      <c r="S533" s="26" t="s">
        <v>24</v>
      </c>
      <c r="T533" s="27"/>
      <c r="U533" s="28" t="s">
        <v>25</v>
      </c>
      <c r="V533" s="29" t="str">
        <f t="shared" si="41"/>
        <v>✓ OK</v>
      </c>
      <c r="W533" s="45">
        <v>46248</v>
      </c>
      <c r="X533" s="30" t="s">
        <v>23</v>
      </c>
      <c r="Y533" s="30" t="s">
        <v>24</v>
      </c>
      <c r="Z533" s="30" t="s">
        <v>25</v>
      </c>
      <c r="AA533" s="30" t="s">
        <v>26</v>
      </c>
      <c r="AB533" s="30" t="s">
        <v>24</v>
      </c>
      <c r="AC533" s="27"/>
      <c r="AD533" s="31" t="s">
        <v>25</v>
      </c>
      <c r="AE533" s="32" t="str">
        <f t="shared" si="42"/>
        <v>✓ OK</v>
      </c>
      <c r="AF533" s="33" t="s">
        <v>27</v>
      </c>
      <c r="AG533" s="33" t="s">
        <v>23</v>
      </c>
      <c r="AH533" s="33" t="s">
        <v>24</v>
      </c>
      <c r="AI533" s="33" t="s">
        <v>25</v>
      </c>
      <c r="AJ533" s="33" t="s">
        <v>26</v>
      </c>
      <c r="AK533" s="33" t="s">
        <v>24</v>
      </c>
      <c r="AL533" s="27"/>
      <c r="AM533" s="34" t="s">
        <v>25</v>
      </c>
      <c r="AN533" s="35" t="str">
        <f t="shared" si="43"/>
        <v>✓ OK</v>
      </c>
      <c r="AO533" s="36"/>
      <c r="AP533" s="36"/>
      <c r="AQ533" s="36"/>
      <c r="AR533" s="36"/>
      <c r="AS533" s="36"/>
      <c r="AT533" s="36"/>
      <c r="AU533" s="27"/>
      <c r="AV533" s="37"/>
      <c r="AW533" s="38" t="str">
        <f t="shared" si="44"/>
        <v/>
      </c>
    </row>
    <row r="534" spans="1:49" ht="18" customHeight="1" x14ac:dyDescent="0.3">
      <c r="A534" s="39">
        <v>530</v>
      </c>
      <c r="B534" s="40" t="s">
        <v>2908</v>
      </c>
      <c r="C534" s="41" t="s">
        <v>2909</v>
      </c>
      <c r="D534" s="39" t="s">
        <v>2819</v>
      </c>
      <c r="E534" s="43">
        <v>46126</v>
      </c>
      <c r="F534" s="26" t="s">
        <v>23</v>
      </c>
      <c r="G534" s="26" t="s">
        <v>24</v>
      </c>
      <c r="H534" s="26" t="s">
        <v>25</v>
      </c>
      <c r="I534" s="26" t="s">
        <v>26</v>
      </c>
      <c r="J534" s="26" t="s">
        <v>24</v>
      </c>
      <c r="K534" s="27"/>
      <c r="L534" s="28" t="s">
        <v>25</v>
      </c>
      <c r="M534" s="29" t="str">
        <f t="shared" si="40"/>
        <v>✓ OK</v>
      </c>
      <c r="N534" s="43">
        <v>46193</v>
      </c>
      <c r="O534" s="26" t="s">
        <v>23</v>
      </c>
      <c r="P534" s="26" t="s">
        <v>24</v>
      </c>
      <c r="Q534" s="26" t="s">
        <v>25</v>
      </c>
      <c r="R534" s="26" t="s">
        <v>26</v>
      </c>
      <c r="S534" s="26" t="s">
        <v>24</v>
      </c>
      <c r="T534" s="27"/>
      <c r="U534" s="28" t="s">
        <v>25</v>
      </c>
      <c r="V534" s="29" t="str">
        <f t="shared" si="41"/>
        <v>✓ OK</v>
      </c>
      <c r="W534" s="45">
        <v>46248</v>
      </c>
      <c r="X534" s="30" t="s">
        <v>23</v>
      </c>
      <c r="Y534" s="30" t="s">
        <v>24</v>
      </c>
      <c r="Z534" s="30" t="s">
        <v>25</v>
      </c>
      <c r="AA534" s="30" t="s">
        <v>26</v>
      </c>
      <c r="AB534" s="30" t="s">
        <v>24</v>
      </c>
      <c r="AC534" s="27"/>
      <c r="AD534" s="31" t="s">
        <v>25</v>
      </c>
      <c r="AE534" s="32" t="str">
        <f t="shared" si="42"/>
        <v>✓ OK</v>
      </c>
      <c r="AF534" s="33" t="s">
        <v>27</v>
      </c>
      <c r="AG534" s="33" t="s">
        <v>23</v>
      </c>
      <c r="AH534" s="33" t="s">
        <v>24</v>
      </c>
      <c r="AI534" s="33" t="s">
        <v>25</v>
      </c>
      <c r="AJ534" s="33" t="s">
        <v>26</v>
      </c>
      <c r="AK534" s="33" t="s">
        <v>24</v>
      </c>
      <c r="AL534" s="27"/>
      <c r="AM534" s="34" t="s">
        <v>25</v>
      </c>
      <c r="AN534" s="35" t="str">
        <f t="shared" si="43"/>
        <v>✓ OK</v>
      </c>
      <c r="AO534" s="36"/>
      <c r="AP534" s="36"/>
      <c r="AQ534" s="36"/>
      <c r="AR534" s="36"/>
      <c r="AS534" s="36"/>
      <c r="AT534" s="36"/>
      <c r="AU534" s="27"/>
      <c r="AV534" s="37"/>
      <c r="AW534" s="38" t="str">
        <f t="shared" si="44"/>
        <v/>
      </c>
    </row>
    <row r="535" spans="1:49" ht="18" customHeight="1" x14ac:dyDescent="0.3">
      <c r="A535" s="23">
        <v>531</v>
      </c>
      <c r="B535" s="24" t="s">
        <v>2910</v>
      </c>
      <c r="C535" s="25" t="s">
        <v>2911</v>
      </c>
      <c r="D535" s="23" t="s">
        <v>2819</v>
      </c>
      <c r="E535" s="43">
        <v>46126</v>
      </c>
      <c r="F535" s="26" t="s">
        <v>23</v>
      </c>
      <c r="G535" s="26" t="s">
        <v>24</v>
      </c>
      <c r="H535" s="26" t="s">
        <v>25</v>
      </c>
      <c r="I535" s="26" t="s">
        <v>26</v>
      </c>
      <c r="J535" s="26" t="s">
        <v>24</v>
      </c>
      <c r="K535" s="27"/>
      <c r="L535" s="28" t="s">
        <v>25</v>
      </c>
      <c r="M535" s="29" t="str">
        <f t="shared" si="40"/>
        <v>✓ OK</v>
      </c>
      <c r="N535" s="43">
        <v>46193</v>
      </c>
      <c r="O535" s="26" t="s">
        <v>23</v>
      </c>
      <c r="P535" s="26" t="s">
        <v>24</v>
      </c>
      <c r="Q535" s="26" t="s">
        <v>25</v>
      </c>
      <c r="R535" s="26" t="s">
        <v>26</v>
      </c>
      <c r="S535" s="26" t="s">
        <v>24</v>
      </c>
      <c r="T535" s="27"/>
      <c r="U535" s="28" t="s">
        <v>25</v>
      </c>
      <c r="V535" s="29" t="str">
        <f t="shared" si="41"/>
        <v>✓ OK</v>
      </c>
      <c r="W535" s="45">
        <v>46248</v>
      </c>
      <c r="X535" s="30" t="s">
        <v>23</v>
      </c>
      <c r="Y535" s="30" t="s">
        <v>24</v>
      </c>
      <c r="Z535" s="30" t="s">
        <v>25</v>
      </c>
      <c r="AA535" s="30" t="s">
        <v>26</v>
      </c>
      <c r="AB535" s="30" t="s">
        <v>24</v>
      </c>
      <c r="AC535" s="27"/>
      <c r="AD535" s="31" t="s">
        <v>25</v>
      </c>
      <c r="AE535" s="32" t="str">
        <f t="shared" si="42"/>
        <v>✓ OK</v>
      </c>
      <c r="AF535" s="33" t="s">
        <v>27</v>
      </c>
      <c r="AG535" s="33" t="s">
        <v>23</v>
      </c>
      <c r="AH535" s="33" t="s">
        <v>24</v>
      </c>
      <c r="AI535" s="33" t="s">
        <v>25</v>
      </c>
      <c r="AJ535" s="33" t="s">
        <v>26</v>
      </c>
      <c r="AK535" s="33" t="s">
        <v>24</v>
      </c>
      <c r="AL535" s="27"/>
      <c r="AM535" s="34" t="s">
        <v>25</v>
      </c>
      <c r="AN535" s="35" t="str">
        <f t="shared" si="43"/>
        <v>✓ OK</v>
      </c>
      <c r="AO535" s="36"/>
      <c r="AP535" s="36"/>
      <c r="AQ535" s="36"/>
      <c r="AR535" s="36"/>
      <c r="AS535" s="36"/>
      <c r="AT535" s="36"/>
      <c r="AU535" s="27"/>
      <c r="AV535" s="37"/>
      <c r="AW535" s="38" t="str">
        <f t="shared" si="44"/>
        <v/>
      </c>
    </row>
    <row r="536" spans="1:49" ht="18" customHeight="1" x14ac:dyDescent="0.3">
      <c r="A536" s="39">
        <v>532</v>
      </c>
      <c r="B536" s="40" t="s">
        <v>2912</v>
      </c>
      <c r="C536" s="41" t="s">
        <v>2913</v>
      </c>
      <c r="D536" s="39" t="s">
        <v>2819</v>
      </c>
      <c r="E536" s="43">
        <v>46126</v>
      </c>
      <c r="F536" s="26" t="s">
        <v>23</v>
      </c>
      <c r="G536" s="26" t="s">
        <v>24</v>
      </c>
      <c r="H536" s="26" t="s">
        <v>25</v>
      </c>
      <c r="I536" s="26" t="s">
        <v>26</v>
      </c>
      <c r="J536" s="26" t="s">
        <v>24</v>
      </c>
      <c r="K536" s="27"/>
      <c r="L536" s="28" t="s">
        <v>25</v>
      </c>
      <c r="M536" s="29" t="str">
        <f t="shared" si="40"/>
        <v>✓ OK</v>
      </c>
      <c r="N536" s="43">
        <v>46193</v>
      </c>
      <c r="O536" s="26" t="s">
        <v>23</v>
      </c>
      <c r="P536" s="26" t="s">
        <v>24</v>
      </c>
      <c r="Q536" s="26" t="s">
        <v>25</v>
      </c>
      <c r="R536" s="26" t="s">
        <v>26</v>
      </c>
      <c r="S536" s="26" t="s">
        <v>24</v>
      </c>
      <c r="T536" s="27"/>
      <c r="U536" s="28" t="s">
        <v>25</v>
      </c>
      <c r="V536" s="29" t="str">
        <f t="shared" si="41"/>
        <v>✓ OK</v>
      </c>
      <c r="W536" s="45">
        <v>46248</v>
      </c>
      <c r="X536" s="30" t="s">
        <v>23</v>
      </c>
      <c r="Y536" s="30" t="s">
        <v>24</v>
      </c>
      <c r="Z536" s="30" t="s">
        <v>25</v>
      </c>
      <c r="AA536" s="30" t="s">
        <v>26</v>
      </c>
      <c r="AB536" s="30" t="s">
        <v>24</v>
      </c>
      <c r="AC536" s="27"/>
      <c r="AD536" s="31" t="s">
        <v>25</v>
      </c>
      <c r="AE536" s="32" t="str">
        <f t="shared" si="42"/>
        <v>✓ OK</v>
      </c>
      <c r="AF536" s="33" t="s">
        <v>27</v>
      </c>
      <c r="AG536" s="33" t="s">
        <v>23</v>
      </c>
      <c r="AH536" s="33" t="s">
        <v>24</v>
      </c>
      <c r="AI536" s="33" t="s">
        <v>25</v>
      </c>
      <c r="AJ536" s="33" t="s">
        <v>26</v>
      </c>
      <c r="AK536" s="33" t="s">
        <v>24</v>
      </c>
      <c r="AL536" s="27"/>
      <c r="AM536" s="34" t="s">
        <v>25</v>
      </c>
      <c r="AN536" s="35" t="str">
        <f t="shared" si="43"/>
        <v>✓ OK</v>
      </c>
      <c r="AO536" s="36"/>
      <c r="AP536" s="36"/>
      <c r="AQ536" s="36"/>
      <c r="AR536" s="36"/>
      <c r="AS536" s="36"/>
      <c r="AT536" s="36"/>
      <c r="AU536" s="27"/>
      <c r="AV536" s="37"/>
      <c r="AW536" s="38" t="str">
        <f t="shared" si="44"/>
        <v/>
      </c>
    </row>
    <row r="537" spans="1:49" ht="18" customHeight="1" x14ac:dyDescent="0.3">
      <c r="A537" s="23">
        <v>533</v>
      </c>
      <c r="B537" s="24" t="s">
        <v>2914</v>
      </c>
      <c r="C537" s="25" t="s">
        <v>2915</v>
      </c>
      <c r="D537" s="23" t="s">
        <v>2819</v>
      </c>
      <c r="E537" s="43">
        <v>46126</v>
      </c>
      <c r="F537" s="26" t="s">
        <v>23</v>
      </c>
      <c r="G537" s="26" t="s">
        <v>24</v>
      </c>
      <c r="H537" s="26" t="s">
        <v>25</v>
      </c>
      <c r="I537" s="26" t="s">
        <v>26</v>
      </c>
      <c r="J537" s="26" t="s">
        <v>24</v>
      </c>
      <c r="K537" s="27"/>
      <c r="L537" s="28" t="s">
        <v>25</v>
      </c>
      <c r="M537" s="29" t="str">
        <f t="shared" si="40"/>
        <v>✓ OK</v>
      </c>
      <c r="N537" s="43">
        <v>46193</v>
      </c>
      <c r="O537" s="26" t="s">
        <v>23</v>
      </c>
      <c r="P537" s="26" t="s">
        <v>24</v>
      </c>
      <c r="Q537" s="26" t="s">
        <v>25</v>
      </c>
      <c r="R537" s="26" t="s">
        <v>26</v>
      </c>
      <c r="S537" s="26" t="s">
        <v>24</v>
      </c>
      <c r="T537" s="27"/>
      <c r="U537" s="28" t="s">
        <v>25</v>
      </c>
      <c r="V537" s="29" t="str">
        <f t="shared" si="41"/>
        <v>✓ OK</v>
      </c>
      <c r="W537" s="45">
        <v>46248</v>
      </c>
      <c r="X537" s="30" t="s">
        <v>23</v>
      </c>
      <c r="Y537" s="30" t="s">
        <v>24</v>
      </c>
      <c r="Z537" s="30" t="s">
        <v>25</v>
      </c>
      <c r="AA537" s="30" t="s">
        <v>26</v>
      </c>
      <c r="AB537" s="30" t="s">
        <v>24</v>
      </c>
      <c r="AC537" s="27"/>
      <c r="AD537" s="31" t="s">
        <v>25</v>
      </c>
      <c r="AE537" s="32" t="str">
        <f t="shared" si="42"/>
        <v>✓ OK</v>
      </c>
      <c r="AF537" s="33" t="s">
        <v>27</v>
      </c>
      <c r="AG537" s="33" t="s">
        <v>23</v>
      </c>
      <c r="AH537" s="33" t="s">
        <v>24</v>
      </c>
      <c r="AI537" s="33" t="s">
        <v>25</v>
      </c>
      <c r="AJ537" s="33" t="s">
        <v>26</v>
      </c>
      <c r="AK537" s="33" t="s">
        <v>24</v>
      </c>
      <c r="AL537" s="27"/>
      <c r="AM537" s="34" t="s">
        <v>25</v>
      </c>
      <c r="AN537" s="35" t="str">
        <f t="shared" si="43"/>
        <v>✓ OK</v>
      </c>
      <c r="AO537" s="36"/>
      <c r="AP537" s="36"/>
      <c r="AQ537" s="36"/>
      <c r="AR537" s="36"/>
      <c r="AS537" s="36"/>
      <c r="AT537" s="36"/>
      <c r="AU537" s="27"/>
      <c r="AV537" s="37"/>
      <c r="AW537" s="38" t="str">
        <f t="shared" si="44"/>
        <v/>
      </c>
    </row>
    <row r="538" spans="1:49" ht="18" customHeight="1" x14ac:dyDescent="0.3">
      <c r="A538" s="39">
        <v>534</v>
      </c>
      <c r="B538" s="40" t="s">
        <v>2916</v>
      </c>
      <c r="C538" s="41" t="s">
        <v>2917</v>
      </c>
      <c r="D538" s="39" t="s">
        <v>2819</v>
      </c>
      <c r="E538" s="43">
        <v>46126</v>
      </c>
      <c r="F538" s="26" t="s">
        <v>23</v>
      </c>
      <c r="G538" s="26" t="s">
        <v>24</v>
      </c>
      <c r="H538" s="26" t="s">
        <v>25</v>
      </c>
      <c r="I538" s="26" t="s">
        <v>26</v>
      </c>
      <c r="J538" s="26" t="s">
        <v>24</v>
      </c>
      <c r="K538" s="27"/>
      <c r="L538" s="28" t="s">
        <v>25</v>
      </c>
      <c r="M538" s="29" t="str">
        <f t="shared" si="40"/>
        <v>✓ OK</v>
      </c>
      <c r="N538" s="43">
        <v>46193</v>
      </c>
      <c r="O538" s="26" t="s">
        <v>23</v>
      </c>
      <c r="P538" s="26" t="s">
        <v>24</v>
      </c>
      <c r="Q538" s="26" t="s">
        <v>25</v>
      </c>
      <c r="R538" s="26" t="s">
        <v>26</v>
      </c>
      <c r="S538" s="26" t="s">
        <v>24</v>
      </c>
      <c r="T538" s="27"/>
      <c r="U538" s="28" t="s">
        <v>25</v>
      </c>
      <c r="V538" s="29" t="str">
        <f t="shared" si="41"/>
        <v>✓ OK</v>
      </c>
      <c r="W538" s="45">
        <v>46248</v>
      </c>
      <c r="X538" s="30" t="s">
        <v>23</v>
      </c>
      <c r="Y538" s="30" t="s">
        <v>24</v>
      </c>
      <c r="Z538" s="30" t="s">
        <v>25</v>
      </c>
      <c r="AA538" s="30" t="s">
        <v>26</v>
      </c>
      <c r="AB538" s="30" t="s">
        <v>24</v>
      </c>
      <c r="AC538" s="27"/>
      <c r="AD538" s="31" t="s">
        <v>25</v>
      </c>
      <c r="AE538" s="32" t="str">
        <f t="shared" si="42"/>
        <v>✓ OK</v>
      </c>
      <c r="AF538" s="33" t="s">
        <v>27</v>
      </c>
      <c r="AG538" s="33" t="s">
        <v>23</v>
      </c>
      <c r="AH538" s="33" t="s">
        <v>24</v>
      </c>
      <c r="AI538" s="33" t="s">
        <v>25</v>
      </c>
      <c r="AJ538" s="33" t="s">
        <v>26</v>
      </c>
      <c r="AK538" s="33" t="s">
        <v>24</v>
      </c>
      <c r="AL538" s="27"/>
      <c r="AM538" s="34" t="s">
        <v>25</v>
      </c>
      <c r="AN538" s="35" t="str">
        <f t="shared" si="43"/>
        <v>✓ OK</v>
      </c>
      <c r="AO538" s="36"/>
      <c r="AP538" s="36"/>
      <c r="AQ538" s="36"/>
      <c r="AR538" s="36"/>
      <c r="AS538" s="36"/>
      <c r="AT538" s="36"/>
      <c r="AU538" s="27"/>
      <c r="AV538" s="37"/>
      <c r="AW538" s="38" t="str">
        <f t="shared" si="44"/>
        <v/>
      </c>
    </row>
    <row r="539" spans="1:49" ht="18" customHeight="1" x14ac:dyDescent="0.3">
      <c r="A539" s="23">
        <v>535</v>
      </c>
      <c r="B539" s="24" t="s">
        <v>2918</v>
      </c>
      <c r="C539" s="25" t="s">
        <v>2919</v>
      </c>
      <c r="D539" s="23" t="s">
        <v>2819</v>
      </c>
      <c r="E539" s="43">
        <v>46126</v>
      </c>
      <c r="F539" s="26" t="s">
        <v>23</v>
      </c>
      <c r="G539" s="26" t="s">
        <v>24</v>
      </c>
      <c r="H539" s="26" t="s">
        <v>25</v>
      </c>
      <c r="I539" s="26" t="s">
        <v>26</v>
      </c>
      <c r="J539" s="26" t="s">
        <v>24</v>
      </c>
      <c r="K539" s="27"/>
      <c r="L539" s="28" t="s">
        <v>25</v>
      </c>
      <c r="M539" s="29" t="str">
        <f t="shared" si="40"/>
        <v>✓ OK</v>
      </c>
      <c r="N539" s="43">
        <v>46193</v>
      </c>
      <c r="O539" s="26" t="s">
        <v>23</v>
      </c>
      <c r="P539" s="26" t="s">
        <v>24</v>
      </c>
      <c r="Q539" s="26" t="s">
        <v>25</v>
      </c>
      <c r="R539" s="26" t="s">
        <v>26</v>
      </c>
      <c r="S539" s="26" t="s">
        <v>24</v>
      </c>
      <c r="T539" s="27"/>
      <c r="U539" s="28" t="s">
        <v>25</v>
      </c>
      <c r="V539" s="29" t="str">
        <f t="shared" si="41"/>
        <v>✓ OK</v>
      </c>
      <c r="W539" s="45">
        <v>46248</v>
      </c>
      <c r="X539" s="30" t="s">
        <v>23</v>
      </c>
      <c r="Y539" s="30" t="s">
        <v>24</v>
      </c>
      <c r="Z539" s="30" t="s">
        <v>25</v>
      </c>
      <c r="AA539" s="30" t="s">
        <v>26</v>
      </c>
      <c r="AB539" s="30" t="s">
        <v>24</v>
      </c>
      <c r="AC539" s="27"/>
      <c r="AD539" s="31" t="s">
        <v>25</v>
      </c>
      <c r="AE539" s="32" t="str">
        <f t="shared" si="42"/>
        <v>✓ OK</v>
      </c>
      <c r="AF539" s="33" t="s">
        <v>27</v>
      </c>
      <c r="AG539" s="33" t="s">
        <v>23</v>
      </c>
      <c r="AH539" s="33" t="s">
        <v>24</v>
      </c>
      <c r="AI539" s="33" t="s">
        <v>25</v>
      </c>
      <c r="AJ539" s="33" t="s">
        <v>26</v>
      </c>
      <c r="AK539" s="33" t="s">
        <v>24</v>
      </c>
      <c r="AL539" s="27"/>
      <c r="AM539" s="34" t="s">
        <v>25</v>
      </c>
      <c r="AN539" s="35" t="str">
        <f t="shared" si="43"/>
        <v>✓ OK</v>
      </c>
      <c r="AO539" s="36"/>
      <c r="AP539" s="36"/>
      <c r="AQ539" s="36"/>
      <c r="AR539" s="36"/>
      <c r="AS539" s="36"/>
      <c r="AT539" s="36"/>
      <c r="AU539" s="27"/>
      <c r="AV539" s="37"/>
      <c r="AW539" s="38" t="str">
        <f t="shared" si="44"/>
        <v/>
      </c>
    </row>
    <row r="540" spans="1:49" ht="18" customHeight="1" x14ac:dyDescent="0.3">
      <c r="A540" s="39">
        <v>536</v>
      </c>
      <c r="B540" s="40" t="s">
        <v>2920</v>
      </c>
      <c r="C540" s="41" t="s">
        <v>2921</v>
      </c>
      <c r="D540" s="39" t="s">
        <v>2819</v>
      </c>
      <c r="E540" s="43">
        <v>46126</v>
      </c>
      <c r="F540" s="26" t="s">
        <v>23</v>
      </c>
      <c r="G540" s="26" t="s">
        <v>24</v>
      </c>
      <c r="H540" s="26" t="s">
        <v>25</v>
      </c>
      <c r="I540" s="26" t="s">
        <v>26</v>
      </c>
      <c r="J540" s="26" t="s">
        <v>24</v>
      </c>
      <c r="K540" s="27"/>
      <c r="L540" s="28" t="s">
        <v>25</v>
      </c>
      <c r="M540" s="29" t="str">
        <f t="shared" si="40"/>
        <v>✓ OK</v>
      </c>
      <c r="N540" s="43">
        <v>46193</v>
      </c>
      <c r="O540" s="26" t="s">
        <v>23</v>
      </c>
      <c r="P540" s="26" t="s">
        <v>24</v>
      </c>
      <c r="Q540" s="26" t="s">
        <v>25</v>
      </c>
      <c r="R540" s="26" t="s">
        <v>26</v>
      </c>
      <c r="S540" s="26" t="s">
        <v>24</v>
      </c>
      <c r="T540" s="27"/>
      <c r="U540" s="28" t="s">
        <v>25</v>
      </c>
      <c r="V540" s="29" t="str">
        <f t="shared" si="41"/>
        <v>✓ OK</v>
      </c>
      <c r="W540" s="45">
        <v>46248</v>
      </c>
      <c r="X540" s="30" t="s">
        <v>23</v>
      </c>
      <c r="Y540" s="30" t="s">
        <v>24</v>
      </c>
      <c r="Z540" s="30" t="s">
        <v>25</v>
      </c>
      <c r="AA540" s="30" t="s">
        <v>26</v>
      </c>
      <c r="AB540" s="30" t="s">
        <v>24</v>
      </c>
      <c r="AC540" s="27"/>
      <c r="AD540" s="31" t="s">
        <v>25</v>
      </c>
      <c r="AE540" s="32" t="str">
        <f t="shared" si="42"/>
        <v>✓ OK</v>
      </c>
      <c r="AF540" s="33" t="s">
        <v>27</v>
      </c>
      <c r="AG540" s="33" t="s">
        <v>23</v>
      </c>
      <c r="AH540" s="33" t="s">
        <v>24</v>
      </c>
      <c r="AI540" s="33" t="s">
        <v>25</v>
      </c>
      <c r="AJ540" s="33" t="s">
        <v>26</v>
      </c>
      <c r="AK540" s="33" t="s">
        <v>24</v>
      </c>
      <c r="AL540" s="27"/>
      <c r="AM540" s="34" t="s">
        <v>25</v>
      </c>
      <c r="AN540" s="35" t="str">
        <f t="shared" si="43"/>
        <v>✓ OK</v>
      </c>
      <c r="AO540" s="36"/>
      <c r="AP540" s="36"/>
      <c r="AQ540" s="36"/>
      <c r="AR540" s="36"/>
      <c r="AS540" s="36"/>
      <c r="AT540" s="36"/>
      <c r="AU540" s="27"/>
      <c r="AV540" s="37"/>
      <c r="AW540" s="38" t="str">
        <f t="shared" si="44"/>
        <v/>
      </c>
    </row>
    <row r="541" spans="1:49" ht="18" customHeight="1" x14ac:dyDescent="0.3">
      <c r="A541" s="23">
        <v>537</v>
      </c>
      <c r="B541" s="24" t="s">
        <v>2922</v>
      </c>
      <c r="C541" s="25" t="s">
        <v>2923</v>
      </c>
      <c r="D541" s="23" t="s">
        <v>2819</v>
      </c>
      <c r="E541" s="43">
        <v>46126</v>
      </c>
      <c r="F541" s="26" t="s">
        <v>23</v>
      </c>
      <c r="G541" s="26" t="s">
        <v>24</v>
      </c>
      <c r="H541" s="26" t="s">
        <v>25</v>
      </c>
      <c r="I541" s="26" t="s">
        <v>26</v>
      </c>
      <c r="J541" s="26" t="s">
        <v>24</v>
      </c>
      <c r="K541" s="27"/>
      <c r="L541" s="28" t="s">
        <v>25</v>
      </c>
      <c r="M541" s="29" t="str">
        <f t="shared" si="40"/>
        <v>✓ OK</v>
      </c>
      <c r="N541" s="43">
        <v>46193</v>
      </c>
      <c r="O541" s="26" t="s">
        <v>23</v>
      </c>
      <c r="P541" s="26" t="s">
        <v>24</v>
      </c>
      <c r="Q541" s="26" t="s">
        <v>25</v>
      </c>
      <c r="R541" s="26" t="s">
        <v>26</v>
      </c>
      <c r="S541" s="26" t="s">
        <v>24</v>
      </c>
      <c r="T541" s="27"/>
      <c r="U541" s="28" t="s">
        <v>25</v>
      </c>
      <c r="V541" s="29" t="str">
        <f t="shared" si="41"/>
        <v>✓ OK</v>
      </c>
      <c r="W541" s="45">
        <v>46248</v>
      </c>
      <c r="X541" s="30" t="s">
        <v>23</v>
      </c>
      <c r="Y541" s="30" t="s">
        <v>24</v>
      </c>
      <c r="Z541" s="30" t="s">
        <v>25</v>
      </c>
      <c r="AA541" s="30" t="s">
        <v>26</v>
      </c>
      <c r="AB541" s="30" t="s">
        <v>24</v>
      </c>
      <c r="AC541" s="27"/>
      <c r="AD541" s="31" t="s">
        <v>25</v>
      </c>
      <c r="AE541" s="32" t="str">
        <f t="shared" si="42"/>
        <v>✓ OK</v>
      </c>
      <c r="AF541" s="33" t="s">
        <v>27</v>
      </c>
      <c r="AG541" s="33" t="s">
        <v>23</v>
      </c>
      <c r="AH541" s="33" t="s">
        <v>24</v>
      </c>
      <c r="AI541" s="33" t="s">
        <v>25</v>
      </c>
      <c r="AJ541" s="33" t="s">
        <v>26</v>
      </c>
      <c r="AK541" s="33" t="s">
        <v>24</v>
      </c>
      <c r="AL541" s="27"/>
      <c r="AM541" s="34" t="s">
        <v>25</v>
      </c>
      <c r="AN541" s="35" t="str">
        <f t="shared" si="43"/>
        <v>✓ OK</v>
      </c>
      <c r="AO541" s="36"/>
      <c r="AP541" s="36"/>
      <c r="AQ541" s="36"/>
      <c r="AR541" s="36"/>
      <c r="AS541" s="36"/>
      <c r="AT541" s="36"/>
      <c r="AU541" s="27"/>
      <c r="AV541" s="37"/>
      <c r="AW541" s="38" t="str">
        <f t="shared" si="44"/>
        <v/>
      </c>
    </row>
    <row r="542" spans="1:49" ht="18" customHeight="1" x14ac:dyDescent="0.3">
      <c r="A542" s="39">
        <v>538</v>
      </c>
      <c r="B542" s="40" t="s">
        <v>2924</v>
      </c>
      <c r="C542" s="41" t="s">
        <v>2925</v>
      </c>
      <c r="D542" s="39" t="s">
        <v>2819</v>
      </c>
      <c r="E542" s="43">
        <v>46126</v>
      </c>
      <c r="F542" s="26" t="s">
        <v>23</v>
      </c>
      <c r="G542" s="26" t="s">
        <v>24</v>
      </c>
      <c r="H542" s="26" t="s">
        <v>25</v>
      </c>
      <c r="I542" s="26" t="s">
        <v>26</v>
      </c>
      <c r="J542" s="26" t="s">
        <v>24</v>
      </c>
      <c r="K542" s="27"/>
      <c r="L542" s="28" t="s">
        <v>25</v>
      </c>
      <c r="M542" s="29" t="str">
        <f t="shared" si="40"/>
        <v>✓ OK</v>
      </c>
      <c r="N542" s="43">
        <v>46193</v>
      </c>
      <c r="O542" s="26" t="s">
        <v>23</v>
      </c>
      <c r="P542" s="26" t="s">
        <v>24</v>
      </c>
      <c r="Q542" s="26" t="s">
        <v>25</v>
      </c>
      <c r="R542" s="26" t="s">
        <v>26</v>
      </c>
      <c r="S542" s="26" t="s">
        <v>24</v>
      </c>
      <c r="T542" s="27"/>
      <c r="U542" s="28" t="s">
        <v>25</v>
      </c>
      <c r="V542" s="29" t="str">
        <f t="shared" si="41"/>
        <v>✓ OK</v>
      </c>
      <c r="W542" s="45">
        <v>46248</v>
      </c>
      <c r="X542" s="30" t="s">
        <v>23</v>
      </c>
      <c r="Y542" s="30" t="s">
        <v>24</v>
      </c>
      <c r="Z542" s="30" t="s">
        <v>25</v>
      </c>
      <c r="AA542" s="30" t="s">
        <v>26</v>
      </c>
      <c r="AB542" s="30" t="s">
        <v>24</v>
      </c>
      <c r="AC542" s="27"/>
      <c r="AD542" s="31" t="s">
        <v>25</v>
      </c>
      <c r="AE542" s="32" t="str">
        <f t="shared" si="42"/>
        <v>✓ OK</v>
      </c>
      <c r="AF542" s="33" t="s">
        <v>27</v>
      </c>
      <c r="AG542" s="33" t="s">
        <v>23</v>
      </c>
      <c r="AH542" s="33" t="s">
        <v>24</v>
      </c>
      <c r="AI542" s="33" t="s">
        <v>25</v>
      </c>
      <c r="AJ542" s="33" t="s">
        <v>26</v>
      </c>
      <c r="AK542" s="33" t="s">
        <v>24</v>
      </c>
      <c r="AL542" s="27"/>
      <c r="AM542" s="34" t="s">
        <v>25</v>
      </c>
      <c r="AN542" s="35" t="str">
        <f t="shared" si="43"/>
        <v>✓ OK</v>
      </c>
      <c r="AO542" s="36"/>
      <c r="AP542" s="36"/>
      <c r="AQ542" s="36"/>
      <c r="AR542" s="36"/>
      <c r="AS542" s="36"/>
      <c r="AT542" s="36"/>
      <c r="AU542" s="27"/>
      <c r="AV542" s="37"/>
      <c r="AW542" s="38" t="str">
        <f t="shared" si="44"/>
        <v/>
      </c>
    </row>
    <row r="543" spans="1:49" ht="18" customHeight="1" x14ac:dyDescent="0.3">
      <c r="A543" s="23">
        <v>539</v>
      </c>
      <c r="B543" s="24" t="s">
        <v>2926</v>
      </c>
      <c r="C543" s="25" t="s">
        <v>2927</v>
      </c>
      <c r="D543" s="23" t="s">
        <v>2819</v>
      </c>
      <c r="E543" s="43">
        <v>46126</v>
      </c>
      <c r="F543" s="26" t="s">
        <v>23</v>
      </c>
      <c r="G543" s="26" t="s">
        <v>24</v>
      </c>
      <c r="H543" s="26" t="s">
        <v>25</v>
      </c>
      <c r="I543" s="26" t="s">
        <v>26</v>
      </c>
      <c r="J543" s="26" t="s">
        <v>24</v>
      </c>
      <c r="K543" s="27"/>
      <c r="L543" s="28" t="s">
        <v>25</v>
      </c>
      <c r="M543" s="29" t="str">
        <f t="shared" si="40"/>
        <v>✓ OK</v>
      </c>
      <c r="N543" s="43">
        <v>46193</v>
      </c>
      <c r="O543" s="26" t="s">
        <v>23</v>
      </c>
      <c r="P543" s="26" t="s">
        <v>24</v>
      </c>
      <c r="Q543" s="26" t="s">
        <v>25</v>
      </c>
      <c r="R543" s="26" t="s">
        <v>26</v>
      </c>
      <c r="S543" s="26" t="s">
        <v>24</v>
      </c>
      <c r="T543" s="27"/>
      <c r="U543" s="28" t="s">
        <v>25</v>
      </c>
      <c r="V543" s="29" t="str">
        <f t="shared" si="41"/>
        <v>✓ OK</v>
      </c>
      <c r="W543" s="45">
        <v>46248</v>
      </c>
      <c r="X543" s="30" t="s">
        <v>23</v>
      </c>
      <c r="Y543" s="30" t="s">
        <v>24</v>
      </c>
      <c r="Z543" s="30" t="s">
        <v>25</v>
      </c>
      <c r="AA543" s="30" t="s">
        <v>26</v>
      </c>
      <c r="AB543" s="30" t="s">
        <v>24</v>
      </c>
      <c r="AC543" s="27"/>
      <c r="AD543" s="31" t="s">
        <v>25</v>
      </c>
      <c r="AE543" s="32" t="str">
        <f t="shared" si="42"/>
        <v>✓ OK</v>
      </c>
      <c r="AF543" s="33" t="s">
        <v>27</v>
      </c>
      <c r="AG543" s="33" t="s">
        <v>23</v>
      </c>
      <c r="AH543" s="33" t="s">
        <v>24</v>
      </c>
      <c r="AI543" s="33" t="s">
        <v>25</v>
      </c>
      <c r="AJ543" s="33" t="s">
        <v>26</v>
      </c>
      <c r="AK543" s="33" t="s">
        <v>24</v>
      </c>
      <c r="AL543" s="27"/>
      <c r="AM543" s="34" t="s">
        <v>25</v>
      </c>
      <c r="AN543" s="35" t="str">
        <f t="shared" si="43"/>
        <v>✓ OK</v>
      </c>
      <c r="AO543" s="36"/>
      <c r="AP543" s="36"/>
      <c r="AQ543" s="36"/>
      <c r="AR543" s="36"/>
      <c r="AS543" s="36"/>
      <c r="AT543" s="36"/>
      <c r="AU543" s="27"/>
      <c r="AV543" s="37"/>
      <c r="AW543" s="38" t="str">
        <f t="shared" si="44"/>
        <v/>
      </c>
    </row>
    <row r="544" spans="1:49" ht="18" customHeight="1" x14ac:dyDescent="0.3">
      <c r="A544" s="39">
        <v>540</v>
      </c>
      <c r="B544" s="40" t="s">
        <v>2928</v>
      </c>
      <c r="C544" s="41" t="s">
        <v>2929</v>
      </c>
      <c r="D544" s="39" t="s">
        <v>2819</v>
      </c>
      <c r="E544" s="43">
        <v>46126</v>
      </c>
      <c r="F544" s="26" t="s">
        <v>23</v>
      </c>
      <c r="G544" s="26" t="s">
        <v>24</v>
      </c>
      <c r="H544" s="26" t="s">
        <v>25</v>
      </c>
      <c r="I544" s="26" t="s">
        <v>26</v>
      </c>
      <c r="J544" s="26" t="s">
        <v>24</v>
      </c>
      <c r="K544" s="27"/>
      <c r="L544" s="28" t="s">
        <v>25</v>
      </c>
      <c r="M544" s="29" t="str">
        <f t="shared" si="40"/>
        <v>✓ OK</v>
      </c>
      <c r="N544" s="43">
        <v>46193</v>
      </c>
      <c r="O544" s="26" t="s">
        <v>23</v>
      </c>
      <c r="P544" s="26" t="s">
        <v>24</v>
      </c>
      <c r="Q544" s="26" t="s">
        <v>25</v>
      </c>
      <c r="R544" s="26" t="s">
        <v>26</v>
      </c>
      <c r="S544" s="26" t="s">
        <v>24</v>
      </c>
      <c r="T544" s="27"/>
      <c r="U544" s="28" t="s">
        <v>25</v>
      </c>
      <c r="V544" s="29" t="str">
        <f t="shared" si="41"/>
        <v>✓ OK</v>
      </c>
      <c r="W544" s="45">
        <v>46248</v>
      </c>
      <c r="X544" s="30" t="s">
        <v>23</v>
      </c>
      <c r="Y544" s="30" t="s">
        <v>24</v>
      </c>
      <c r="Z544" s="30" t="s">
        <v>25</v>
      </c>
      <c r="AA544" s="30" t="s">
        <v>26</v>
      </c>
      <c r="AB544" s="30" t="s">
        <v>24</v>
      </c>
      <c r="AC544" s="27"/>
      <c r="AD544" s="31" t="s">
        <v>25</v>
      </c>
      <c r="AE544" s="32" t="str">
        <f t="shared" si="42"/>
        <v>✓ OK</v>
      </c>
      <c r="AF544" s="33" t="s">
        <v>27</v>
      </c>
      <c r="AG544" s="33" t="s">
        <v>23</v>
      </c>
      <c r="AH544" s="33" t="s">
        <v>24</v>
      </c>
      <c r="AI544" s="33" t="s">
        <v>25</v>
      </c>
      <c r="AJ544" s="33" t="s">
        <v>26</v>
      </c>
      <c r="AK544" s="33" t="s">
        <v>24</v>
      </c>
      <c r="AL544" s="27"/>
      <c r="AM544" s="34" t="s">
        <v>25</v>
      </c>
      <c r="AN544" s="35" t="str">
        <f t="shared" si="43"/>
        <v>✓ OK</v>
      </c>
      <c r="AO544" s="36"/>
      <c r="AP544" s="36"/>
      <c r="AQ544" s="36"/>
      <c r="AR544" s="36"/>
      <c r="AS544" s="36"/>
      <c r="AT544" s="36"/>
      <c r="AU544" s="27"/>
      <c r="AV544" s="37"/>
      <c r="AW544" s="38" t="str">
        <f t="shared" si="44"/>
        <v/>
      </c>
    </row>
    <row r="545" spans="1:49" ht="18" customHeight="1" x14ac:dyDescent="0.3">
      <c r="A545" s="23">
        <v>541</v>
      </c>
      <c r="B545" s="24" t="s">
        <v>2930</v>
      </c>
      <c r="C545" s="25" t="s">
        <v>2931</v>
      </c>
      <c r="D545" s="23" t="s">
        <v>2819</v>
      </c>
      <c r="E545" s="43">
        <v>46126</v>
      </c>
      <c r="F545" s="26" t="s">
        <v>23</v>
      </c>
      <c r="G545" s="26" t="s">
        <v>24</v>
      </c>
      <c r="H545" s="26" t="s">
        <v>25</v>
      </c>
      <c r="I545" s="26" t="s">
        <v>26</v>
      </c>
      <c r="J545" s="26" t="s">
        <v>24</v>
      </c>
      <c r="K545" s="27"/>
      <c r="L545" s="28" t="s">
        <v>25</v>
      </c>
      <c r="M545" s="29" t="str">
        <f t="shared" si="40"/>
        <v>✓ OK</v>
      </c>
      <c r="N545" s="43">
        <v>46193</v>
      </c>
      <c r="O545" s="26" t="s">
        <v>23</v>
      </c>
      <c r="P545" s="26" t="s">
        <v>24</v>
      </c>
      <c r="Q545" s="26" t="s">
        <v>25</v>
      </c>
      <c r="R545" s="26" t="s">
        <v>26</v>
      </c>
      <c r="S545" s="26" t="s">
        <v>24</v>
      </c>
      <c r="T545" s="27"/>
      <c r="U545" s="28" t="s">
        <v>25</v>
      </c>
      <c r="V545" s="29" t="str">
        <f t="shared" si="41"/>
        <v>✓ OK</v>
      </c>
      <c r="W545" s="45">
        <v>46248</v>
      </c>
      <c r="X545" s="30" t="s">
        <v>23</v>
      </c>
      <c r="Y545" s="30" t="s">
        <v>24</v>
      </c>
      <c r="Z545" s="30" t="s">
        <v>25</v>
      </c>
      <c r="AA545" s="30" t="s">
        <v>26</v>
      </c>
      <c r="AB545" s="30" t="s">
        <v>24</v>
      </c>
      <c r="AC545" s="27"/>
      <c r="AD545" s="31" t="s">
        <v>25</v>
      </c>
      <c r="AE545" s="32" t="str">
        <f t="shared" si="42"/>
        <v>✓ OK</v>
      </c>
      <c r="AF545" s="33" t="s">
        <v>27</v>
      </c>
      <c r="AG545" s="33" t="s">
        <v>23</v>
      </c>
      <c r="AH545" s="33" t="s">
        <v>24</v>
      </c>
      <c r="AI545" s="33" t="s">
        <v>25</v>
      </c>
      <c r="AJ545" s="33" t="s">
        <v>26</v>
      </c>
      <c r="AK545" s="33" t="s">
        <v>24</v>
      </c>
      <c r="AL545" s="27"/>
      <c r="AM545" s="34" t="s">
        <v>25</v>
      </c>
      <c r="AN545" s="35" t="str">
        <f t="shared" si="43"/>
        <v>✓ OK</v>
      </c>
      <c r="AO545" s="36"/>
      <c r="AP545" s="36"/>
      <c r="AQ545" s="36"/>
      <c r="AR545" s="36"/>
      <c r="AS545" s="36"/>
      <c r="AT545" s="36"/>
      <c r="AU545" s="27"/>
      <c r="AV545" s="37"/>
      <c r="AW545" s="38" t="str">
        <f t="shared" si="44"/>
        <v/>
      </c>
    </row>
    <row r="546" spans="1:49" ht="18" customHeight="1" x14ac:dyDescent="0.3">
      <c r="A546" s="39">
        <v>542</v>
      </c>
      <c r="B546" s="40" t="s">
        <v>2932</v>
      </c>
      <c r="C546" s="41" t="s">
        <v>2933</v>
      </c>
      <c r="D546" s="39" t="s">
        <v>2819</v>
      </c>
      <c r="E546" s="43">
        <v>46126</v>
      </c>
      <c r="F546" s="26" t="s">
        <v>23</v>
      </c>
      <c r="G546" s="26" t="s">
        <v>24</v>
      </c>
      <c r="H546" s="26" t="s">
        <v>25</v>
      </c>
      <c r="I546" s="26" t="s">
        <v>26</v>
      </c>
      <c r="J546" s="26" t="s">
        <v>24</v>
      </c>
      <c r="K546" s="27"/>
      <c r="L546" s="28" t="s">
        <v>25</v>
      </c>
      <c r="M546" s="29" t="str">
        <f t="shared" si="40"/>
        <v>✓ OK</v>
      </c>
      <c r="N546" s="43">
        <v>46193</v>
      </c>
      <c r="O546" s="26" t="s">
        <v>23</v>
      </c>
      <c r="P546" s="26" t="s">
        <v>24</v>
      </c>
      <c r="Q546" s="26" t="s">
        <v>25</v>
      </c>
      <c r="R546" s="26" t="s">
        <v>26</v>
      </c>
      <c r="S546" s="26" t="s">
        <v>24</v>
      </c>
      <c r="T546" s="27"/>
      <c r="U546" s="28" t="s">
        <v>25</v>
      </c>
      <c r="V546" s="29" t="str">
        <f t="shared" si="41"/>
        <v>✓ OK</v>
      </c>
      <c r="W546" s="45">
        <v>46248</v>
      </c>
      <c r="X546" s="30" t="s">
        <v>23</v>
      </c>
      <c r="Y546" s="30" t="s">
        <v>24</v>
      </c>
      <c r="Z546" s="30" t="s">
        <v>25</v>
      </c>
      <c r="AA546" s="30" t="s">
        <v>26</v>
      </c>
      <c r="AB546" s="30" t="s">
        <v>24</v>
      </c>
      <c r="AC546" s="27"/>
      <c r="AD546" s="31" t="s">
        <v>25</v>
      </c>
      <c r="AE546" s="32" t="str">
        <f t="shared" si="42"/>
        <v>✓ OK</v>
      </c>
      <c r="AF546" s="33" t="s">
        <v>27</v>
      </c>
      <c r="AG546" s="33" t="s">
        <v>23</v>
      </c>
      <c r="AH546" s="33" t="s">
        <v>24</v>
      </c>
      <c r="AI546" s="33" t="s">
        <v>25</v>
      </c>
      <c r="AJ546" s="33" t="s">
        <v>26</v>
      </c>
      <c r="AK546" s="33" t="s">
        <v>24</v>
      </c>
      <c r="AL546" s="27"/>
      <c r="AM546" s="34" t="s">
        <v>25</v>
      </c>
      <c r="AN546" s="35" t="str">
        <f t="shared" si="43"/>
        <v>✓ OK</v>
      </c>
      <c r="AO546" s="36"/>
      <c r="AP546" s="36"/>
      <c r="AQ546" s="36"/>
      <c r="AR546" s="36"/>
      <c r="AS546" s="36"/>
      <c r="AT546" s="36"/>
      <c r="AU546" s="27"/>
      <c r="AV546" s="37"/>
      <c r="AW546" s="38" t="str">
        <f t="shared" si="44"/>
        <v/>
      </c>
    </row>
    <row r="547" spans="1:49" ht="18" customHeight="1" x14ac:dyDescent="0.3">
      <c r="A547" s="23">
        <v>543</v>
      </c>
      <c r="B547" s="24" t="s">
        <v>2934</v>
      </c>
      <c r="C547" s="25" t="s">
        <v>2935</v>
      </c>
      <c r="D547" s="23" t="s">
        <v>2819</v>
      </c>
      <c r="E547" s="43">
        <v>46126</v>
      </c>
      <c r="F547" s="26" t="s">
        <v>23</v>
      </c>
      <c r="G547" s="26" t="s">
        <v>24</v>
      </c>
      <c r="H547" s="26" t="s">
        <v>25</v>
      </c>
      <c r="I547" s="26" t="s">
        <v>26</v>
      </c>
      <c r="J547" s="26" t="s">
        <v>24</v>
      </c>
      <c r="K547" s="27"/>
      <c r="L547" s="28" t="s">
        <v>25</v>
      </c>
      <c r="M547" s="29" t="str">
        <f t="shared" si="40"/>
        <v>✓ OK</v>
      </c>
      <c r="N547" s="43">
        <v>46193</v>
      </c>
      <c r="O547" s="26" t="s">
        <v>23</v>
      </c>
      <c r="P547" s="26" t="s">
        <v>24</v>
      </c>
      <c r="Q547" s="26" t="s">
        <v>25</v>
      </c>
      <c r="R547" s="26" t="s">
        <v>26</v>
      </c>
      <c r="S547" s="26" t="s">
        <v>24</v>
      </c>
      <c r="T547" s="27"/>
      <c r="U547" s="28" t="s">
        <v>25</v>
      </c>
      <c r="V547" s="29" t="str">
        <f t="shared" si="41"/>
        <v>✓ OK</v>
      </c>
      <c r="W547" s="45">
        <v>46248</v>
      </c>
      <c r="X547" s="30" t="s">
        <v>23</v>
      </c>
      <c r="Y547" s="30" t="s">
        <v>24</v>
      </c>
      <c r="Z547" s="30" t="s">
        <v>25</v>
      </c>
      <c r="AA547" s="30" t="s">
        <v>26</v>
      </c>
      <c r="AB547" s="30" t="s">
        <v>24</v>
      </c>
      <c r="AC547" s="27"/>
      <c r="AD547" s="31" t="s">
        <v>25</v>
      </c>
      <c r="AE547" s="32" t="str">
        <f t="shared" si="42"/>
        <v>✓ OK</v>
      </c>
      <c r="AF547" s="33" t="s">
        <v>27</v>
      </c>
      <c r="AG547" s="33" t="s">
        <v>23</v>
      </c>
      <c r="AH547" s="33" t="s">
        <v>24</v>
      </c>
      <c r="AI547" s="33" t="s">
        <v>25</v>
      </c>
      <c r="AJ547" s="33" t="s">
        <v>26</v>
      </c>
      <c r="AK547" s="33" t="s">
        <v>24</v>
      </c>
      <c r="AL547" s="27"/>
      <c r="AM547" s="34" t="s">
        <v>25</v>
      </c>
      <c r="AN547" s="35" t="str">
        <f t="shared" si="43"/>
        <v>✓ OK</v>
      </c>
      <c r="AO547" s="36"/>
      <c r="AP547" s="36"/>
      <c r="AQ547" s="36"/>
      <c r="AR547" s="36"/>
      <c r="AS547" s="36"/>
      <c r="AT547" s="36"/>
      <c r="AU547" s="27"/>
      <c r="AV547" s="37"/>
      <c r="AW547" s="38" t="str">
        <f t="shared" si="44"/>
        <v/>
      </c>
    </row>
    <row r="548" spans="1:49" ht="18" customHeight="1" x14ac:dyDescent="0.3">
      <c r="A548" s="39">
        <v>544</v>
      </c>
      <c r="B548" s="40" t="s">
        <v>2936</v>
      </c>
      <c r="C548" s="41" t="s">
        <v>2937</v>
      </c>
      <c r="D548" s="39" t="s">
        <v>2819</v>
      </c>
      <c r="E548" s="43">
        <v>46126</v>
      </c>
      <c r="F548" s="26" t="s">
        <v>23</v>
      </c>
      <c r="G548" s="26" t="s">
        <v>24</v>
      </c>
      <c r="H548" s="26" t="s">
        <v>25</v>
      </c>
      <c r="I548" s="26" t="s">
        <v>26</v>
      </c>
      <c r="J548" s="26" t="s">
        <v>24</v>
      </c>
      <c r="K548" s="27"/>
      <c r="L548" s="28" t="s">
        <v>25</v>
      </c>
      <c r="M548" s="29" t="str">
        <f t="shared" si="40"/>
        <v>✓ OK</v>
      </c>
      <c r="N548" s="43">
        <v>46193</v>
      </c>
      <c r="O548" s="26" t="s">
        <v>23</v>
      </c>
      <c r="P548" s="26" t="s">
        <v>24</v>
      </c>
      <c r="Q548" s="26" t="s">
        <v>25</v>
      </c>
      <c r="R548" s="26" t="s">
        <v>26</v>
      </c>
      <c r="S548" s="26" t="s">
        <v>24</v>
      </c>
      <c r="T548" s="27"/>
      <c r="U548" s="28" t="s">
        <v>25</v>
      </c>
      <c r="V548" s="29" t="str">
        <f t="shared" si="41"/>
        <v>✓ OK</v>
      </c>
      <c r="W548" s="45">
        <v>46248</v>
      </c>
      <c r="X548" s="30" t="s">
        <v>23</v>
      </c>
      <c r="Y548" s="30" t="s">
        <v>24</v>
      </c>
      <c r="Z548" s="30" t="s">
        <v>25</v>
      </c>
      <c r="AA548" s="30" t="s">
        <v>26</v>
      </c>
      <c r="AB548" s="30" t="s">
        <v>24</v>
      </c>
      <c r="AC548" s="27"/>
      <c r="AD548" s="31" t="s">
        <v>25</v>
      </c>
      <c r="AE548" s="32" t="str">
        <f t="shared" si="42"/>
        <v>✓ OK</v>
      </c>
      <c r="AF548" s="33" t="s">
        <v>27</v>
      </c>
      <c r="AG548" s="33" t="s">
        <v>23</v>
      </c>
      <c r="AH548" s="33" t="s">
        <v>24</v>
      </c>
      <c r="AI548" s="33" t="s">
        <v>25</v>
      </c>
      <c r="AJ548" s="33" t="s">
        <v>26</v>
      </c>
      <c r="AK548" s="33" t="s">
        <v>24</v>
      </c>
      <c r="AL548" s="27"/>
      <c r="AM548" s="34" t="s">
        <v>25</v>
      </c>
      <c r="AN548" s="35" t="str">
        <f t="shared" si="43"/>
        <v>✓ OK</v>
      </c>
      <c r="AO548" s="36"/>
      <c r="AP548" s="36"/>
      <c r="AQ548" s="36"/>
      <c r="AR548" s="36"/>
      <c r="AS548" s="36"/>
      <c r="AT548" s="36"/>
      <c r="AU548" s="27"/>
      <c r="AV548" s="37"/>
      <c r="AW548" s="38" t="str">
        <f t="shared" si="44"/>
        <v/>
      </c>
    </row>
    <row r="549" spans="1:49" ht="18" customHeight="1" x14ac:dyDescent="0.3">
      <c r="A549" s="23">
        <v>545</v>
      </c>
      <c r="B549" s="24" t="s">
        <v>2938</v>
      </c>
      <c r="C549" s="25" t="s">
        <v>2939</v>
      </c>
      <c r="D549" s="23" t="s">
        <v>2819</v>
      </c>
      <c r="E549" s="43">
        <v>46126</v>
      </c>
      <c r="F549" s="26" t="s">
        <v>23</v>
      </c>
      <c r="G549" s="26" t="s">
        <v>24</v>
      </c>
      <c r="H549" s="26" t="s">
        <v>25</v>
      </c>
      <c r="I549" s="26" t="s">
        <v>26</v>
      </c>
      <c r="J549" s="26" t="s">
        <v>24</v>
      </c>
      <c r="K549" s="27"/>
      <c r="L549" s="28" t="s">
        <v>25</v>
      </c>
      <c r="M549" s="29" t="str">
        <f t="shared" si="40"/>
        <v>✓ OK</v>
      </c>
      <c r="N549" s="43">
        <v>46193</v>
      </c>
      <c r="O549" s="26" t="s">
        <v>23</v>
      </c>
      <c r="P549" s="26" t="s">
        <v>24</v>
      </c>
      <c r="Q549" s="26" t="s">
        <v>25</v>
      </c>
      <c r="R549" s="26" t="s">
        <v>26</v>
      </c>
      <c r="S549" s="26" t="s">
        <v>24</v>
      </c>
      <c r="T549" s="27"/>
      <c r="U549" s="28" t="s">
        <v>25</v>
      </c>
      <c r="V549" s="29" t="str">
        <f t="shared" si="41"/>
        <v>✓ OK</v>
      </c>
      <c r="W549" s="45">
        <v>46248</v>
      </c>
      <c r="X549" s="30" t="s">
        <v>23</v>
      </c>
      <c r="Y549" s="30" t="s">
        <v>24</v>
      </c>
      <c r="Z549" s="30" t="s">
        <v>25</v>
      </c>
      <c r="AA549" s="30" t="s">
        <v>26</v>
      </c>
      <c r="AB549" s="30" t="s">
        <v>24</v>
      </c>
      <c r="AC549" s="27"/>
      <c r="AD549" s="31" t="s">
        <v>25</v>
      </c>
      <c r="AE549" s="32" t="str">
        <f t="shared" si="42"/>
        <v>✓ OK</v>
      </c>
      <c r="AF549" s="33" t="s">
        <v>27</v>
      </c>
      <c r="AG549" s="33" t="s">
        <v>23</v>
      </c>
      <c r="AH549" s="33" t="s">
        <v>24</v>
      </c>
      <c r="AI549" s="33" t="s">
        <v>25</v>
      </c>
      <c r="AJ549" s="33" t="s">
        <v>26</v>
      </c>
      <c r="AK549" s="33" t="s">
        <v>24</v>
      </c>
      <c r="AL549" s="27"/>
      <c r="AM549" s="34" t="s">
        <v>25</v>
      </c>
      <c r="AN549" s="35" t="str">
        <f t="shared" si="43"/>
        <v>✓ OK</v>
      </c>
      <c r="AO549" s="36"/>
      <c r="AP549" s="36"/>
      <c r="AQ549" s="36"/>
      <c r="AR549" s="36"/>
      <c r="AS549" s="36"/>
      <c r="AT549" s="36"/>
      <c r="AU549" s="27"/>
      <c r="AV549" s="37"/>
      <c r="AW549" s="38" t="str">
        <f t="shared" si="44"/>
        <v/>
      </c>
    </row>
    <row r="550" spans="1:49" ht="18" customHeight="1" x14ac:dyDescent="0.3">
      <c r="A550" s="39">
        <v>546</v>
      </c>
      <c r="B550" s="40" t="s">
        <v>2940</v>
      </c>
      <c r="C550" s="41" t="s">
        <v>2941</v>
      </c>
      <c r="D550" s="39" t="s">
        <v>2819</v>
      </c>
      <c r="E550" s="43">
        <v>46126</v>
      </c>
      <c r="F550" s="26" t="s">
        <v>23</v>
      </c>
      <c r="G550" s="26" t="s">
        <v>24</v>
      </c>
      <c r="H550" s="26" t="s">
        <v>25</v>
      </c>
      <c r="I550" s="26" t="s">
        <v>26</v>
      </c>
      <c r="J550" s="26" t="s">
        <v>24</v>
      </c>
      <c r="K550" s="27"/>
      <c r="L550" s="28" t="s">
        <v>25</v>
      </c>
      <c r="M550" s="29" t="str">
        <f t="shared" si="40"/>
        <v>✓ OK</v>
      </c>
      <c r="N550" s="43">
        <v>46193</v>
      </c>
      <c r="O550" s="26" t="s">
        <v>23</v>
      </c>
      <c r="P550" s="26" t="s">
        <v>24</v>
      </c>
      <c r="Q550" s="26" t="s">
        <v>25</v>
      </c>
      <c r="R550" s="26" t="s">
        <v>26</v>
      </c>
      <c r="S550" s="26" t="s">
        <v>24</v>
      </c>
      <c r="T550" s="27"/>
      <c r="U550" s="28" t="s">
        <v>25</v>
      </c>
      <c r="V550" s="29" t="str">
        <f t="shared" si="41"/>
        <v>✓ OK</v>
      </c>
      <c r="W550" s="45">
        <v>46248</v>
      </c>
      <c r="X550" s="30" t="s">
        <v>23</v>
      </c>
      <c r="Y550" s="30" t="s">
        <v>24</v>
      </c>
      <c r="Z550" s="30" t="s">
        <v>25</v>
      </c>
      <c r="AA550" s="30" t="s">
        <v>26</v>
      </c>
      <c r="AB550" s="30" t="s">
        <v>24</v>
      </c>
      <c r="AC550" s="27"/>
      <c r="AD550" s="31" t="s">
        <v>25</v>
      </c>
      <c r="AE550" s="32" t="str">
        <f t="shared" si="42"/>
        <v>✓ OK</v>
      </c>
      <c r="AF550" s="33" t="s">
        <v>27</v>
      </c>
      <c r="AG550" s="33" t="s">
        <v>23</v>
      </c>
      <c r="AH550" s="33" t="s">
        <v>24</v>
      </c>
      <c r="AI550" s="33" t="s">
        <v>25</v>
      </c>
      <c r="AJ550" s="33" t="s">
        <v>26</v>
      </c>
      <c r="AK550" s="33" t="s">
        <v>24</v>
      </c>
      <c r="AL550" s="27"/>
      <c r="AM550" s="34" t="s">
        <v>25</v>
      </c>
      <c r="AN550" s="35" t="str">
        <f t="shared" si="43"/>
        <v>✓ OK</v>
      </c>
      <c r="AO550" s="36"/>
      <c r="AP550" s="36"/>
      <c r="AQ550" s="36"/>
      <c r="AR550" s="36"/>
      <c r="AS550" s="36"/>
      <c r="AT550" s="36"/>
      <c r="AU550" s="27"/>
      <c r="AV550" s="37"/>
      <c r="AW550" s="38" t="str">
        <f t="shared" si="44"/>
        <v/>
      </c>
    </row>
    <row r="551" spans="1:49" ht="18" customHeight="1" x14ac:dyDescent="0.3">
      <c r="A551" s="23">
        <v>547</v>
      </c>
      <c r="B551" s="24" t="s">
        <v>2942</v>
      </c>
      <c r="C551" s="25" t="s">
        <v>2943</v>
      </c>
      <c r="D551" s="23" t="s">
        <v>2819</v>
      </c>
      <c r="E551" s="43">
        <v>46126</v>
      </c>
      <c r="F551" s="26" t="s">
        <v>23</v>
      </c>
      <c r="G551" s="26" t="s">
        <v>24</v>
      </c>
      <c r="H551" s="26" t="s">
        <v>25</v>
      </c>
      <c r="I551" s="26" t="s">
        <v>26</v>
      </c>
      <c r="J551" s="26" t="s">
        <v>24</v>
      </c>
      <c r="K551" s="27"/>
      <c r="L551" s="28" t="s">
        <v>25</v>
      </c>
      <c r="M551" s="29" t="str">
        <f t="shared" si="40"/>
        <v>✓ OK</v>
      </c>
      <c r="N551" s="43">
        <v>46193</v>
      </c>
      <c r="O551" s="26" t="s">
        <v>23</v>
      </c>
      <c r="P551" s="26" t="s">
        <v>24</v>
      </c>
      <c r="Q551" s="26" t="s">
        <v>25</v>
      </c>
      <c r="R551" s="26" t="s">
        <v>26</v>
      </c>
      <c r="S551" s="26" t="s">
        <v>24</v>
      </c>
      <c r="T551" s="27"/>
      <c r="U551" s="28" t="s">
        <v>25</v>
      </c>
      <c r="V551" s="29" t="str">
        <f t="shared" si="41"/>
        <v>✓ OK</v>
      </c>
      <c r="W551" s="45">
        <v>46248</v>
      </c>
      <c r="X551" s="30" t="s">
        <v>23</v>
      </c>
      <c r="Y551" s="30" t="s">
        <v>24</v>
      </c>
      <c r="Z551" s="30" t="s">
        <v>25</v>
      </c>
      <c r="AA551" s="30" t="s">
        <v>26</v>
      </c>
      <c r="AB551" s="30" t="s">
        <v>24</v>
      </c>
      <c r="AC551" s="27"/>
      <c r="AD551" s="31" t="s">
        <v>25</v>
      </c>
      <c r="AE551" s="32" t="str">
        <f t="shared" si="42"/>
        <v>✓ OK</v>
      </c>
      <c r="AF551" s="33" t="s">
        <v>27</v>
      </c>
      <c r="AG551" s="33" t="s">
        <v>23</v>
      </c>
      <c r="AH551" s="33" t="s">
        <v>24</v>
      </c>
      <c r="AI551" s="33" t="s">
        <v>25</v>
      </c>
      <c r="AJ551" s="33" t="s">
        <v>26</v>
      </c>
      <c r="AK551" s="33" t="s">
        <v>24</v>
      </c>
      <c r="AL551" s="27"/>
      <c r="AM551" s="34" t="s">
        <v>25</v>
      </c>
      <c r="AN551" s="35" t="str">
        <f t="shared" si="43"/>
        <v>✓ OK</v>
      </c>
      <c r="AO551" s="36"/>
      <c r="AP551" s="36"/>
      <c r="AQ551" s="36"/>
      <c r="AR551" s="36"/>
      <c r="AS551" s="36"/>
      <c r="AT551" s="36"/>
      <c r="AU551" s="27"/>
      <c r="AV551" s="37"/>
      <c r="AW551" s="38" t="str">
        <f t="shared" si="44"/>
        <v/>
      </c>
    </row>
    <row r="552" spans="1:49" ht="18" customHeight="1" x14ac:dyDescent="0.3">
      <c r="A552" s="39">
        <v>548</v>
      </c>
      <c r="B552" s="40" t="s">
        <v>2944</v>
      </c>
      <c r="C552" s="41" t="s">
        <v>2945</v>
      </c>
      <c r="D552" s="39" t="s">
        <v>2819</v>
      </c>
      <c r="E552" s="43">
        <v>46126</v>
      </c>
      <c r="F552" s="26" t="s">
        <v>23</v>
      </c>
      <c r="G552" s="26" t="s">
        <v>24</v>
      </c>
      <c r="H552" s="26" t="s">
        <v>25</v>
      </c>
      <c r="I552" s="26" t="s">
        <v>26</v>
      </c>
      <c r="J552" s="26" t="s">
        <v>24</v>
      </c>
      <c r="K552" s="27"/>
      <c r="L552" s="28" t="s">
        <v>25</v>
      </c>
      <c r="M552" s="29" t="str">
        <f t="shared" si="40"/>
        <v>✓ OK</v>
      </c>
      <c r="N552" s="43">
        <v>46193</v>
      </c>
      <c r="O552" s="26" t="s">
        <v>23</v>
      </c>
      <c r="P552" s="26" t="s">
        <v>24</v>
      </c>
      <c r="Q552" s="26" t="s">
        <v>25</v>
      </c>
      <c r="R552" s="26" t="s">
        <v>26</v>
      </c>
      <c r="S552" s="26" t="s">
        <v>24</v>
      </c>
      <c r="T552" s="27"/>
      <c r="U552" s="28" t="s">
        <v>25</v>
      </c>
      <c r="V552" s="29" t="str">
        <f t="shared" si="41"/>
        <v>✓ OK</v>
      </c>
      <c r="W552" s="45">
        <v>46248</v>
      </c>
      <c r="X552" s="30" t="s">
        <v>23</v>
      </c>
      <c r="Y552" s="30" t="s">
        <v>24</v>
      </c>
      <c r="Z552" s="30" t="s">
        <v>25</v>
      </c>
      <c r="AA552" s="30" t="s">
        <v>26</v>
      </c>
      <c r="AB552" s="30" t="s">
        <v>24</v>
      </c>
      <c r="AC552" s="27"/>
      <c r="AD552" s="31" t="s">
        <v>25</v>
      </c>
      <c r="AE552" s="32" t="str">
        <f t="shared" si="42"/>
        <v>✓ OK</v>
      </c>
      <c r="AF552" s="33" t="s">
        <v>27</v>
      </c>
      <c r="AG552" s="33" t="s">
        <v>23</v>
      </c>
      <c r="AH552" s="33" t="s">
        <v>24</v>
      </c>
      <c r="AI552" s="33" t="s">
        <v>25</v>
      </c>
      <c r="AJ552" s="33" t="s">
        <v>26</v>
      </c>
      <c r="AK552" s="33" t="s">
        <v>24</v>
      </c>
      <c r="AL552" s="27"/>
      <c r="AM552" s="34" t="s">
        <v>25</v>
      </c>
      <c r="AN552" s="35" t="str">
        <f t="shared" si="43"/>
        <v>✓ OK</v>
      </c>
      <c r="AO552" s="36"/>
      <c r="AP552" s="36"/>
      <c r="AQ552" s="36"/>
      <c r="AR552" s="36"/>
      <c r="AS552" s="36"/>
      <c r="AT552" s="36"/>
      <c r="AU552" s="27"/>
      <c r="AV552" s="37"/>
      <c r="AW552" s="38" t="str">
        <f t="shared" si="44"/>
        <v/>
      </c>
    </row>
    <row r="553" spans="1:49" ht="18" customHeight="1" x14ac:dyDescent="0.3">
      <c r="A553" s="23">
        <v>549</v>
      </c>
      <c r="B553" s="24" t="s">
        <v>2946</v>
      </c>
      <c r="C553" s="25" t="s">
        <v>2947</v>
      </c>
      <c r="D553" s="23" t="s">
        <v>2819</v>
      </c>
      <c r="E553" s="43">
        <v>46126</v>
      </c>
      <c r="F553" s="26" t="s">
        <v>23</v>
      </c>
      <c r="G553" s="26" t="s">
        <v>24</v>
      </c>
      <c r="H553" s="26" t="s">
        <v>25</v>
      </c>
      <c r="I553" s="26" t="s">
        <v>26</v>
      </c>
      <c r="J553" s="26" t="s">
        <v>24</v>
      </c>
      <c r="K553" s="27"/>
      <c r="L553" s="28" t="s">
        <v>25</v>
      </c>
      <c r="M553" s="29" t="str">
        <f t="shared" si="40"/>
        <v>✓ OK</v>
      </c>
      <c r="N553" s="43">
        <v>46193</v>
      </c>
      <c r="O553" s="26" t="s">
        <v>23</v>
      </c>
      <c r="P553" s="26" t="s">
        <v>24</v>
      </c>
      <c r="Q553" s="26" t="s">
        <v>25</v>
      </c>
      <c r="R553" s="26" t="s">
        <v>26</v>
      </c>
      <c r="S553" s="26" t="s">
        <v>24</v>
      </c>
      <c r="T553" s="27"/>
      <c r="U553" s="28" t="s">
        <v>25</v>
      </c>
      <c r="V553" s="29" t="str">
        <f t="shared" si="41"/>
        <v>✓ OK</v>
      </c>
      <c r="W553" s="45">
        <v>46248</v>
      </c>
      <c r="X553" s="30" t="s">
        <v>23</v>
      </c>
      <c r="Y553" s="30" t="s">
        <v>24</v>
      </c>
      <c r="Z553" s="30" t="s">
        <v>25</v>
      </c>
      <c r="AA553" s="30" t="s">
        <v>26</v>
      </c>
      <c r="AB553" s="30" t="s">
        <v>24</v>
      </c>
      <c r="AC553" s="27"/>
      <c r="AD553" s="31" t="s">
        <v>25</v>
      </c>
      <c r="AE553" s="32" t="str">
        <f t="shared" si="42"/>
        <v>✓ OK</v>
      </c>
      <c r="AF553" s="33" t="s">
        <v>27</v>
      </c>
      <c r="AG553" s="33" t="s">
        <v>23</v>
      </c>
      <c r="AH553" s="33" t="s">
        <v>24</v>
      </c>
      <c r="AI553" s="33" t="s">
        <v>25</v>
      </c>
      <c r="AJ553" s="33" t="s">
        <v>26</v>
      </c>
      <c r="AK553" s="33" t="s">
        <v>24</v>
      </c>
      <c r="AL553" s="27"/>
      <c r="AM553" s="34" t="s">
        <v>25</v>
      </c>
      <c r="AN553" s="35" t="str">
        <f t="shared" si="43"/>
        <v>✓ OK</v>
      </c>
      <c r="AO553" s="36"/>
      <c r="AP553" s="36"/>
      <c r="AQ553" s="36"/>
      <c r="AR553" s="36"/>
      <c r="AS553" s="36"/>
      <c r="AT553" s="36"/>
      <c r="AU553" s="27"/>
      <c r="AV553" s="37"/>
      <c r="AW553" s="38" t="str">
        <f t="shared" si="44"/>
        <v/>
      </c>
    </row>
    <row r="554" spans="1:49" ht="18" customHeight="1" x14ac:dyDescent="0.3">
      <c r="A554" s="39">
        <v>550</v>
      </c>
      <c r="B554" s="40" t="s">
        <v>2948</v>
      </c>
      <c r="C554" s="41" t="s">
        <v>2949</v>
      </c>
      <c r="D554" s="39" t="s">
        <v>2819</v>
      </c>
      <c r="E554" s="43">
        <v>46126</v>
      </c>
      <c r="F554" s="26" t="s">
        <v>23</v>
      </c>
      <c r="G554" s="26" t="s">
        <v>24</v>
      </c>
      <c r="H554" s="26" t="s">
        <v>25</v>
      </c>
      <c r="I554" s="26" t="s">
        <v>26</v>
      </c>
      <c r="J554" s="26" t="s">
        <v>24</v>
      </c>
      <c r="K554" s="27"/>
      <c r="L554" s="28" t="s">
        <v>25</v>
      </c>
      <c r="M554" s="29" t="str">
        <f t="shared" si="40"/>
        <v>✓ OK</v>
      </c>
      <c r="N554" s="43">
        <v>46193</v>
      </c>
      <c r="O554" s="26" t="s">
        <v>23</v>
      </c>
      <c r="P554" s="26" t="s">
        <v>24</v>
      </c>
      <c r="Q554" s="26" t="s">
        <v>25</v>
      </c>
      <c r="R554" s="26" t="s">
        <v>26</v>
      </c>
      <c r="S554" s="26" t="s">
        <v>24</v>
      </c>
      <c r="T554" s="27"/>
      <c r="U554" s="28" t="s">
        <v>25</v>
      </c>
      <c r="V554" s="29" t="str">
        <f t="shared" si="41"/>
        <v>✓ OK</v>
      </c>
      <c r="W554" s="45">
        <v>46248</v>
      </c>
      <c r="X554" s="30" t="s">
        <v>23</v>
      </c>
      <c r="Y554" s="30" t="s">
        <v>24</v>
      </c>
      <c r="Z554" s="30" t="s">
        <v>25</v>
      </c>
      <c r="AA554" s="30" t="s">
        <v>26</v>
      </c>
      <c r="AB554" s="30" t="s">
        <v>24</v>
      </c>
      <c r="AC554" s="27"/>
      <c r="AD554" s="31" t="s">
        <v>25</v>
      </c>
      <c r="AE554" s="32" t="str">
        <f t="shared" si="42"/>
        <v>✓ OK</v>
      </c>
      <c r="AF554" s="33" t="s">
        <v>27</v>
      </c>
      <c r="AG554" s="33" t="s">
        <v>23</v>
      </c>
      <c r="AH554" s="33" t="s">
        <v>24</v>
      </c>
      <c r="AI554" s="33" t="s">
        <v>25</v>
      </c>
      <c r="AJ554" s="33" t="s">
        <v>26</v>
      </c>
      <c r="AK554" s="33" t="s">
        <v>24</v>
      </c>
      <c r="AL554" s="27"/>
      <c r="AM554" s="34" t="s">
        <v>25</v>
      </c>
      <c r="AN554" s="35" t="str">
        <f t="shared" si="43"/>
        <v>✓ OK</v>
      </c>
      <c r="AO554" s="36"/>
      <c r="AP554" s="36"/>
      <c r="AQ554" s="36"/>
      <c r="AR554" s="36"/>
      <c r="AS554" s="36"/>
      <c r="AT554" s="36"/>
      <c r="AU554" s="27"/>
      <c r="AV554" s="37"/>
      <c r="AW554" s="38" t="str">
        <f t="shared" si="44"/>
        <v/>
      </c>
    </row>
    <row r="555" spans="1:49" ht="18" customHeight="1" x14ac:dyDescent="0.3">
      <c r="A555" s="23">
        <v>551</v>
      </c>
      <c r="B555" s="24" t="s">
        <v>2950</v>
      </c>
      <c r="C555" s="25" t="s">
        <v>2951</v>
      </c>
      <c r="D555" s="23" t="s">
        <v>2819</v>
      </c>
      <c r="E555" s="43">
        <v>46126</v>
      </c>
      <c r="F555" s="26" t="s">
        <v>23</v>
      </c>
      <c r="G555" s="26" t="s">
        <v>24</v>
      </c>
      <c r="H555" s="26" t="s">
        <v>25</v>
      </c>
      <c r="I555" s="26" t="s">
        <v>26</v>
      </c>
      <c r="J555" s="26" t="s">
        <v>24</v>
      </c>
      <c r="K555" s="27"/>
      <c r="L555" s="28" t="s">
        <v>25</v>
      </c>
      <c r="M555" s="29" t="str">
        <f t="shared" si="40"/>
        <v>✓ OK</v>
      </c>
      <c r="N555" s="43">
        <v>46193</v>
      </c>
      <c r="O555" s="26" t="s">
        <v>23</v>
      </c>
      <c r="P555" s="26" t="s">
        <v>24</v>
      </c>
      <c r="Q555" s="26" t="s">
        <v>25</v>
      </c>
      <c r="R555" s="26" t="s">
        <v>26</v>
      </c>
      <c r="S555" s="26" t="s">
        <v>24</v>
      </c>
      <c r="T555" s="27"/>
      <c r="U555" s="28" t="s">
        <v>25</v>
      </c>
      <c r="V555" s="29" t="str">
        <f t="shared" si="41"/>
        <v>✓ OK</v>
      </c>
      <c r="W555" s="45">
        <v>46248</v>
      </c>
      <c r="X555" s="30" t="s">
        <v>23</v>
      </c>
      <c r="Y555" s="30" t="s">
        <v>24</v>
      </c>
      <c r="Z555" s="30" t="s">
        <v>25</v>
      </c>
      <c r="AA555" s="30" t="s">
        <v>26</v>
      </c>
      <c r="AB555" s="30" t="s">
        <v>24</v>
      </c>
      <c r="AC555" s="27"/>
      <c r="AD555" s="31" t="s">
        <v>25</v>
      </c>
      <c r="AE555" s="32" t="str">
        <f t="shared" si="42"/>
        <v>✓ OK</v>
      </c>
      <c r="AF555" s="33" t="s">
        <v>27</v>
      </c>
      <c r="AG555" s="33" t="s">
        <v>23</v>
      </c>
      <c r="AH555" s="33" t="s">
        <v>24</v>
      </c>
      <c r="AI555" s="33" t="s">
        <v>25</v>
      </c>
      <c r="AJ555" s="33" t="s">
        <v>26</v>
      </c>
      <c r="AK555" s="33" t="s">
        <v>24</v>
      </c>
      <c r="AL555" s="27"/>
      <c r="AM555" s="34" t="s">
        <v>25</v>
      </c>
      <c r="AN555" s="35" t="str">
        <f t="shared" si="43"/>
        <v>✓ OK</v>
      </c>
      <c r="AO555" s="36"/>
      <c r="AP555" s="36"/>
      <c r="AQ555" s="36"/>
      <c r="AR555" s="36"/>
      <c r="AS555" s="36"/>
      <c r="AT555" s="36"/>
      <c r="AU555" s="27"/>
      <c r="AV555" s="37"/>
      <c r="AW555" s="38" t="str">
        <f t="shared" si="44"/>
        <v/>
      </c>
    </row>
    <row r="556" spans="1:49" ht="18" customHeight="1" x14ac:dyDescent="0.3">
      <c r="A556" s="39">
        <v>552</v>
      </c>
      <c r="B556" s="40" t="s">
        <v>2952</v>
      </c>
      <c r="C556" s="41" t="s">
        <v>2953</v>
      </c>
      <c r="D556" s="39" t="s">
        <v>2819</v>
      </c>
      <c r="E556" s="43">
        <v>46126</v>
      </c>
      <c r="F556" s="26" t="s">
        <v>23</v>
      </c>
      <c r="G556" s="26" t="s">
        <v>24</v>
      </c>
      <c r="H556" s="26" t="s">
        <v>25</v>
      </c>
      <c r="I556" s="26" t="s">
        <v>26</v>
      </c>
      <c r="J556" s="26" t="s">
        <v>24</v>
      </c>
      <c r="K556" s="27"/>
      <c r="L556" s="28" t="s">
        <v>25</v>
      </c>
      <c r="M556" s="29" t="str">
        <f t="shared" si="40"/>
        <v>✓ OK</v>
      </c>
      <c r="N556" s="43">
        <v>46193</v>
      </c>
      <c r="O556" s="26" t="s">
        <v>23</v>
      </c>
      <c r="P556" s="26" t="s">
        <v>24</v>
      </c>
      <c r="Q556" s="26" t="s">
        <v>25</v>
      </c>
      <c r="R556" s="26" t="s">
        <v>26</v>
      </c>
      <c r="S556" s="26" t="s">
        <v>24</v>
      </c>
      <c r="T556" s="27"/>
      <c r="U556" s="28" t="s">
        <v>25</v>
      </c>
      <c r="V556" s="29" t="str">
        <f t="shared" si="41"/>
        <v>✓ OK</v>
      </c>
      <c r="W556" s="45">
        <v>46248</v>
      </c>
      <c r="X556" s="30" t="s">
        <v>23</v>
      </c>
      <c r="Y556" s="30" t="s">
        <v>24</v>
      </c>
      <c r="Z556" s="30" t="s">
        <v>25</v>
      </c>
      <c r="AA556" s="30" t="s">
        <v>26</v>
      </c>
      <c r="AB556" s="30" t="s">
        <v>24</v>
      </c>
      <c r="AC556" s="27"/>
      <c r="AD556" s="31" t="s">
        <v>25</v>
      </c>
      <c r="AE556" s="32" t="str">
        <f t="shared" si="42"/>
        <v>✓ OK</v>
      </c>
      <c r="AF556" s="33" t="s">
        <v>27</v>
      </c>
      <c r="AG556" s="33" t="s">
        <v>23</v>
      </c>
      <c r="AH556" s="33" t="s">
        <v>24</v>
      </c>
      <c r="AI556" s="33" t="s">
        <v>25</v>
      </c>
      <c r="AJ556" s="33" t="s">
        <v>26</v>
      </c>
      <c r="AK556" s="33" t="s">
        <v>24</v>
      </c>
      <c r="AL556" s="27"/>
      <c r="AM556" s="34" t="s">
        <v>25</v>
      </c>
      <c r="AN556" s="35" t="str">
        <f t="shared" si="43"/>
        <v>✓ OK</v>
      </c>
      <c r="AO556" s="36"/>
      <c r="AP556" s="36"/>
      <c r="AQ556" s="36"/>
      <c r="AR556" s="36"/>
      <c r="AS556" s="36"/>
      <c r="AT556" s="36"/>
      <c r="AU556" s="27"/>
      <c r="AV556" s="37"/>
      <c r="AW556" s="38" t="str">
        <f t="shared" si="44"/>
        <v/>
      </c>
    </row>
    <row r="557" spans="1:49" ht="18" customHeight="1" x14ac:dyDescent="0.3">
      <c r="A557" s="23">
        <v>553</v>
      </c>
      <c r="B557" s="24" t="s">
        <v>2954</v>
      </c>
      <c r="C557" s="25" t="s">
        <v>2955</v>
      </c>
      <c r="D557" s="23" t="s">
        <v>2819</v>
      </c>
      <c r="E557" s="43">
        <v>46126</v>
      </c>
      <c r="F557" s="26" t="s">
        <v>23</v>
      </c>
      <c r="G557" s="26" t="s">
        <v>24</v>
      </c>
      <c r="H557" s="26" t="s">
        <v>25</v>
      </c>
      <c r="I557" s="26" t="s">
        <v>26</v>
      </c>
      <c r="J557" s="26" t="s">
        <v>24</v>
      </c>
      <c r="K557" s="27"/>
      <c r="L557" s="28" t="s">
        <v>25</v>
      </c>
      <c r="M557" s="29" t="str">
        <f t="shared" si="40"/>
        <v>✓ OK</v>
      </c>
      <c r="N557" s="43">
        <v>46193</v>
      </c>
      <c r="O557" s="26" t="s">
        <v>23</v>
      </c>
      <c r="P557" s="26" t="s">
        <v>24</v>
      </c>
      <c r="Q557" s="26" t="s">
        <v>25</v>
      </c>
      <c r="R557" s="26" t="s">
        <v>26</v>
      </c>
      <c r="S557" s="26" t="s">
        <v>24</v>
      </c>
      <c r="T557" s="27"/>
      <c r="U557" s="28" t="s">
        <v>25</v>
      </c>
      <c r="V557" s="29" t="str">
        <f t="shared" si="41"/>
        <v>✓ OK</v>
      </c>
      <c r="W557" s="45">
        <v>46248</v>
      </c>
      <c r="X557" s="30" t="s">
        <v>23</v>
      </c>
      <c r="Y557" s="30" t="s">
        <v>24</v>
      </c>
      <c r="Z557" s="30" t="s">
        <v>25</v>
      </c>
      <c r="AA557" s="30" t="s">
        <v>26</v>
      </c>
      <c r="AB557" s="30" t="s">
        <v>24</v>
      </c>
      <c r="AC557" s="27"/>
      <c r="AD557" s="31" t="s">
        <v>25</v>
      </c>
      <c r="AE557" s="32" t="str">
        <f t="shared" si="42"/>
        <v>✓ OK</v>
      </c>
      <c r="AF557" s="33" t="s">
        <v>27</v>
      </c>
      <c r="AG557" s="33" t="s">
        <v>23</v>
      </c>
      <c r="AH557" s="33" t="s">
        <v>24</v>
      </c>
      <c r="AI557" s="33" t="s">
        <v>25</v>
      </c>
      <c r="AJ557" s="33" t="s">
        <v>26</v>
      </c>
      <c r="AK557" s="33" t="s">
        <v>24</v>
      </c>
      <c r="AL557" s="27"/>
      <c r="AM557" s="34" t="s">
        <v>25</v>
      </c>
      <c r="AN557" s="35" t="str">
        <f t="shared" si="43"/>
        <v>✓ OK</v>
      </c>
      <c r="AO557" s="36"/>
      <c r="AP557" s="36"/>
      <c r="AQ557" s="36"/>
      <c r="AR557" s="36"/>
      <c r="AS557" s="36"/>
      <c r="AT557" s="36"/>
      <c r="AU557" s="27"/>
      <c r="AV557" s="37"/>
      <c r="AW557" s="38" t="str">
        <f t="shared" si="44"/>
        <v/>
      </c>
    </row>
    <row r="558" spans="1:49" ht="18" customHeight="1" x14ac:dyDescent="0.3">
      <c r="A558" s="39">
        <v>554</v>
      </c>
      <c r="B558" s="40" t="s">
        <v>2956</v>
      </c>
      <c r="C558" s="41" t="s">
        <v>2957</v>
      </c>
      <c r="D558" s="39" t="s">
        <v>2819</v>
      </c>
      <c r="E558" s="43">
        <v>46126</v>
      </c>
      <c r="F558" s="26" t="s">
        <v>23</v>
      </c>
      <c r="G558" s="26" t="s">
        <v>24</v>
      </c>
      <c r="H558" s="26" t="s">
        <v>25</v>
      </c>
      <c r="I558" s="26" t="s">
        <v>26</v>
      </c>
      <c r="J558" s="26" t="s">
        <v>24</v>
      </c>
      <c r="K558" s="27"/>
      <c r="L558" s="28" t="s">
        <v>25</v>
      </c>
      <c r="M558" s="29" t="str">
        <f t="shared" si="40"/>
        <v>✓ OK</v>
      </c>
      <c r="N558" s="43">
        <v>46193</v>
      </c>
      <c r="O558" s="26" t="s">
        <v>23</v>
      </c>
      <c r="P558" s="26" t="s">
        <v>24</v>
      </c>
      <c r="Q558" s="26" t="s">
        <v>25</v>
      </c>
      <c r="R558" s="26" t="s">
        <v>26</v>
      </c>
      <c r="S558" s="26" t="s">
        <v>24</v>
      </c>
      <c r="T558" s="27"/>
      <c r="U558" s="28" t="s">
        <v>25</v>
      </c>
      <c r="V558" s="29" t="str">
        <f t="shared" si="41"/>
        <v>✓ OK</v>
      </c>
      <c r="W558" s="45">
        <v>46248</v>
      </c>
      <c r="X558" s="30" t="s">
        <v>23</v>
      </c>
      <c r="Y558" s="30" t="s">
        <v>24</v>
      </c>
      <c r="Z558" s="30" t="s">
        <v>25</v>
      </c>
      <c r="AA558" s="30" t="s">
        <v>26</v>
      </c>
      <c r="AB558" s="30" t="s">
        <v>24</v>
      </c>
      <c r="AC558" s="27"/>
      <c r="AD558" s="31" t="s">
        <v>25</v>
      </c>
      <c r="AE558" s="32" t="str">
        <f t="shared" si="42"/>
        <v>✓ OK</v>
      </c>
      <c r="AF558" s="33" t="s">
        <v>27</v>
      </c>
      <c r="AG558" s="33" t="s">
        <v>23</v>
      </c>
      <c r="AH558" s="33" t="s">
        <v>24</v>
      </c>
      <c r="AI558" s="33" t="s">
        <v>25</v>
      </c>
      <c r="AJ558" s="33" t="s">
        <v>26</v>
      </c>
      <c r="AK558" s="33" t="s">
        <v>24</v>
      </c>
      <c r="AL558" s="27"/>
      <c r="AM558" s="34" t="s">
        <v>25</v>
      </c>
      <c r="AN558" s="35" t="str">
        <f t="shared" si="43"/>
        <v>✓ OK</v>
      </c>
      <c r="AO558" s="36"/>
      <c r="AP558" s="36"/>
      <c r="AQ558" s="36"/>
      <c r="AR558" s="36"/>
      <c r="AS558" s="36"/>
      <c r="AT558" s="36"/>
      <c r="AU558" s="27"/>
      <c r="AV558" s="37"/>
      <c r="AW558" s="38" t="str">
        <f t="shared" si="44"/>
        <v/>
      </c>
    </row>
    <row r="559" spans="1:49" ht="18" customHeight="1" x14ac:dyDescent="0.3">
      <c r="A559" s="23">
        <v>555</v>
      </c>
      <c r="B559" s="24" t="s">
        <v>2958</v>
      </c>
      <c r="C559" s="25" t="s">
        <v>2959</v>
      </c>
      <c r="D559" s="23" t="s">
        <v>2819</v>
      </c>
      <c r="E559" s="43">
        <v>46126</v>
      </c>
      <c r="F559" s="26" t="s">
        <v>23</v>
      </c>
      <c r="G559" s="26" t="s">
        <v>24</v>
      </c>
      <c r="H559" s="26" t="s">
        <v>25</v>
      </c>
      <c r="I559" s="26" t="s">
        <v>26</v>
      </c>
      <c r="J559" s="26" t="s">
        <v>24</v>
      </c>
      <c r="K559" s="27"/>
      <c r="L559" s="28" t="s">
        <v>25</v>
      </c>
      <c r="M559" s="29" t="str">
        <f t="shared" si="40"/>
        <v>✓ OK</v>
      </c>
      <c r="N559" s="43">
        <v>46193</v>
      </c>
      <c r="O559" s="26" t="s">
        <v>23</v>
      </c>
      <c r="P559" s="26" t="s">
        <v>24</v>
      </c>
      <c r="Q559" s="26" t="s">
        <v>25</v>
      </c>
      <c r="R559" s="26" t="s">
        <v>26</v>
      </c>
      <c r="S559" s="26" t="s">
        <v>24</v>
      </c>
      <c r="T559" s="27"/>
      <c r="U559" s="28" t="s">
        <v>25</v>
      </c>
      <c r="V559" s="29" t="str">
        <f t="shared" si="41"/>
        <v>✓ OK</v>
      </c>
      <c r="W559" s="45">
        <v>46248</v>
      </c>
      <c r="X559" s="30" t="s">
        <v>23</v>
      </c>
      <c r="Y559" s="30" t="s">
        <v>24</v>
      </c>
      <c r="Z559" s="30" t="s">
        <v>25</v>
      </c>
      <c r="AA559" s="30" t="s">
        <v>26</v>
      </c>
      <c r="AB559" s="30" t="s">
        <v>24</v>
      </c>
      <c r="AC559" s="27"/>
      <c r="AD559" s="31" t="s">
        <v>25</v>
      </c>
      <c r="AE559" s="32" t="str">
        <f t="shared" si="42"/>
        <v>✓ OK</v>
      </c>
      <c r="AF559" s="33" t="s">
        <v>27</v>
      </c>
      <c r="AG559" s="33" t="s">
        <v>23</v>
      </c>
      <c r="AH559" s="33" t="s">
        <v>24</v>
      </c>
      <c r="AI559" s="33" t="s">
        <v>25</v>
      </c>
      <c r="AJ559" s="33" t="s">
        <v>26</v>
      </c>
      <c r="AK559" s="33" t="s">
        <v>24</v>
      </c>
      <c r="AL559" s="27"/>
      <c r="AM559" s="34" t="s">
        <v>25</v>
      </c>
      <c r="AN559" s="35" t="str">
        <f t="shared" si="43"/>
        <v>✓ OK</v>
      </c>
      <c r="AO559" s="36"/>
      <c r="AP559" s="36"/>
      <c r="AQ559" s="36"/>
      <c r="AR559" s="36"/>
      <c r="AS559" s="36"/>
      <c r="AT559" s="36"/>
      <c r="AU559" s="27"/>
      <c r="AV559" s="37"/>
      <c r="AW559" s="38" t="str">
        <f t="shared" si="44"/>
        <v/>
      </c>
    </row>
    <row r="560" spans="1:49" ht="18" customHeight="1" x14ac:dyDescent="0.3">
      <c r="A560" s="39">
        <v>556</v>
      </c>
      <c r="B560" s="40" t="s">
        <v>2960</v>
      </c>
      <c r="C560" s="41" t="s">
        <v>2961</v>
      </c>
      <c r="D560" s="39" t="s">
        <v>2819</v>
      </c>
      <c r="E560" s="43">
        <v>46126</v>
      </c>
      <c r="F560" s="26" t="s">
        <v>23</v>
      </c>
      <c r="G560" s="26" t="s">
        <v>24</v>
      </c>
      <c r="H560" s="26" t="s">
        <v>25</v>
      </c>
      <c r="I560" s="26" t="s">
        <v>26</v>
      </c>
      <c r="J560" s="26" t="s">
        <v>24</v>
      </c>
      <c r="K560" s="27"/>
      <c r="L560" s="28" t="s">
        <v>25</v>
      </c>
      <c r="M560" s="29" t="str">
        <f t="shared" si="40"/>
        <v>✓ OK</v>
      </c>
      <c r="N560" s="43">
        <v>46193</v>
      </c>
      <c r="O560" s="26" t="s">
        <v>23</v>
      </c>
      <c r="P560" s="26" t="s">
        <v>24</v>
      </c>
      <c r="Q560" s="26" t="s">
        <v>25</v>
      </c>
      <c r="R560" s="26" t="s">
        <v>26</v>
      </c>
      <c r="S560" s="26" t="s">
        <v>24</v>
      </c>
      <c r="T560" s="27"/>
      <c r="U560" s="28" t="s">
        <v>25</v>
      </c>
      <c r="V560" s="29" t="str">
        <f t="shared" si="41"/>
        <v>✓ OK</v>
      </c>
      <c r="W560" s="45">
        <v>46248</v>
      </c>
      <c r="X560" s="30" t="s">
        <v>23</v>
      </c>
      <c r="Y560" s="30" t="s">
        <v>24</v>
      </c>
      <c r="Z560" s="30" t="s">
        <v>25</v>
      </c>
      <c r="AA560" s="30" t="s">
        <v>26</v>
      </c>
      <c r="AB560" s="30" t="s">
        <v>24</v>
      </c>
      <c r="AC560" s="27"/>
      <c r="AD560" s="31" t="s">
        <v>25</v>
      </c>
      <c r="AE560" s="32" t="str">
        <f t="shared" si="42"/>
        <v>✓ OK</v>
      </c>
      <c r="AF560" s="33" t="s">
        <v>27</v>
      </c>
      <c r="AG560" s="33" t="s">
        <v>23</v>
      </c>
      <c r="AH560" s="33" t="s">
        <v>24</v>
      </c>
      <c r="AI560" s="33" t="s">
        <v>25</v>
      </c>
      <c r="AJ560" s="33" t="s">
        <v>26</v>
      </c>
      <c r="AK560" s="33" t="s">
        <v>24</v>
      </c>
      <c r="AL560" s="27"/>
      <c r="AM560" s="34" t="s">
        <v>25</v>
      </c>
      <c r="AN560" s="35" t="str">
        <f t="shared" si="43"/>
        <v>✓ OK</v>
      </c>
      <c r="AO560" s="36"/>
      <c r="AP560" s="36"/>
      <c r="AQ560" s="36"/>
      <c r="AR560" s="36"/>
      <c r="AS560" s="36"/>
      <c r="AT560" s="36"/>
      <c r="AU560" s="27"/>
      <c r="AV560" s="37"/>
      <c r="AW560" s="38" t="str">
        <f t="shared" si="44"/>
        <v/>
      </c>
    </row>
    <row r="561" spans="1:49" ht="18" customHeight="1" x14ac:dyDescent="0.3">
      <c r="A561" s="23">
        <v>557</v>
      </c>
      <c r="B561" s="24" t="s">
        <v>2962</v>
      </c>
      <c r="C561" s="25" t="s">
        <v>2963</v>
      </c>
      <c r="D561" s="23" t="s">
        <v>2819</v>
      </c>
      <c r="E561" s="43">
        <v>46126</v>
      </c>
      <c r="F561" s="26" t="s">
        <v>23</v>
      </c>
      <c r="G561" s="26" t="s">
        <v>24</v>
      </c>
      <c r="H561" s="26" t="s">
        <v>25</v>
      </c>
      <c r="I561" s="26" t="s">
        <v>26</v>
      </c>
      <c r="J561" s="26" t="s">
        <v>24</v>
      </c>
      <c r="K561" s="27"/>
      <c r="L561" s="28" t="s">
        <v>25</v>
      </c>
      <c r="M561" s="29" t="str">
        <f t="shared" si="40"/>
        <v>✓ OK</v>
      </c>
      <c r="N561" s="43">
        <v>46193</v>
      </c>
      <c r="O561" s="26" t="s">
        <v>23</v>
      </c>
      <c r="P561" s="26" t="s">
        <v>24</v>
      </c>
      <c r="Q561" s="26" t="s">
        <v>25</v>
      </c>
      <c r="R561" s="26" t="s">
        <v>26</v>
      </c>
      <c r="S561" s="26" t="s">
        <v>24</v>
      </c>
      <c r="T561" s="27"/>
      <c r="U561" s="28" t="s">
        <v>25</v>
      </c>
      <c r="V561" s="29" t="str">
        <f t="shared" si="41"/>
        <v>✓ OK</v>
      </c>
      <c r="W561" s="45">
        <v>46248</v>
      </c>
      <c r="X561" s="30" t="s">
        <v>23</v>
      </c>
      <c r="Y561" s="30" t="s">
        <v>24</v>
      </c>
      <c r="Z561" s="30" t="s">
        <v>25</v>
      </c>
      <c r="AA561" s="30" t="s">
        <v>26</v>
      </c>
      <c r="AB561" s="30" t="s">
        <v>24</v>
      </c>
      <c r="AC561" s="27"/>
      <c r="AD561" s="31" t="s">
        <v>25</v>
      </c>
      <c r="AE561" s="32" t="str">
        <f t="shared" si="42"/>
        <v>✓ OK</v>
      </c>
      <c r="AF561" s="33" t="s">
        <v>27</v>
      </c>
      <c r="AG561" s="33" t="s">
        <v>23</v>
      </c>
      <c r="AH561" s="33" t="s">
        <v>24</v>
      </c>
      <c r="AI561" s="33" t="s">
        <v>25</v>
      </c>
      <c r="AJ561" s="33" t="s">
        <v>26</v>
      </c>
      <c r="AK561" s="33" t="s">
        <v>24</v>
      </c>
      <c r="AL561" s="27"/>
      <c r="AM561" s="34" t="s">
        <v>25</v>
      </c>
      <c r="AN561" s="35" t="str">
        <f t="shared" si="43"/>
        <v>✓ OK</v>
      </c>
      <c r="AO561" s="36"/>
      <c r="AP561" s="36"/>
      <c r="AQ561" s="36"/>
      <c r="AR561" s="36"/>
      <c r="AS561" s="36"/>
      <c r="AT561" s="36"/>
      <c r="AU561" s="27"/>
      <c r="AV561" s="37"/>
      <c r="AW561" s="38" t="str">
        <f t="shared" si="44"/>
        <v/>
      </c>
    </row>
    <row r="562" spans="1:49" ht="18" customHeight="1" x14ac:dyDescent="0.3">
      <c r="A562" s="39">
        <v>558</v>
      </c>
      <c r="B562" s="40" t="s">
        <v>2964</v>
      </c>
      <c r="C562" s="41" t="s">
        <v>2965</v>
      </c>
      <c r="D562" s="39" t="s">
        <v>2819</v>
      </c>
      <c r="E562" s="43">
        <v>46126</v>
      </c>
      <c r="F562" s="26" t="s">
        <v>23</v>
      </c>
      <c r="G562" s="26" t="s">
        <v>24</v>
      </c>
      <c r="H562" s="26" t="s">
        <v>25</v>
      </c>
      <c r="I562" s="26" t="s">
        <v>26</v>
      </c>
      <c r="J562" s="26" t="s">
        <v>24</v>
      </c>
      <c r="K562" s="27"/>
      <c r="L562" s="28" t="s">
        <v>25</v>
      </c>
      <c r="M562" s="29" t="str">
        <f t="shared" si="40"/>
        <v>✓ OK</v>
      </c>
      <c r="N562" s="43">
        <v>46193</v>
      </c>
      <c r="O562" s="26" t="s">
        <v>23</v>
      </c>
      <c r="P562" s="26" t="s">
        <v>24</v>
      </c>
      <c r="Q562" s="26" t="s">
        <v>25</v>
      </c>
      <c r="R562" s="26" t="s">
        <v>26</v>
      </c>
      <c r="S562" s="26" t="s">
        <v>24</v>
      </c>
      <c r="T562" s="27"/>
      <c r="U562" s="28" t="s">
        <v>25</v>
      </c>
      <c r="V562" s="29" t="str">
        <f t="shared" si="41"/>
        <v>✓ OK</v>
      </c>
      <c r="W562" s="45">
        <v>46248</v>
      </c>
      <c r="X562" s="30" t="s">
        <v>23</v>
      </c>
      <c r="Y562" s="30" t="s">
        <v>24</v>
      </c>
      <c r="Z562" s="30" t="s">
        <v>25</v>
      </c>
      <c r="AA562" s="30" t="s">
        <v>26</v>
      </c>
      <c r="AB562" s="30" t="s">
        <v>24</v>
      </c>
      <c r="AC562" s="27"/>
      <c r="AD562" s="31" t="s">
        <v>25</v>
      </c>
      <c r="AE562" s="32" t="str">
        <f t="shared" si="42"/>
        <v>✓ OK</v>
      </c>
      <c r="AF562" s="33" t="s">
        <v>27</v>
      </c>
      <c r="AG562" s="33" t="s">
        <v>23</v>
      </c>
      <c r="AH562" s="33" t="s">
        <v>24</v>
      </c>
      <c r="AI562" s="33" t="s">
        <v>25</v>
      </c>
      <c r="AJ562" s="33" t="s">
        <v>26</v>
      </c>
      <c r="AK562" s="33" t="s">
        <v>24</v>
      </c>
      <c r="AL562" s="27"/>
      <c r="AM562" s="34" t="s">
        <v>25</v>
      </c>
      <c r="AN562" s="35" t="str">
        <f t="shared" si="43"/>
        <v>✓ OK</v>
      </c>
      <c r="AO562" s="36"/>
      <c r="AP562" s="36"/>
      <c r="AQ562" s="36"/>
      <c r="AR562" s="36"/>
      <c r="AS562" s="36"/>
      <c r="AT562" s="36"/>
      <c r="AU562" s="27"/>
      <c r="AV562" s="37"/>
      <c r="AW562" s="38" t="str">
        <f t="shared" si="44"/>
        <v/>
      </c>
    </row>
    <row r="563" spans="1:49" ht="18" customHeight="1" x14ac:dyDescent="0.3">
      <c r="A563" s="23">
        <v>559</v>
      </c>
      <c r="B563" s="24" t="s">
        <v>2966</v>
      </c>
      <c r="C563" s="25" t="s">
        <v>2967</v>
      </c>
      <c r="D563" s="23" t="s">
        <v>2819</v>
      </c>
      <c r="E563" s="43">
        <v>46126</v>
      </c>
      <c r="F563" s="26" t="s">
        <v>23</v>
      </c>
      <c r="G563" s="26" t="s">
        <v>24</v>
      </c>
      <c r="H563" s="26" t="s">
        <v>25</v>
      </c>
      <c r="I563" s="26" t="s">
        <v>26</v>
      </c>
      <c r="J563" s="26" t="s">
        <v>24</v>
      </c>
      <c r="K563" s="27"/>
      <c r="L563" s="28" t="s">
        <v>25</v>
      </c>
      <c r="M563" s="29" t="str">
        <f t="shared" si="40"/>
        <v>✓ OK</v>
      </c>
      <c r="N563" s="43">
        <v>46193</v>
      </c>
      <c r="O563" s="26" t="s">
        <v>23</v>
      </c>
      <c r="P563" s="26" t="s">
        <v>24</v>
      </c>
      <c r="Q563" s="26" t="s">
        <v>25</v>
      </c>
      <c r="R563" s="26" t="s">
        <v>26</v>
      </c>
      <c r="S563" s="26" t="s">
        <v>24</v>
      </c>
      <c r="T563" s="27"/>
      <c r="U563" s="28" t="s">
        <v>25</v>
      </c>
      <c r="V563" s="29" t="str">
        <f t="shared" si="41"/>
        <v>✓ OK</v>
      </c>
      <c r="W563" s="45">
        <v>46248</v>
      </c>
      <c r="X563" s="30" t="s">
        <v>23</v>
      </c>
      <c r="Y563" s="30" t="s">
        <v>24</v>
      </c>
      <c r="Z563" s="30" t="s">
        <v>25</v>
      </c>
      <c r="AA563" s="30" t="s">
        <v>26</v>
      </c>
      <c r="AB563" s="30" t="s">
        <v>24</v>
      </c>
      <c r="AC563" s="27"/>
      <c r="AD563" s="31" t="s">
        <v>25</v>
      </c>
      <c r="AE563" s="32" t="str">
        <f t="shared" si="42"/>
        <v>✓ OK</v>
      </c>
      <c r="AF563" s="33" t="s">
        <v>27</v>
      </c>
      <c r="AG563" s="33" t="s">
        <v>23</v>
      </c>
      <c r="AH563" s="33" t="s">
        <v>24</v>
      </c>
      <c r="AI563" s="33" t="s">
        <v>25</v>
      </c>
      <c r="AJ563" s="33" t="s">
        <v>26</v>
      </c>
      <c r="AK563" s="33" t="s">
        <v>24</v>
      </c>
      <c r="AL563" s="27"/>
      <c r="AM563" s="34" t="s">
        <v>25</v>
      </c>
      <c r="AN563" s="35" t="str">
        <f t="shared" si="43"/>
        <v>✓ OK</v>
      </c>
      <c r="AO563" s="36"/>
      <c r="AP563" s="36"/>
      <c r="AQ563" s="36"/>
      <c r="AR563" s="36"/>
      <c r="AS563" s="36"/>
      <c r="AT563" s="36"/>
      <c r="AU563" s="27"/>
      <c r="AV563" s="37"/>
      <c r="AW563" s="38" t="str">
        <f t="shared" si="44"/>
        <v/>
      </c>
    </row>
    <row r="564" spans="1:49" ht="18" customHeight="1" x14ac:dyDescent="0.3">
      <c r="A564" s="39">
        <v>560</v>
      </c>
      <c r="B564" s="40" t="s">
        <v>2968</v>
      </c>
      <c r="C564" s="41" t="s">
        <v>2969</v>
      </c>
      <c r="D564" s="39" t="s">
        <v>2819</v>
      </c>
      <c r="E564" s="43">
        <v>46126</v>
      </c>
      <c r="F564" s="26" t="s">
        <v>23</v>
      </c>
      <c r="G564" s="26" t="s">
        <v>24</v>
      </c>
      <c r="H564" s="26" t="s">
        <v>25</v>
      </c>
      <c r="I564" s="26" t="s">
        <v>26</v>
      </c>
      <c r="J564" s="26" t="s">
        <v>24</v>
      </c>
      <c r="K564" s="27"/>
      <c r="L564" s="28" t="s">
        <v>25</v>
      </c>
      <c r="M564" s="29" t="str">
        <f t="shared" si="40"/>
        <v>✓ OK</v>
      </c>
      <c r="N564" s="43">
        <v>46193</v>
      </c>
      <c r="O564" s="26" t="s">
        <v>23</v>
      </c>
      <c r="P564" s="26" t="s">
        <v>24</v>
      </c>
      <c r="Q564" s="26" t="s">
        <v>25</v>
      </c>
      <c r="R564" s="26" t="s">
        <v>26</v>
      </c>
      <c r="S564" s="26" t="s">
        <v>24</v>
      </c>
      <c r="T564" s="27"/>
      <c r="U564" s="28" t="s">
        <v>25</v>
      </c>
      <c r="V564" s="29" t="str">
        <f t="shared" si="41"/>
        <v>✓ OK</v>
      </c>
      <c r="W564" s="45">
        <v>46248</v>
      </c>
      <c r="X564" s="30" t="s">
        <v>23</v>
      </c>
      <c r="Y564" s="30" t="s">
        <v>24</v>
      </c>
      <c r="Z564" s="30" t="s">
        <v>25</v>
      </c>
      <c r="AA564" s="30" t="s">
        <v>26</v>
      </c>
      <c r="AB564" s="30" t="s">
        <v>24</v>
      </c>
      <c r="AC564" s="27"/>
      <c r="AD564" s="31" t="s">
        <v>25</v>
      </c>
      <c r="AE564" s="32" t="str">
        <f t="shared" si="42"/>
        <v>✓ OK</v>
      </c>
      <c r="AF564" s="33" t="s">
        <v>27</v>
      </c>
      <c r="AG564" s="33" t="s">
        <v>23</v>
      </c>
      <c r="AH564" s="33" t="s">
        <v>24</v>
      </c>
      <c r="AI564" s="33" t="s">
        <v>25</v>
      </c>
      <c r="AJ564" s="33" t="s">
        <v>26</v>
      </c>
      <c r="AK564" s="33" t="s">
        <v>24</v>
      </c>
      <c r="AL564" s="27"/>
      <c r="AM564" s="34" t="s">
        <v>25</v>
      </c>
      <c r="AN564" s="35" t="str">
        <f t="shared" si="43"/>
        <v>✓ OK</v>
      </c>
      <c r="AO564" s="36"/>
      <c r="AP564" s="36"/>
      <c r="AQ564" s="36"/>
      <c r="AR564" s="36"/>
      <c r="AS564" s="36"/>
      <c r="AT564" s="36"/>
      <c r="AU564" s="27"/>
      <c r="AV564" s="37"/>
      <c r="AW564" s="38" t="str">
        <f t="shared" si="44"/>
        <v/>
      </c>
    </row>
    <row r="565" spans="1:49" ht="18" customHeight="1" x14ac:dyDescent="0.3">
      <c r="A565" s="23">
        <v>561</v>
      </c>
      <c r="B565" s="24" t="s">
        <v>2970</v>
      </c>
      <c r="C565" s="25" t="s">
        <v>2971</v>
      </c>
      <c r="D565" s="23" t="s">
        <v>2819</v>
      </c>
      <c r="E565" s="43">
        <v>46126</v>
      </c>
      <c r="F565" s="26" t="s">
        <v>23</v>
      </c>
      <c r="G565" s="26" t="s">
        <v>24</v>
      </c>
      <c r="H565" s="26" t="s">
        <v>25</v>
      </c>
      <c r="I565" s="26" t="s">
        <v>26</v>
      </c>
      <c r="J565" s="26" t="s">
        <v>24</v>
      </c>
      <c r="K565" s="27"/>
      <c r="L565" s="28" t="s">
        <v>25</v>
      </c>
      <c r="M565" s="29" t="str">
        <f t="shared" si="40"/>
        <v>✓ OK</v>
      </c>
      <c r="N565" s="43">
        <v>46193</v>
      </c>
      <c r="O565" s="26" t="s">
        <v>23</v>
      </c>
      <c r="P565" s="26" t="s">
        <v>24</v>
      </c>
      <c r="Q565" s="26" t="s">
        <v>25</v>
      </c>
      <c r="R565" s="26" t="s">
        <v>26</v>
      </c>
      <c r="S565" s="26" t="s">
        <v>24</v>
      </c>
      <c r="T565" s="27"/>
      <c r="U565" s="28" t="s">
        <v>25</v>
      </c>
      <c r="V565" s="29" t="str">
        <f t="shared" si="41"/>
        <v>✓ OK</v>
      </c>
      <c r="W565" s="45">
        <v>46248</v>
      </c>
      <c r="X565" s="30" t="s">
        <v>23</v>
      </c>
      <c r="Y565" s="30" t="s">
        <v>24</v>
      </c>
      <c r="Z565" s="30" t="s">
        <v>25</v>
      </c>
      <c r="AA565" s="30" t="s">
        <v>26</v>
      </c>
      <c r="AB565" s="30" t="s">
        <v>24</v>
      </c>
      <c r="AC565" s="27"/>
      <c r="AD565" s="31" t="s">
        <v>25</v>
      </c>
      <c r="AE565" s="32" t="str">
        <f t="shared" si="42"/>
        <v>✓ OK</v>
      </c>
      <c r="AF565" s="33" t="s">
        <v>27</v>
      </c>
      <c r="AG565" s="33" t="s">
        <v>23</v>
      </c>
      <c r="AH565" s="33" t="s">
        <v>24</v>
      </c>
      <c r="AI565" s="33" t="s">
        <v>25</v>
      </c>
      <c r="AJ565" s="33" t="s">
        <v>26</v>
      </c>
      <c r="AK565" s="33" t="s">
        <v>24</v>
      </c>
      <c r="AL565" s="27"/>
      <c r="AM565" s="34" t="s">
        <v>25</v>
      </c>
      <c r="AN565" s="35" t="str">
        <f t="shared" si="43"/>
        <v>✓ OK</v>
      </c>
      <c r="AO565" s="36"/>
      <c r="AP565" s="36"/>
      <c r="AQ565" s="36"/>
      <c r="AR565" s="36"/>
      <c r="AS565" s="36"/>
      <c r="AT565" s="36"/>
      <c r="AU565" s="27"/>
      <c r="AV565" s="37"/>
      <c r="AW565" s="38" t="str">
        <f t="shared" si="44"/>
        <v/>
      </c>
    </row>
    <row r="566" spans="1:49" ht="18" customHeight="1" x14ac:dyDescent="0.3">
      <c r="A566" s="39">
        <v>562</v>
      </c>
      <c r="B566" s="40" t="s">
        <v>2972</v>
      </c>
      <c r="C566" s="41" t="s">
        <v>2973</v>
      </c>
      <c r="D566" s="39" t="s">
        <v>2819</v>
      </c>
      <c r="E566" s="43">
        <v>46126</v>
      </c>
      <c r="F566" s="26" t="s">
        <v>23</v>
      </c>
      <c r="G566" s="26" t="s">
        <v>24</v>
      </c>
      <c r="H566" s="26" t="s">
        <v>25</v>
      </c>
      <c r="I566" s="26" t="s">
        <v>26</v>
      </c>
      <c r="J566" s="26" t="s">
        <v>24</v>
      </c>
      <c r="K566" s="27"/>
      <c r="L566" s="28" t="s">
        <v>25</v>
      </c>
      <c r="M566" s="29" t="str">
        <f t="shared" si="40"/>
        <v>✓ OK</v>
      </c>
      <c r="N566" s="43">
        <v>46193</v>
      </c>
      <c r="O566" s="26" t="s">
        <v>23</v>
      </c>
      <c r="P566" s="26" t="s">
        <v>24</v>
      </c>
      <c r="Q566" s="26" t="s">
        <v>25</v>
      </c>
      <c r="R566" s="26" t="s">
        <v>26</v>
      </c>
      <c r="S566" s="26" t="s">
        <v>24</v>
      </c>
      <c r="T566" s="27"/>
      <c r="U566" s="28" t="s">
        <v>25</v>
      </c>
      <c r="V566" s="29" t="str">
        <f t="shared" si="41"/>
        <v>✓ OK</v>
      </c>
      <c r="W566" s="45">
        <v>46248</v>
      </c>
      <c r="X566" s="30" t="s">
        <v>23</v>
      </c>
      <c r="Y566" s="30" t="s">
        <v>24</v>
      </c>
      <c r="Z566" s="30" t="s">
        <v>25</v>
      </c>
      <c r="AA566" s="30" t="s">
        <v>26</v>
      </c>
      <c r="AB566" s="30" t="s">
        <v>24</v>
      </c>
      <c r="AC566" s="27"/>
      <c r="AD566" s="31" t="s">
        <v>25</v>
      </c>
      <c r="AE566" s="32" t="str">
        <f t="shared" si="42"/>
        <v>✓ OK</v>
      </c>
      <c r="AF566" s="33" t="s">
        <v>27</v>
      </c>
      <c r="AG566" s="33" t="s">
        <v>23</v>
      </c>
      <c r="AH566" s="33" t="s">
        <v>24</v>
      </c>
      <c r="AI566" s="33" t="s">
        <v>25</v>
      </c>
      <c r="AJ566" s="33" t="s">
        <v>26</v>
      </c>
      <c r="AK566" s="33" t="s">
        <v>24</v>
      </c>
      <c r="AL566" s="27"/>
      <c r="AM566" s="34" t="s">
        <v>25</v>
      </c>
      <c r="AN566" s="35" t="str">
        <f t="shared" si="43"/>
        <v>✓ OK</v>
      </c>
      <c r="AO566" s="36"/>
      <c r="AP566" s="36"/>
      <c r="AQ566" s="36"/>
      <c r="AR566" s="36"/>
      <c r="AS566" s="36"/>
      <c r="AT566" s="36"/>
      <c r="AU566" s="27"/>
      <c r="AV566" s="37"/>
      <c r="AW566" s="38" t="str">
        <f t="shared" si="44"/>
        <v/>
      </c>
    </row>
    <row r="567" spans="1:49" ht="18" customHeight="1" x14ac:dyDescent="0.3">
      <c r="A567" s="23">
        <v>563</v>
      </c>
      <c r="B567" s="24" t="s">
        <v>2974</v>
      </c>
      <c r="C567" s="25" t="s">
        <v>2975</v>
      </c>
      <c r="D567" s="23" t="s">
        <v>2819</v>
      </c>
      <c r="E567" s="43">
        <v>46126</v>
      </c>
      <c r="F567" s="26" t="s">
        <v>23</v>
      </c>
      <c r="G567" s="26" t="s">
        <v>24</v>
      </c>
      <c r="H567" s="26" t="s">
        <v>25</v>
      </c>
      <c r="I567" s="26" t="s">
        <v>26</v>
      </c>
      <c r="J567" s="26" t="s">
        <v>24</v>
      </c>
      <c r="K567" s="27"/>
      <c r="L567" s="28" t="s">
        <v>25</v>
      </c>
      <c r="M567" s="29" t="str">
        <f t="shared" si="40"/>
        <v>✓ OK</v>
      </c>
      <c r="N567" s="43">
        <v>46193</v>
      </c>
      <c r="O567" s="26" t="s">
        <v>23</v>
      </c>
      <c r="P567" s="26" t="s">
        <v>24</v>
      </c>
      <c r="Q567" s="26" t="s">
        <v>25</v>
      </c>
      <c r="R567" s="26" t="s">
        <v>26</v>
      </c>
      <c r="S567" s="26" t="s">
        <v>24</v>
      </c>
      <c r="T567" s="27"/>
      <c r="U567" s="28" t="s">
        <v>25</v>
      </c>
      <c r="V567" s="29" t="str">
        <f t="shared" si="41"/>
        <v>✓ OK</v>
      </c>
      <c r="W567" s="45">
        <v>46248</v>
      </c>
      <c r="X567" s="30" t="s">
        <v>23</v>
      </c>
      <c r="Y567" s="30" t="s">
        <v>24</v>
      </c>
      <c r="Z567" s="30" t="s">
        <v>25</v>
      </c>
      <c r="AA567" s="30" t="s">
        <v>26</v>
      </c>
      <c r="AB567" s="30" t="s">
        <v>24</v>
      </c>
      <c r="AC567" s="27"/>
      <c r="AD567" s="31" t="s">
        <v>25</v>
      </c>
      <c r="AE567" s="32" t="str">
        <f t="shared" si="42"/>
        <v>✓ OK</v>
      </c>
      <c r="AF567" s="33" t="s">
        <v>27</v>
      </c>
      <c r="AG567" s="33" t="s">
        <v>23</v>
      </c>
      <c r="AH567" s="33" t="s">
        <v>24</v>
      </c>
      <c r="AI567" s="33" t="s">
        <v>25</v>
      </c>
      <c r="AJ567" s="33" t="s">
        <v>26</v>
      </c>
      <c r="AK567" s="33" t="s">
        <v>24</v>
      </c>
      <c r="AL567" s="27"/>
      <c r="AM567" s="34" t="s">
        <v>25</v>
      </c>
      <c r="AN567" s="35" t="str">
        <f t="shared" si="43"/>
        <v>✓ OK</v>
      </c>
      <c r="AO567" s="36"/>
      <c r="AP567" s="36"/>
      <c r="AQ567" s="36"/>
      <c r="AR567" s="36"/>
      <c r="AS567" s="36"/>
      <c r="AT567" s="36"/>
      <c r="AU567" s="27"/>
      <c r="AV567" s="37"/>
      <c r="AW567" s="38" t="str">
        <f t="shared" si="44"/>
        <v/>
      </c>
    </row>
    <row r="568" spans="1:49" ht="18" customHeight="1" x14ac:dyDescent="0.3">
      <c r="A568" s="39">
        <v>564</v>
      </c>
      <c r="B568" s="40" t="s">
        <v>2976</v>
      </c>
      <c r="C568" s="41" t="s">
        <v>2977</v>
      </c>
      <c r="D568" s="39" t="s">
        <v>2819</v>
      </c>
      <c r="E568" s="43">
        <v>46126</v>
      </c>
      <c r="F568" s="26" t="s">
        <v>23</v>
      </c>
      <c r="G568" s="26" t="s">
        <v>24</v>
      </c>
      <c r="H568" s="26" t="s">
        <v>25</v>
      </c>
      <c r="I568" s="26" t="s">
        <v>26</v>
      </c>
      <c r="J568" s="26" t="s">
        <v>24</v>
      </c>
      <c r="K568" s="27"/>
      <c r="L568" s="28" t="s">
        <v>25</v>
      </c>
      <c r="M568" s="29" t="str">
        <f t="shared" si="40"/>
        <v>✓ OK</v>
      </c>
      <c r="N568" s="43">
        <v>46193</v>
      </c>
      <c r="O568" s="26" t="s">
        <v>23</v>
      </c>
      <c r="P568" s="26" t="s">
        <v>24</v>
      </c>
      <c r="Q568" s="26" t="s">
        <v>25</v>
      </c>
      <c r="R568" s="26" t="s">
        <v>26</v>
      </c>
      <c r="S568" s="26" t="s">
        <v>24</v>
      </c>
      <c r="T568" s="27"/>
      <c r="U568" s="28" t="s">
        <v>25</v>
      </c>
      <c r="V568" s="29" t="str">
        <f t="shared" si="41"/>
        <v>✓ OK</v>
      </c>
      <c r="W568" s="45">
        <v>46248</v>
      </c>
      <c r="X568" s="30" t="s">
        <v>23</v>
      </c>
      <c r="Y568" s="30" t="s">
        <v>24</v>
      </c>
      <c r="Z568" s="30" t="s">
        <v>25</v>
      </c>
      <c r="AA568" s="30" t="s">
        <v>26</v>
      </c>
      <c r="AB568" s="30" t="s">
        <v>24</v>
      </c>
      <c r="AC568" s="27"/>
      <c r="AD568" s="31" t="s">
        <v>25</v>
      </c>
      <c r="AE568" s="32" t="str">
        <f t="shared" si="42"/>
        <v>✓ OK</v>
      </c>
      <c r="AF568" s="33" t="s">
        <v>27</v>
      </c>
      <c r="AG568" s="33" t="s">
        <v>23</v>
      </c>
      <c r="AH568" s="33" t="s">
        <v>24</v>
      </c>
      <c r="AI568" s="33" t="s">
        <v>25</v>
      </c>
      <c r="AJ568" s="33" t="s">
        <v>26</v>
      </c>
      <c r="AK568" s="33" t="s">
        <v>24</v>
      </c>
      <c r="AL568" s="27"/>
      <c r="AM568" s="34" t="s">
        <v>25</v>
      </c>
      <c r="AN568" s="35" t="str">
        <f t="shared" si="43"/>
        <v>✓ OK</v>
      </c>
      <c r="AO568" s="36"/>
      <c r="AP568" s="36"/>
      <c r="AQ568" s="36"/>
      <c r="AR568" s="36"/>
      <c r="AS568" s="36"/>
      <c r="AT568" s="36"/>
      <c r="AU568" s="27"/>
      <c r="AV568" s="37"/>
      <c r="AW568" s="38" t="str">
        <f t="shared" si="44"/>
        <v/>
      </c>
    </row>
    <row r="569" spans="1:49" ht="18" customHeight="1" x14ac:dyDescent="0.3">
      <c r="A569" s="23">
        <v>565</v>
      </c>
      <c r="B569" s="24" t="s">
        <v>2978</v>
      </c>
      <c r="C569" s="25" t="s">
        <v>2979</v>
      </c>
      <c r="D569" s="23" t="s">
        <v>2819</v>
      </c>
      <c r="E569" s="43">
        <v>46126</v>
      </c>
      <c r="F569" s="26" t="s">
        <v>23</v>
      </c>
      <c r="G569" s="26" t="s">
        <v>24</v>
      </c>
      <c r="H569" s="26" t="s">
        <v>25</v>
      </c>
      <c r="I569" s="26" t="s">
        <v>26</v>
      </c>
      <c r="J569" s="26" t="s">
        <v>24</v>
      </c>
      <c r="K569" s="27"/>
      <c r="L569" s="28" t="s">
        <v>25</v>
      </c>
      <c r="M569" s="29" t="str">
        <f t="shared" si="40"/>
        <v>✓ OK</v>
      </c>
      <c r="N569" s="43">
        <v>46193</v>
      </c>
      <c r="O569" s="26" t="s">
        <v>23</v>
      </c>
      <c r="P569" s="26" t="s">
        <v>24</v>
      </c>
      <c r="Q569" s="26" t="s">
        <v>25</v>
      </c>
      <c r="R569" s="26" t="s">
        <v>26</v>
      </c>
      <c r="S569" s="26" t="s">
        <v>24</v>
      </c>
      <c r="T569" s="27"/>
      <c r="U569" s="28" t="s">
        <v>25</v>
      </c>
      <c r="V569" s="29" t="str">
        <f t="shared" si="41"/>
        <v>✓ OK</v>
      </c>
      <c r="W569" s="45">
        <v>46248</v>
      </c>
      <c r="X569" s="30" t="s">
        <v>23</v>
      </c>
      <c r="Y569" s="30" t="s">
        <v>24</v>
      </c>
      <c r="Z569" s="30" t="s">
        <v>25</v>
      </c>
      <c r="AA569" s="30" t="s">
        <v>26</v>
      </c>
      <c r="AB569" s="30" t="s">
        <v>24</v>
      </c>
      <c r="AC569" s="27"/>
      <c r="AD569" s="31" t="s">
        <v>25</v>
      </c>
      <c r="AE569" s="32" t="str">
        <f t="shared" si="42"/>
        <v>✓ OK</v>
      </c>
      <c r="AF569" s="33" t="s">
        <v>27</v>
      </c>
      <c r="AG569" s="33" t="s">
        <v>23</v>
      </c>
      <c r="AH569" s="33" t="s">
        <v>24</v>
      </c>
      <c r="AI569" s="33" t="s">
        <v>25</v>
      </c>
      <c r="AJ569" s="33" t="s">
        <v>26</v>
      </c>
      <c r="AK569" s="33" t="s">
        <v>24</v>
      </c>
      <c r="AL569" s="27"/>
      <c r="AM569" s="34" t="s">
        <v>25</v>
      </c>
      <c r="AN569" s="35" t="str">
        <f t="shared" si="43"/>
        <v>✓ OK</v>
      </c>
      <c r="AO569" s="36"/>
      <c r="AP569" s="36"/>
      <c r="AQ569" s="36"/>
      <c r="AR569" s="36"/>
      <c r="AS569" s="36"/>
      <c r="AT569" s="36"/>
      <c r="AU569" s="27"/>
      <c r="AV569" s="37"/>
      <c r="AW569" s="38" t="str">
        <f t="shared" si="44"/>
        <v/>
      </c>
    </row>
    <row r="570" spans="1:49" ht="18" customHeight="1" x14ac:dyDescent="0.3">
      <c r="A570" s="39">
        <v>566</v>
      </c>
      <c r="B570" s="40" t="s">
        <v>2980</v>
      </c>
      <c r="C570" s="41" t="s">
        <v>2981</v>
      </c>
      <c r="D570" s="39" t="s">
        <v>2819</v>
      </c>
      <c r="E570" s="43">
        <v>46126</v>
      </c>
      <c r="F570" s="26" t="s">
        <v>23</v>
      </c>
      <c r="G570" s="26" t="s">
        <v>24</v>
      </c>
      <c r="H570" s="26" t="s">
        <v>25</v>
      </c>
      <c r="I570" s="26" t="s">
        <v>26</v>
      </c>
      <c r="J570" s="26" t="s">
        <v>24</v>
      </c>
      <c r="K570" s="27"/>
      <c r="L570" s="28" t="s">
        <v>25</v>
      </c>
      <c r="M570" s="29" t="str">
        <f t="shared" si="40"/>
        <v>✓ OK</v>
      </c>
      <c r="N570" s="43">
        <v>46193</v>
      </c>
      <c r="O570" s="26" t="s">
        <v>23</v>
      </c>
      <c r="P570" s="26" t="s">
        <v>24</v>
      </c>
      <c r="Q570" s="26" t="s">
        <v>25</v>
      </c>
      <c r="R570" s="26" t="s">
        <v>26</v>
      </c>
      <c r="S570" s="26" t="s">
        <v>24</v>
      </c>
      <c r="T570" s="27"/>
      <c r="U570" s="28" t="s">
        <v>25</v>
      </c>
      <c r="V570" s="29" t="str">
        <f t="shared" si="41"/>
        <v>✓ OK</v>
      </c>
      <c r="W570" s="45">
        <v>46248</v>
      </c>
      <c r="X570" s="30" t="s">
        <v>23</v>
      </c>
      <c r="Y570" s="30" t="s">
        <v>24</v>
      </c>
      <c r="Z570" s="30" t="s">
        <v>25</v>
      </c>
      <c r="AA570" s="30" t="s">
        <v>26</v>
      </c>
      <c r="AB570" s="30" t="s">
        <v>24</v>
      </c>
      <c r="AC570" s="27"/>
      <c r="AD570" s="31" t="s">
        <v>25</v>
      </c>
      <c r="AE570" s="32" t="str">
        <f t="shared" si="42"/>
        <v>✓ OK</v>
      </c>
      <c r="AF570" s="33" t="s">
        <v>27</v>
      </c>
      <c r="AG570" s="33" t="s">
        <v>23</v>
      </c>
      <c r="AH570" s="33" t="s">
        <v>24</v>
      </c>
      <c r="AI570" s="33" t="s">
        <v>25</v>
      </c>
      <c r="AJ570" s="33" t="s">
        <v>26</v>
      </c>
      <c r="AK570" s="33" t="s">
        <v>24</v>
      </c>
      <c r="AL570" s="27"/>
      <c r="AM570" s="34" t="s">
        <v>25</v>
      </c>
      <c r="AN570" s="35" t="str">
        <f t="shared" si="43"/>
        <v>✓ OK</v>
      </c>
      <c r="AO570" s="36"/>
      <c r="AP570" s="36"/>
      <c r="AQ570" s="36"/>
      <c r="AR570" s="36"/>
      <c r="AS570" s="36"/>
      <c r="AT570" s="36"/>
      <c r="AU570" s="27"/>
      <c r="AV570" s="37"/>
      <c r="AW570" s="38" t="str">
        <f t="shared" si="44"/>
        <v/>
      </c>
    </row>
    <row r="571" spans="1:49" ht="18" customHeight="1" x14ac:dyDescent="0.3">
      <c r="A571" s="23">
        <v>567</v>
      </c>
      <c r="B571" s="24" t="s">
        <v>2982</v>
      </c>
      <c r="C571" s="25" t="s">
        <v>2983</v>
      </c>
      <c r="D571" s="23" t="s">
        <v>2819</v>
      </c>
      <c r="E571" s="43">
        <v>46126</v>
      </c>
      <c r="F571" s="26" t="s">
        <v>23</v>
      </c>
      <c r="G571" s="26" t="s">
        <v>24</v>
      </c>
      <c r="H571" s="26" t="s">
        <v>25</v>
      </c>
      <c r="I571" s="26" t="s">
        <v>26</v>
      </c>
      <c r="J571" s="26" t="s">
        <v>24</v>
      </c>
      <c r="K571" s="27"/>
      <c r="L571" s="28" t="s">
        <v>25</v>
      </c>
      <c r="M571" s="29" t="str">
        <f t="shared" si="40"/>
        <v>✓ OK</v>
      </c>
      <c r="N571" s="43">
        <v>46193</v>
      </c>
      <c r="O571" s="26" t="s">
        <v>23</v>
      </c>
      <c r="P571" s="26" t="s">
        <v>24</v>
      </c>
      <c r="Q571" s="26" t="s">
        <v>25</v>
      </c>
      <c r="R571" s="26" t="s">
        <v>26</v>
      </c>
      <c r="S571" s="26" t="s">
        <v>24</v>
      </c>
      <c r="T571" s="27"/>
      <c r="U571" s="28" t="s">
        <v>25</v>
      </c>
      <c r="V571" s="29" t="str">
        <f t="shared" si="41"/>
        <v>✓ OK</v>
      </c>
      <c r="W571" s="45">
        <v>46248</v>
      </c>
      <c r="X571" s="30" t="s">
        <v>23</v>
      </c>
      <c r="Y571" s="30" t="s">
        <v>24</v>
      </c>
      <c r="Z571" s="30" t="s">
        <v>25</v>
      </c>
      <c r="AA571" s="30" t="s">
        <v>26</v>
      </c>
      <c r="AB571" s="30" t="s">
        <v>24</v>
      </c>
      <c r="AC571" s="27"/>
      <c r="AD571" s="31" t="s">
        <v>25</v>
      </c>
      <c r="AE571" s="32" t="str">
        <f t="shared" si="42"/>
        <v>✓ OK</v>
      </c>
      <c r="AF571" s="33" t="s">
        <v>27</v>
      </c>
      <c r="AG571" s="33" t="s">
        <v>23</v>
      </c>
      <c r="AH571" s="33" t="s">
        <v>24</v>
      </c>
      <c r="AI571" s="33" t="s">
        <v>25</v>
      </c>
      <c r="AJ571" s="33" t="s">
        <v>26</v>
      </c>
      <c r="AK571" s="33" t="s">
        <v>24</v>
      </c>
      <c r="AL571" s="27"/>
      <c r="AM571" s="34" t="s">
        <v>25</v>
      </c>
      <c r="AN571" s="35" t="str">
        <f t="shared" si="43"/>
        <v>✓ OK</v>
      </c>
      <c r="AO571" s="36"/>
      <c r="AP571" s="36"/>
      <c r="AQ571" s="36"/>
      <c r="AR571" s="36"/>
      <c r="AS571" s="36"/>
      <c r="AT571" s="36"/>
      <c r="AU571" s="27"/>
      <c r="AV571" s="37"/>
      <c r="AW571" s="38" t="str">
        <f t="shared" si="44"/>
        <v/>
      </c>
    </row>
    <row r="572" spans="1:49" ht="18" customHeight="1" x14ac:dyDescent="0.3">
      <c r="A572" s="39">
        <v>568</v>
      </c>
      <c r="B572" s="40" t="s">
        <v>2984</v>
      </c>
      <c r="C572" s="41" t="s">
        <v>2985</v>
      </c>
      <c r="D572" s="39" t="s">
        <v>2819</v>
      </c>
      <c r="E572" s="43">
        <v>46126</v>
      </c>
      <c r="F572" s="26" t="s">
        <v>23</v>
      </c>
      <c r="G572" s="26" t="s">
        <v>24</v>
      </c>
      <c r="H572" s="26" t="s">
        <v>25</v>
      </c>
      <c r="I572" s="26" t="s">
        <v>26</v>
      </c>
      <c r="J572" s="26" t="s">
        <v>24</v>
      </c>
      <c r="K572" s="27"/>
      <c r="L572" s="28" t="s">
        <v>25</v>
      </c>
      <c r="M572" s="29" t="str">
        <f t="shared" si="40"/>
        <v>✓ OK</v>
      </c>
      <c r="N572" s="43">
        <v>46193</v>
      </c>
      <c r="O572" s="26" t="s">
        <v>23</v>
      </c>
      <c r="P572" s="26" t="s">
        <v>24</v>
      </c>
      <c r="Q572" s="26" t="s">
        <v>25</v>
      </c>
      <c r="R572" s="26" t="s">
        <v>26</v>
      </c>
      <c r="S572" s="26" t="s">
        <v>24</v>
      </c>
      <c r="T572" s="27"/>
      <c r="U572" s="28" t="s">
        <v>25</v>
      </c>
      <c r="V572" s="29" t="str">
        <f t="shared" si="41"/>
        <v>✓ OK</v>
      </c>
      <c r="W572" s="45">
        <v>46248</v>
      </c>
      <c r="X572" s="30" t="s">
        <v>23</v>
      </c>
      <c r="Y572" s="30" t="s">
        <v>24</v>
      </c>
      <c r="Z572" s="30" t="s">
        <v>25</v>
      </c>
      <c r="AA572" s="30" t="s">
        <v>26</v>
      </c>
      <c r="AB572" s="30" t="s">
        <v>24</v>
      </c>
      <c r="AC572" s="27"/>
      <c r="AD572" s="31" t="s">
        <v>25</v>
      </c>
      <c r="AE572" s="32" t="str">
        <f t="shared" si="42"/>
        <v>✓ OK</v>
      </c>
      <c r="AF572" s="33" t="s">
        <v>27</v>
      </c>
      <c r="AG572" s="33" t="s">
        <v>23</v>
      </c>
      <c r="AH572" s="33" t="s">
        <v>24</v>
      </c>
      <c r="AI572" s="33" t="s">
        <v>25</v>
      </c>
      <c r="AJ572" s="33" t="s">
        <v>26</v>
      </c>
      <c r="AK572" s="33" t="s">
        <v>24</v>
      </c>
      <c r="AL572" s="27"/>
      <c r="AM572" s="34" t="s">
        <v>25</v>
      </c>
      <c r="AN572" s="35" t="str">
        <f t="shared" si="43"/>
        <v>✓ OK</v>
      </c>
      <c r="AO572" s="36"/>
      <c r="AP572" s="36"/>
      <c r="AQ572" s="36"/>
      <c r="AR572" s="36"/>
      <c r="AS572" s="36"/>
      <c r="AT572" s="36"/>
      <c r="AU572" s="27"/>
      <c r="AV572" s="37"/>
      <c r="AW572" s="38" t="str">
        <f t="shared" si="44"/>
        <v/>
      </c>
    </row>
    <row r="573" spans="1:49" ht="18" customHeight="1" x14ac:dyDescent="0.3">
      <c r="A573" s="23">
        <v>569</v>
      </c>
      <c r="B573" s="24" t="s">
        <v>2986</v>
      </c>
      <c r="C573" s="25" t="s">
        <v>2987</v>
      </c>
      <c r="D573" s="23" t="s">
        <v>2819</v>
      </c>
      <c r="E573" s="43">
        <v>46126</v>
      </c>
      <c r="F573" s="26" t="s">
        <v>23</v>
      </c>
      <c r="G573" s="26" t="s">
        <v>24</v>
      </c>
      <c r="H573" s="26" t="s">
        <v>25</v>
      </c>
      <c r="I573" s="26" t="s">
        <v>26</v>
      </c>
      <c r="J573" s="26" t="s">
        <v>24</v>
      </c>
      <c r="K573" s="27"/>
      <c r="L573" s="28" t="s">
        <v>25</v>
      </c>
      <c r="M573" s="29" t="str">
        <f t="shared" si="40"/>
        <v>✓ OK</v>
      </c>
      <c r="N573" s="43">
        <v>46193</v>
      </c>
      <c r="O573" s="26" t="s">
        <v>23</v>
      </c>
      <c r="P573" s="26" t="s">
        <v>24</v>
      </c>
      <c r="Q573" s="26" t="s">
        <v>25</v>
      </c>
      <c r="R573" s="26" t="s">
        <v>26</v>
      </c>
      <c r="S573" s="26" t="s">
        <v>24</v>
      </c>
      <c r="T573" s="27"/>
      <c r="U573" s="28" t="s">
        <v>25</v>
      </c>
      <c r="V573" s="29" t="str">
        <f t="shared" si="41"/>
        <v>✓ OK</v>
      </c>
      <c r="W573" s="45">
        <v>46248</v>
      </c>
      <c r="X573" s="30" t="s">
        <v>23</v>
      </c>
      <c r="Y573" s="30" t="s">
        <v>24</v>
      </c>
      <c r="Z573" s="30" t="s">
        <v>25</v>
      </c>
      <c r="AA573" s="30" t="s">
        <v>26</v>
      </c>
      <c r="AB573" s="30" t="s">
        <v>24</v>
      </c>
      <c r="AC573" s="27"/>
      <c r="AD573" s="31" t="s">
        <v>25</v>
      </c>
      <c r="AE573" s="32" t="str">
        <f t="shared" si="42"/>
        <v>✓ OK</v>
      </c>
      <c r="AF573" s="33" t="s">
        <v>27</v>
      </c>
      <c r="AG573" s="33" t="s">
        <v>23</v>
      </c>
      <c r="AH573" s="33" t="s">
        <v>24</v>
      </c>
      <c r="AI573" s="33" t="s">
        <v>25</v>
      </c>
      <c r="AJ573" s="33" t="s">
        <v>26</v>
      </c>
      <c r="AK573" s="33" t="s">
        <v>24</v>
      </c>
      <c r="AL573" s="27"/>
      <c r="AM573" s="34" t="s">
        <v>25</v>
      </c>
      <c r="AN573" s="35" t="str">
        <f t="shared" si="43"/>
        <v>✓ OK</v>
      </c>
      <c r="AO573" s="36"/>
      <c r="AP573" s="36"/>
      <c r="AQ573" s="36"/>
      <c r="AR573" s="36"/>
      <c r="AS573" s="36"/>
      <c r="AT573" s="36"/>
      <c r="AU573" s="27"/>
      <c r="AV573" s="37"/>
      <c r="AW573" s="38" t="str">
        <f t="shared" si="44"/>
        <v/>
      </c>
    </row>
    <row r="574" spans="1:49" ht="18" customHeight="1" x14ac:dyDescent="0.3">
      <c r="A574" s="39">
        <v>570</v>
      </c>
      <c r="B574" s="40" t="s">
        <v>2988</v>
      </c>
      <c r="C574" s="41" t="s">
        <v>2989</v>
      </c>
      <c r="D574" s="39" t="s">
        <v>2819</v>
      </c>
      <c r="E574" s="43">
        <v>46126</v>
      </c>
      <c r="F574" s="26" t="s">
        <v>23</v>
      </c>
      <c r="G574" s="26" t="s">
        <v>24</v>
      </c>
      <c r="H574" s="26" t="s">
        <v>25</v>
      </c>
      <c r="I574" s="26" t="s">
        <v>26</v>
      </c>
      <c r="J574" s="26" t="s">
        <v>24</v>
      </c>
      <c r="K574" s="27"/>
      <c r="L574" s="28" t="s">
        <v>25</v>
      </c>
      <c r="M574" s="29" t="str">
        <f t="shared" si="40"/>
        <v>✓ OK</v>
      </c>
      <c r="N574" s="43">
        <v>46193</v>
      </c>
      <c r="O574" s="26" t="s">
        <v>23</v>
      </c>
      <c r="P574" s="26" t="s">
        <v>24</v>
      </c>
      <c r="Q574" s="26" t="s">
        <v>25</v>
      </c>
      <c r="R574" s="26" t="s">
        <v>26</v>
      </c>
      <c r="S574" s="26" t="s">
        <v>24</v>
      </c>
      <c r="T574" s="27"/>
      <c r="U574" s="28" t="s">
        <v>25</v>
      </c>
      <c r="V574" s="29" t="str">
        <f t="shared" si="41"/>
        <v>✓ OK</v>
      </c>
      <c r="W574" s="45">
        <v>46248</v>
      </c>
      <c r="X574" s="30" t="s">
        <v>23</v>
      </c>
      <c r="Y574" s="30" t="s">
        <v>24</v>
      </c>
      <c r="Z574" s="30" t="s">
        <v>25</v>
      </c>
      <c r="AA574" s="30" t="s">
        <v>26</v>
      </c>
      <c r="AB574" s="30" t="s">
        <v>24</v>
      </c>
      <c r="AC574" s="27"/>
      <c r="AD574" s="31" t="s">
        <v>25</v>
      </c>
      <c r="AE574" s="32" t="str">
        <f t="shared" si="42"/>
        <v>✓ OK</v>
      </c>
      <c r="AF574" s="33" t="s">
        <v>27</v>
      </c>
      <c r="AG574" s="33" t="s">
        <v>23</v>
      </c>
      <c r="AH574" s="33" t="s">
        <v>24</v>
      </c>
      <c r="AI574" s="33" t="s">
        <v>25</v>
      </c>
      <c r="AJ574" s="33" t="s">
        <v>26</v>
      </c>
      <c r="AK574" s="33" t="s">
        <v>24</v>
      </c>
      <c r="AL574" s="27"/>
      <c r="AM574" s="34" t="s">
        <v>25</v>
      </c>
      <c r="AN574" s="35" t="str">
        <f t="shared" si="43"/>
        <v>✓ OK</v>
      </c>
      <c r="AO574" s="36"/>
      <c r="AP574" s="36"/>
      <c r="AQ574" s="36"/>
      <c r="AR574" s="36"/>
      <c r="AS574" s="36"/>
      <c r="AT574" s="36"/>
      <c r="AU574" s="27"/>
      <c r="AV574" s="37"/>
      <c r="AW574" s="38" t="str">
        <f t="shared" si="44"/>
        <v/>
      </c>
    </row>
    <row r="575" spans="1:49" ht="18" customHeight="1" x14ac:dyDescent="0.3">
      <c r="A575" s="23">
        <v>571</v>
      </c>
      <c r="B575" s="24" t="s">
        <v>2990</v>
      </c>
      <c r="C575" s="25" t="s">
        <v>2991</v>
      </c>
      <c r="D575" s="23" t="s">
        <v>2819</v>
      </c>
      <c r="E575" s="43">
        <v>46126</v>
      </c>
      <c r="F575" s="26" t="s">
        <v>23</v>
      </c>
      <c r="G575" s="26" t="s">
        <v>24</v>
      </c>
      <c r="H575" s="26" t="s">
        <v>25</v>
      </c>
      <c r="I575" s="26" t="s">
        <v>26</v>
      </c>
      <c r="J575" s="26" t="s">
        <v>24</v>
      </c>
      <c r="K575" s="27"/>
      <c r="L575" s="28" t="s">
        <v>25</v>
      </c>
      <c r="M575" s="29" t="str">
        <f t="shared" si="40"/>
        <v>✓ OK</v>
      </c>
      <c r="N575" s="43">
        <v>46193</v>
      </c>
      <c r="O575" s="26" t="s">
        <v>23</v>
      </c>
      <c r="P575" s="26" t="s">
        <v>24</v>
      </c>
      <c r="Q575" s="26" t="s">
        <v>25</v>
      </c>
      <c r="R575" s="26" t="s">
        <v>26</v>
      </c>
      <c r="S575" s="26" t="s">
        <v>24</v>
      </c>
      <c r="T575" s="27"/>
      <c r="U575" s="28" t="s">
        <v>25</v>
      </c>
      <c r="V575" s="29" t="str">
        <f t="shared" si="41"/>
        <v>✓ OK</v>
      </c>
      <c r="W575" s="45">
        <v>46248</v>
      </c>
      <c r="X575" s="30" t="s">
        <v>23</v>
      </c>
      <c r="Y575" s="30" t="s">
        <v>24</v>
      </c>
      <c r="Z575" s="30" t="s">
        <v>25</v>
      </c>
      <c r="AA575" s="30" t="s">
        <v>26</v>
      </c>
      <c r="AB575" s="30" t="s">
        <v>24</v>
      </c>
      <c r="AC575" s="27"/>
      <c r="AD575" s="31" t="s">
        <v>25</v>
      </c>
      <c r="AE575" s="32" t="str">
        <f t="shared" si="42"/>
        <v>✓ OK</v>
      </c>
      <c r="AF575" s="33" t="s">
        <v>27</v>
      </c>
      <c r="AG575" s="33" t="s">
        <v>23</v>
      </c>
      <c r="AH575" s="33" t="s">
        <v>24</v>
      </c>
      <c r="AI575" s="33" t="s">
        <v>25</v>
      </c>
      <c r="AJ575" s="33" t="s">
        <v>26</v>
      </c>
      <c r="AK575" s="33" t="s">
        <v>24</v>
      </c>
      <c r="AL575" s="27"/>
      <c r="AM575" s="34" t="s">
        <v>25</v>
      </c>
      <c r="AN575" s="35" t="str">
        <f t="shared" si="43"/>
        <v>✓ OK</v>
      </c>
      <c r="AO575" s="36"/>
      <c r="AP575" s="36"/>
      <c r="AQ575" s="36"/>
      <c r="AR575" s="36"/>
      <c r="AS575" s="36"/>
      <c r="AT575" s="36"/>
      <c r="AU575" s="27"/>
      <c r="AV575" s="37"/>
      <c r="AW575" s="38" t="str">
        <f t="shared" si="44"/>
        <v/>
      </c>
    </row>
    <row r="576" spans="1:49" ht="18" customHeight="1" x14ac:dyDescent="0.3">
      <c r="A576" s="39">
        <v>572</v>
      </c>
      <c r="B576" s="40" t="s">
        <v>2992</v>
      </c>
      <c r="C576" s="41" t="s">
        <v>2993</v>
      </c>
      <c r="D576" s="39" t="s">
        <v>2819</v>
      </c>
      <c r="E576" s="43">
        <v>46126</v>
      </c>
      <c r="F576" s="26" t="s">
        <v>23</v>
      </c>
      <c r="G576" s="26" t="s">
        <v>24</v>
      </c>
      <c r="H576" s="26" t="s">
        <v>25</v>
      </c>
      <c r="I576" s="26" t="s">
        <v>26</v>
      </c>
      <c r="J576" s="26" t="s">
        <v>24</v>
      </c>
      <c r="K576" s="27"/>
      <c r="L576" s="28" t="s">
        <v>25</v>
      </c>
      <c r="M576" s="29" t="str">
        <f t="shared" si="40"/>
        <v>✓ OK</v>
      </c>
      <c r="N576" s="43">
        <v>46193</v>
      </c>
      <c r="O576" s="26" t="s">
        <v>23</v>
      </c>
      <c r="P576" s="26" t="s">
        <v>24</v>
      </c>
      <c r="Q576" s="26" t="s">
        <v>25</v>
      </c>
      <c r="R576" s="26" t="s">
        <v>26</v>
      </c>
      <c r="S576" s="26" t="s">
        <v>24</v>
      </c>
      <c r="T576" s="27"/>
      <c r="U576" s="28" t="s">
        <v>25</v>
      </c>
      <c r="V576" s="29" t="str">
        <f t="shared" si="41"/>
        <v>✓ OK</v>
      </c>
      <c r="W576" s="45">
        <v>46248</v>
      </c>
      <c r="X576" s="30" t="s">
        <v>23</v>
      </c>
      <c r="Y576" s="30" t="s">
        <v>24</v>
      </c>
      <c r="Z576" s="30" t="s">
        <v>25</v>
      </c>
      <c r="AA576" s="30" t="s">
        <v>26</v>
      </c>
      <c r="AB576" s="30" t="s">
        <v>24</v>
      </c>
      <c r="AC576" s="27"/>
      <c r="AD576" s="31" t="s">
        <v>25</v>
      </c>
      <c r="AE576" s="32" t="str">
        <f t="shared" si="42"/>
        <v>✓ OK</v>
      </c>
      <c r="AF576" s="33" t="s">
        <v>27</v>
      </c>
      <c r="AG576" s="33" t="s">
        <v>23</v>
      </c>
      <c r="AH576" s="33" t="s">
        <v>24</v>
      </c>
      <c r="AI576" s="33" t="s">
        <v>25</v>
      </c>
      <c r="AJ576" s="33" t="s">
        <v>26</v>
      </c>
      <c r="AK576" s="33" t="s">
        <v>24</v>
      </c>
      <c r="AL576" s="27"/>
      <c r="AM576" s="34" t="s">
        <v>25</v>
      </c>
      <c r="AN576" s="35" t="str">
        <f t="shared" si="43"/>
        <v>✓ OK</v>
      </c>
      <c r="AO576" s="36"/>
      <c r="AP576" s="36"/>
      <c r="AQ576" s="36"/>
      <c r="AR576" s="36"/>
      <c r="AS576" s="36"/>
      <c r="AT576" s="36"/>
      <c r="AU576" s="27"/>
      <c r="AV576" s="37"/>
      <c r="AW576" s="38" t="str">
        <f t="shared" si="44"/>
        <v/>
      </c>
    </row>
    <row r="577" spans="1:49" ht="18" customHeight="1" x14ac:dyDescent="0.3">
      <c r="A577" s="23">
        <v>573</v>
      </c>
      <c r="B577" s="24" t="s">
        <v>2994</v>
      </c>
      <c r="C577" s="25" t="s">
        <v>2995</v>
      </c>
      <c r="D577" s="23" t="s">
        <v>2819</v>
      </c>
      <c r="E577" s="43">
        <v>46126</v>
      </c>
      <c r="F577" s="26" t="s">
        <v>23</v>
      </c>
      <c r="G577" s="26" t="s">
        <v>24</v>
      </c>
      <c r="H577" s="26" t="s">
        <v>25</v>
      </c>
      <c r="I577" s="26" t="s">
        <v>26</v>
      </c>
      <c r="J577" s="26" t="s">
        <v>24</v>
      </c>
      <c r="K577" s="27"/>
      <c r="L577" s="28" t="s">
        <v>25</v>
      </c>
      <c r="M577" s="29" t="str">
        <f t="shared" si="40"/>
        <v>✓ OK</v>
      </c>
      <c r="N577" s="43">
        <v>46193</v>
      </c>
      <c r="O577" s="26" t="s">
        <v>23</v>
      </c>
      <c r="P577" s="26" t="s">
        <v>24</v>
      </c>
      <c r="Q577" s="26" t="s">
        <v>25</v>
      </c>
      <c r="R577" s="26" t="s">
        <v>26</v>
      </c>
      <c r="S577" s="26" t="s">
        <v>24</v>
      </c>
      <c r="T577" s="27"/>
      <c r="U577" s="28" t="s">
        <v>25</v>
      </c>
      <c r="V577" s="29" t="str">
        <f t="shared" si="41"/>
        <v>✓ OK</v>
      </c>
      <c r="W577" s="45">
        <v>46248</v>
      </c>
      <c r="X577" s="30" t="s">
        <v>23</v>
      </c>
      <c r="Y577" s="30" t="s">
        <v>24</v>
      </c>
      <c r="Z577" s="30" t="s">
        <v>25</v>
      </c>
      <c r="AA577" s="30" t="s">
        <v>26</v>
      </c>
      <c r="AB577" s="30" t="s">
        <v>24</v>
      </c>
      <c r="AC577" s="27"/>
      <c r="AD577" s="31" t="s">
        <v>25</v>
      </c>
      <c r="AE577" s="32" t="str">
        <f t="shared" si="42"/>
        <v>✓ OK</v>
      </c>
      <c r="AF577" s="33" t="s">
        <v>27</v>
      </c>
      <c r="AG577" s="33" t="s">
        <v>23</v>
      </c>
      <c r="AH577" s="33" t="s">
        <v>24</v>
      </c>
      <c r="AI577" s="33" t="s">
        <v>25</v>
      </c>
      <c r="AJ577" s="33" t="s">
        <v>26</v>
      </c>
      <c r="AK577" s="33" t="s">
        <v>24</v>
      </c>
      <c r="AL577" s="27"/>
      <c r="AM577" s="34" t="s">
        <v>25</v>
      </c>
      <c r="AN577" s="35" t="str">
        <f t="shared" si="43"/>
        <v>✓ OK</v>
      </c>
      <c r="AO577" s="36"/>
      <c r="AP577" s="36"/>
      <c r="AQ577" s="36"/>
      <c r="AR577" s="36"/>
      <c r="AS577" s="36"/>
      <c r="AT577" s="36"/>
      <c r="AU577" s="27"/>
      <c r="AV577" s="37"/>
      <c r="AW577" s="38" t="str">
        <f t="shared" si="44"/>
        <v/>
      </c>
    </row>
    <row r="578" spans="1:49" ht="18" customHeight="1" x14ac:dyDescent="0.3">
      <c r="A578" s="39">
        <v>574</v>
      </c>
      <c r="B578" s="40" t="s">
        <v>2996</v>
      </c>
      <c r="C578" s="41" t="s">
        <v>2997</v>
      </c>
      <c r="D578" s="39" t="s">
        <v>2819</v>
      </c>
      <c r="E578" s="43">
        <v>46126</v>
      </c>
      <c r="F578" s="26" t="s">
        <v>23</v>
      </c>
      <c r="G578" s="26" t="s">
        <v>24</v>
      </c>
      <c r="H578" s="26" t="s">
        <v>25</v>
      </c>
      <c r="I578" s="26" t="s">
        <v>26</v>
      </c>
      <c r="J578" s="26" t="s">
        <v>24</v>
      </c>
      <c r="K578" s="27"/>
      <c r="L578" s="28" t="s">
        <v>25</v>
      </c>
      <c r="M578" s="29" t="str">
        <f t="shared" si="40"/>
        <v>✓ OK</v>
      </c>
      <c r="N578" s="43">
        <v>46193</v>
      </c>
      <c r="O578" s="26" t="s">
        <v>23</v>
      </c>
      <c r="P578" s="26" t="s">
        <v>24</v>
      </c>
      <c r="Q578" s="26" t="s">
        <v>25</v>
      </c>
      <c r="R578" s="26" t="s">
        <v>26</v>
      </c>
      <c r="S578" s="26" t="s">
        <v>24</v>
      </c>
      <c r="T578" s="27"/>
      <c r="U578" s="28" t="s">
        <v>25</v>
      </c>
      <c r="V578" s="29" t="str">
        <f t="shared" si="41"/>
        <v>✓ OK</v>
      </c>
      <c r="W578" s="45">
        <v>46248</v>
      </c>
      <c r="X578" s="30" t="s">
        <v>23</v>
      </c>
      <c r="Y578" s="30" t="s">
        <v>24</v>
      </c>
      <c r="Z578" s="30" t="s">
        <v>25</v>
      </c>
      <c r="AA578" s="30" t="s">
        <v>26</v>
      </c>
      <c r="AB578" s="30" t="s">
        <v>24</v>
      </c>
      <c r="AC578" s="27"/>
      <c r="AD578" s="31" t="s">
        <v>25</v>
      </c>
      <c r="AE578" s="32" t="str">
        <f t="shared" si="42"/>
        <v>✓ OK</v>
      </c>
      <c r="AF578" s="33" t="s">
        <v>27</v>
      </c>
      <c r="AG578" s="33" t="s">
        <v>23</v>
      </c>
      <c r="AH578" s="33" t="s">
        <v>24</v>
      </c>
      <c r="AI578" s="33" t="s">
        <v>25</v>
      </c>
      <c r="AJ578" s="33" t="s">
        <v>26</v>
      </c>
      <c r="AK578" s="33" t="s">
        <v>24</v>
      </c>
      <c r="AL578" s="27"/>
      <c r="AM578" s="34" t="s">
        <v>25</v>
      </c>
      <c r="AN578" s="35" t="str">
        <f t="shared" si="43"/>
        <v>✓ OK</v>
      </c>
      <c r="AO578" s="36"/>
      <c r="AP578" s="36"/>
      <c r="AQ578" s="36"/>
      <c r="AR578" s="36"/>
      <c r="AS578" s="36"/>
      <c r="AT578" s="36"/>
      <c r="AU578" s="27"/>
      <c r="AV578" s="37"/>
      <c r="AW578" s="38" t="str">
        <f t="shared" si="44"/>
        <v/>
      </c>
    </row>
    <row r="579" spans="1:49" ht="18" customHeight="1" x14ac:dyDescent="0.3">
      <c r="A579" s="23">
        <v>575</v>
      </c>
      <c r="B579" s="24" t="s">
        <v>2998</v>
      </c>
      <c r="C579" s="25" t="s">
        <v>2999</v>
      </c>
      <c r="D579" s="23" t="s">
        <v>2819</v>
      </c>
      <c r="E579" s="43">
        <v>46126</v>
      </c>
      <c r="F579" s="26" t="s">
        <v>23</v>
      </c>
      <c r="G579" s="26" t="s">
        <v>24</v>
      </c>
      <c r="H579" s="26" t="s">
        <v>25</v>
      </c>
      <c r="I579" s="26" t="s">
        <v>26</v>
      </c>
      <c r="J579" s="26" t="s">
        <v>24</v>
      </c>
      <c r="K579" s="27"/>
      <c r="L579" s="28" t="s">
        <v>25</v>
      </c>
      <c r="M579" s="29" t="str">
        <f t="shared" si="40"/>
        <v>✓ OK</v>
      </c>
      <c r="N579" s="43">
        <v>46193</v>
      </c>
      <c r="O579" s="26" t="s">
        <v>23</v>
      </c>
      <c r="P579" s="26" t="s">
        <v>24</v>
      </c>
      <c r="Q579" s="26" t="s">
        <v>25</v>
      </c>
      <c r="R579" s="26" t="s">
        <v>26</v>
      </c>
      <c r="S579" s="26" t="s">
        <v>24</v>
      </c>
      <c r="T579" s="27"/>
      <c r="U579" s="28" t="s">
        <v>25</v>
      </c>
      <c r="V579" s="29" t="str">
        <f t="shared" si="41"/>
        <v>✓ OK</v>
      </c>
      <c r="W579" s="45">
        <v>46248</v>
      </c>
      <c r="X579" s="30" t="s">
        <v>23</v>
      </c>
      <c r="Y579" s="30" t="s">
        <v>24</v>
      </c>
      <c r="Z579" s="30" t="s">
        <v>25</v>
      </c>
      <c r="AA579" s="30" t="s">
        <v>26</v>
      </c>
      <c r="AB579" s="30" t="s">
        <v>24</v>
      </c>
      <c r="AC579" s="27"/>
      <c r="AD579" s="31" t="s">
        <v>25</v>
      </c>
      <c r="AE579" s="32" t="str">
        <f t="shared" si="42"/>
        <v>✓ OK</v>
      </c>
      <c r="AF579" s="33" t="s">
        <v>27</v>
      </c>
      <c r="AG579" s="33" t="s">
        <v>23</v>
      </c>
      <c r="AH579" s="33" t="s">
        <v>24</v>
      </c>
      <c r="AI579" s="33" t="s">
        <v>25</v>
      </c>
      <c r="AJ579" s="33" t="s">
        <v>26</v>
      </c>
      <c r="AK579" s="33" t="s">
        <v>24</v>
      </c>
      <c r="AL579" s="27"/>
      <c r="AM579" s="34" t="s">
        <v>25</v>
      </c>
      <c r="AN579" s="35" t="str">
        <f t="shared" si="43"/>
        <v>✓ OK</v>
      </c>
      <c r="AO579" s="36"/>
      <c r="AP579" s="36"/>
      <c r="AQ579" s="36"/>
      <c r="AR579" s="36"/>
      <c r="AS579" s="36"/>
      <c r="AT579" s="36"/>
      <c r="AU579" s="27"/>
      <c r="AV579" s="37"/>
      <c r="AW579" s="38" t="str">
        <f t="shared" si="44"/>
        <v/>
      </c>
    </row>
    <row r="580" spans="1:49" ht="18" customHeight="1" x14ac:dyDescent="0.3">
      <c r="A580" s="39">
        <v>576</v>
      </c>
      <c r="B580" s="40" t="s">
        <v>3000</v>
      </c>
      <c r="C580" s="41" t="s">
        <v>3001</v>
      </c>
      <c r="D580" s="39" t="s">
        <v>2819</v>
      </c>
      <c r="E580" s="43">
        <v>46126</v>
      </c>
      <c r="F580" s="26" t="s">
        <v>23</v>
      </c>
      <c r="G580" s="26" t="s">
        <v>24</v>
      </c>
      <c r="H580" s="26" t="s">
        <v>25</v>
      </c>
      <c r="I580" s="26" t="s">
        <v>26</v>
      </c>
      <c r="J580" s="26" t="s">
        <v>24</v>
      </c>
      <c r="K580" s="27"/>
      <c r="L580" s="28" t="s">
        <v>25</v>
      </c>
      <c r="M580" s="29" t="str">
        <f t="shared" si="40"/>
        <v>✓ OK</v>
      </c>
      <c r="N580" s="43">
        <v>46193</v>
      </c>
      <c r="O580" s="26" t="s">
        <v>23</v>
      </c>
      <c r="P580" s="26" t="s">
        <v>24</v>
      </c>
      <c r="Q580" s="26" t="s">
        <v>25</v>
      </c>
      <c r="R580" s="26" t="s">
        <v>26</v>
      </c>
      <c r="S580" s="26" t="s">
        <v>24</v>
      </c>
      <c r="T580" s="27"/>
      <c r="U580" s="28" t="s">
        <v>25</v>
      </c>
      <c r="V580" s="29" t="str">
        <f t="shared" si="41"/>
        <v>✓ OK</v>
      </c>
      <c r="W580" s="45">
        <v>46248</v>
      </c>
      <c r="X580" s="30" t="s">
        <v>23</v>
      </c>
      <c r="Y580" s="30" t="s">
        <v>24</v>
      </c>
      <c r="Z580" s="30" t="s">
        <v>25</v>
      </c>
      <c r="AA580" s="30" t="s">
        <v>26</v>
      </c>
      <c r="AB580" s="30" t="s">
        <v>24</v>
      </c>
      <c r="AC580" s="27"/>
      <c r="AD580" s="31" t="s">
        <v>25</v>
      </c>
      <c r="AE580" s="32" t="str">
        <f t="shared" si="42"/>
        <v>✓ OK</v>
      </c>
      <c r="AF580" s="33" t="s">
        <v>27</v>
      </c>
      <c r="AG580" s="33" t="s">
        <v>23</v>
      </c>
      <c r="AH580" s="33" t="s">
        <v>24</v>
      </c>
      <c r="AI580" s="33" t="s">
        <v>25</v>
      </c>
      <c r="AJ580" s="33" t="s">
        <v>26</v>
      </c>
      <c r="AK580" s="33" t="s">
        <v>24</v>
      </c>
      <c r="AL580" s="27"/>
      <c r="AM580" s="34" t="s">
        <v>25</v>
      </c>
      <c r="AN580" s="35" t="str">
        <f t="shared" si="43"/>
        <v>✓ OK</v>
      </c>
      <c r="AO580" s="36"/>
      <c r="AP580" s="36"/>
      <c r="AQ580" s="36"/>
      <c r="AR580" s="36"/>
      <c r="AS580" s="36"/>
      <c r="AT580" s="36"/>
      <c r="AU580" s="27"/>
      <c r="AV580" s="37"/>
      <c r="AW580" s="38" t="str">
        <f t="shared" si="44"/>
        <v/>
      </c>
    </row>
    <row r="581" spans="1:49" ht="18" customHeight="1" x14ac:dyDescent="0.3">
      <c r="A581" s="23">
        <v>577</v>
      </c>
      <c r="B581" s="24" t="s">
        <v>3002</v>
      </c>
      <c r="C581" s="25" t="s">
        <v>3003</v>
      </c>
      <c r="D581" s="23" t="s">
        <v>2819</v>
      </c>
      <c r="E581" s="43">
        <v>46126</v>
      </c>
      <c r="F581" s="26" t="s">
        <v>23</v>
      </c>
      <c r="G581" s="26" t="s">
        <v>24</v>
      </c>
      <c r="H581" s="26" t="s">
        <v>25</v>
      </c>
      <c r="I581" s="26" t="s">
        <v>26</v>
      </c>
      <c r="J581" s="26" t="s">
        <v>24</v>
      </c>
      <c r="K581" s="27"/>
      <c r="L581" s="28" t="s">
        <v>25</v>
      </c>
      <c r="M581" s="29" t="str">
        <f t="shared" ref="M581:M644" si="45">IF(E581="","",IF(H581="Yes","❌ Disc",IF(G581="No","⚠ Missing",IF(J581="Yes","✓ OK","⚠ Check"))))</f>
        <v>✓ OK</v>
      </c>
      <c r="N581" s="43">
        <v>46193</v>
      </c>
      <c r="O581" s="26" t="s">
        <v>23</v>
      </c>
      <c r="P581" s="26" t="s">
        <v>24</v>
      </c>
      <c r="Q581" s="26" t="s">
        <v>25</v>
      </c>
      <c r="R581" s="26" t="s">
        <v>26</v>
      </c>
      <c r="S581" s="26" t="s">
        <v>24</v>
      </c>
      <c r="T581" s="27"/>
      <c r="U581" s="28" t="s">
        <v>25</v>
      </c>
      <c r="V581" s="29" t="str">
        <f t="shared" ref="V581:V644" si="46">IF(N581="","",IF(Q581="Yes","❌ Disc",IF(P581="No","⚠ Missing",IF(S581="Yes","✓ OK","⚠ Check"))))</f>
        <v>✓ OK</v>
      </c>
      <c r="W581" s="45">
        <v>46248</v>
      </c>
      <c r="X581" s="30" t="s">
        <v>23</v>
      </c>
      <c r="Y581" s="30" t="s">
        <v>24</v>
      </c>
      <c r="Z581" s="30" t="s">
        <v>25</v>
      </c>
      <c r="AA581" s="30" t="s">
        <v>26</v>
      </c>
      <c r="AB581" s="30" t="s">
        <v>24</v>
      </c>
      <c r="AC581" s="27"/>
      <c r="AD581" s="31" t="s">
        <v>25</v>
      </c>
      <c r="AE581" s="32" t="str">
        <f t="shared" ref="AE581:AE644" si="47">IF(W581="","",IF(Z581="Yes","❌ Disc",IF(Y581="No","⚠ Missing",IF(AB581="Yes","✓ OK","⚠ Check"))))</f>
        <v>✓ OK</v>
      </c>
      <c r="AF581" s="33" t="s">
        <v>27</v>
      </c>
      <c r="AG581" s="33" t="s">
        <v>23</v>
      </c>
      <c r="AH581" s="33" t="s">
        <v>24</v>
      </c>
      <c r="AI581" s="33" t="s">
        <v>25</v>
      </c>
      <c r="AJ581" s="33" t="s">
        <v>26</v>
      </c>
      <c r="AK581" s="33" t="s">
        <v>24</v>
      </c>
      <c r="AL581" s="27"/>
      <c r="AM581" s="34" t="s">
        <v>25</v>
      </c>
      <c r="AN581" s="35" t="str">
        <f t="shared" ref="AN581:AN644" si="48">IF(AF581="","",IF(AI581="Yes","❌ Disc",IF(AH581="No","⚠ Missing",IF(AK581="Yes","✓ OK","⚠ Check"))))</f>
        <v>✓ OK</v>
      </c>
      <c r="AO581" s="36"/>
      <c r="AP581" s="36"/>
      <c r="AQ581" s="36"/>
      <c r="AR581" s="36"/>
      <c r="AS581" s="36"/>
      <c r="AT581" s="36"/>
      <c r="AU581" s="27"/>
      <c r="AV581" s="37"/>
      <c r="AW581" s="38" t="str">
        <f t="shared" ref="AW581:AW644" si="49">IF(AO581="","",IF(AR581="Yes","❌ Disc",IF(AQ581="No","⚠ Missing",IF(AT581="Yes","✓ OK","⚠ Check"))))</f>
        <v/>
      </c>
    </row>
    <row r="582" spans="1:49" ht="18" customHeight="1" x14ac:dyDescent="0.3">
      <c r="A582" s="39">
        <v>578</v>
      </c>
      <c r="B582" s="40" t="s">
        <v>3004</v>
      </c>
      <c r="C582" s="41" t="s">
        <v>3005</v>
      </c>
      <c r="D582" s="39" t="s">
        <v>2819</v>
      </c>
      <c r="E582" s="43">
        <v>46126</v>
      </c>
      <c r="F582" s="26" t="s">
        <v>23</v>
      </c>
      <c r="G582" s="26" t="s">
        <v>24</v>
      </c>
      <c r="H582" s="26" t="s">
        <v>25</v>
      </c>
      <c r="I582" s="26" t="s">
        <v>26</v>
      </c>
      <c r="J582" s="26" t="s">
        <v>24</v>
      </c>
      <c r="K582" s="27"/>
      <c r="L582" s="28" t="s">
        <v>25</v>
      </c>
      <c r="M582" s="29" t="str">
        <f t="shared" si="45"/>
        <v>✓ OK</v>
      </c>
      <c r="N582" s="43">
        <v>46193</v>
      </c>
      <c r="O582" s="26" t="s">
        <v>23</v>
      </c>
      <c r="P582" s="26" t="s">
        <v>24</v>
      </c>
      <c r="Q582" s="26" t="s">
        <v>25</v>
      </c>
      <c r="R582" s="26" t="s">
        <v>26</v>
      </c>
      <c r="S582" s="26" t="s">
        <v>24</v>
      </c>
      <c r="T582" s="27"/>
      <c r="U582" s="28" t="s">
        <v>25</v>
      </c>
      <c r="V582" s="29" t="str">
        <f t="shared" si="46"/>
        <v>✓ OK</v>
      </c>
      <c r="W582" s="45">
        <v>46248</v>
      </c>
      <c r="X582" s="30" t="s">
        <v>23</v>
      </c>
      <c r="Y582" s="30" t="s">
        <v>24</v>
      </c>
      <c r="Z582" s="30" t="s">
        <v>25</v>
      </c>
      <c r="AA582" s="30" t="s">
        <v>26</v>
      </c>
      <c r="AB582" s="30" t="s">
        <v>24</v>
      </c>
      <c r="AC582" s="27"/>
      <c r="AD582" s="31" t="s">
        <v>25</v>
      </c>
      <c r="AE582" s="32" t="str">
        <f t="shared" si="47"/>
        <v>✓ OK</v>
      </c>
      <c r="AF582" s="33" t="s">
        <v>27</v>
      </c>
      <c r="AG582" s="33" t="s">
        <v>23</v>
      </c>
      <c r="AH582" s="33" t="s">
        <v>24</v>
      </c>
      <c r="AI582" s="33" t="s">
        <v>25</v>
      </c>
      <c r="AJ582" s="33" t="s">
        <v>26</v>
      </c>
      <c r="AK582" s="33" t="s">
        <v>24</v>
      </c>
      <c r="AL582" s="27"/>
      <c r="AM582" s="34" t="s">
        <v>25</v>
      </c>
      <c r="AN582" s="35" t="str">
        <f t="shared" si="48"/>
        <v>✓ OK</v>
      </c>
      <c r="AO582" s="36"/>
      <c r="AP582" s="36"/>
      <c r="AQ582" s="36"/>
      <c r="AR582" s="36"/>
      <c r="AS582" s="36"/>
      <c r="AT582" s="36"/>
      <c r="AU582" s="27"/>
      <c r="AV582" s="37"/>
      <c r="AW582" s="38" t="str">
        <f t="shared" si="49"/>
        <v/>
      </c>
    </row>
    <row r="583" spans="1:49" ht="18" customHeight="1" x14ac:dyDescent="0.3">
      <c r="A583" s="23">
        <v>579</v>
      </c>
      <c r="B583" s="24" t="s">
        <v>3006</v>
      </c>
      <c r="C583" s="25" t="s">
        <v>3007</v>
      </c>
      <c r="D583" s="23" t="s">
        <v>2819</v>
      </c>
      <c r="E583" s="43">
        <v>46126</v>
      </c>
      <c r="F583" s="26" t="s">
        <v>23</v>
      </c>
      <c r="G583" s="26" t="s">
        <v>24</v>
      </c>
      <c r="H583" s="26" t="s">
        <v>25</v>
      </c>
      <c r="I583" s="26" t="s">
        <v>26</v>
      </c>
      <c r="J583" s="26" t="s">
        <v>24</v>
      </c>
      <c r="K583" s="27"/>
      <c r="L583" s="28" t="s">
        <v>25</v>
      </c>
      <c r="M583" s="29" t="str">
        <f t="shared" si="45"/>
        <v>✓ OK</v>
      </c>
      <c r="N583" s="43">
        <v>46193</v>
      </c>
      <c r="O583" s="26" t="s">
        <v>23</v>
      </c>
      <c r="P583" s="26" t="s">
        <v>24</v>
      </c>
      <c r="Q583" s="26" t="s">
        <v>25</v>
      </c>
      <c r="R583" s="26" t="s">
        <v>26</v>
      </c>
      <c r="S583" s="26" t="s">
        <v>24</v>
      </c>
      <c r="T583" s="27"/>
      <c r="U583" s="28" t="s">
        <v>25</v>
      </c>
      <c r="V583" s="29" t="str">
        <f t="shared" si="46"/>
        <v>✓ OK</v>
      </c>
      <c r="W583" s="45">
        <v>46248</v>
      </c>
      <c r="X583" s="30" t="s">
        <v>23</v>
      </c>
      <c r="Y583" s="30" t="s">
        <v>24</v>
      </c>
      <c r="Z583" s="30" t="s">
        <v>25</v>
      </c>
      <c r="AA583" s="30" t="s">
        <v>26</v>
      </c>
      <c r="AB583" s="30" t="s">
        <v>24</v>
      </c>
      <c r="AC583" s="27"/>
      <c r="AD583" s="31" t="s">
        <v>25</v>
      </c>
      <c r="AE583" s="32" t="str">
        <f t="shared" si="47"/>
        <v>✓ OK</v>
      </c>
      <c r="AF583" s="33" t="s">
        <v>27</v>
      </c>
      <c r="AG583" s="33" t="s">
        <v>23</v>
      </c>
      <c r="AH583" s="33" t="s">
        <v>24</v>
      </c>
      <c r="AI583" s="33" t="s">
        <v>25</v>
      </c>
      <c r="AJ583" s="33" t="s">
        <v>26</v>
      </c>
      <c r="AK583" s="33" t="s">
        <v>24</v>
      </c>
      <c r="AL583" s="27"/>
      <c r="AM583" s="34" t="s">
        <v>25</v>
      </c>
      <c r="AN583" s="35" t="str">
        <f t="shared" si="48"/>
        <v>✓ OK</v>
      </c>
      <c r="AO583" s="36"/>
      <c r="AP583" s="36"/>
      <c r="AQ583" s="36"/>
      <c r="AR583" s="36"/>
      <c r="AS583" s="36"/>
      <c r="AT583" s="36"/>
      <c r="AU583" s="27"/>
      <c r="AV583" s="37"/>
      <c r="AW583" s="38" t="str">
        <f t="shared" si="49"/>
        <v/>
      </c>
    </row>
    <row r="584" spans="1:49" ht="18" customHeight="1" x14ac:dyDescent="0.3">
      <c r="A584" s="39">
        <v>580</v>
      </c>
      <c r="B584" s="40" t="s">
        <v>3008</v>
      </c>
      <c r="C584" s="41" t="s">
        <v>3009</v>
      </c>
      <c r="D584" s="39" t="s">
        <v>2819</v>
      </c>
      <c r="E584" s="43">
        <v>46126</v>
      </c>
      <c r="F584" s="26" t="s">
        <v>23</v>
      </c>
      <c r="G584" s="26" t="s">
        <v>24</v>
      </c>
      <c r="H584" s="26" t="s">
        <v>25</v>
      </c>
      <c r="I584" s="26" t="s">
        <v>26</v>
      </c>
      <c r="J584" s="26" t="s">
        <v>24</v>
      </c>
      <c r="K584" s="27"/>
      <c r="L584" s="28" t="s">
        <v>25</v>
      </c>
      <c r="M584" s="29" t="str">
        <f t="shared" si="45"/>
        <v>✓ OK</v>
      </c>
      <c r="N584" s="43">
        <v>46193</v>
      </c>
      <c r="O584" s="26" t="s">
        <v>23</v>
      </c>
      <c r="P584" s="26" t="s">
        <v>24</v>
      </c>
      <c r="Q584" s="26" t="s">
        <v>25</v>
      </c>
      <c r="R584" s="26" t="s">
        <v>26</v>
      </c>
      <c r="S584" s="26" t="s">
        <v>24</v>
      </c>
      <c r="T584" s="27"/>
      <c r="U584" s="28" t="s">
        <v>25</v>
      </c>
      <c r="V584" s="29" t="str">
        <f t="shared" si="46"/>
        <v>✓ OK</v>
      </c>
      <c r="W584" s="45">
        <v>46248</v>
      </c>
      <c r="X584" s="30" t="s">
        <v>23</v>
      </c>
      <c r="Y584" s="30" t="s">
        <v>24</v>
      </c>
      <c r="Z584" s="30" t="s">
        <v>25</v>
      </c>
      <c r="AA584" s="30" t="s">
        <v>26</v>
      </c>
      <c r="AB584" s="30" t="s">
        <v>24</v>
      </c>
      <c r="AC584" s="27"/>
      <c r="AD584" s="31" t="s">
        <v>25</v>
      </c>
      <c r="AE584" s="32" t="str">
        <f t="shared" si="47"/>
        <v>✓ OK</v>
      </c>
      <c r="AF584" s="33" t="s">
        <v>27</v>
      </c>
      <c r="AG584" s="33" t="s">
        <v>23</v>
      </c>
      <c r="AH584" s="33" t="s">
        <v>24</v>
      </c>
      <c r="AI584" s="33" t="s">
        <v>25</v>
      </c>
      <c r="AJ584" s="33" t="s">
        <v>26</v>
      </c>
      <c r="AK584" s="33" t="s">
        <v>24</v>
      </c>
      <c r="AL584" s="27"/>
      <c r="AM584" s="34" t="s">
        <v>25</v>
      </c>
      <c r="AN584" s="35" t="str">
        <f t="shared" si="48"/>
        <v>✓ OK</v>
      </c>
      <c r="AO584" s="36"/>
      <c r="AP584" s="36"/>
      <c r="AQ584" s="36"/>
      <c r="AR584" s="36"/>
      <c r="AS584" s="36"/>
      <c r="AT584" s="36"/>
      <c r="AU584" s="27"/>
      <c r="AV584" s="37"/>
      <c r="AW584" s="38" t="str">
        <f t="shared" si="49"/>
        <v/>
      </c>
    </row>
    <row r="585" spans="1:49" ht="18" customHeight="1" x14ac:dyDescent="0.3">
      <c r="A585" s="23">
        <v>581</v>
      </c>
      <c r="B585" s="24" t="s">
        <v>3010</v>
      </c>
      <c r="C585" s="25" t="s">
        <v>3011</v>
      </c>
      <c r="D585" s="23" t="s">
        <v>2819</v>
      </c>
      <c r="E585" s="43">
        <v>46126</v>
      </c>
      <c r="F585" s="26" t="s">
        <v>23</v>
      </c>
      <c r="G585" s="26" t="s">
        <v>24</v>
      </c>
      <c r="H585" s="26" t="s">
        <v>25</v>
      </c>
      <c r="I585" s="26" t="s">
        <v>26</v>
      </c>
      <c r="J585" s="26" t="s">
        <v>24</v>
      </c>
      <c r="K585" s="27"/>
      <c r="L585" s="28" t="s">
        <v>25</v>
      </c>
      <c r="M585" s="29" t="str">
        <f t="shared" si="45"/>
        <v>✓ OK</v>
      </c>
      <c r="N585" s="43">
        <v>46193</v>
      </c>
      <c r="O585" s="26" t="s">
        <v>23</v>
      </c>
      <c r="P585" s="26" t="s">
        <v>24</v>
      </c>
      <c r="Q585" s="26" t="s">
        <v>25</v>
      </c>
      <c r="R585" s="26" t="s">
        <v>26</v>
      </c>
      <c r="S585" s="26" t="s">
        <v>24</v>
      </c>
      <c r="T585" s="27"/>
      <c r="U585" s="28" t="s">
        <v>25</v>
      </c>
      <c r="V585" s="29" t="str">
        <f t="shared" si="46"/>
        <v>✓ OK</v>
      </c>
      <c r="W585" s="45">
        <v>46248</v>
      </c>
      <c r="X585" s="30" t="s">
        <v>23</v>
      </c>
      <c r="Y585" s="30" t="s">
        <v>24</v>
      </c>
      <c r="Z585" s="30" t="s">
        <v>25</v>
      </c>
      <c r="AA585" s="30" t="s">
        <v>26</v>
      </c>
      <c r="AB585" s="30" t="s">
        <v>24</v>
      </c>
      <c r="AC585" s="27"/>
      <c r="AD585" s="31" t="s">
        <v>25</v>
      </c>
      <c r="AE585" s="32" t="str">
        <f t="shared" si="47"/>
        <v>✓ OK</v>
      </c>
      <c r="AF585" s="33" t="s">
        <v>27</v>
      </c>
      <c r="AG585" s="33" t="s">
        <v>23</v>
      </c>
      <c r="AH585" s="33" t="s">
        <v>24</v>
      </c>
      <c r="AI585" s="33" t="s">
        <v>25</v>
      </c>
      <c r="AJ585" s="33" t="s">
        <v>26</v>
      </c>
      <c r="AK585" s="33" t="s">
        <v>24</v>
      </c>
      <c r="AL585" s="27"/>
      <c r="AM585" s="34" t="s">
        <v>25</v>
      </c>
      <c r="AN585" s="35" t="str">
        <f t="shared" si="48"/>
        <v>✓ OK</v>
      </c>
      <c r="AO585" s="36"/>
      <c r="AP585" s="36"/>
      <c r="AQ585" s="36"/>
      <c r="AR585" s="36"/>
      <c r="AS585" s="36"/>
      <c r="AT585" s="36"/>
      <c r="AU585" s="27"/>
      <c r="AV585" s="37"/>
      <c r="AW585" s="38" t="str">
        <f t="shared" si="49"/>
        <v/>
      </c>
    </row>
    <row r="586" spans="1:49" ht="18" customHeight="1" x14ac:dyDescent="0.3">
      <c r="A586" s="39">
        <v>582</v>
      </c>
      <c r="B586" s="40" t="s">
        <v>3012</v>
      </c>
      <c r="C586" s="41" t="s">
        <v>3013</v>
      </c>
      <c r="D586" s="39" t="s">
        <v>2819</v>
      </c>
      <c r="E586" s="43">
        <v>46126</v>
      </c>
      <c r="F586" s="26" t="s">
        <v>23</v>
      </c>
      <c r="G586" s="26" t="s">
        <v>24</v>
      </c>
      <c r="H586" s="26" t="s">
        <v>25</v>
      </c>
      <c r="I586" s="26" t="s">
        <v>26</v>
      </c>
      <c r="J586" s="26" t="s">
        <v>24</v>
      </c>
      <c r="K586" s="27"/>
      <c r="L586" s="28" t="s">
        <v>25</v>
      </c>
      <c r="M586" s="29" t="str">
        <f t="shared" si="45"/>
        <v>✓ OK</v>
      </c>
      <c r="N586" s="43">
        <v>46193</v>
      </c>
      <c r="O586" s="26" t="s">
        <v>23</v>
      </c>
      <c r="P586" s="26" t="s">
        <v>24</v>
      </c>
      <c r="Q586" s="26" t="s">
        <v>25</v>
      </c>
      <c r="R586" s="26" t="s">
        <v>26</v>
      </c>
      <c r="S586" s="26" t="s">
        <v>24</v>
      </c>
      <c r="T586" s="27"/>
      <c r="U586" s="28" t="s">
        <v>25</v>
      </c>
      <c r="V586" s="29" t="str">
        <f t="shared" si="46"/>
        <v>✓ OK</v>
      </c>
      <c r="W586" s="45">
        <v>46248</v>
      </c>
      <c r="X586" s="30" t="s">
        <v>23</v>
      </c>
      <c r="Y586" s="30" t="s">
        <v>24</v>
      </c>
      <c r="Z586" s="30" t="s">
        <v>25</v>
      </c>
      <c r="AA586" s="30" t="s">
        <v>26</v>
      </c>
      <c r="AB586" s="30" t="s">
        <v>24</v>
      </c>
      <c r="AC586" s="27"/>
      <c r="AD586" s="31" t="s">
        <v>25</v>
      </c>
      <c r="AE586" s="32" t="str">
        <f t="shared" si="47"/>
        <v>✓ OK</v>
      </c>
      <c r="AF586" s="33" t="s">
        <v>27</v>
      </c>
      <c r="AG586" s="33" t="s">
        <v>23</v>
      </c>
      <c r="AH586" s="33" t="s">
        <v>24</v>
      </c>
      <c r="AI586" s="33" t="s">
        <v>25</v>
      </c>
      <c r="AJ586" s="33" t="s">
        <v>26</v>
      </c>
      <c r="AK586" s="33" t="s">
        <v>24</v>
      </c>
      <c r="AL586" s="27"/>
      <c r="AM586" s="34" t="s">
        <v>25</v>
      </c>
      <c r="AN586" s="35" t="str">
        <f t="shared" si="48"/>
        <v>✓ OK</v>
      </c>
      <c r="AO586" s="36"/>
      <c r="AP586" s="36"/>
      <c r="AQ586" s="36"/>
      <c r="AR586" s="36"/>
      <c r="AS586" s="36"/>
      <c r="AT586" s="36"/>
      <c r="AU586" s="27"/>
      <c r="AV586" s="37"/>
      <c r="AW586" s="38" t="str">
        <f t="shared" si="49"/>
        <v/>
      </c>
    </row>
    <row r="587" spans="1:49" ht="18" customHeight="1" x14ac:dyDescent="0.3">
      <c r="A587" s="23">
        <v>583</v>
      </c>
      <c r="B587" s="24" t="s">
        <v>3014</v>
      </c>
      <c r="C587" s="25" t="s">
        <v>3015</v>
      </c>
      <c r="D587" s="23" t="s">
        <v>2819</v>
      </c>
      <c r="E587" s="43">
        <v>46126</v>
      </c>
      <c r="F587" s="26" t="s">
        <v>23</v>
      </c>
      <c r="G587" s="26" t="s">
        <v>24</v>
      </c>
      <c r="H587" s="26" t="s">
        <v>25</v>
      </c>
      <c r="I587" s="26" t="s">
        <v>26</v>
      </c>
      <c r="J587" s="26" t="s">
        <v>24</v>
      </c>
      <c r="K587" s="27"/>
      <c r="L587" s="28" t="s">
        <v>25</v>
      </c>
      <c r="M587" s="29" t="str">
        <f t="shared" si="45"/>
        <v>✓ OK</v>
      </c>
      <c r="N587" s="43">
        <v>46193</v>
      </c>
      <c r="O587" s="26" t="s">
        <v>23</v>
      </c>
      <c r="P587" s="26" t="s">
        <v>24</v>
      </c>
      <c r="Q587" s="26" t="s">
        <v>25</v>
      </c>
      <c r="R587" s="26" t="s">
        <v>26</v>
      </c>
      <c r="S587" s="26" t="s">
        <v>24</v>
      </c>
      <c r="T587" s="27"/>
      <c r="U587" s="28" t="s">
        <v>25</v>
      </c>
      <c r="V587" s="29" t="str">
        <f t="shared" si="46"/>
        <v>✓ OK</v>
      </c>
      <c r="W587" s="45">
        <v>46248</v>
      </c>
      <c r="X587" s="30" t="s">
        <v>23</v>
      </c>
      <c r="Y587" s="30" t="s">
        <v>24</v>
      </c>
      <c r="Z587" s="30" t="s">
        <v>25</v>
      </c>
      <c r="AA587" s="30" t="s">
        <v>26</v>
      </c>
      <c r="AB587" s="30" t="s">
        <v>24</v>
      </c>
      <c r="AC587" s="27"/>
      <c r="AD587" s="31" t="s">
        <v>25</v>
      </c>
      <c r="AE587" s="32" t="str">
        <f t="shared" si="47"/>
        <v>✓ OK</v>
      </c>
      <c r="AF587" s="33" t="s">
        <v>27</v>
      </c>
      <c r="AG587" s="33" t="s">
        <v>23</v>
      </c>
      <c r="AH587" s="33" t="s">
        <v>24</v>
      </c>
      <c r="AI587" s="33" t="s">
        <v>25</v>
      </c>
      <c r="AJ587" s="33" t="s">
        <v>26</v>
      </c>
      <c r="AK587" s="33" t="s">
        <v>24</v>
      </c>
      <c r="AL587" s="27"/>
      <c r="AM587" s="34" t="s">
        <v>25</v>
      </c>
      <c r="AN587" s="35" t="str">
        <f t="shared" si="48"/>
        <v>✓ OK</v>
      </c>
      <c r="AO587" s="36"/>
      <c r="AP587" s="36"/>
      <c r="AQ587" s="36"/>
      <c r="AR587" s="36"/>
      <c r="AS587" s="36"/>
      <c r="AT587" s="36"/>
      <c r="AU587" s="27"/>
      <c r="AV587" s="37"/>
      <c r="AW587" s="38" t="str">
        <f t="shared" si="49"/>
        <v/>
      </c>
    </row>
    <row r="588" spans="1:49" ht="18" customHeight="1" x14ac:dyDescent="0.3">
      <c r="A588" s="39">
        <v>584</v>
      </c>
      <c r="B588" s="40" t="s">
        <v>3016</v>
      </c>
      <c r="C588" s="41" t="s">
        <v>3017</v>
      </c>
      <c r="D588" s="39" t="s">
        <v>2819</v>
      </c>
      <c r="E588" s="43">
        <v>46126</v>
      </c>
      <c r="F588" s="26" t="s">
        <v>23</v>
      </c>
      <c r="G588" s="26" t="s">
        <v>24</v>
      </c>
      <c r="H588" s="26" t="s">
        <v>25</v>
      </c>
      <c r="I588" s="26" t="s">
        <v>26</v>
      </c>
      <c r="J588" s="26" t="s">
        <v>24</v>
      </c>
      <c r="K588" s="27"/>
      <c r="L588" s="28" t="s">
        <v>25</v>
      </c>
      <c r="M588" s="29" t="str">
        <f t="shared" si="45"/>
        <v>✓ OK</v>
      </c>
      <c r="N588" s="43">
        <v>46193</v>
      </c>
      <c r="O588" s="26" t="s">
        <v>23</v>
      </c>
      <c r="P588" s="26" t="s">
        <v>24</v>
      </c>
      <c r="Q588" s="26" t="s">
        <v>25</v>
      </c>
      <c r="R588" s="26" t="s">
        <v>26</v>
      </c>
      <c r="S588" s="26" t="s">
        <v>24</v>
      </c>
      <c r="T588" s="27"/>
      <c r="U588" s="28" t="s">
        <v>25</v>
      </c>
      <c r="V588" s="29" t="str">
        <f t="shared" si="46"/>
        <v>✓ OK</v>
      </c>
      <c r="W588" s="45">
        <v>46248</v>
      </c>
      <c r="X588" s="30" t="s">
        <v>23</v>
      </c>
      <c r="Y588" s="30" t="s">
        <v>24</v>
      </c>
      <c r="Z588" s="30" t="s">
        <v>25</v>
      </c>
      <c r="AA588" s="30" t="s">
        <v>26</v>
      </c>
      <c r="AB588" s="30" t="s">
        <v>24</v>
      </c>
      <c r="AC588" s="27"/>
      <c r="AD588" s="31" t="s">
        <v>25</v>
      </c>
      <c r="AE588" s="32" t="str">
        <f t="shared" si="47"/>
        <v>✓ OK</v>
      </c>
      <c r="AF588" s="33" t="s">
        <v>27</v>
      </c>
      <c r="AG588" s="33" t="s">
        <v>23</v>
      </c>
      <c r="AH588" s="33" t="s">
        <v>24</v>
      </c>
      <c r="AI588" s="33" t="s">
        <v>25</v>
      </c>
      <c r="AJ588" s="33" t="s">
        <v>26</v>
      </c>
      <c r="AK588" s="33" t="s">
        <v>24</v>
      </c>
      <c r="AL588" s="27"/>
      <c r="AM588" s="34" t="s">
        <v>25</v>
      </c>
      <c r="AN588" s="35" t="str">
        <f t="shared" si="48"/>
        <v>✓ OK</v>
      </c>
      <c r="AO588" s="36"/>
      <c r="AP588" s="36"/>
      <c r="AQ588" s="36"/>
      <c r="AR588" s="36"/>
      <c r="AS588" s="36"/>
      <c r="AT588" s="36"/>
      <c r="AU588" s="27"/>
      <c r="AV588" s="37"/>
      <c r="AW588" s="38" t="str">
        <f t="shared" si="49"/>
        <v/>
      </c>
    </row>
    <row r="589" spans="1:49" ht="18" customHeight="1" x14ac:dyDescent="0.3">
      <c r="A589" s="23">
        <v>585</v>
      </c>
      <c r="B589" s="24" t="s">
        <v>3018</v>
      </c>
      <c r="C589" s="25" t="s">
        <v>3019</v>
      </c>
      <c r="D589" s="23" t="s">
        <v>2819</v>
      </c>
      <c r="E589" s="43">
        <v>46126</v>
      </c>
      <c r="F589" s="26" t="s">
        <v>23</v>
      </c>
      <c r="G589" s="26" t="s">
        <v>24</v>
      </c>
      <c r="H589" s="26" t="s">
        <v>25</v>
      </c>
      <c r="I589" s="26" t="s">
        <v>26</v>
      </c>
      <c r="J589" s="26" t="s">
        <v>24</v>
      </c>
      <c r="K589" s="27"/>
      <c r="L589" s="28" t="s">
        <v>25</v>
      </c>
      <c r="M589" s="29" t="str">
        <f t="shared" si="45"/>
        <v>✓ OK</v>
      </c>
      <c r="N589" s="43">
        <v>46193</v>
      </c>
      <c r="O589" s="26" t="s">
        <v>23</v>
      </c>
      <c r="P589" s="26" t="s">
        <v>24</v>
      </c>
      <c r="Q589" s="26" t="s">
        <v>25</v>
      </c>
      <c r="R589" s="26" t="s">
        <v>26</v>
      </c>
      <c r="S589" s="26" t="s">
        <v>24</v>
      </c>
      <c r="T589" s="27"/>
      <c r="U589" s="28" t="s">
        <v>25</v>
      </c>
      <c r="V589" s="29" t="str">
        <f t="shared" si="46"/>
        <v>✓ OK</v>
      </c>
      <c r="W589" s="45">
        <v>46248</v>
      </c>
      <c r="X589" s="30" t="s">
        <v>23</v>
      </c>
      <c r="Y589" s="30" t="s">
        <v>24</v>
      </c>
      <c r="Z589" s="30" t="s">
        <v>25</v>
      </c>
      <c r="AA589" s="30" t="s">
        <v>26</v>
      </c>
      <c r="AB589" s="30" t="s">
        <v>24</v>
      </c>
      <c r="AC589" s="27"/>
      <c r="AD589" s="31" t="s">
        <v>25</v>
      </c>
      <c r="AE589" s="32" t="str">
        <f t="shared" si="47"/>
        <v>✓ OK</v>
      </c>
      <c r="AF589" s="33" t="s">
        <v>27</v>
      </c>
      <c r="AG589" s="33" t="s">
        <v>23</v>
      </c>
      <c r="AH589" s="33" t="s">
        <v>24</v>
      </c>
      <c r="AI589" s="33" t="s">
        <v>25</v>
      </c>
      <c r="AJ589" s="33" t="s">
        <v>26</v>
      </c>
      <c r="AK589" s="33" t="s">
        <v>24</v>
      </c>
      <c r="AL589" s="27"/>
      <c r="AM589" s="34" t="s">
        <v>25</v>
      </c>
      <c r="AN589" s="35" t="str">
        <f t="shared" si="48"/>
        <v>✓ OK</v>
      </c>
      <c r="AO589" s="36"/>
      <c r="AP589" s="36"/>
      <c r="AQ589" s="36"/>
      <c r="AR589" s="36"/>
      <c r="AS589" s="36"/>
      <c r="AT589" s="36"/>
      <c r="AU589" s="27"/>
      <c r="AV589" s="37"/>
      <c r="AW589" s="38" t="str">
        <f t="shared" si="49"/>
        <v/>
      </c>
    </row>
    <row r="590" spans="1:49" ht="18" customHeight="1" x14ac:dyDescent="0.3">
      <c r="A590" s="39">
        <v>586</v>
      </c>
      <c r="B590" s="40" t="s">
        <v>3020</v>
      </c>
      <c r="C590" s="41" t="s">
        <v>3021</v>
      </c>
      <c r="D590" s="39" t="s">
        <v>2819</v>
      </c>
      <c r="E590" s="43">
        <v>46126</v>
      </c>
      <c r="F590" s="26" t="s">
        <v>23</v>
      </c>
      <c r="G590" s="26" t="s">
        <v>24</v>
      </c>
      <c r="H590" s="26" t="s">
        <v>25</v>
      </c>
      <c r="I590" s="26" t="s">
        <v>26</v>
      </c>
      <c r="J590" s="26" t="s">
        <v>24</v>
      </c>
      <c r="K590" s="27"/>
      <c r="L590" s="28" t="s">
        <v>25</v>
      </c>
      <c r="M590" s="29" t="str">
        <f t="shared" si="45"/>
        <v>✓ OK</v>
      </c>
      <c r="N590" s="43">
        <v>46193</v>
      </c>
      <c r="O590" s="26" t="s">
        <v>23</v>
      </c>
      <c r="P590" s="26" t="s">
        <v>24</v>
      </c>
      <c r="Q590" s="26" t="s">
        <v>25</v>
      </c>
      <c r="R590" s="26" t="s">
        <v>26</v>
      </c>
      <c r="S590" s="26" t="s">
        <v>24</v>
      </c>
      <c r="T590" s="27"/>
      <c r="U590" s="28" t="s">
        <v>25</v>
      </c>
      <c r="V590" s="29" t="str">
        <f t="shared" si="46"/>
        <v>✓ OK</v>
      </c>
      <c r="W590" s="45">
        <v>46248</v>
      </c>
      <c r="X590" s="30" t="s">
        <v>23</v>
      </c>
      <c r="Y590" s="30" t="s">
        <v>24</v>
      </c>
      <c r="Z590" s="30" t="s">
        <v>25</v>
      </c>
      <c r="AA590" s="30" t="s">
        <v>26</v>
      </c>
      <c r="AB590" s="30" t="s">
        <v>24</v>
      </c>
      <c r="AC590" s="27"/>
      <c r="AD590" s="31" t="s">
        <v>25</v>
      </c>
      <c r="AE590" s="32" t="str">
        <f t="shared" si="47"/>
        <v>✓ OK</v>
      </c>
      <c r="AF590" s="33" t="s">
        <v>27</v>
      </c>
      <c r="AG590" s="33" t="s">
        <v>23</v>
      </c>
      <c r="AH590" s="33" t="s">
        <v>24</v>
      </c>
      <c r="AI590" s="33" t="s">
        <v>25</v>
      </c>
      <c r="AJ590" s="33" t="s">
        <v>26</v>
      </c>
      <c r="AK590" s="33" t="s">
        <v>24</v>
      </c>
      <c r="AL590" s="27"/>
      <c r="AM590" s="34" t="s">
        <v>25</v>
      </c>
      <c r="AN590" s="35" t="str">
        <f t="shared" si="48"/>
        <v>✓ OK</v>
      </c>
      <c r="AO590" s="36"/>
      <c r="AP590" s="36"/>
      <c r="AQ590" s="36"/>
      <c r="AR590" s="36"/>
      <c r="AS590" s="36"/>
      <c r="AT590" s="36"/>
      <c r="AU590" s="27"/>
      <c r="AV590" s="37"/>
      <c r="AW590" s="38" t="str">
        <f t="shared" si="49"/>
        <v/>
      </c>
    </row>
    <row r="591" spans="1:49" ht="18" customHeight="1" x14ac:dyDescent="0.3">
      <c r="A591" s="23">
        <v>587</v>
      </c>
      <c r="B591" s="24" t="s">
        <v>3022</v>
      </c>
      <c r="C591" s="25" t="s">
        <v>3023</v>
      </c>
      <c r="D591" s="23" t="s">
        <v>2819</v>
      </c>
      <c r="E591" s="43">
        <v>46126</v>
      </c>
      <c r="F591" s="26" t="s">
        <v>23</v>
      </c>
      <c r="G591" s="26" t="s">
        <v>24</v>
      </c>
      <c r="H591" s="26" t="s">
        <v>25</v>
      </c>
      <c r="I591" s="26" t="s">
        <v>26</v>
      </c>
      <c r="J591" s="26" t="s">
        <v>24</v>
      </c>
      <c r="K591" s="27"/>
      <c r="L591" s="28" t="s">
        <v>25</v>
      </c>
      <c r="M591" s="29" t="str">
        <f t="shared" si="45"/>
        <v>✓ OK</v>
      </c>
      <c r="N591" s="43">
        <v>46193</v>
      </c>
      <c r="O591" s="26" t="s">
        <v>23</v>
      </c>
      <c r="P591" s="26" t="s">
        <v>24</v>
      </c>
      <c r="Q591" s="26" t="s">
        <v>25</v>
      </c>
      <c r="R591" s="26" t="s">
        <v>26</v>
      </c>
      <c r="S591" s="26" t="s">
        <v>24</v>
      </c>
      <c r="T591" s="27"/>
      <c r="U591" s="28" t="s">
        <v>25</v>
      </c>
      <c r="V591" s="29" t="str">
        <f t="shared" si="46"/>
        <v>✓ OK</v>
      </c>
      <c r="W591" s="45">
        <v>46248</v>
      </c>
      <c r="X591" s="30" t="s">
        <v>23</v>
      </c>
      <c r="Y591" s="30" t="s">
        <v>24</v>
      </c>
      <c r="Z591" s="30" t="s">
        <v>25</v>
      </c>
      <c r="AA591" s="30" t="s">
        <v>26</v>
      </c>
      <c r="AB591" s="30" t="s">
        <v>24</v>
      </c>
      <c r="AC591" s="27"/>
      <c r="AD591" s="31" t="s">
        <v>25</v>
      </c>
      <c r="AE591" s="32" t="str">
        <f t="shared" si="47"/>
        <v>✓ OK</v>
      </c>
      <c r="AF591" s="33" t="s">
        <v>27</v>
      </c>
      <c r="AG591" s="33" t="s">
        <v>23</v>
      </c>
      <c r="AH591" s="33" t="s">
        <v>24</v>
      </c>
      <c r="AI591" s="33" t="s">
        <v>25</v>
      </c>
      <c r="AJ591" s="33" t="s">
        <v>26</v>
      </c>
      <c r="AK591" s="33" t="s">
        <v>24</v>
      </c>
      <c r="AL591" s="27"/>
      <c r="AM591" s="34" t="s">
        <v>25</v>
      </c>
      <c r="AN591" s="35" t="str">
        <f t="shared" si="48"/>
        <v>✓ OK</v>
      </c>
      <c r="AO591" s="36"/>
      <c r="AP591" s="36"/>
      <c r="AQ591" s="36"/>
      <c r="AR591" s="36"/>
      <c r="AS591" s="36"/>
      <c r="AT591" s="36"/>
      <c r="AU591" s="27"/>
      <c r="AV591" s="37"/>
      <c r="AW591" s="38" t="str">
        <f t="shared" si="49"/>
        <v/>
      </c>
    </row>
    <row r="592" spans="1:49" ht="18" customHeight="1" x14ac:dyDescent="0.3">
      <c r="A592" s="39">
        <v>588</v>
      </c>
      <c r="B592" s="40" t="s">
        <v>3024</v>
      </c>
      <c r="C592" s="41" t="s">
        <v>3025</v>
      </c>
      <c r="D592" s="39" t="s">
        <v>2819</v>
      </c>
      <c r="E592" s="43">
        <v>46126</v>
      </c>
      <c r="F592" s="26" t="s">
        <v>23</v>
      </c>
      <c r="G592" s="26" t="s">
        <v>24</v>
      </c>
      <c r="H592" s="26" t="s">
        <v>25</v>
      </c>
      <c r="I592" s="26" t="s">
        <v>26</v>
      </c>
      <c r="J592" s="26" t="s">
        <v>24</v>
      </c>
      <c r="K592" s="27"/>
      <c r="L592" s="28" t="s">
        <v>25</v>
      </c>
      <c r="M592" s="29" t="str">
        <f t="shared" si="45"/>
        <v>✓ OK</v>
      </c>
      <c r="N592" s="43">
        <v>46193</v>
      </c>
      <c r="O592" s="26" t="s">
        <v>23</v>
      </c>
      <c r="P592" s="26" t="s">
        <v>24</v>
      </c>
      <c r="Q592" s="26" t="s">
        <v>25</v>
      </c>
      <c r="R592" s="26" t="s">
        <v>26</v>
      </c>
      <c r="S592" s="26" t="s">
        <v>24</v>
      </c>
      <c r="T592" s="27"/>
      <c r="U592" s="28" t="s">
        <v>25</v>
      </c>
      <c r="V592" s="29" t="str">
        <f t="shared" si="46"/>
        <v>✓ OK</v>
      </c>
      <c r="W592" s="45">
        <v>46248</v>
      </c>
      <c r="X592" s="30" t="s">
        <v>23</v>
      </c>
      <c r="Y592" s="30" t="s">
        <v>24</v>
      </c>
      <c r="Z592" s="30" t="s">
        <v>25</v>
      </c>
      <c r="AA592" s="30" t="s">
        <v>26</v>
      </c>
      <c r="AB592" s="30" t="s">
        <v>24</v>
      </c>
      <c r="AC592" s="27"/>
      <c r="AD592" s="31" t="s">
        <v>25</v>
      </c>
      <c r="AE592" s="32" t="str">
        <f t="shared" si="47"/>
        <v>✓ OK</v>
      </c>
      <c r="AF592" s="33" t="s">
        <v>27</v>
      </c>
      <c r="AG592" s="33" t="s">
        <v>23</v>
      </c>
      <c r="AH592" s="33" t="s">
        <v>24</v>
      </c>
      <c r="AI592" s="33" t="s">
        <v>25</v>
      </c>
      <c r="AJ592" s="33" t="s">
        <v>26</v>
      </c>
      <c r="AK592" s="33" t="s">
        <v>24</v>
      </c>
      <c r="AL592" s="27"/>
      <c r="AM592" s="34" t="s">
        <v>25</v>
      </c>
      <c r="AN592" s="35" t="str">
        <f t="shared" si="48"/>
        <v>✓ OK</v>
      </c>
      <c r="AO592" s="36"/>
      <c r="AP592" s="36"/>
      <c r="AQ592" s="36"/>
      <c r="AR592" s="36"/>
      <c r="AS592" s="36"/>
      <c r="AT592" s="36"/>
      <c r="AU592" s="27"/>
      <c r="AV592" s="37"/>
      <c r="AW592" s="38" t="str">
        <f t="shared" si="49"/>
        <v/>
      </c>
    </row>
    <row r="593" spans="1:49" ht="18" customHeight="1" x14ac:dyDescent="0.3">
      <c r="A593" s="23">
        <v>589</v>
      </c>
      <c r="B593" s="24" t="s">
        <v>3026</v>
      </c>
      <c r="C593" s="25" t="s">
        <v>3027</v>
      </c>
      <c r="D593" s="23" t="s">
        <v>2819</v>
      </c>
      <c r="E593" s="43">
        <v>46126</v>
      </c>
      <c r="F593" s="26" t="s">
        <v>23</v>
      </c>
      <c r="G593" s="26" t="s">
        <v>24</v>
      </c>
      <c r="H593" s="26" t="s">
        <v>25</v>
      </c>
      <c r="I593" s="26" t="s">
        <v>26</v>
      </c>
      <c r="J593" s="26" t="s">
        <v>24</v>
      </c>
      <c r="K593" s="27"/>
      <c r="L593" s="28" t="s">
        <v>25</v>
      </c>
      <c r="M593" s="29" t="str">
        <f t="shared" si="45"/>
        <v>✓ OK</v>
      </c>
      <c r="N593" s="43">
        <v>46193</v>
      </c>
      <c r="O593" s="26" t="s">
        <v>23</v>
      </c>
      <c r="P593" s="26" t="s">
        <v>24</v>
      </c>
      <c r="Q593" s="26" t="s">
        <v>25</v>
      </c>
      <c r="R593" s="26" t="s">
        <v>26</v>
      </c>
      <c r="S593" s="26" t="s">
        <v>24</v>
      </c>
      <c r="T593" s="27"/>
      <c r="U593" s="28" t="s">
        <v>25</v>
      </c>
      <c r="V593" s="29" t="str">
        <f t="shared" si="46"/>
        <v>✓ OK</v>
      </c>
      <c r="W593" s="45">
        <v>46248</v>
      </c>
      <c r="X593" s="30" t="s">
        <v>23</v>
      </c>
      <c r="Y593" s="30" t="s">
        <v>24</v>
      </c>
      <c r="Z593" s="30" t="s">
        <v>25</v>
      </c>
      <c r="AA593" s="30" t="s">
        <v>26</v>
      </c>
      <c r="AB593" s="30" t="s">
        <v>24</v>
      </c>
      <c r="AC593" s="27"/>
      <c r="AD593" s="31" t="s">
        <v>25</v>
      </c>
      <c r="AE593" s="32" t="str">
        <f t="shared" si="47"/>
        <v>✓ OK</v>
      </c>
      <c r="AF593" s="33" t="s">
        <v>27</v>
      </c>
      <c r="AG593" s="33" t="s">
        <v>23</v>
      </c>
      <c r="AH593" s="33" t="s">
        <v>24</v>
      </c>
      <c r="AI593" s="33" t="s">
        <v>25</v>
      </c>
      <c r="AJ593" s="33" t="s">
        <v>26</v>
      </c>
      <c r="AK593" s="33" t="s">
        <v>24</v>
      </c>
      <c r="AL593" s="27"/>
      <c r="AM593" s="34" t="s">
        <v>25</v>
      </c>
      <c r="AN593" s="35" t="str">
        <f t="shared" si="48"/>
        <v>✓ OK</v>
      </c>
      <c r="AO593" s="36"/>
      <c r="AP593" s="36"/>
      <c r="AQ593" s="36"/>
      <c r="AR593" s="36"/>
      <c r="AS593" s="36"/>
      <c r="AT593" s="36"/>
      <c r="AU593" s="27"/>
      <c r="AV593" s="37"/>
      <c r="AW593" s="38" t="str">
        <f t="shared" si="49"/>
        <v/>
      </c>
    </row>
    <row r="594" spans="1:49" ht="18" customHeight="1" x14ac:dyDescent="0.3">
      <c r="A594" s="39">
        <v>590</v>
      </c>
      <c r="B594" s="40" t="s">
        <v>3028</v>
      </c>
      <c r="C594" s="41" t="s">
        <v>3029</v>
      </c>
      <c r="D594" s="39" t="s">
        <v>2819</v>
      </c>
      <c r="E594" s="43">
        <v>46126</v>
      </c>
      <c r="F594" s="26" t="s">
        <v>23</v>
      </c>
      <c r="G594" s="26" t="s">
        <v>24</v>
      </c>
      <c r="H594" s="26" t="s">
        <v>25</v>
      </c>
      <c r="I594" s="26" t="s">
        <v>26</v>
      </c>
      <c r="J594" s="26" t="s">
        <v>24</v>
      </c>
      <c r="K594" s="27"/>
      <c r="L594" s="28" t="s">
        <v>25</v>
      </c>
      <c r="M594" s="29" t="str">
        <f t="shared" si="45"/>
        <v>✓ OK</v>
      </c>
      <c r="N594" s="43">
        <v>46193</v>
      </c>
      <c r="O594" s="26" t="s">
        <v>23</v>
      </c>
      <c r="P594" s="26" t="s">
        <v>24</v>
      </c>
      <c r="Q594" s="26" t="s">
        <v>25</v>
      </c>
      <c r="R594" s="26" t="s">
        <v>26</v>
      </c>
      <c r="S594" s="26" t="s">
        <v>24</v>
      </c>
      <c r="T594" s="27"/>
      <c r="U594" s="28" t="s">
        <v>25</v>
      </c>
      <c r="V594" s="29" t="str">
        <f t="shared" si="46"/>
        <v>✓ OK</v>
      </c>
      <c r="W594" s="45">
        <v>46248</v>
      </c>
      <c r="X594" s="30" t="s">
        <v>23</v>
      </c>
      <c r="Y594" s="30" t="s">
        <v>24</v>
      </c>
      <c r="Z594" s="30" t="s">
        <v>25</v>
      </c>
      <c r="AA594" s="30" t="s">
        <v>26</v>
      </c>
      <c r="AB594" s="30" t="s">
        <v>24</v>
      </c>
      <c r="AC594" s="27"/>
      <c r="AD594" s="31" t="s">
        <v>25</v>
      </c>
      <c r="AE594" s="32" t="str">
        <f t="shared" si="47"/>
        <v>✓ OK</v>
      </c>
      <c r="AF594" s="33" t="s">
        <v>27</v>
      </c>
      <c r="AG594" s="33" t="s">
        <v>23</v>
      </c>
      <c r="AH594" s="33" t="s">
        <v>24</v>
      </c>
      <c r="AI594" s="33" t="s">
        <v>25</v>
      </c>
      <c r="AJ594" s="33" t="s">
        <v>26</v>
      </c>
      <c r="AK594" s="33" t="s">
        <v>24</v>
      </c>
      <c r="AL594" s="27"/>
      <c r="AM594" s="34" t="s">
        <v>25</v>
      </c>
      <c r="AN594" s="35" t="str">
        <f t="shared" si="48"/>
        <v>✓ OK</v>
      </c>
      <c r="AO594" s="36"/>
      <c r="AP594" s="36"/>
      <c r="AQ594" s="36"/>
      <c r="AR594" s="36"/>
      <c r="AS594" s="36"/>
      <c r="AT594" s="36"/>
      <c r="AU594" s="27"/>
      <c r="AV594" s="37"/>
      <c r="AW594" s="38" t="str">
        <f t="shared" si="49"/>
        <v/>
      </c>
    </row>
    <row r="595" spans="1:49" ht="18" customHeight="1" x14ac:dyDescent="0.3">
      <c r="A595" s="23">
        <v>591</v>
      </c>
      <c r="B595" s="24" t="s">
        <v>3030</v>
      </c>
      <c r="C595" s="25" t="s">
        <v>3031</v>
      </c>
      <c r="D595" s="23" t="s">
        <v>2819</v>
      </c>
      <c r="E595" s="43">
        <v>46126</v>
      </c>
      <c r="F595" s="26" t="s">
        <v>23</v>
      </c>
      <c r="G595" s="26" t="s">
        <v>24</v>
      </c>
      <c r="H595" s="26" t="s">
        <v>25</v>
      </c>
      <c r="I595" s="26" t="s">
        <v>26</v>
      </c>
      <c r="J595" s="26" t="s">
        <v>24</v>
      </c>
      <c r="K595" s="27"/>
      <c r="L595" s="28" t="s">
        <v>25</v>
      </c>
      <c r="M595" s="29" t="str">
        <f t="shared" si="45"/>
        <v>✓ OK</v>
      </c>
      <c r="N595" s="43">
        <v>46193</v>
      </c>
      <c r="O595" s="26" t="s">
        <v>23</v>
      </c>
      <c r="P595" s="26" t="s">
        <v>24</v>
      </c>
      <c r="Q595" s="26" t="s">
        <v>25</v>
      </c>
      <c r="R595" s="26" t="s">
        <v>26</v>
      </c>
      <c r="S595" s="26" t="s">
        <v>24</v>
      </c>
      <c r="T595" s="27"/>
      <c r="U595" s="28" t="s">
        <v>25</v>
      </c>
      <c r="V595" s="29" t="str">
        <f t="shared" si="46"/>
        <v>✓ OK</v>
      </c>
      <c r="W595" s="45">
        <v>46248</v>
      </c>
      <c r="X595" s="30" t="s">
        <v>23</v>
      </c>
      <c r="Y595" s="30" t="s">
        <v>24</v>
      </c>
      <c r="Z595" s="30" t="s">
        <v>25</v>
      </c>
      <c r="AA595" s="30" t="s">
        <v>26</v>
      </c>
      <c r="AB595" s="30" t="s">
        <v>24</v>
      </c>
      <c r="AC595" s="27"/>
      <c r="AD595" s="31" t="s">
        <v>25</v>
      </c>
      <c r="AE595" s="32" t="str">
        <f t="shared" si="47"/>
        <v>✓ OK</v>
      </c>
      <c r="AF595" s="33" t="s">
        <v>27</v>
      </c>
      <c r="AG595" s="33" t="s">
        <v>23</v>
      </c>
      <c r="AH595" s="33" t="s">
        <v>24</v>
      </c>
      <c r="AI595" s="33" t="s">
        <v>25</v>
      </c>
      <c r="AJ595" s="33" t="s">
        <v>26</v>
      </c>
      <c r="AK595" s="33" t="s">
        <v>24</v>
      </c>
      <c r="AL595" s="27"/>
      <c r="AM595" s="34" t="s">
        <v>25</v>
      </c>
      <c r="AN595" s="35" t="str">
        <f t="shared" si="48"/>
        <v>✓ OK</v>
      </c>
      <c r="AO595" s="36"/>
      <c r="AP595" s="36"/>
      <c r="AQ595" s="36"/>
      <c r="AR595" s="36"/>
      <c r="AS595" s="36"/>
      <c r="AT595" s="36"/>
      <c r="AU595" s="27"/>
      <c r="AV595" s="37"/>
      <c r="AW595" s="38" t="str">
        <f t="shared" si="49"/>
        <v/>
      </c>
    </row>
    <row r="596" spans="1:49" ht="18" customHeight="1" x14ac:dyDescent="0.3">
      <c r="A596" s="39">
        <v>592</v>
      </c>
      <c r="B596" s="40" t="s">
        <v>3032</v>
      </c>
      <c r="C596" s="41" t="s">
        <v>3033</v>
      </c>
      <c r="D596" s="39" t="s">
        <v>2819</v>
      </c>
      <c r="E596" s="43">
        <v>46126</v>
      </c>
      <c r="F596" s="26" t="s">
        <v>23</v>
      </c>
      <c r="G596" s="26" t="s">
        <v>24</v>
      </c>
      <c r="H596" s="26" t="s">
        <v>25</v>
      </c>
      <c r="I596" s="26" t="s">
        <v>26</v>
      </c>
      <c r="J596" s="26" t="s">
        <v>24</v>
      </c>
      <c r="K596" s="27"/>
      <c r="L596" s="28" t="s">
        <v>25</v>
      </c>
      <c r="M596" s="29" t="str">
        <f t="shared" si="45"/>
        <v>✓ OK</v>
      </c>
      <c r="N596" s="43">
        <v>46193</v>
      </c>
      <c r="O596" s="26" t="s">
        <v>23</v>
      </c>
      <c r="P596" s="26" t="s">
        <v>24</v>
      </c>
      <c r="Q596" s="26" t="s">
        <v>25</v>
      </c>
      <c r="R596" s="26" t="s">
        <v>26</v>
      </c>
      <c r="S596" s="26" t="s">
        <v>24</v>
      </c>
      <c r="T596" s="27"/>
      <c r="U596" s="28" t="s">
        <v>25</v>
      </c>
      <c r="V596" s="29" t="str">
        <f t="shared" si="46"/>
        <v>✓ OK</v>
      </c>
      <c r="W596" s="45">
        <v>46248</v>
      </c>
      <c r="X596" s="30" t="s">
        <v>23</v>
      </c>
      <c r="Y596" s="30" t="s">
        <v>24</v>
      </c>
      <c r="Z596" s="30" t="s">
        <v>25</v>
      </c>
      <c r="AA596" s="30" t="s">
        <v>26</v>
      </c>
      <c r="AB596" s="30" t="s">
        <v>24</v>
      </c>
      <c r="AC596" s="27"/>
      <c r="AD596" s="31" t="s">
        <v>25</v>
      </c>
      <c r="AE596" s="32" t="str">
        <f t="shared" si="47"/>
        <v>✓ OK</v>
      </c>
      <c r="AF596" s="33" t="s">
        <v>27</v>
      </c>
      <c r="AG596" s="33" t="s">
        <v>23</v>
      </c>
      <c r="AH596" s="33" t="s">
        <v>24</v>
      </c>
      <c r="AI596" s="33" t="s">
        <v>25</v>
      </c>
      <c r="AJ596" s="33" t="s">
        <v>26</v>
      </c>
      <c r="AK596" s="33" t="s">
        <v>24</v>
      </c>
      <c r="AL596" s="27"/>
      <c r="AM596" s="34" t="s">
        <v>25</v>
      </c>
      <c r="AN596" s="35" t="str">
        <f t="shared" si="48"/>
        <v>✓ OK</v>
      </c>
      <c r="AO596" s="36"/>
      <c r="AP596" s="36"/>
      <c r="AQ596" s="36"/>
      <c r="AR596" s="36"/>
      <c r="AS596" s="36"/>
      <c r="AT596" s="36"/>
      <c r="AU596" s="27"/>
      <c r="AV596" s="37"/>
      <c r="AW596" s="38" t="str">
        <f t="shared" si="49"/>
        <v/>
      </c>
    </row>
    <row r="597" spans="1:49" ht="18" customHeight="1" x14ac:dyDescent="0.3">
      <c r="A597" s="23">
        <v>593</v>
      </c>
      <c r="B597" s="24" t="s">
        <v>3034</v>
      </c>
      <c r="C597" s="25" t="s">
        <v>3035</v>
      </c>
      <c r="D597" s="23" t="s">
        <v>2819</v>
      </c>
      <c r="E597" s="43">
        <v>46126</v>
      </c>
      <c r="F597" s="26" t="s">
        <v>23</v>
      </c>
      <c r="G597" s="26" t="s">
        <v>24</v>
      </c>
      <c r="H597" s="26" t="s">
        <v>25</v>
      </c>
      <c r="I597" s="26" t="s">
        <v>26</v>
      </c>
      <c r="J597" s="26" t="s">
        <v>24</v>
      </c>
      <c r="K597" s="27"/>
      <c r="L597" s="28" t="s">
        <v>25</v>
      </c>
      <c r="M597" s="29" t="str">
        <f t="shared" si="45"/>
        <v>✓ OK</v>
      </c>
      <c r="N597" s="43">
        <v>46193</v>
      </c>
      <c r="O597" s="26" t="s">
        <v>23</v>
      </c>
      <c r="P597" s="26" t="s">
        <v>24</v>
      </c>
      <c r="Q597" s="26" t="s">
        <v>25</v>
      </c>
      <c r="R597" s="26" t="s">
        <v>26</v>
      </c>
      <c r="S597" s="26" t="s">
        <v>24</v>
      </c>
      <c r="T597" s="27"/>
      <c r="U597" s="28" t="s">
        <v>25</v>
      </c>
      <c r="V597" s="29" t="str">
        <f t="shared" si="46"/>
        <v>✓ OK</v>
      </c>
      <c r="W597" s="45">
        <v>46248</v>
      </c>
      <c r="X597" s="30" t="s">
        <v>23</v>
      </c>
      <c r="Y597" s="30" t="s">
        <v>24</v>
      </c>
      <c r="Z597" s="30" t="s">
        <v>25</v>
      </c>
      <c r="AA597" s="30" t="s">
        <v>26</v>
      </c>
      <c r="AB597" s="30" t="s">
        <v>24</v>
      </c>
      <c r="AC597" s="27"/>
      <c r="AD597" s="31" t="s">
        <v>25</v>
      </c>
      <c r="AE597" s="32" t="str">
        <f t="shared" si="47"/>
        <v>✓ OK</v>
      </c>
      <c r="AF597" s="33" t="s">
        <v>27</v>
      </c>
      <c r="AG597" s="33" t="s">
        <v>23</v>
      </c>
      <c r="AH597" s="33" t="s">
        <v>24</v>
      </c>
      <c r="AI597" s="33" t="s">
        <v>25</v>
      </c>
      <c r="AJ597" s="33" t="s">
        <v>26</v>
      </c>
      <c r="AK597" s="33" t="s">
        <v>24</v>
      </c>
      <c r="AL597" s="27"/>
      <c r="AM597" s="34" t="s">
        <v>25</v>
      </c>
      <c r="AN597" s="35" t="str">
        <f t="shared" si="48"/>
        <v>✓ OK</v>
      </c>
      <c r="AO597" s="36"/>
      <c r="AP597" s="36"/>
      <c r="AQ597" s="36"/>
      <c r="AR597" s="36"/>
      <c r="AS597" s="36"/>
      <c r="AT597" s="36"/>
      <c r="AU597" s="27"/>
      <c r="AV597" s="37"/>
      <c r="AW597" s="38" t="str">
        <f t="shared" si="49"/>
        <v/>
      </c>
    </row>
    <row r="598" spans="1:49" ht="18" customHeight="1" x14ac:dyDescent="0.3">
      <c r="A598" s="39">
        <v>594</v>
      </c>
      <c r="B598" s="40" t="s">
        <v>3036</v>
      </c>
      <c r="C598" s="41" t="s">
        <v>3037</v>
      </c>
      <c r="D598" s="39" t="s">
        <v>2819</v>
      </c>
      <c r="E598" s="43">
        <v>46126</v>
      </c>
      <c r="F598" s="26" t="s">
        <v>23</v>
      </c>
      <c r="G598" s="26" t="s">
        <v>24</v>
      </c>
      <c r="H598" s="26" t="s">
        <v>25</v>
      </c>
      <c r="I598" s="26" t="s">
        <v>26</v>
      </c>
      <c r="J598" s="26" t="s">
        <v>24</v>
      </c>
      <c r="K598" s="27"/>
      <c r="L598" s="28" t="s">
        <v>25</v>
      </c>
      <c r="M598" s="29" t="str">
        <f t="shared" si="45"/>
        <v>✓ OK</v>
      </c>
      <c r="N598" s="43">
        <v>46193</v>
      </c>
      <c r="O598" s="26" t="s">
        <v>23</v>
      </c>
      <c r="P598" s="26" t="s">
        <v>24</v>
      </c>
      <c r="Q598" s="26" t="s">
        <v>25</v>
      </c>
      <c r="R598" s="26" t="s">
        <v>26</v>
      </c>
      <c r="S598" s="26" t="s">
        <v>24</v>
      </c>
      <c r="T598" s="27"/>
      <c r="U598" s="28" t="s">
        <v>25</v>
      </c>
      <c r="V598" s="29" t="str">
        <f t="shared" si="46"/>
        <v>✓ OK</v>
      </c>
      <c r="W598" s="45">
        <v>46248</v>
      </c>
      <c r="X598" s="30" t="s">
        <v>23</v>
      </c>
      <c r="Y598" s="30" t="s">
        <v>24</v>
      </c>
      <c r="Z598" s="30" t="s">
        <v>25</v>
      </c>
      <c r="AA598" s="30" t="s">
        <v>26</v>
      </c>
      <c r="AB598" s="30" t="s">
        <v>24</v>
      </c>
      <c r="AC598" s="27"/>
      <c r="AD598" s="31" t="s">
        <v>25</v>
      </c>
      <c r="AE598" s="32" t="str">
        <f t="shared" si="47"/>
        <v>✓ OK</v>
      </c>
      <c r="AF598" s="33" t="s">
        <v>27</v>
      </c>
      <c r="AG598" s="33" t="s">
        <v>23</v>
      </c>
      <c r="AH598" s="33" t="s">
        <v>24</v>
      </c>
      <c r="AI598" s="33" t="s">
        <v>25</v>
      </c>
      <c r="AJ598" s="33" t="s">
        <v>26</v>
      </c>
      <c r="AK598" s="33" t="s">
        <v>24</v>
      </c>
      <c r="AL598" s="27"/>
      <c r="AM598" s="34" t="s">
        <v>25</v>
      </c>
      <c r="AN598" s="35" t="str">
        <f t="shared" si="48"/>
        <v>✓ OK</v>
      </c>
      <c r="AO598" s="36"/>
      <c r="AP598" s="36"/>
      <c r="AQ598" s="36"/>
      <c r="AR598" s="36"/>
      <c r="AS598" s="36"/>
      <c r="AT598" s="36"/>
      <c r="AU598" s="27"/>
      <c r="AV598" s="37"/>
      <c r="AW598" s="38" t="str">
        <f t="shared" si="49"/>
        <v/>
      </c>
    </row>
    <row r="599" spans="1:49" ht="18" customHeight="1" x14ac:dyDescent="0.3">
      <c r="A599" s="23">
        <v>595</v>
      </c>
      <c r="B599" s="24" t="s">
        <v>3038</v>
      </c>
      <c r="C599" s="25" t="s">
        <v>3039</v>
      </c>
      <c r="D599" s="23" t="s">
        <v>2819</v>
      </c>
      <c r="E599" s="43">
        <v>46126</v>
      </c>
      <c r="F599" s="26" t="s">
        <v>23</v>
      </c>
      <c r="G599" s="26" t="s">
        <v>24</v>
      </c>
      <c r="H599" s="26" t="s">
        <v>25</v>
      </c>
      <c r="I599" s="26" t="s">
        <v>26</v>
      </c>
      <c r="J599" s="26" t="s">
        <v>24</v>
      </c>
      <c r="K599" s="27"/>
      <c r="L599" s="28" t="s">
        <v>25</v>
      </c>
      <c r="M599" s="29" t="str">
        <f t="shared" si="45"/>
        <v>✓ OK</v>
      </c>
      <c r="N599" s="43">
        <v>46193</v>
      </c>
      <c r="O599" s="26" t="s">
        <v>23</v>
      </c>
      <c r="P599" s="26" t="s">
        <v>24</v>
      </c>
      <c r="Q599" s="26" t="s">
        <v>25</v>
      </c>
      <c r="R599" s="26" t="s">
        <v>26</v>
      </c>
      <c r="S599" s="26" t="s">
        <v>24</v>
      </c>
      <c r="T599" s="27"/>
      <c r="U599" s="28" t="s">
        <v>25</v>
      </c>
      <c r="V599" s="29" t="str">
        <f t="shared" si="46"/>
        <v>✓ OK</v>
      </c>
      <c r="W599" s="45">
        <v>46248</v>
      </c>
      <c r="X599" s="30" t="s">
        <v>23</v>
      </c>
      <c r="Y599" s="30" t="s">
        <v>24</v>
      </c>
      <c r="Z599" s="30" t="s">
        <v>25</v>
      </c>
      <c r="AA599" s="30" t="s">
        <v>26</v>
      </c>
      <c r="AB599" s="30" t="s">
        <v>24</v>
      </c>
      <c r="AC599" s="27"/>
      <c r="AD599" s="31" t="s">
        <v>25</v>
      </c>
      <c r="AE599" s="32" t="str">
        <f t="shared" si="47"/>
        <v>✓ OK</v>
      </c>
      <c r="AF599" s="33" t="s">
        <v>27</v>
      </c>
      <c r="AG599" s="33" t="s">
        <v>23</v>
      </c>
      <c r="AH599" s="33" t="s">
        <v>24</v>
      </c>
      <c r="AI599" s="33" t="s">
        <v>25</v>
      </c>
      <c r="AJ599" s="33" t="s">
        <v>26</v>
      </c>
      <c r="AK599" s="33" t="s">
        <v>24</v>
      </c>
      <c r="AL599" s="27"/>
      <c r="AM599" s="34" t="s">
        <v>25</v>
      </c>
      <c r="AN599" s="35" t="str">
        <f t="shared" si="48"/>
        <v>✓ OK</v>
      </c>
      <c r="AO599" s="36"/>
      <c r="AP599" s="36"/>
      <c r="AQ599" s="36"/>
      <c r="AR599" s="36"/>
      <c r="AS599" s="36"/>
      <c r="AT599" s="36"/>
      <c r="AU599" s="27"/>
      <c r="AV599" s="37"/>
      <c r="AW599" s="38" t="str">
        <f t="shared" si="49"/>
        <v/>
      </c>
    </row>
    <row r="600" spans="1:49" ht="18" customHeight="1" x14ac:dyDescent="0.3">
      <c r="A600" s="39">
        <v>596</v>
      </c>
      <c r="B600" s="40" t="s">
        <v>3040</v>
      </c>
      <c r="C600" s="41" t="s">
        <v>3041</v>
      </c>
      <c r="D600" s="39" t="s">
        <v>2819</v>
      </c>
      <c r="E600" s="43">
        <v>46126</v>
      </c>
      <c r="F600" s="26" t="s">
        <v>23</v>
      </c>
      <c r="G600" s="26" t="s">
        <v>24</v>
      </c>
      <c r="H600" s="26" t="s">
        <v>25</v>
      </c>
      <c r="I600" s="26" t="s">
        <v>26</v>
      </c>
      <c r="J600" s="26" t="s">
        <v>24</v>
      </c>
      <c r="K600" s="27"/>
      <c r="L600" s="28" t="s">
        <v>25</v>
      </c>
      <c r="M600" s="29" t="str">
        <f t="shared" si="45"/>
        <v>✓ OK</v>
      </c>
      <c r="N600" s="43">
        <v>46193</v>
      </c>
      <c r="O600" s="26" t="s">
        <v>23</v>
      </c>
      <c r="P600" s="26" t="s">
        <v>24</v>
      </c>
      <c r="Q600" s="26" t="s">
        <v>25</v>
      </c>
      <c r="R600" s="26" t="s">
        <v>26</v>
      </c>
      <c r="S600" s="26" t="s">
        <v>24</v>
      </c>
      <c r="T600" s="27"/>
      <c r="U600" s="28" t="s">
        <v>25</v>
      </c>
      <c r="V600" s="29" t="str">
        <f t="shared" si="46"/>
        <v>✓ OK</v>
      </c>
      <c r="W600" s="45">
        <v>46248</v>
      </c>
      <c r="X600" s="30" t="s">
        <v>23</v>
      </c>
      <c r="Y600" s="30" t="s">
        <v>24</v>
      </c>
      <c r="Z600" s="30" t="s">
        <v>25</v>
      </c>
      <c r="AA600" s="30" t="s">
        <v>26</v>
      </c>
      <c r="AB600" s="30" t="s">
        <v>24</v>
      </c>
      <c r="AC600" s="27"/>
      <c r="AD600" s="31" t="s">
        <v>25</v>
      </c>
      <c r="AE600" s="32" t="str">
        <f t="shared" si="47"/>
        <v>✓ OK</v>
      </c>
      <c r="AF600" s="33" t="s">
        <v>27</v>
      </c>
      <c r="AG600" s="33" t="s">
        <v>23</v>
      </c>
      <c r="AH600" s="33" t="s">
        <v>24</v>
      </c>
      <c r="AI600" s="33" t="s">
        <v>25</v>
      </c>
      <c r="AJ600" s="33" t="s">
        <v>26</v>
      </c>
      <c r="AK600" s="33" t="s">
        <v>24</v>
      </c>
      <c r="AL600" s="27"/>
      <c r="AM600" s="34" t="s">
        <v>25</v>
      </c>
      <c r="AN600" s="35" t="str">
        <f t="shared" si="48"/>
        <v>✓ OK</v>
      </c>
      <c r="AO600" s="36"/>
      <c r="AP600" s="36"/>
      <c r="AQ600" s="36"/>
      <c r="AR600" s="36"/>
      <c r="AS600" s="36"/>
      <c r="AT600" s="36"/>
      <c r="AU600" s="27"/>
      <c r="AV600" s="37"/>
      <c r="AW600" s="38" t="str">
        <f t="shared" si="49"/>
        <v/>
      </c>
    </row>
    <row r="601" spans="1:49" ht="18" customHeight="1" x14ac:dyDescent="0.3">
      <c r="A601" s="23">
        <v>597</v>
      </c>
      <c r="B601" s="24" t="s">
        <v>3042</v>
      </c>
      <c r="C601" s="25" t="s">
        <v>3043</v>
      </c>
      <c r="D601" s="23" t="s">
        <v>2819</v>
      </c>
      <c r="E601" s="43">
        <v>46126</v>
      </c>
      <c r="F601" s="26" t="s">
        <v>23</v>
      </c>
      <c r="G601" s="26" t="s">
        <v>24</v>
      </c>
      <c r="H601" s="26" t="s">
        <v>25</v>
      </c>
      <c r="I601" s="26" t="s">
        <v>26</v>
      </c>
      <c r="J601" s="26" t="s">
        <v>24</v>
      </c>
      <c r="K601" s="27"/>
      <c r="L601" s="28" t="s">
        <v>25</v>
      </c>
      <c r="M601" s="29" t="str">
        <f t="shared" si="45"/>
        <v>✓ OK</v>
      </c>
      <c r="N601" s="43">
        <v>46193</v>
      </c>
      <c r="O601" s="26" t="s">
        <v>23</v>
      </c>
      <c r="P601" s="26" t="s">
        <v>24</v>
      </c>
      <c r="Q601" s="26" t="s">
        <v>25</v>
      </c>
      <c r="R601" s="26" t="s">
        <v>26</v>
      </c>
      <c r="S601" s="26" t="s">
        <v>24</v>
      </c>
      <c r="T601" s="27"/>
      <c r="U601" s="28" t="s">
        <v>25</v>
      </c>
      <c r="V601" s="29" t="str">
        <f t="shared" si="46"/>
        <v>✓ OK</v>
      </c>
      <c r="W601" s="45">
        <v>46248</v>
      </c>
      <c r="X601" s="30" t="s">
        <v>23</v>
      </c>
      <c r="Y601" s="30" t="s">
        <v>24</v>
      </c>
      <c r="Z601" s="30" t="s">
        <v>25</v>
      </c>
      <c r="AA601" s="30" t="s">
        <v>26</v>
      </c>
      <c r="AB601" s="30" t="s">
        <v>24</v>
      </c>
      <c r="AC601" s="27"/>
      <c r="AD601" s="31" t="s">
        <v>25</v>
      </c>
      <c r="AE601" s="32" t="str">
        <f t="shared" si="47"/>
        <v>✓ OK</v>
      </c>
      <c r="AF601" s="33" t="s">
        <v>27</v>
      </c>
      <c r="AG601" s="33" t="s">
        <v>23</v>
      </c>
      <c r="AH601" s="33" t="s">
        <v>24</v>
      </c>
      <c r="AI601" s="33" t="s">
        <v>25</v>
      </c>
      <c r="AJ601" s="33" t="s">
        <v>26</v>
      </c>
      <c r="AK601" s="33" t="s">
        <v>24</v>
      </c>
      <c r="AL601" s="27"/>
      <c r="AM601" s="34" t="s">
        <v>25</v>
      </c>
      <c r="AN601" s="35" t="str">
        <f t="shared" si="48"/>
        <v>✓ OK</v>
      </c>
      <c r="AO601" s="36"/>
      <c r="AP601" s="36"/>
      <c r="AQ601" s="36"/>
      <c r="AR601" s="36"/>
      <c r="AS601" s="36"/>
      <c r="AT601" s="36"/>
      <c r="AU601" s="27"/>
      <c r="AV601" s="37"/>
      <c r="AW601" s="38" t="str">
        <f t="shared" si="49"/>
        <v/>
      </c>
    </row>
    <row r="602" spans="1:49" ht="18" customHeight="1" x14ac:dyDescent="0.3">
      <c r="A602" s="39">
        <v>598</v>
      </c>
      <c r="B602" s="40" t="s">
        <v>3044</v>
      </c>
      <c r="C602" s="41" t="s">
        <v>3045</v>
      </c>
      <c r="D602" s="39" t="s">
        <v>2819</v>
      </c>
      <c r="E602" s="43">
        <v>46126</v>
      </c>
      <c r="F602" s="26" t="s">
        <v>23</v>
      </c>
      <c r="G602" s="26" t="s">
        <v>24</v>
      </c>
      <c r="H602" s="26" t="s">
        <v>25</v>
      </c>
      <c r="I602" s="26" t="s">
        <v>26</v>
      </c>
      <c r="J602" s="26" t="s">
        <v>24</v>
      </c>
      <c r="K602" s="27"/>
      <c r="L602" s="28" t="s">
        <v>25</v>
      </c>
      <c r="M602" s="29" t="str">
        <f t="shared" si="45"/>
        <v>✓ OK</v>
      </c>
      <c r="N602" s="43">
        <v>46193</v>
      </c>
      <c r="O602" s="26" t="s">
        <v>23</v>
      </c>
      <c r="P602" s="26" t="s">
        <v>24</v>
      </c>
      <c r="Q602" s="26" t="s">
        <v>25</v>
      </c>
      <c r="R602" s="26" t="s">
        <v>26</v>
      </c>
      <c r="S602" s="26" t="s">
        <v>24</v>
      </c>
      <c r="T602" s="27"/>
      <c r="U602" s="28" t="s">
        <v>25</v>
      </c>
      <c r="V602" s="29" t="str">
        <f t="shared" si="46"/>
        <v>✓ OK</v>
      </c>
      <c r="W602" s="45">
        <v>46248</v>
      </c>
      <c r="X602" s="30" t="s">
        <v>23</v>
      </c>
      <c r="Y602" s="30" t="s">
        <v>24</v>
      </c>
      <c r="Z602" s="30" t="s">
        <v>25</v>
      </c>
      <c r="AA602" s="30" t="s">
        <v>26</v>
      </c>
      <c r="AB602" s="30" t="s">
        <v>24</v>
      </c>
      <c r="AC602" s="27"/>
      <c r="AD602" s="31" t="s">
        <v>25</v>
      </c>
      <c r="AE602" s="32" t="str">
        <f t="shared" si="47"/>
        <v>✓ OK</v>
      </c>
      <c r="AF602" s="33" t="s">
        <v>27</v>
      </c>
      <c r="AG602" s="33" t="s">
        <v>23</v>
      </c>
      <c r="AH602" s="33" t="s">
        <v>24</v>
      </c>
      <c r="AI602" s="33" t="s">
        <v>25</v>
      </c>
      <c r="AJ602" s="33" t="s">
        <v>26</v>
      </c>
      <c r="AK602" s="33" t="s">
        <v>24</v>
      </c>
      <c r="AL602" s="27"/>
      <c r="AM602" s="34" t="s">
        <v>25</v>
      </c>
      <c r="AN602" s="35" t="str">
        <f t="shared" si="48"/>
        <v>✓ OK</v>
      </c>
      <c r="AO602" s="36"/>
      <c r="AP602" s="36"/>
      <c r="AQ602" s="36"/>
      <c r="AR602" s="36"/>
      <c r="AS602" s="36"/>
      <c r="AT602" s="36"/>
      <c r="AU602" s="27"/>
      <c r="AV602" s="37"/>
      <c r="AW602" s="38" t="str">
        <f t="shared" si="49"/>
        <v/>
      </c>
    </row>
    <row r="603" spans="1:49" ht="18" customHeight="1" x14ac:dyDescent="0.3">
      <c r="A603" s="23">
        <v>599</v>
      </c>
      <c r="B603" s="24" t="s">
        <v>3046</v>
      </c>
      <c r="C603" s="25" t="s">
        <v>3047</v>
      </c>
      <c r="D603" s="23" t="s">
        <v>2819</v>
      </c>
      <c r="E603" s="43">
        <v>46126</v>
      </c>
      <c r="F603" s="26" t="s">
        <v>23</v>
      </c>
      <c r="G603" s="26" t="s">
        <v>24</v>
      </c>
      <c r="H603" s="26" t="s">
        <v>25</v>
      </c>
      <c r="I603" s="26" t="s">
        <v>26</v>
      </c>
      <c r="J603" s="26" t="s">
        <v>24</v>
      </c>
      <c r="K603" s="27"/>
      <c r="L603" s="28" t="s">
        <v>25</v>
      </c>
      <c r="M603" s="29" t="str">
        <f t="shared" si="45"/>
        <v>✓ OK</v>
      </c>
      <c r="N603" s="43">
        <v>46193</v>
      </c>
      <c r="O603" s="26" t="s">
        <v>23</v>
      </c>
      <c r="P603" s="26" t="s">
        <v>24</v>
      </c>
      <c r="Q603" s="26" t="s">
        <v>25</v>
      </c>
      <c r="R603" s="26" t="s">
        <v>26</v>
      </c>
      <c r="S603" s="26" t="s">
        <v>24</v>
      </c>
      <c r="T603" s="27"/>
      <c r="U603" s="28" t="s">
        <v>25</v>
      </c>
      <c r="V603" s="29" t="str">
        <f t="shared" si="46"/>
        <v>✓ OK</v>
      </c>
      <c r="W603" s="45">
        <v>46248</v>
      </c>
      <c r="X603" s="30" t="s">
        <v>23</v>
      </c>
      <c r="Y603" s="30" t="s">
        <v>24</v>
      </c>
      <c r="Z603" s="30" t="s">
        <v>25</v>
      </c>
      <c r="AA603" s="30" t="s">
        <v>26</v>
      </c>
      <c r="AB603" s="30" t="s">
        <v>24</v>
      </c>
      <c r="AC603" s="27"/>
      <c r="AD603" s="31" t="s">
        <v>25</v>
      </c>
      <c r="AE603" s="32" t="str">
        <f t="shared" si="47"/>
        <v>✓ OK</v>
      </c>
      <c r="AF603" s="33" t="s">
        <v>27</v>
      </c>
      <c r="AG603" s="33" t="s">
        <v>23</v>
      </c>
      <c r="AH603" s="33" t="s">
        <v>24</v>
      </c>
      <c r="AI603" s="33" t="s">
        <v>25</v>
      </c>
      <c r="AJ603" s="33" t="s">
        <v>26</v>
      </c>
      <c r="AK603" s="33" t="s">
        <v>24</v>
      </c>
      <c r="AL603" s="27"/>
      <c r="AM603" s="34" t="s">
        <v>25</v>
      </c>
      <c r="AN603" s="35" t="str">
        <f t="shared" si="48"/>
        <v>✓ OK</v>
      </c>
      <c r="AO603" s="36"/>
      <c r="AP603" s="36"/>
      <c r="AQ603" s="36"/>
      <c r="AR603" s="36"/>
      <c r="AS603" s="36"/>
      <c r="AT603" s="36"/>
      <c r="AU603" s="27"/>
      <c r="AV603" s="37"/>
      <c r="AW603" s="38" t="str">
        <f t="shared" si="49"/>
        <v/>
      </c>
    </row>
    <row r="604" spans="1:49" ht="18" customHeight="1" x14ac:dyDescent="0.3">
      <c r="A604" s="39">
        <v>600</v>
      </c>
      <c r="B604" s="40" t="s">
        <v>3048</v>
      </c>
      <c r="C604" s="41" t="s">
        <v>3049</v>
      </c>
      <c r="D604" s="39" t="s">
        <v>2819</v>
      </c>
      <c r="E604" s="43">
        <v>46126</v>
      </c>
      <c r="F604" s="26" t="s">
        <v>23</v>
      </c>
      <c r="G604" s="26" t="s">
        <v>24</v>
      </c>
      <c r="H604" s="26" t="s">
        <v>25</v>
      </c>
      <c r="I604" s="26" t="s">
        <v>26</v>
      </c>
      <c r="J604" s="26" t="s">
        <v>24</v>
      </c>
      <c r="K604" s="27"/>
      <c r="L604" s="28" t="s">
        <v>25</v>
      </c>
      <c r="M604" s="29" t="str">
        <f t="shared" si="45"/>
        <v>✓ OK</v>
      </c>
      <c r="N604" s="43">
        <v>46193</v>
      </c>
      <c r="O604" s="26" t="s">
        <v>23</v>
      </c>
      <c r="P604" s="26" t="s">
        <v>24</v>
      </c>
      <c r="Q604" s="26" t="s">
        <v>25</v>
      </c>
      <c r="R604" s="26" t="s">
        <v>26</v>
      </c>
      <c r="S604" s="26" t="s">
        <v>24</v>
      </c>
      <c r="T604" s="27"/>
      <c r="U604" s="28" t="s">
        <v>25</v>
      </c>
      <c r="V604" s="29" t="str">
        <f t="shared" si="46"/>
        <v>✓ OK</v>
      </c>
      <c r="W604" s="45">
        <v>46248</v>
      </c>
      <c r="X604" s="30" t="s">
        <v>23</v>
      </c>
      <c r="Y604" s="30" t="s">
        <v>24</v>
      </c>
      <c r="Z604" s="30" t="s">
        <v>25</v>
      </c>
      <c r="AA604" s="30" t="s">
        <v>26</v>
      </c>
      <c r="AB604" s="30" t="s">
        <v>24</v>
      </c>
      <c r="AC604" s="27"/>
      <c r="AD604" s="31" t="s">
        <v>25</v>
      </c>
      <c r="AE604" s="32" t="str">
        <f t="shared" si="47"/>
        <v>✓ OK</v>
      </c>
      <c r="AF604" s="33" t="s">
        <v>27</v>
      </c>
      <c r="AG604" s="33" t="s">
        <v>23</v>
      </c>
      <c r="AH604" s="33" t="s">
        <v>24</v>
      </c>
      <c r="AI604" s="33" t="s">
        <v>25</v>
      </c>
      <c r="AJ604" s="33" t="s">
        <v>26</v>
      </c>
      <c r="AK604" s="33" t="s">
        <v>24</v>
      </c>
      <c r="AL604" s="27"/>
      <c r="AM604" s="34" t="s">
        <v>25</v>
      </c>
      <c r="AN604" s="35" t="str">
        <f t="shared" si="48"/>
        <v>✓ OK</v>
      </c>
      <c r="AO604" s="36"/>
      <c r="AP604" s="36"/>
      <c r="AQ604" s="36"/>
      <c r="AR604" s="36"/>
      <c r="AS604" s="36"/>
      <c r="AT604" s="36"/>
      <c r="AU604" s="27"/>
      <c r="AV604" s="37"/>
      <c r="AW604" s="38" t="str">
        <f t="shared" si="49"/>
        <v/>
      </c>
    </row>
    <row r="605" spans="1:49" ht="18" customHeight="1" x14ac:dyDescent="0.3">
      <c r="A605" s="23">
        <v>601</v>
      </c>
      <c r="B605" s="24" t="s">
        <v>3050</v>
      </c>
      <c r="C605" s="25" t="s">
        <v>3051</v>
      </c>
      <c r="D605" s="23" t="s">
        <v>2819</v>
      </c>
      <c r="E605" s="43">
        <v>46126</v>
      </c>
      <c r="F605" s="26" t="s">
        <v>23</v>
      </c>
      <c r="G605" s="26" t="s">
        <v>24</v>
      </c>
      <c r="H605" s="26" t="s">
        <v>25</v>
      </c>
      <c r="I605" s="26" t="s">
        <v>26</v>
      </c>
      <c r="J605" s="26" t="s">
        <v>24</v>
      </c>
      <c r="K605" s="27"/>
      <c r="L605" s="28" t="s">
        <v>25</v>
      </c>
      <c r="M605" s="29" t="str">
        <f t="shared" si="45"/>
        <v>✓ OK</v>
      </c>
      <c r="N605" s="43">
        <v>46193</v>
      </c>
      <c r="O605" s="26" t="s">
        <v>23</v>
      </c>
      <c r="P605" s="26" t="s">
        <v>24</v>
      </c>
      <c r="Q605" s="26" t="s">
        <v>25</v>
      </c>
      <c r="R605" s="26" t="s">
        <v>26</v>
      </c>
      <c r="S605" s="26" t="s">
        <v>24</v>
      </c>
      <c r="T605" s="27"/>
      <c r="U605" s="28" t="s">
        <v>25</v>
      </c>
      <c r="V605" s="29" t="str">
        <f t="shared" si="46"/>
        <v>✓ OK</v>
      </c>
      <c r="W605" s="45">
        <v>46248</v>
      </c>
      <c r="X605" s="30" t="s">
        <v>23</v>
      </c>
      <c r="Y605" s="30" t="s">
        <v>24</v>
      </c>
      <c r="Z605" s="30" t="s">
        <v>25</v>
      </c>
      <c r="AA605" s="30" t="s">
        <v>26</v>
      </c>
      <c r="AB605" s="30" t="s">
        <v>24</v>
      </c>
      <c r="AC605" s="27"/>
      <c r="AD605" s="31" t="s">
        <v>25</v>
      </c>
      <c r="AE605" s="32" t="str">
        <f t="shared" si="47"/>
        <v>✓ OK</v>
      </c>
      <c r="AF605" s="33" t="s">
        <v>27</v>
      </c>
      <c r="AG605" s="33" t="s">
        <v>23</v>
      </c>
      <c r="AH605" s="33" t="s">
        <v>24</v>
      </c>
      <c r="AI605" s="33" t="s">
        <v>25</v>
      </c>
      <c r="AJ605" s="33" t="s">
        <v>26</v>
      </c>
      <c r="AK605" s="33" t="s">
        <v>24</v>
      </c>
      <c r="AL605" s="27"/>
      <c r="AM605" s="34" t="s">
        <v>25</v>
      </c>
      <c r="AN605" s="35" t="str">
        <f t="shared" si="48"/>
        <v>✓ OK</v>
      </c>
      <c r="AO605" s="36"/>
      <c r="AP605" s="36"/>
      <c r="AQ605" s="36"/>
      <c r="AR605" s="36"/>
      <c r="AS605" s="36"/>
      <c r="AT605" s="36"/>
      <c r="AU605" s="27"/>
      <c r="AV605" s="37"/>
      <c r="AW605" s="38" t="str">
        <f t="shared" si="49"/>
        <v/>
      </c>
    </row>
    <row r="606" spans="1:49" ht="18" customHeight="1" x14ac:dyDescent="0.3">
      <c r="A606" s="39">
        <v>602</v>
      </c>
      <c r="B606" s="40" t="s">
        <v>3052</v>
      </c>
      <c r="C606" s="41" t="s">
        <v>3053</v>
      </c>
      <c r="D606" s="39" t="s">
        <v>2819</v>
      </c>
      <c r="E606" s="43">
        <v>46126</v>
      </c>
      <c r="F606" s="26" t="s">
        <v>23</v>
      </c>
      <c r="G606" s="26" t="s">
        <v>24</v>
      </c>
      <c r="H606" s="26" t="s">
        <v>25</v>
      </c>
      <c r="I606" s="26" t="s">
        <v>26</v>
      </c>
      <c r="J606" s="26" t="s">
        <v>24</v>
      </c>
      <c r="K606" s="27"/>
      <c r="L606" s="28" t="s">
        <v>25</v>
      </c>
      <c r="M606" s="29" t="str">
        <f t="shared" si="45"/>
        <v>✓ OK</v>
      </c>
      <c r="N606" s="43">
        <v>46193</v>
      </c>
      <c r="O606" s="26" t="s">
        <v>23</v>
      </c>
      <c r="P606" s="26" t="s">
        <v>24</v>
      </c>
      <c r="Q606" s="26" t="s">
        <v>25</v>
      </c>
      <c r="R606" s="26" t="s">
        <v>26</v>
      </c>
      <c r="S606" s="26" t="s">
        <v>24</v>
      </c>
      <c r="T606" s="27"/>
      <c r="U606" s="28" t="s">
        <v>25</v>
      </c>
      <c r="V606" s="29" t="str">
        <f t="shared" si="46"/>
        <v>✓ OK</v>
      </c>
      <c r="W606" s="45">
        <v>46248</v>
      </c>
      <c r="X606" s="30" t="s">
        <v>23</v>
      </c>
      <c r="Y606" s="30" t="s">
        <v>24</v>
      </c>
      <c r="Z606" s="30" t="s">
        <v>25</v>
      </c>
      <c r="AA606" s="30" t="s">
        <v>26</v>
      </c>
      <c r="AB606" s="30" t="s">
        <v>24</v>
      </c>
      <c r="AC606" s="27"/>
      <c r="AD606" s="31" t="s">
        <v>25</v>
      </c>
      <c r="AE606" s="32" t="str">
        <f t="shared" si="47"/>
        <v>✓ OK</v>
      </c>
      <c r="AF606" s="33" t="s">
        <v>27</v>
      </c>
      <c r="AG606" s="33" t="s">
        <v>23</v>
      </c>
      <c r="AH606" s="33" t="s">
        <v>24</v>
      </c>
      <c r="AI606" s="33" t="s">
        <v>25</v>
      </c>
      <c r="AJ606" s="33" t="s">
        <v>26</v>
      </c>
      <c r="AK606" s="33" t="s">
        <v>24</v>
      </c>
      <c r="AL606" s="27"/>
      <c r="AM606" s="34" t="s">
        <v>25</v>
      </c>
      <c r="AN606" s="35" t="str">
        <f t="shared" si="48"/>
        <v>✓ OK</v>
      </c>
      <c r="AO606" s="36"/>
      <c r="AP606" s="36"/>
      <c r="AQ606" s="36"/>
      <c r="AR606" s="36"/>
      <c r="AS606" s="36"/>
      <c r="AT606" s="36"/>
      <c r="AU606" s="27"/>
      <c r="AV606" s="37"/>
      <c r="AW606" s="38" t="str">
        <f t="shared" si="49"/>
        <v/>
      </c>
    </row>
    <row r="607" spans="1:49" ht="18" customHeight="1" x14ac:dyDescent="0.3">
      <c r="A607" s="23">
        <v>603</v>
      </c>
      <c r="B607" s="24" t="s">
        <v>3054</v>
      </c>
      <c r="C607" s="25" t="s">
        <v>3055</v>
      </c>
      <c r="D607" s="23" t="s">
        <v>2819</v>
      </c>
      <c r="E607" s="43">
        <v>46126</v>
      </c>
      <c r="F607" s="26" t="s">
        <v>23</v>
      </c>
      <c r="G607" s="26" t="s">
        <v>24</v>
      </c>
      <c r="H607" s="26" t="s">
        <v>25</v>
      </c>
      <c r="I607" s="26" t="s">
        <v>26</v>
      </c>
      <c r="J607" s="26" t="s">
        <v>24</v>
      </c>
      <c r="K607" s="27"/>
      <c r="L607" s="28" t="s">
        <v>25</v>
      </c>
      <c r="M607" s="29" t="str">
        <f t="shared" si="45"/>
        <v>✓ OK</v>
      </c>
      <c r="N607" s="43">
        <v>46193</v>
      </c>
      <c r="O607" s="26" t="s">
        <v>23</v>
      </c>
      <c r="P607" s="26" t="s">
        <v>24</v>
      </c>
      <c r="Q607" s="26" t="s">
        <v>25</v>
      </c>
      <c r="R607" s="26" t="s">
        <v>26</v>
      </c>
      <c r="S607" s="26" t="s">
        <v>24</v>
      </c>
      <c r="T607" s="27"/>
      <c r="U607" s="28" t="s">
        <v>25</v>
      </c>
      <c r="V607" s="29" t="str">
        <f t="shared" si="46"/>
        <v>✓ OK</v>
      </c>
      <c r="W607" s="45">
        <v>46248</v>
      </c>
      <c r="X607" s="30" t="s">
        <v>23</v>
      </c>
      <c r="Y607" s="30" t="s">
        <v>24</v>
      </c>
      <c r="Z607" s="30" t="s">
        <v>25</v>
      </c>
      <c r="AA607" s="30" t="s">
        <v>26</v>
      </c>
      <c r="AB607" s="30" t="s">
        <v>24</v>
      </c>
      <c r="AC607" s="27"/>
      <c r="AD607" s="31" t="s">
        <v>25</v>
      </c>
      <c r="AE607" s="32" t="str">
        <f t="shared" si="47"/>
        <v>✓ OK</v>
      </c>
      <c r="AF607" s="33" t="s">
        <v>27</v>
      </c>
      <c r="AG607" s="33" t="s">
        <v>23</v>
      </c>
      <c r="AH607" s="33" t="s">
        <v>24</v>
      </c>
      <c r="AI607" s="33" t="s">
        <v>25</v>
      </c>
      <c r="AJ607" s="33" t="s">
        <v>26</v>
      </c>
      <c r="AK607" s="33" t="s">
        <v>24</v>
      </c>
      <c r="AL607" s="27"/>
      <c r="AM607" s="34" t="s">
        <v>25</v>
      </c>
      <c r="AN607" s="35" t="str">
        <f t="shared" si="48"/>
        <v>✓ OK</v>
      </c>
      <c r="AO607" s="36"/>
      <c r="AP607" s="36"/>
      <c r="AQ607" s="36"/>
      <c r="AR607" s="36"/>
      <c r="AS607" s="36"/>
      <c r="AT607" s="36"/>
      <c r="AU607" s="27"/>
      <c r="AV607" s="37"/>
      <c r="AW607" s="38" t="str">
        <f t="shared" si="49"/>
        <v/>
      </c>
    </row>
    <row r="608" spans="1:49" ht="18" customHeight="1" x14ac:dyDescent="0.3">
      <c r="A608" s="39">
        <v>604</v>
      </c>
      <c r="B608" s="40" t="s">
        <v>3056</v>
      </c>
      <c r="C608" s="41" t="s">
        <v>3057</v>
      </c>
      <c r="D608" s="39" t="s">
        <v>2819</v>
      </c>
      <c r="E608" s="43">
        <v>46126</v>
      </c>
      <c r="F608" s="26" t="s">
        <v>23</v>
      </c>
      <c r="G608" s="26" t="s">
        <v>24</v>
      </c>
      <c r="H608" s="26" t="s">
        <v>25</v>
      </c>
      <c r="I608" s="26" t="s">
        <v>26</v>
      </c>
      <c r="J608" s="26" t="s">
        <v>24</v>
      </c>
      <c r="K608" s="27"/>
      <c r="L608" s="28" t="s">
        <v>25</v>
      </c>
      <c r="M608" s="29" t="str">
        <f t="shared" si="45"/>
        <v>✓ OK</v>
      </c>
      <c r="N608" s="43">
        <v>46193</v>
      </c>
      <c r="O608" s="26" t="s">
        <v>23</v>
      </c>
      <c r="P608" s="26" t="s">
        <v>24</v>
      </c>
      <c r="Q608" s="26" t="s">
        <v>25</v>
      </c>
      <c r="R608" s="26" t="s">
        <v>26</v>
      </c>
      <c r="S608" s="26" t="s">
        <v>24</v>
      </c>
      <c r="T608" s="27"/>
      <c r="U608" s="28" t="s">
        <v>25</v>
      </c>
      <c r="V608" s="29" t="str">
        <f t="shared" si="46"/>
        <v>✓ OK</v>
      </c>
      <c r="W608" s="45">
        <v>46248</v>
      </c>
      <c r="X608" s="30" t="s">
        <v>23</v>
      </c>
      <c r="Y608" s="30" t="s">
        <v>24</v>
      </c>
      <c r="Z608" s="30" t="s">
        <v>25</v>
      </c>
      <c r="AA608" s="30" t="s">
        <v>26</v>
      </c>
      <c r="AB608" s="30" t="s">
        <v>24</v>
      </c>
      <c r="AC608" s="27"/>
      <c r="AD608" s="31" t="s">
        <v>25</v>
      </c>
      <c r="AE608" s="32" t="str">
        <f t="shared" si="47"/>
        <v>✓ OK</v>
      </c>
      <c r="AF608" s="33" t="s">
        <v>27</v>
      </c>
      <c r="AG608" s="33" t="s">
        <v>23</v>
      </c>
      <c r="AH608" s="33" t="s">
        <v>24</v>
      </c>
      <c r="AI608" s="33" t="s">
        <v>25</v>
      </c>
      <c r="AJ608" s="33" t="s">
        <v>26</v>
      </c>
      <c r="AK608" s="33" t="s">
        <v>24</v>
      </c>
      <c r="AL608" s="27"/>
      <c r="AM608" s="34" t="s">
        <v>25</v>
      </c>
      <c r="AN608" s="35" t="str">
        <f t="shared" si="48"/>
        <v>✓ OK</v>
      </c>
      <c r="AO608" s="36"/>
      <c r="AP608" s="36"/>
      <c r="AQ608" s="36"/>
      <c r="AR608" s="36"/>
      <c r="AS608" s="36"/>
      <c r="AT608" s="36"/>
      <c r="AU608" s="27"/>
      <c r="AV608" s="37"/>
      <c r="AW608" s="38" t="str">
        <f t="shared" si="49"/>
        <v/>
      </c>
    </row>
    <row r="609" spans="1:49" ht="18" customHeight="1" x14ac:dyDescent="0.3">
      <c r="A609" s="23">
        <v>605</v>
      </c>
      <c r="B609" s="24" t="s">
        <v>3058</v>
      </c>
      <c r="C609" s="25" t="s">
        <v>3059</v>
      </c>
      <c r="D609" s="23" t="s">
        <v>2819</v>
      </c>
      <c r="E609" s="43">
        <v>46126</v>
      </c>
      <c r="F609" s="26" t="s">
        <v>23</v>
      </c>
      <c r="G609" s="26" t="s">
        <v>24</v>
      </c>
      <c r="H609" s="26" t="s">
        <v>25</v>
      </c>
      <c r="I609" s="26" t="s">
        <v>26</v>
      </c>
      <c r="J609" s="26" t="s">
        <v>24</v>
      </c>
      <c r="K609" s="27"/>
      <c r="L609" s="28" t="s">
        <v>25</v>
      </c>
      <c r="M609" s="29" t="str">
        <f t="shared" si="45"/>
        <v>✓ OK</v>
      </c>
      <c r="N609" s="43">
        <v>46193</v>
      </c>
      <c r="O609" s="26" t="s">
        <v>23</v>
      </c>
      <c r="P609" s="26" t="s">
        <v>24</v>
      </c>
      <c r="Q609" s="26" t="s">
        <v>25</v>
      </c>
      <c r="R609" s="26" t="s">
        <v>26</v>
      </c>
      <c r="S609" s="26" t="s">
        <v>24</v>
      </c>
      <c r="T609" s="27"/>
      <c r="U609" s="28" t="s">
        <v>25</v>
      </c>
      <c r="V609" s="29" t="str">
        <f t="shared" si="46"/>
        <v>✓ OK</v>
      </c>
      <c r="W609" s="45">
        <v>46248</v>
      </c>
      <c r="X609" s="30" t="s">
        <v>23</v>
      </c>
      <c r="Y609" s="30" t="s">
        <v>24</v>
      </c>
      <c r="Z609" s="30" t="s">
        <v>25</v>
      </c>
      <c r="AA609" s="30" t="s">
        <v>26</v>
      </c>
      <c r="AB609" s="30" t="s">
        <v>24</v>
      </c>
      <c r="AC609" s="27"/>
      <c r="AD609" s="31" t="s">
        <v>25</v>
      </c>
      <c r="AE609" s="32" t="str">
        <f t="shared" si="47"/>
        <v>✓ OK</v>
      </c>
      <c r="AF609" s="33" t="s">
        <v>27</v>
      </c>
      <c r="AG609" s="33" t="s">
        <v>23</v>
      </c>
      <c r="AH609" s="33" t="s">
        <v>24</v>
      </c>
      <c r="AI609" s="33" t="s">
        <v>25</v>
      </c>
      <c r="AJ609" s="33" t="s">
        <v>26</v>
      </c>
      <c r="AK609" s="33" t="s">
        <v>24</v>
      </c>
      <c r="AL609" s="27"/>
      <c r="AM609" s="34" t="s">
        <v>25</v>
      </c>
      <c r="AN609" s="35" t="str">
        <f t="shared" si="48"/>
        <v>✓ OK</v>
      </c>
      <c r="AO609" s="36"/>
      <c r="AP609" s="36"/>
      <c r="AQ609" s="36"/>
      <c r="AR609" s="36"/>
      <c r="AS609" s="36"/>
      <c r="AT609" s="36"/>
      <c r="AU609" s="27"/>
      <c r="AV609" s="37"/>
      <c r="AW609" s="38" t="str">
        <f t="shared" si="49"/>
        <v/>
      </c>
    </row>
    <row r="610" spans="1:49" ht="18" customHeight="1" x14ac:dyDescent="0.3">
      <c r="A610" s="39">
        <v>606</v>
      </c>
      <c r="B610" s="40" t="s">
        <v>3060</v>
      </c>
      <c r="C610" s="41" t="s">
        <v>3061</v>
      </c>
      <c r="D610" s="39" t="s">
        <v>2819</v>
      </c>
      <c r="E610" s="43">
        <v>46126</v>
      </c>
      <c r="F610" s="26" t="s">
        <v>23</v>
      </c>
      <c r="G610" s="26" t="s">
        <v>24</v>
      </c>
      <c r="H610" s="26" t="s">
        <v>25</v>
      </c>
      <c r="I610" s="26" t="s">
        <v>26</v>
      </c>
      <c r="J610" s="26" t="s">
        <v>24</v>
      </c>
      <c r="K610" s="27"/>
      <c r="L610" s="28" t="s">
        <v>25</v>
      </c>
      <c r="M610" s="29" t="str">
        <f t="shared" si="45"/>
        <v>✓ OK</v>
      </c>
      <c r="N610" s="43">
        <v>46193</v>
      </c>
      <c r="O610" s="26" t="s">
        <v>23</v>
      </c>
      <c r="P610" s="26" t="s">
        <v>24</v>
      </c>
      <c r="Q610" s="26" t="s">
        <v>25</v>
      </c>
      <c r="R610" s="26" t="s">
        <v>26</v>
      </c>
      <c r="S610" s="26" t="s">
        <v>24</v>
      </c>
      <c r="T610" s="27"/>
      <c r="U610" s="28" t="s">
        <v>25</v>
      </c>
      <c r="V610" s="29" t="str">
        <f t="shared" si="46"/>
        <v>✓ OK</v>
      </c>
      <c r="W610" s="45">
        <v>46248</v>
      </c>
      <c r="X610" s="30" t="s">
        <v>23</v>
      </c>
      <c r="Y610" s="30" t="s">
        <v>24</v>
      </c>
      <c r="Z610" s="30" t="s">
        <v>25</v>
      </c>
      <c r="AA610" s="30" t="s">
        <v>26</v>
      </c>
      <c r="AB610" s="30" t="s">
        <v>24</v>
      </c>
      <c r="AC610" s="27"/>
      <c r="AD610" s="31" t="s">
        <v>25</v>
      </c>
      <c r="AE610" s="32" t="str">
        <f t="shared" si="47"/>
        <v>✓ OK</v>
      </c>
      <c r="AF610" s="33" t="s">
        <v>27</v>
      </c>
      <c r="AG610" s="33" t="s">
        <v>23</v>
      </c>
      <c r="AH610" s="33" t="s">
        <v>24</v>
      </c>
      <c r="AI610" s="33" t="s">
        <v>25</v>
      </c>
      <c r="AJ610" s="33" t="s">
        <v>26</v>
      </c>
      <c r="AK610" s="33" t="s">
        <v>24</v>
      </c>
      <c r="AL610" s="27"/>
      <c r="AM610" s="34" t="s">
        <v>25</v>
      </c>
      <c r="AN610" s="35" t="str">
        <f t="shared" si="48"/>
        <v>✓ OK</v>
      </c>
      <c r="AO610" s="36"/>
      <c r="AP610" s="36"/>
      <c r="AQ610" s="36"/>
      <c r="AR610" s="36"/>
      <c r="AS610" s="36"/>
      <c r="AT610" s="36"/>
      <c r="AU610" s="27"/>
      <c r="AV610" s="37"/>
      <c r="AW610" s="38" t="str">
        <f t="shared" si="49"/>
        <v/>
      </c>
    </row>
    <row r="611" spans="1:49" ht="18" customHeight="1" x14ac:dyDescent="0.3">
      <c r="A611" s="23">
        <v>607</v>
      </c>
      <c r="B611" s="24" t="s">
        <v>3062</v>
      </c>
      <c r="C611" s="25" t="s">
        <v>3063</v>
      </c>
      <c r="D611" s="23" t="s">
        <v>2819</v>
      </c>
      <c r="E611" s="43">
        <v>46126</v>
      </c>
      <c r="F611" s="26" t="s">
        <v>23</v>
      </c>
      <c r="G611" s="26" t="s">
        <v>24</v>
      </c>
      <c r="H611" s="26" t="s">
        <v>25</v>
      </c>
      <c r="I611" s="26" t="s">
        <v>26</v>
      </c>
      <c r="J611" s="26" t="s">
        <v>24</v>
      </c>
      <c r="K611" s="27"/>
      <c r="L611" s="28" t="s">
        <v>25</v>
      </c>
      <c r="M611" s="29" t="str">
        <f t="shared" si="45"/>
        <v>✓ OK</v>
      </c>
      <c r="N611" s="43">
        <v>46193</v>
      </c>
      <c r="O611" s="26" t="s">
        <v>23</v>
      </c>
      <c r="P611" s="26" t="s">
        <v>24</v>
      </c>
      <c r="Q611" s="26" t="s">
        <v>25</v>
      </c>
      <c r="R611" s="26" t="s">
        <v>26</v>
      </c>
      <c r="S611" s="26" t="s">
        <v>24</v>
      </c>
      <c r="T611" s="27"/>
      <c r="U611" s="28" t="s">
        <v>25</v>
      </c>
      <c r="V611" s="29" t="str">
        <f t="shared" si="46"/>
        <v>✓ OK</v>
      </c>
      <c r="W611" s="45">
        <v>46248</v>
      </c>
      <c r="X611" s="30" t="s">
        <v>23</v>
      </c>
      <c r="Y611" s="30" t="s">
        <v>24</v>
      </c>
      <c r="Z611" s="30" t="s">
        <v>25</v>
      </c>
      <c r="AA611" s="30" t="s">
        <v>26</v>
      </c>
      <c r="AB611" s="30" t="s">
        <v>24</v>
      </c>
      <c r="AC611" s="27"/>
      <c r="AD611" s="31" t="s">
        <v>25</v>
      </c>
      <c r="AE611" s="32" t="str">
        <f t="shared" si="47"/>
        <v>✓ OK</v>
      </c>
      <c r="AF611" s="33" t="s">
        <v>27</v>
      </c>
      <c r="AG611" s="33" t="s">
        <v>23</v>
      </c>
      <c r="AH611" s="33" t="s">
        <v>24</v>
      </c>
      <c r="AI611" s="33" t="s">
        <v>25</v>
      </c>
      <c r="AJ611" s="33" t="s">
        <v>26</v>
      </c>
      <c r="AK611" s="33" t="s">
        <v>24</v>
      </c>
      <c r="AL611" s="27"/>
      <c r="AM611" s="34" t="s">
        <v>25</v>
      </c>
      <c r="AN611" s="35" t="str">
        <f t="shared" si="48"/>
        <v>✓ OK</v>
      </c>
      <c r="AO611" s="36"/>
      <c r="AP611" s="36"/>
      <c r="AQ611" s="36"/>
      <c r="AR611" s="36"/>
      <c r="AS611" s="36"/>
      <c r="AT611" s="36"/>
      <c r="AU611" s="27"/>
      <c r="AV611" s="37"/>
      <c r="AW611" s="38" t="str">
        <f t="shared" si="49"/>
        <v/>
      </c>
    </row>
    <row r="612" spans="1:49" ht="18" customHeight="1" x14ac:dyDescent="0.3">
      <c r="A612" s="39">
        <v>608</v>
      </c>
      <c r="B612" s="40" t="s">
        <v>3064</v>
      </c>
      <c r="C612" s="41" t="s">
        <v>3065</v>
      </c>
      <c r="D612" s="39" t="s">
        <v>2819</v>
      </c>
      <c r="E612" s="43">
        <v>46126</v>
      </c>
      <c r="F612" s="26" t="s">
        <v>23</v>
      </c>
      <c r="G612" s="26" t="s">
        <v>24</v>
      </c>
      <c r="H612" s="26" t="s">
        <v>25</v>
      </c>
      <c r="I612" s="26" t="s">
        <v>26</v>
      </c>
      <c r="J612" s="26" t="s">
        <v>24</v>
      </c>
      <c r="K612" s="27"/>
      <c r="L612" s="28" t="s">
        <v>25</v>
      </c>
      <c r="M612" s="29" t="str">
        <f t="shared" si="45"/>
        <v>✓ OK</v>
      </c>
      <c r="N612" s="43">
        <v>46193</v>
      </c>
      <c r="O612" s="26" t="s">
        <v>23</v>
      </c>
      <c r="P612" s="26" t="s">
        <v>24</v>
      </c>
      <c r="Q612" s="26" t="s">
        <v>25</v>
      </c>
      <c r="R612" s="26" t="s">
        <v>26</v>
      </c>
      <c r="S612" s="26" t="s">
        <v>24</v>
      </c>
      <c r="T612" s="27"/>
      <c r="U612" s="28" t="s">
        <v>25</v>
      </c>
      <c r="V612" s="29" t="str">
        <f t="shared" si="46"/>
        <v>✓ OK</v>
      </c>
      <c r="W612" s="45">
        <v>46248</v>
      </c>
      <c r="X612" s="30" t="s">
        <v>23</v>
      </c>
      <c r="Y612" s="30" t="s">
        <v>24</v>
      </c>
      <c r="Z612" s="30" t="s">
        <v>25</v>
      </c>
      <c r="AA612" s="30" t="s">
        <v>26</v>
      </c>
      <c r="AB612" s="30" t="s">
        <v>24</v>
      </c>
      <c r="AC612" s="27"/>
      <c r="AD612" s="31" t="s">
        <v>25</v>
      </c>
      <c r="AE612" s="32" t="str">
        <f t="shared" si="47"/>
        <v>✓ OK</v>
      </c>
      <c r="AF612" s="33" t="s">
        <v>27</v>
      </c>
      <c r="AG612" s="33" t="s">
        <v>23</v>
      </c>
      <c r="AH612" s="33" t="s">
        <v>24</v>
      </c>
      <c r="AI612" s="33" t="s">
        <v>25</v>
      </c>
      <c r="AJ612" s="33" t="s">
        <v>26</v>
      </c>
      <c r="AK612" s="33" t="s">
        <v>24</v>
      </c>
      <c r="AL612" s="27"/>
      <c r="AM612" s="34" t="s">
        <v>25</v>
      </c>
      <c r="AN612" s="35" t="str">
        <f t="shared" si="48"/>
        <v>✓ OK</v>
      </c>
      <c r="AO612" s="36"/>
      <c r="AP612" s="36"/>
      <c r="AQ612" s="36"/>
      <c r="AR612" s="36"/>
      <c r="AS612" s="36"/>
      <c r="AT612" s="36"/>
      <c r="AU612" s="27"/>
      <c r="AV612" s="37"/>
      <c r="AW612" s="38" t="str">
        <f t="shared" si="49"/>
        <v/>
      </c>
    </row>
    <row r="613" spans="1:49" ht="18" customHeight="1" x14ac:dyDescent="0.3">
      <c r="A613" s="23">
        <v>609</v>
      </c>
      <c r="B613" s="24" t="s">
        <v>3066</v>
      </c>
      <c r="C613" s="25" t="s">
        <v>3067</v>
      </c>
      <c r="D613" s="23" t="s">
        <v>2819</v>
      </c>
      <c r="E613" s="43">
        <v>46126</v>
      </c>
      <c r="F613" s="26" t="s">
        <v>23</v>
      </c>
      <c r="G613" s="26" t="s">
        <v>24</v>
      </c>
      <c r="H613" s="26" t="s">
        <v>25</v>
      </c>
      <c r="I613" s="26" t="s">
        <v>26</v>
      </c>
      <c r="J613" s="26" t="s">
        <v>24</v>
      </c>
      <c r="K613" s="27"/>
      <c r="L613" s="28" t="s">
        <v>25</v>
      </c>
      <c r="M613" s="29" t="str">
        <f t="shared" si="45"/>
        <v>✓ OK</v>
      </c>
      <c r="N613" s="43">
        <v>46193</v>
      </c>
      <c r="O613" s="26" t="s">
        <v>23</v>
      </c>
      <c r="P613" s="26" t="s">
        <v>24</v>
      </c>
      <c r="Q613" s="26" t="s">
        <v>25</v>
      </c>
      <c r="R613" s="26" t="s">
        <v>26</v>
      </c>
      <c r="S613" s="26" t="s">
        <v>24</v>
      </c>
      <c r="T613" s="27"/>
      <c r="U613" s="28" t="s">
        <v>25</v>
      </c>
      <c r="V613" s="29" t="str">
        <f t="shared" si="46"/>
        <v>✓ OK</v>
      </c>
      <c r="W613" s="45">
        <v>46248</v>
      </c>
      <c r="X613" s="30" t="s">
        <v>23</v>
      </c>
      <c r="Y613" s="30" t="s">
        <v>24</v>
      </c>
      <c r="Z613" s="30" t="s">
        <v>25</v>
      </c>
      <c r="AA613" s="30" t="s">
        <v>26</v>
      </c>
      <c r="AB613" s="30" t="s">
        <v>24</v>
      </c>
      <c r="AC613" s="27"/>
      <c r="AD613" s="31" t="s">
        <v>25</v>
      </c>
      <c r="AE613" s="32" t="str">
        <f t="shared" si="47"/>
        <v>✓ OK</v>
      </c>
      <c r="AF613" s="33" t="s">
        <v>27</v>
      </c>
      <c r="AG613" s="33" t="s">
        <v>23</v>
      </c>
      <c r="AH613" s="33" t="s">
        <v>24</v>
      </c>
      <c r="AI613" s="33" t="s">
        <v>25</v>
      </c>
      <c r="AJ613" s="33" t="s">
        <v>26</v>
      </c>
      <c r="AK613" s="33" t="s">
        <v>24</v>
      </c>
      <c r="AL613" s="27"/>
      <c r="AM613" s="34" t="s">
        <v>25</v>
      </c>
      <c r="AN613" s="35" t="str">
        <f t="shared" si="48"/>
        <v>✓ OK</v>
      </c>
      <c r="AO613" s="36"/>
      <c r="AP613" s="36"/>
      <c r="AQ613" s="36"/>
      <c r="AR613" s="36"/>
      <c r="AS613" s="36"/>
      <c r="AT613" s="36"/>
      <c r="AU613" s="27"/>
      <c r="AV613" s="37"/>
      <c r="AW613" s="38" t="str">
        <f t="shared" si="49"/>
        <v/>
      </c>
    </row>
    <row r="614" spans="1:49" ht="18" customHeight="1" x14ac:dyDescent="0.3">
      <c r="A614" s="39">
        <v>610</v>
      </c>
      <c r="B614" s="40" t="s">
        <v>3068</v>
      </c>
      <c r="C614" s="41" t="s">
        <v>3069</v>
      </c>
      <c r="D614" s="39" t="s">
        <v>2819</v>
      </c>
      <c r="E614" s="43">
        <v>46126</v>
      </c>
      <c r="F614" s="26" t="s">
        <v>23</v>
      </c>
      <c r="G614" s="26" t="s">
        <v>24</v>
      </c>
      <c r="H614" s="26" t="s">
        <v>25</v>
      </c>
      <c r="I614" s="26" t="s">
        <v>26</v>
      </c>
      <c r="J614" s="26" t="s">
        <v>24</v>
      </c>
      <c r="K614" s="27"/>
      <c r="L614" s="28" t="s">
        <v>25</v>
      </c>
      <c r="M614" s="29" t="str">
        <f t="shared" si="45"/>
        <v>✓ OK</v>
      </c>
      <c r="N614" s="43">
        <v>46193</v>
      </c>
      <c r="O614" s="26" t="s">
        <v>23</v>
      </c>
      <c r="P614" s="26" t="s">
        <v>24</v>
      </c>
      <c r="Q614" s="26" t="s">
        <v>25</v>
      </c>
      <c r="R614" s="26" t="s">
        <v>26</v>
      </c>
      <c r="S614" s="26" t="s">
        <v>24</v>
      </c>
      <c r="T614" s="27"/>
      <c r="U614" s="28" t="s">
        <v>25</v>
      </c>
      <c r="V614" s="29" t="str">
        <f t="shared" si="46"/>
        <v>✓ OK</v>
      </c>
      <c r="W614" s="45">
        <v>46248</v>
      </c>
      <c r="X614" s="30" t="s">
        <v>23</v>
      </c>
      <c r="Y614" s="30" t="s">
        <v>24</v>
      </c>
      <c r="Z614" s="30" t="s">
        <v>25</v>
      </c>
      <c r="AA614" s="30" t="s">
        <v>26</v>
      </c>
      <c r="AB614" s="30" t="s">
        <v>24</v>
      </c>
      <c r="AC614" s="27"/>
      <c r="AD614" s="31" t="s">
        <v>25</v>
      </c>
      <c r="AE614" s="32" t="str">
        <f t="shared" si="47"/>
        <v>✓ OK</v>
      </c>
      <c r="AF614" s="33" t="s">
        <v>27</v>
      </c>
      <c r="AG614" s="33" t="s">
        <v>23</v>
      </c>
      <c r="AH614" s="33" t="s">
        <v>24</v>
      </c>
      <c r="AI614" s="33" t="s">
        <v>25</v>
      </c>
      <c r="AJ614" s="33" t="s">
        <v>26</v>
      </c>
      <c r="AK614" s="33" t="s">
        <v>24</v>
      </c>
      <c r="AL614" s="27"/>
      <c r="AM614" s="34" t="s">
        <v>25</v>
      </c>
      <c r="AN614" s="35" t="str">
        <f t="shared" si="48"/>
        <v>✓ OK</v>
      </c>
      <c r="AO614" s="36"/>
      <c r="AP614" s="36"/>
      <c r="AQ614" s="36"/>
      <c r="AR614" s="36"/>
      <c r="AS614" s="36"/>
      <c r="AT614" s="36"/>
      <c r="AU614" s="27"/>
      <c r="AV614" s="37"/>
      <c r="AW614" s="38" t="str">
        <f t="shared" si="49"/>
        <v/>
      </c>
    </row>
    <row r="615" spans="1:49" ht="18" customHeight="1" x14ac:dyDescent="0.3">
      <c r="A615" s="23">
        <v>611</v>
      </c>
      <c r="B615" s="24" t="s">
        <v>3070</v>
      </c>
      <c r="C615" s="25" t="s">
        <v>3071</v>
      </c>
      <c r="D615" s="23" t="s">
        <v>2819</v>
      </c>
      <c r="E615" s="43">
        <v>46126</v>
      </c>
      <c r="F615" s="26" t="s">
        <v>23</v>
      </c>
      <c r="G615" s="26" t="s">
        <v>24</v>
      </c>
      <c r="H615" s="26" t="s">
        <v>25</v>
      </c>
      <c r="I615" s="26" t="s">
        <v>26</v>
      </c>
      <c r="J615" s="26" t="s">
        <v>24</v>
      </c>
      <c r="K615" s="27"/>
      <c r="L615" s="28" t="s">
        <v>25</v>
      </c>
      <c r="M615" s="29" t="str">
        <f t="shared" si="45"/>
        <v>✓ OK</v>
      </c>
      <c r="N615" s="43">
        <v>46193</v>
      </c>
      <c r="O615" s="26" t="s">
        <v>23</v>
      </c>
      <c r="P615" s="26" t="s">
        <v>24</v>
      </c>
      <c r="Q615" s="26" t="s">
        <v>25</v>
      </c>
      <c r="R615" s="26" t="s">
        <v>26</v>
      </c>
      <c r="S615" s="26" t="s">
        <v>24</v>
      </c>
      <c r="T615" s="27"/>
      <c r="U615" s="28" t="s">
        <v>25</v>
      </c>
      <c r="V615" s="29" t="str">
        <f t="shared" si="46"/>
        <v>✓ OK</v>
      </c>
      <c r="W615" s="45">
        <v>46248</v>
      </c>
      <c r="X615" s="30" t="s">
        <v>23</v>
      </c>
      <c r="Y615" s="30" t="s">
        <v>24</v>
      </c>
      <c r="Z615" s="30" t="s">
        <v>25</v>
      </c>
      <c r="AA615" s="30" t="s">
        <v>26</v>
      </c>
      <c r="AB615" s="30" t="s">
        <v>24</v>
      </c>
      <c r="AC615" s="27"/>
      <c r="AD615" s="31" t="s">
        <v>25</v>
      </c>
      <c r="AE615" s="32" t="str">
        <f t="shared" si="47"/>
        <v>✓ OK</v>
      </c>
      <c r="AF615" s="33" t="s">
        <v>27</v>
      </c>
      <c r="AG615" s="33" t="s">
        <v>23</v>
      </c>
      <c r="AH615" s="33" t="s">
        <v>24</v>
      </c>
      <c r="AI615" s="33" t="s">
        <v>25</v>
      </c>
      <c r="AJ615" s="33" t="s">
        <v>26</v>
      </c>
      <c r="AK615" s="33" t="s">
        <v>24</v>
      </c>
      <c r="AL615" s="27"/>
      <c r="AM615" s="34" t="s">
        <v>25</v>
      </c>
      <c r="AN615" s="35" t="str">
        <f t="shared" si="48"/>
        <v>✓ OK</v>
      </c>
      <c r="AO615" s="36"/>
      <c r="AP615" s="36"/>
      <c r="AQ615" s="36"/>
      <c r="AR615" s="36"/>
      <c r="AS615" s="36"/>
      <c r="AT615" s="36"/>
      <c r="AU615" s="27"/>
      <c r="AV615" s="37"/>
      <c r="AW615" s="38" t="str">
        <f t="shared" si="49"/>
        <v/>
      </c>
    </row>
    <row r="616" spans="1:49" ht="18" customHeight="1" x14ac:dyDescent="0.3">
      <c r="A616" s="39">
        <v>612</v>
      </c>
      <c r="B616" s="40" t="s">
        <v>3072</v>
      </c>
      <c r="C616" s="41" t="s">
        <v>3073</v>
      </c>
      <c r="D616" s="39" t="s">
        <v>2819</v>
      </c>
      <c r="E616" s="43">
        <v>46126</v>
      </c>
      <c r="F616" s="26" t="s">
        <v>23</v>
      </c>
      <c r="G616" s="26" t="s">
        <v>24</v>
      </c>
      <c r="H616" s="26" t="s">
        <v>25</v>
      </c>
      <c r="I616" s="26" t="s">
        <v>26</v>
      </c>
      <c r="J616" s="26" t="s">
        <v>24</v>
      </c>
      <c r="K616" s="27"/>
      <c r="L616" s="28" t="s">
        <v>25</v>
      </c>
      <c r="M616" s="29" t="str">
        <f t="shared" si="45"/>
        <v>✓ OK</v>
      </c>
      <c r="N616" s="43">
        <v>46193</v>
      </c>
      <c r="O616" s="26" t="s">
        <v>23</v>
      </c>
      <c r="P616" s="26" t="s">
        <v>24</v>
      </c>
      <c r="Q616" s="26" t="s">
        <v>25</v>
      </c>
      <c r="R616" s="26" t="s">
        <v>26</v>
      </c>
      <c r="S616" s="26" t="s">
        <v>24</v>
      </c>
      <c r="T616" s="27"/>
      <c r="U616" s="28" t="s">
        <v>25</v>
      </c>
      <c r="V616" s="29" t="str">
        <f t="shared" si="46"/>
        <v>✓ OK</v>
      </c>
      <c r="W616" s="45">
        <v>46248</v>
      </c>
      <c r="X616" s="30" t="s">
        <v>23</v>
      </c>
      <c r="Y616" s="30" t="s">
        <v>24</v>
      </c>
      <c r="Z616" s="30" t="s">
        <v>25</v>
      </c>
      <c r="AA616" s="30" t="s">
        <v>26</v>
      </c>
      <c r="AB616" s="30" t="s">
        <v>24</v>
      </c>
      <c r="AC616" s="27"/>
      <c r="AD616" s="31" t="s">
        <v>25</v>
      </c>
      <c r="AE616" s="32" t="str">
        <f t="shared" si="47"/>
        <v>✓ OK</v>
      </c>
      <c r="AF616" s="33" t="s">
        <v>27</v>
      </c>
      <c r="AG616" s="33" t="s">
        <v>23</v>
      </c>
      <c r="AH616" s="33" t="s">
        <v>24</v>
      </c>
      <c r="AI616" s="33" t="s">
        <v>25</v>
      </c>
      <c r="AJ616" s="33" t="s">
        <v>26</v>
      </c>
      <c r="AK616" s="33" t="s">
        <v>24</v>
      </c>
      <c r="AL616" s="27"/>
      <c r="AM616" s="34" t="s">
        <v>25</v>
      </c>
      <c r="AN616" s="35" t="str">
        <f t="shared" si="48"/>
        <v>✓ OK</v>
      </c>
      <c r="AO616" s="36"/>
      <c r="AP616" s="36"/>
      <c r="AQ616" s="36"/>
      <c r="AR616" s="36"/>
      <c r="AS616" s="36"/>
      <c r="AT616" s="36"/>
      <c r="AU616" s="27"/>
      <c r="AV616" s="37"/>
      <c r="AW616" s="38" t="str">
        <f t="shared" si="49"/>
        <v/>
      </c>
    </row>
    <row r="617" spans="1:49" ht="18" customHeight="1" x14ac:dyDescent="0.3">
      <c r="A617" s="23">
        <v>613</v>
      </c>
      <c r="B617" s="24" t="s">
        <v>3074</v>
      </c>
      <c r="C617" s="25" t="s">
        <v>3075</v>
      </c>
      <c r="D617" s="23" t="s">
        <v>2819</v>
      </c>
      <c r="E617" s="43">
        <v>46126</v>
      </c>
      <c r="F617" s="26" t="s">
        <v>23</v>
      </c>
      <c r="G617" s="26" t="s">
        <v>24</v>
      </c>
      <c r="H617" s="26" t="s">
        <v>25</v>
      </c>
      <c r="I617" s="26" t="s">
        <v>26</v>
      </c>
      <c r="J617" s="26" t="s">
        <v>24</v>
      </c>
      <c r="K617" s="27"/>
      <c r="L617" s="28" t="s">
        <v>25</v>
      </c>
      <c r="M617" s="29" t="str">
        <f t="shared" si="45"/>
        <v>✓ OK</v>
      </c>
      <c r="N617" s="43">
        <v>46193</v>
      </c>
      <c r="O617" s="26" t="s">
        <v>23</v>
      </c>
      <c r="P617" s="26" t="s">
        <v>24</v>
      </c>
      <c r="Q617" s="26" t="s">
        <v>25</v>
      </c>
      <c r="R617" s="26" t="s">
        <v>26</v>
      </c>
      <c r="S617" s="26" t="s">
        <v>24</v>
      </c>
      <c r="T617" s="27"/>
      <c r="U617" s="28" t="s">
        <v>25</v>
      </c>
      <c r="V617" s="29" t="str">
        <f t="shared" si="46"/>
        <v>✓ OK</v>
      </c>
      <c r="W617" s="45">
        <v>46248</v>
      </c>
      <c r="X617" s="30" t="s">
        <v>23</v>
      </c>
      <c r="Y617" s="30" t="s">
        <v>24</v>
      </c>
      <c r="Z617" s="30" t="s">
        <v>25</v>
      </c>
      <c r="AA617" s="30" t="s">
        <v>26</v>
      </c>
      <c r="AB617" s="30" t="s">
        <v>24</v>
      </c>
      <c r="AC617" s="27"/>
      <c r="AD617" s="31" t="s">
        <v>25</v>
      </c>
      <c r="AE617" s="32" t="str">
        <f t="shared" si="47"/>
        <v>✓ OK</v>
      </c>
      <c r="AF617" s="33" t="s">
        <v>27</v>
      </c>
      <c r="AG617" s="33" t="s">
        <v>23</v>
      </c>
      <c r="AH617" s="33" t="s">
        <v>24</v>
      </c>
      <c r="AI617" s="33" t="s">
        <v>25</v>
      </c>
      <c r="AJ617" s="33" t="s">
        <v>26</v>
      </c>
      <c r="AK617" s="33" t="s">
        <v>24</v>
      </c>
      <c r="AL617" s="27"/>
      <c r="AM617" s="34" t="s">
        <v>25</v>
      </c>
      <c r="AN617" s="35" t="str">
        <f t="shared" si="48"/>
        <v>✓ OK</v>
      </c>
      <c r="AO617" s="36"/>
      <c r="AP617" s="36"/>
      <c r="AQ617" s="36"/>
      <c r="AR617" s="36"/>
      <c r="AS617" s="36"/>
      <c r="AT617" s="36"/>
      <c r="AU617" s="27"/>
      <c r="AV617" s="37"/>
      <c r="AW617" s="38" t="str">
        <f t="shared" si="49"/>
        <v/>
      </c>
    </row>
    <row r="618" spans="1:49" ht="18" customHeight="1" x14ac:dyDescent="0.3">
      <c r="A618" s="39">
        <v>614</v>
      </c>
      <c r="B618" s="40" t="s">
        <v>3076</v>
      </c>
      <c r="C618" s="41" t="s">
        <v>3077</v>
      </c>
      <c r="D618" s="39" t="s">
        <v>2819</v>
      </c>
      <c r="E618" s="43">
        <v>46126</v>
      </c>
      <c r="F618" s="26" t="s">
        <v>23</v>
      </c>
      <c r="G618" s="26" t="s">
        <v>24</v>
      </c>
      <c r="H618" s="26" t="s">
        <v>25</v>
      </c>
      <c r="I618" s="26" t="s">
        <v>26</v>
      </c>
      <c r="J618" s="26" t="s">
        <v>24</v>
      </c>
      <c r="K618" s="27"/>
      <c r="L618" s="28" t="s">
        <v>25</v>
      </c>
      <c r="M618" s="29" t="str">
        <f t="shared" si="45"/>
        <v>✓ OK</v>
      </c>
      <c r="N618" s="43">
        <v>46193</v>
      </c>
      <c r="O618" s="26" t="s">
        <v>23</v>
      </c>
      <c r="P618" s="26" t="s">
        <v>24</v>
      </c>
      <c r="Q618" s="26" t="s">
        <v>25</v>
      </c>
      <c r="R618" s="26" t="s">
        <v>26</v>
      </c>
      <c r="S618" s="26" t="s">
        <v>24</v>
      </c>
      <c r="T618" s="27"/>
      <c r="U618" s="28" t="s">
        <v>25</v>
      </c>
      <c r="V618" s="29" t="str">
        <f t="shared" si="46"/>
        <v>✓ OK</v>
      </c>
      <c r="W618" s="45">
        <v>46248</v>
      </c>
      <c r="X618" s="30" t="s">
        <v>23</v>
      </c>
      <c r="Y618" s="30" t="s">
        <v>24</v>
      </c>
      <c r="Z618" s="30" t="s">
        <v>25</v>
      </c>
      <c r="AA618" s="30" t="s">
        <v>26</v>
      </c>
      <c r="AB618" s="30" t="s">
        <v>24</v>
      </c>
      <c r="AC618" s="27"/>
      <c r="AD618" s="31" t="s">
        <v>25</v>
      </c>
      <c r="AE618" s="32" t="str">
        <f t="shared" si="47"/>
        <v>✓ OK</v>
      </c>
      <c r="AF618" s="33" t="s">
        <v>27</v>
      </c>
      <c r="AG618" s="33" t="s">
        <v>23</v>
      </c>
      <c r="AH618" s="33" t="s">
        <v>24</v>
      </c>
      <c r="AI618" s="33" t="s">
        <v>25</v>
      </c>
      <c r="AJ618" s="33" t="s">
        <v>26</v>
      </c>
      <c r="AK618" s="33" t="s">
        <v>24</v>
      </c>
      <c r="AL618" s="27"/>
      <c r="AM618" s="34" t="s">
        <v>25</v>
      </c>
      <c r="AN618" s="35" t="str">
        <f t="shared" si="48"/>
        <v>✓ OK</v>
      </c>
      <c r="AO618" s="36"/>
      <c r="AP618" s="36"/>
      <c r="AQ618" s="36"/>
      <c r="AR618" s="36"/>
      <c r="AS618" s="36"/>
      <c r="AT618" s="36"/>
      <c r="AU618" s="27"/>
      <c r="AV618" s="37"/>
      <c r="AW618" s="38" t="str">
        <f t="shared" si="49"/>
        <v/>
      </c>
    </row>
    <row r="619" spans="1:49" ht="18" customHeight="1" x14ac:dyDescent="0.3">
      <c r="A619" s="23">
        <v>615</v>
      </c>
      <c r="B619" s="24" t="s">
        <v>3078</v>
      </c>
      <c r="C619" s="25" t="s">
        <v>3079</v>
      </c>
      <c r="D619" s="23" t="s">
        <v>2819</v>
      </c>
      <c r="E619" s="43">
        <v>46126</v>
      </c>
      <c r="F619" s="26" t="s">
        <v>23</v>
      </c>
      <c r="G619" s="26" t="s">
        <v>24</v>
      </c>
      <c r="H619" s="26" t="s">
        <v>25</v>
      </c>
      <c r="I619" s="26" t="s">
        <v>26</v>
      </c>
      <c r="J619" s="26" t="s">
        <v>24</v>
      </c>
      <c r="K619" s="27"/>
      <c r="L619" s="28" t="s">
        <v>25</v>
      </c>
      <c r="M619" s="29" t="str">
        <f t="shared" si="45"/>
        <v>✓ OK</v>
      </c>
      <c r="N619" s="43">
        <v>46193</v>
      </c>
      <c r="O619" s="26" t="s">
        <v>23</v>
      </c>
      <c r="P619" s="26" t="s">
        <v>24</v>
      </c>
      <c r="Q619" s="26" t="s">
        <v>25</v>
      </c>
      <c r="R619" s="26" t="s">
        <v>26</v>
      </c>
      <c r="S619" s="26" t="s">
        <v>24</v>
      </c>
      <c r="T619" s="27"/>
      <c r="U619" s="28" t="s">
        <v>25</v>
      </c>
      <c r="V619" s="29" t="str">
        <f t="shared" si="46"/>
        <v>✓ OK</v>
      </c>
      <c r="W619" s="45">
        <v>46248</v>
      </c>
      <c r="X619" s="30" t="s">
        <v>23</v>
      </c>
      <c r="Y619" s="30" t="s">
        <v>24</v>
      </c>
      <c r="Z619" s="30" t="s">
        <v>25</v>
      </c>
      <c r="AA619" s="30" t="s">
        <v>26</v>
      </c>
      <c r="AB619" s="30" t="s">
        <v>24</v>
      </c>
      <c r="AC619" s="27"/>
      <c r="AD619" s="31" t="s">
        <v>25</v>
      </c>
      <c r="AE619" s="32" t="str">
        <f t="shared" si="47"/>
        <v>✓ OK</v>
      </c>
      <c r="AF619" s="33" t="s">
        <v>27</v>
      </c>
      <c r="AG619" s="33" t="s">
        <v>23</v>
      </c>
      <c r="AH619" s="33" t="s">
        <v>24</v>
      </c>
      <c r="AI619" s="33" t="s">
        <v>25</v>
      </c>
      <c r="AJ619" s="33" t="s">
        <v>26</v>
      </c>
      <c r="AK619" s="33" t="s">
        <v>24</v>
      </c>
      <c r="AL619" s="27"/>
      <c r="AM619" s="34" t="s">
        <v>25</v>
      </c>
      <c r="AN619" s="35" t="str">
        <f t="shared" si="48"/>
        <v>✓ OK</v>
      </c>
      <c r="AO619" s="36"/>
      <c r="AP619" s="36"/>
      <c r="AQ619" s="36"/>
      <c r="AR619" s="36"/>
      <c r="AS619" s="36"/>
      <c r="AT619" s="36"/>
      <c r="AU619" s="27"/>
      <c r="AV619" s="37"/>
      <c r="AW619" s="38" t="str">
        <f t="shared" si="49"/>
        <v/>
      </c>
    </row>
    <row r="620" spans="1:49" ht="18" customHeight="1" x14ac:dyDescent="0.3">
      <c r="A620" s="39">
        <v>616</v>
      </c>
      <c r="B620" s="40" t="s">
        <v>3080</v>
      </c>
      <c r="C620" s="41" t="s">
        <v>3081</v>
      </c>
      <c r="D620" s="39" t="s">
        <v>2819</v>
      </c>
      <c r="E620" s="43">
        <v>46126</v>
      </c>
      <c r="F620" s="26" t="s">
        <v>23</v>
      </c>
      <c r="G620" s="26" t="s">
        <v>24</v>
      </c>
      <c r="H620" s="26" t="s">
        <v>25</v>
      </c>
      <c r="I620" s="26" t="s">
        <v>26</v>
      </c>
      <c r="J620" s="26" t="s">
        <v>24</v>
      </c>
      <c r="K620" s="27"/>
      <c r="L620" s="28" t="s">
        <v>25</v>
      </c>
      <c r="M620" s="29" t="str">
        <f t="shared" si="45"/>
        <v>✓ OK</v>
      </c>
      <c r="N620" s="43">
        <v>46193</v>
      </c>
      <c r="O620" s="26" t="s">
        <v>23</v>
      </c>
      <c r="P620" s="26" t="s">
        <v>24</v>
      </c>
      <c r="Q620" s="26" t="s">
        <v>25</v>
      </c>
      <c r="R620" s="26" t="s">
        <v>26</v>
      </c>
      <c r="S620" s="26" t="s">
        <v>24</v>
      </c>
      <c r="T620" s="27"/>
      <c r="U620" s="28" t="s">
        <v>25</v>
      </c>
      <c r="V620" s="29" t="str">
        <f t="shared" si="46"/>
        <v>✓ OK</v>
      </c>
      <c r="W620" s="45">
        <v>46248</v>
      </c>
      <c r="X620" s="30" t="s">
        <v>23</v>
      </c>
      <c r="Y620" s="30" t="s">
        <v>24</v>
      </c>
      <c r="Z620" s="30" t="s">
        <v>25</v>
      </c>
      <c r="AA620" s="30" t="s">
        <v>26</v>
      </c>
      <c r="AB620" s="30" t="s">
        <v>24</v>
      </c>
      <c r="AC620" s="27"/>
      <c r="AD620" s="31" t="s">
        <v>25</v>
      </c>
      <c r="AE620" s="32" t="str">
        <f t="shared" si="47"/>
        <v>✓ OK</v>
      </c>
      <c r="AF620" s="33" t="s">
        <v>27</v>
      </c>
      <c r="AG620" s="33" t="s">
        <v>23</v>
      </c>
      <c r="AH620" s="33" t="s">
        <v>24</v>
      </c>
      <c r="AI620" s="33" t="s">
        <v>25</v>
      </c>
      <c r="AJ620" s="33" t="s">
        <v>26</v>
      </c>
      <c r="AK620" s="33" t="s">
        <v>24</v>
      </c>
      <c r="AL620" s="27"/>
      <c r="AM620" s="34" t="s">
        <v>25</v>
      </c>
      <c r="AN620" s="35" t="str">
        <f t="shared" si="48"/>
        <v>✓ OK</v>
      </c>
      <c r="AO620" s="36"/>
      <c r="AP620" s="36"/>
      <c r="AQ620" s="36"/>
      <c r="AR620" s="36"/>
      <c r="AS620" s="36"/>
      <c r="AT620" s="36"/>
      <c r="AU620" s="27"/>
      <c r="AV620" s="37"/>
      <c r="AW620" s="38" t="str">
        <f t="shared" si="49"/>
        <v/>
      </c>
    </row>
    <row r="621" spans="1:49" ht="18" customHeight="1" x14ac:dyDescent="0.3">
      <c r="A621" s="23">
        <v>617</v>
      </c>
      <c r="B621" s="24" t="s">
        <v>3082</v>
      </c>
      <c r="C621" s="25" t="s">
        <v>3083</v>
      </c>
      <c r="D621" s="23" t="s">
        <v>2819</v>
      </c>
      <c r="E621" s="43">
        <v>46126</v>
      </c>
      <c r="F621" s="26" t="s">
        <v>23</v>
      </c>
      <c r="G621" s="26" t="s">
        <v>24</v>
      </c>
      <c r="H621" s="26" t="s">
        <v>25</v>
      </c>
      <c r="I621" s="26" t="s">
        <v>26</v>
      </c>
      <c r="J621" s="26" t="s">
        <v>24</v>
      </c>
      <c r="K621" s="27"/>
      <c r="L621" s="28" t="s">
        <v>25</v>
      </c>
      <c r="M621" s="29" t="str">
        <f t="shared" si="45"/>
        <v>✓ OK</v>
      </c>
      <c r="N621" s="43">
        <v>46193</v>
      </c>
      <c r="O621" s="26" t="s">
        <v>23</v>
      </c>
      <c r="P621" s="26" t="s">
        <v>24</v>
      </c>
      <c r="Q621" s="26" t="s">
        <v>25</v>
      </c>
      <c r="R621" s="26" t="s">
        <v>26</v>
      </c>
      <c r="S621" s="26" t="s">
        <v>24</v>
      </c>
      <c r="T621" s="27"/>
      <c r="U621" s="28" t="s">
        <v>25</v>
      </c>
      <c r="V621" s="29" t="str">
        <f t="shared" si="46"/>
        <v>✓ OK</v>
      </c>
      <c r="W621" s="45">
        <v>46248</v>
      </c>
      <c r="X621" s="30" t="s">
        <v>23</v>
      </c>
      <c r="Y621" s="30" t="s">
        <v>24</v>
      </c>
      <c r="Z621" s="30" t="s">
        <v>25</v>
      </c>
      <c r="AA621" s="30" t="s">
        <v>26</v>
      </c>
      <c r="AB621" s="30" t="s">
        <v>24</v>
      </c>
      <c r="AC621" s="27"/>
      <c r="AD621" s="31" t="s">
        <v>25</v>
      </c>
      <c r="AE621" s="32" t="str">
        <f t="shared" si="47"/>
        <v>✓ OK</v>
      </c>
      <c r="AF621" s="33" t="s">
        <v>27</v>
      </c>
      <c r="AG621" s="33" t="s">
        <v>23</v>
      </c>
      <c r="AH621" s="33" t="s">
        <v>24</v>
      </c>
      <c r="AI621" s="33" t="s">
        <v>25</v>
      </c>
      <c r="AJ621" s="33" t="s">
        <v>26</v>
      </c>
      <c r="AK621" s="33" t="s">
        <v>24</v>
      </c>
      <c r="AL621" s="27"/>
      <c r="AM621" s="34" t="s">
        <v>25</v>
      </c>
      <c r="AN621" s="35" t="str">
        <f t="shared" si="48"/>
        <v>✓ OK</v>
      </c>
      <c r="AO621" s="36"/>
      <c r="AP621" s="36"/>
      <c r="AQ621" s="36"/>
      <c r="AR621" s="36"/>
      <c r="AS621" s="36"/>
      <c r="AT621" s="36"/>
      <c r="AU621" s="27"/>
      <c r="AV621" s="37"/>
      <c r="AW621" s="38" t="str">
        <f t="shared" si="49"/>
        <v/>
      </c>
    </row>
    <row r="622" spans="1:49" ht="18" customHeight="1" x14ac:dyDescent="0.3">
      <c r="A622" s="39">
        <v>618</v>
      </c>
      <c r="B622" s="40" t="s">
        <v>3084</v>
      </c>
      <c r="C622" s="41" t="s">
        <v>3085</v>
      </c>
      <c r="D622" s="39" t="s">
        <v>2819</v>
      </c>
      <c r="E622" s="43">
        <v>46126</v>
      </c>
      <c r="F622" s="26" t="s">
        <v>23</v>
      </c>
      <c r="G622" s="26" t="s">
        <v>24</v>
      </c>
      <c r="H622" s="26" t="s">
        <v>25</v>
      </c>
      <c r="I622" s="26" t="s">
        <v>26</v>
      </c>
      <c r="J622" s="26" t="s">
        <v>24</v>
      </c>
      <c r="K622" s="27"/>
      <c r="L622" s="28" t="s">
        <v>25</v>
      </c>
      <c r="M622" s="29" t="str">
        <f t="shared" si="45"/>
        <v>✓ OK</v>
      </c>
      <c r="N622" s="43">
        <v>46193</v>
      </c>
      <c r="O622" s="26" t="s">
        <v>23</v>
      </c>
      <c r="P622" s="26" t="s">
        <v>24</v>
      </c>
      <c r="Q622" s="26" t="s">
        <v>25</v>
      </c>
      <c r="R622" s="26" t="s">
        <v>26</v>
      </c>
      <c r="S622" s="26" t="s">
        <v>24</v>
      </c>
      <c r="T622" s="27"/>
      <c r="U622" s="28" t="s">
        <v>25</v>
      </c>
      <c r="V622" s="29" t="str">
        <f t="shared" si="46"/>
        <v>✓ OK</v>
      </c>
      <c r="W622" s="45">
        <v>46248</v>
      </c>
      <c r="X622" s="30" t="s">
        <v>23</v>
      </c>
      <c r="Y622" s="30" t="s">
        <v>24</v>
      </c>
      <c r="Z622" s="30" t="s">
        <v>25</v>
      </c>
      <c r="AA622" s="30" t="s">
        <v>26</v>
      </c>
      <c r="AB622" s="30" t="s">
        <v>24</v>
      </c>
      <c r="AC622" s="27"/>
      <c r="AD622" s="31" t="s">
        <v>25</v>
      </c>
      <c r="AE622" s="32" t="str">
        <f t="shared" si="47"/>
        <v>✓ OK</v>
      </c>
      <c r="AF622" s="33" t="s">
        <v>27</v>
      </c>
      <c r="AG622" s="33" t="s">
        <v>23</v>
      </c>
      <c r="AH622" s="33" t="s">
        <v>24</v>
      </c>
      <c r="AI622" s="33" t="s">
        <v>25</v>
      </c>
      <c r="AJ622" s="33" t="s">
        <v>26</v>
      </c>
      <c r="AK622" s="33" t="s">
        <v>24</v>
      </c>
      <c r="AL622" s="27"/>
      <c r="AM622" s="34" t="s">
        <v>25</v>
      </c>
      <c r="AN622" s="35" t="str">
        <f t="shared" si="48"/>
        <v>✓ OK</v>
      </c>
      <c r="AO622" s="36"/>
      <c r="AP622" s="36"/>
      <c r="AQ622" s="36"/>
      <c r="AR622" s="36"/>
      <c r="AS622" s="36"/>
      <c r="AT622" s="36"/>
      <c r="AU622" s="27"/>
      <c r="AV622" s="37"/>
      <c r="AW622" s="38" t="str">
        <f t="shared" si="49"/>
        <v/>
      </c>
    </row>
    <row r="623" spans="1:49" ht="18" customHeight="1" x14ac:dyDescent="0.3">
      <c r="A623" s="23">
        <v>619</v>
      </c>
      <c r="B623" s="24" t="s">
        <v>3086</v>
      </c>
      <c r="C623" s="25" t="s">
        <v>3087</v>
      </c>
      <c r="D623" s="23" t="s">
        <v>2819</v>
      </c>
      <c r="E623" s="43">
        <v>46126</v>
      </c>
      <c r="F623" s="26" t="s">
        <v>23</v>
      </c>
      <c r="G623" s="26" t="s">
        <v>24</v>
      </c>
      <c r="H623" s="26" t="s">
        <v>25</v>
      </c>
      <c r="I623" s="26" t="s">
        <v>26</v>
      </c>
      <c r="J623" s="26" t="s">
        <v>24</v>
      </c>
      <c r="K623" s="27"/>
      <c r="L623" s="28" t="s">
        <v>25</v>
      </c>
      <c r="M623" s="29" t="str">
        <f t="shared" si="45"/>
        <v>✓ OK</v>
      </c>
      <c r="N623" s="43">
        <v>46193</v>
      </c>
      <c r="O623" s="26" t="s">
        <v>23</v>
      </c>
      <c r="P623" s="26" t="s">
        <v>24</v>
      </c>
      <c r="Q623" s="26" t="s">
        <v>25</v>
      </c>
      <c r="R623" s="26" t="s">
        <v>26</v>
      </c>
      <c r="S623" s="26" t="s">
        <v>24</v>
      </c>
      <c r="T623" s="27"/>
      <c r="U623" s="28" t="s">
        <v>25</v>
      </c>
      <c r="V623" s="29" t="str">
        <f t="shared" si="46"/>
        <v>✓ OK</v>
      </c>
      <c r="W623" s="45">
        <v>46248</v>
      </c>
      <c r="X623" s="30" t="s">
        <v>23</v>
      </c>
      <c r="Y623" s="30" t="s">
        <v>24</v>
      </c>
      <c r="Z623" s="30" t="s">
        <v>25</v>
      </c>
      <c r="AA623" s="30" t="s">
        <v>26</v>
      </c>
      <c r="AB623" s="30" t="s">
        <v>24</v>
      </c>
      <c r="AC623" s="27"/>
      <c r="AD623" s="31" t="s">
        <v>25</v>
      </c>
      <c r="AE623" s="32" t="str">
        <f t="shared" si="47"/>
        <v>✓ OK</v>
      </c>
      <c r="AF623" s="33" t="s">
        <v>27</v>
      </c>
      <c r="AG623" s="33" t="s">
        <v>23</v>
      </c>
      <c r="AH623" s="33" t="s">
        <v>24</v>
      </c>
      <c r="AI623" s="33" t="s">
        <v>25</v>
      </c>
      <c r="AJ623" s="33" t="s">
        <v>26</v>
      </c>
      <c r="AK623" s="33" t="s">
        <v>24</v>
      </c>
      <c r="AL623" s="27"/>
      <c r="AM623" s="34" t="s">
        <v>25</v>
      </c>
      <c r="AN623" s="35" t="str">
        <f t="shared" si="48"/>
        <v>✓ OK</v>
      </c>
      <c r="AO623" s="36"/>
      <c r="AP623" s="36"/>
      <c r="AQ623" s="36"/>
      <c r="AR623" s="36"/>
      <c r="AS623" s="36"/>
      <c r="AT623" s="36"/>
      <c r="AU623" s="27"/>
      <c r="AV623" s="37"/>
      <c r="AW623" s="38" t="str">
        <f t="shared" si="49"/>
        <v/>
      </c>
    </row>
    <row r="624" spans="1:49" ht="18" customHeight="1" x14ac:dyDescent="0.3">
      <c r="A624" s="39">
        <v>620</v>
      </c>
      <c r="B624" s="40" t="s">
        <v>3088</v>
      </c>
      <c r="C624" s="41" t="s">
        <v>3089</v>
      </c>
      <c r="D624" s="39" t="s">
        <v>2819</v>
      </c>
      <c r="E624" s="43">
        <v>46126</v>
      </c>
      <c r="F624" s="26" t="s">
        <v>23</v>
      </c>
      <c r="G624" s="26" t="s">
        <v>24</v>
      </c>
      <c r="H624" s="26" t="s">
        <v>25</v>
      </c>
      <c r="I624" s="26" t="s">
        <v>26</v>
      </c>
      <c r="J624" s="26" t="s">
        <v>24</v>
      </c>
      <c r="K624" s="27"/>
      <c r="L624" s="28" t="s">
        <v>25</v>
      </c>
      <c r="M624" s="29" t="str">
        <f t="shared" si="45"/>
        <v>✓ OK</v>
      </c>
      <c r="N624" s="43">
        <v>46193</v>
      </c>
      <c r="O624" s="26" t="s">
        <v>23</v>
      </c>
      <c r="P624" s="26" t="s">
        <v>24</v>
      </c>
      <c r="Q624" s="26" t="s">
        <v>25</v>
      </c>
      <c r="R624" s="26" t="s">
        <v>26</v>
      </c>
      <c r="S624" s="26" t="s">
        <v>24</v>
      </c>
      <c r="T624" s="27"/>
      <c r="U624" s="28" t="s">
        <v>25</v>
      </c>
      <c r="V624" s="29" t="str">
        <f t="shared" si="46"/>
        <v>✓ OK</v>
      </c>
      <c r="W624" s="45">
        <v>46248</v>
      </c>
      <c r="X624" s="30" t="s">
        <v>23</v>
      </c>
      <c r="Y624" s="30" t="s">
        <v>24</v>
      </c>
      <c r="Z624" s="30" t="s">
        <v>25</v>
      </c>
      <c r="AA624" s="30" t="s">
        <v>26</v>
      </c>
      <c r="AB624" s="30" t="s">
        <v>24</v>
      </c>
      <c r="AC624" s="27"/>
      <c r="AD624" s="31" t="s">
        <v>25</v>
      </c>
      <c r="AE624" s="32" t="str">
        <f t="shared" si="47"/>
        <v>✓ OK</v>
      </c>
      <c r="AF624" s="33" t="s">
        <v>27</v>
      </c>
      <c r="AG624" s="33" t="s">
        <v>23</v>
      </c>
      <c r="AH624" s="33" t="s">
        <v>24</v>
      </c>
      <c r="AI624" s="33" t="s">
        <v>25</v>
      </c>
      <c r="AJ624" s="33" t="s">
        <v>26</v>
      </c>
      <c r="AK624" s="33" t="s">
        <v>24</v>
      </c>
      <c r="AL624" s="27"/>
      <c r="AM624" s="34" t="s">
        <v>25</v>
      </c>
      <c r="AN624" s="35" t="str">
        <f t="shared" si="48"/>
        <v>✓ OK</v>
      </c>
      <c r="AO624" s="36"/>
      <c r="AP624" s="36"/>
      <c r="AQ624" s="36"/>
      <c r="AR624" s="36"/>
      <c r="AS624" s="36"/>
      <c r="AT624" s="36"/>
      <c r="AU624" s="27"/>
      <c r="AV624" s="37"/>
      <c r="AW624" s="38" t="str">
        <f t="shared" si="49"/>
        <v/>
      </c>
    </row>
    <row r="625" spans="1:49" ht="18" customHeight="1" x14ac:dyDescent="0.3">
      <c r="A625" s="23">
        <v>621</v>
      </c>
      <c r="B625" s="24" t="s">
        <v>3090</v>
      </c>
      <c r="C625" s="25" t="s">
        <v>3091</v>
      </c>
      <c r="D625" s="23" t="s">
        <v>2819</v>
      </c>
      <c r="E625" s="43">
        <v>46126</v>
      </c>
      <c r="F625" s="26" t="s">
        <v>23</v>
      </c>
      <c r="G625" s="26" t="s">
        <v>24</v>
      </c>
      <c r="H625" s="26" t="s">
        <v>25</v>
      </c>
      <c r="I625" s="26" t="s">
        <v>26</v>
      </c>
      <c r="J625" s="26" t="s">
        <v>24</v>
      </c>
      <c r="K625" s="27"/>
      <c r="L625" s="28" t="s">
        <v>25</v>
      </c>
      <c r="M625" s="29" t="str">
        <f t="shared" si="45"/>
        <v>✓ OK</v>
      </c>
      <c r="N625" s="43">
        <v>46193</v>
      </c>
      <c r="O625" s="26" t="s">
        <v>23</v>
      </c>
      <c r="P625" s="26" t="s">
        <v>24</v>
      </c>
      <c r="Q625" s="26" t="s">
        <v>25</v>
      </c>
      <c r="R625" s="26" t="s">
        <v>26</v>
      </c>
      <c r="S625" s="26" t="s">
        <v>24</v>
      </c>
      <c r="T625" s="27"/>
      <c r="U625" s="28" t="s">
        <v>25</v>
      </c>
      <c r="V625" s="29" t="str">
        <f t="shared" si="46"/>
        <v>✓ OK</v>
      </c>
      <c r="W625" s="45">
        <v>46248</v>
      </c>
      <c r="X625" s="30" t="s">
        <v>23</v>
      </c>
      <c r="Y625" s="30" t="s">
        <v>24</v>
      </c>
      <c r="Z625" s="30" t="s">
        <v>25</v>
      </c>
      <c r="AA625" s="30" t="s">
        <v>26</v>
      </c>
      <c r="AB625" s="30" t="s">
        <v>24</v>
      </c>
      <c r="AC625" s="27"/>
      <c r="AD625" s="31" t="s">
        <v>25</v>
      </c>
      <c r="AE625" s="32" t="str">
        <f t="shared" si="47"/>
        <v>✓ OK</v>
      </c>
      <c r="AF625" s="33" t="s">
        <v>27</v>
      </c>
      <c r="AG625" s="33" t="s">
        <v>23</v>
      </c>
      <c r="AH625" s="33" t="s">
        <v>24</v>
      </c>
      <c r="AI625" s="33" t="s">
        <v>25</v>
      </c>
      <c r="AJ625" s="33" t="s">
        <v>26</v>
      </c>
      <c r="AK625" s="33" t="s">
        <v>24</v>
      </c>
      <c r="AL625" s="27"/>
      <c r="AM625" s="34" t="s">
        <v>25</v>
      </c>
      <c r="AN625" s="35" t="str">
        <f t="shared" si="48"/>
        <v>✓ OK</v>
      </c>
      <c r="AO625" s="36"/>
      <c r="AP625" s="36"/>
      <c r="AQ625" s="36"/>
      <c r="AR625" s="36"/>
      <c r="AS625" s="36"/>
      <c r="AT625" s="36"/>
      <c r="AU625" s="27"/>
      <c r="AV625" s="37"/>
      <c r="AW625" s="38" t="str">
        <f t="shared" si="49"/>
        <v/>
      </c>
    </row>
    <row r="626" spans="1:49" ht="18" customHeight="1" x14ac:dyDescent="0.3">
      <c r="A626" s="39">
        <v>622</v>
      </c>
      <c r="B626" s="40" t="s">
        <v>3092</v>
      </c>
      <c r="C626" s="41" t="s">
        <v>3093</v>
      </c>
      <c r="D626" s="39" t="s">
        <v>2819</v>
      </c>
      <c r="E626" s="43">
        <v>46126</v>
      </c>
      <c r="F626" s="26" t="s">
        <v>23</v>
      </c>
      <c r="G626" s="26" t="s">
        <v>24</v>
      </c>
      <c r="H626" s="26" t="s">
        <v>25</v>
      </c>
      <c r="I626" s="26" t="s">
        <v>26</v>
      </c>
      <c r="J626" s="26" t="s">
        <v>24</v>
      </c>
      <c r="K626" s="27"/>
      <c r="L626" s="28" t="s">
        <v>25</v>
      </c>
      <c r="M626" s="29" t="str">
        <f t="shared" si="45"/>
        <v>✓ OK</v>
      </c>
      <c r="N626" s="43">
        <v>46193</v>
      </c>
      <c r="O626" s="26" t="s">
        <v>23</v>
      </c>
      <c r="P626" s="26" t="s">
        <v>24</v>
      </c>
      <c r="Q626" s="26" t="s">
        <v>25</v>
      </c>
      <c r="R626" s="26" t="s">
        <v>26</v>
      </c>
      <c r="S626" s="26" t="s">
        <v>24</v>
      </c>
      <c r="T626" s="27"/>
      <c r="U626" s="28" t="s">
        <v>25</v>
      </c>
      <c r="V626" s="29" t="str">
        <f t="shared" si="46"/>
        <v>✓ OK</v>
      </c>
      <c r="W626" s="45">
        <v>46248</v>
      </c>
      <c r="X626" s="30" t="s">
        <v>23</v>
      </c>
      <c r="Y626" s="30" t="s">
        <v>24</v>
      </c>
      <c r="Z626" s="30" t="s">
        <v>25</v>
      </c>
      <c r="AA626" s="30" t="s">
        <v>26</v>
      </c>
      <c r="AB626" s="30" t="s">
        <v>24</v>
      </c>
      <c r="AC626" s="27"/>
      <c r="AD626" s="31" t="s">
        <v>25</v>
      </c>
      <c r="AE626" s="32" t="str">
        <f t="shared" si="47"/>
        <v>✓ OK</v>
      </c>
      <c r="AF626" s="33" t="s">
        <v>27</v>
      </c>
      <c r="AG626" s="33" t="s">
        <v>23</v>
      </c>
      <c r="AH626" s="33" t="s">
        <v>24</v>
      </c>
      <c r="AI626" s="33" t="s">
        <v>25</v>
      </c>
      <c r="AJ626" s="33" t="s">
        <v>26</v>
      </c>
      <c r="AK626" s="33" t="s">
        <v>24</v>
      </c>
      <c r="AL626" s="27"/>
      <c r="AM626" s="34" t="s">
        <v>25</v>
      </c>
      <c r="AN626" s="35" t="str">
        <f t="shared" si="48"/>
        <v>✓ OK</v>
      </c>
      <c r="AO626" s="36"/>
      <c r="AP626" s="36"/>
      <c r="AQ626" s="36"/>
      <c r="AR626" s="36"/>
      <c r="AS626" s="36"/>
      <c r="AT626" s="36"/>
      <c r="AU626" s="27"/>
      <c r="AV626" s="37"/>
      <c r="AW626" s="38" t="str">
        <f t="shared" si="49"/>
        <v/>
      </c>
    </row>
    <row r="627" spans="1:49" ht="18" customHeight="1" x14ac:dyDescent="0.3">
      <c r="A627" s="23">
        <v>623</v>
      </c>
      <c r="B627" s="24" t="s">
        <v>3094</v>
      </c>
      <c r="C627" s="25" t="s">
        <v>3095</v>
      </c>
      <c r="D627" s="23" t="s">
        <v>2819</v>
      </c>
      <c r="E627" s="43">
        <v>46126</v>
      </c>
      <c r="F627" s="26" t="s">
        <v>23</v>
      </c>
      <c r="G627" s="26" t="s">
        <v>24</v>
      </c>
      <c r="H627" s="26" t="s">
        <v>25</v>
      </c>
      <c r="I627" s="26" t="s">
        <v>26</v>
      </c>
      <c r="J627" s="26" t="s">
        <v>24</v>
      </c>
      <c r="K627" s="27"/>
      <c r="L627" s="28" t="s">
        <v>25</v>
      </c>
      <c r="M627" s="29" t="str">
        <f t="shared" si="45"/>
        <v>✓ OK</v>
      </c>
      <c r="N627" s="43">
        <v>46193</v>
      </c>
      <c r="O627" s="26" t="s">
        <v>23</v>
      </c>
      <c r="P627" s="26" t="s">
        <v>24</v>
      </c>
      <c r="Q627" s="26" t="s">
        <v>25</v>
      </c>
      <c r="R627" s="26" t="s">
        <v>26</v>
      </c>
      <c r="S627" s="26" t="s">
        <v>24</v>
      </c>
      <c r="T627" s="27"/>
      <c r="U627" s="28" t="s">
        <v>25</v>
      </c>
      <c r="V627" s="29" t="str">
        <f t="shared" si="46"/>
        <v>✓ OK</v>
      </c>
      <c r="W627" s="45">
        <v>46248</v>
      </c>
      <c r="X627" s="30" t="s">
        <v>23</v>
      </c>
      <c r="Y627" s="30" t="s">
        <v>24</v>
      </c>
      <c r="Z627" s="30" t="s">
        <v>25</v>
      </c>
      <c r="AA627" s="30" t="s">
        <v>26</v>
      </c>
      <c r="AB627" s="30" t="s">
        <v>24</v>
      </c>
      <c r="AC627" s="27"/>
      <c r="AD627" s="31" t="s">
        <v>25</v>
      </c>
      <c r="AE627" s="32" t="str">
        <f t="shared" si="47"/>
        <v>✓ OK</v>
      </c>
      <c r="AF627" s="33" t="s">
        <v>27</v>
      </c>
      <c r="AG627" s="33" t="s">
        <v>23</v>
      </c>
      <c r="AH627" s="33" t="s">
        <v>24</v>
      </c>
      <c r="AI627" s="33" t="s">
        <v>25</v>
      </c>
      <c r="AJ627" s="33" t="s">
        <v>26</v>
      </c>
      <c r="AK627" s="33" t="s">
        <v>24</v>
      </c>
      <c r="AL627" s="27"/>
      <c r="AM627" s="34" t="s">
        <v>25</v>
      </c>
      <c r="AN627" s="35" t="str">
        <f t="shared" si="48"/>
        <v>✓ OK</v>
      </c>
      <c r="AO627" s="36"/>
      <c r="AP627" s="36"/>
      <c r="AQ627" s="36"/>
      <c r="AR627" s="36"/>
      <c r="AS627" s="36"/>
      <c r="AT627" s="36"/>
      <c r="AU627" s="27"/>
      <c r="AV627" s="37"/>
      <c r="AW627" s="38" t="str">
        <f t="shared" si="49"/>
        <v/>
      </c>
    </row>
    <row r="628" spans="1:49" ht="18" customHeight="1" x14ac:dyDescent="0.3">
      <c r="A628" s="39">
        <v>624</v>
      </c>
      <c r="B628" s="40" t="s">
        <v>3096</v>
      </c>
      <c r="C628" s="41" t="s">
        <v>3097</v>
      </c>
      <c r="D628" s="39" t="s">
        <v>2819</v>
      </c>
      <c r="E628" s="43">
        <v>46126</v>
      </c>
      <c r="F628" s="26" t="s">
        <v>23</v>
      </c>
      <c r="G628" s="26" t="s">
        <v>24</v>
      </c>
      <c r="H628" s="26" t="s">
        <v>25</v>
      </c>
      <c r="I628" s="26" t="s">
        <v>26</v>
      </c>
      <c r="J628" s="26" t="s">
        <v>24</v>
      </c>
      <c r="K628" s="27"/>
      <c r="L628" s="28" t="s">
        <v>25</v>
      </c>
      <c r="M628" s="29" t="str">
        <f t="shared" si="45"/>
        <v>✓ OK</v>
      </c>
      <c r="N628" s="43">
        <v>46193</v>
      </c>
      <c r="O628" s="26" t="s">
        <v>23</v>
      </c>
      <c r="P628" s="26" t="s">
        <v>24</v>
      </c>
      <c r="Q628" s="26" t="s">
        <v>25</v>
      </c>
      <c r="R628" s="26" t="s">
        <v>26</v>
      </c>
      <c r="S628" s="26" t="s">
        <v>24</v>
      </c>
      <c r="T628" s="27"/>
      <c r="U628" s="28" t="s">
        <v>25</v>
      </c>
      <c r="V628" s="29" t="str">
        <f t="shared" si="46"/>
        <v>✓ OK</v>
      </c>
      <c r="W628" s="45">
        <v>46248</v>
      </c>
      <c r="X628" s="30" t="s">
        <v>23</v>
      </c>
      <c r="Y628" s="30" t="s">
        <v>24</v>
      </c>
      <c r="Z628" s="30" t="s">
        <v>25</v>
      </c>
      <c r="AA628" s="30" t="s">
        <v>26</v>
      </c>
      <c r="AB628" s="30" t="s">
        <v>24</v>
      </c>
      <c r="AC628" s="27"/>
      <c r="AD628" s="31" t="s">
        <v>25</v>
      </c>
      <c r="AE628" s="32" t="str">
        <f t="shared" si="47"/>
        <v>✓ OK</v>
      </c>
      <c r="AF628" s="33" t="s">
        <v>27</v>
      </c>
      <c r="AG628" s="33" t="s">
        <v>23</v>
      </c>
      <c r="AH628" s="33" t="s">
        <v>24</v>
      </c>
      <c r="AI628" s="33" t="s">
        <v>25</v>
      </c>
      <c r="AJ628" s="33" t="s">
        <v>26</v>
      </c>
      <c r="AK628" s="33" t="s">
        <v>24</v>
      </c>
      <c r="AL628" s="27"/>
      <c r="AM628" s="34" t="s">
        <v>25</v>
      </c>
      <c r="AN628" s="35" t="str">
        <f t="shared" si="48"/>
        <v>✓ OK</v>
      </c>
      <c r="AO628" s="36"/>
      <c r="AP628" s="36"/>
      <c r="AQ628" s="36"/>
      <c r="AR628" s="36"/>
      <c r="AS628" s="36"/>
      <c r="AT628" s="36"/>
      <c r="AU628" s="27"/>
      <c r="AV628" s="37"/>
      <c r="AW628" s="38" t="str">
        <f t="shared" si="49"/>
        <v/>
      </c>
    </row>
    <row r="629" spans="1:49" ht="18" customHeight="1" x14ac:dyDescent="0.3">
      <c r="A629" s="23">
        <v>625</v>
      </c>
      <c r="B629" s="24" t="s">
        <v>3098</v>
      </c>
      <c r="C629" s="25" t="s">
        <v>3099</v>
      </c>
      <c r="D629" s="23" t="s">
        <v>2819</v>
      </c>
      <c r="E629" s="43">
        <v>46126</v>
      </c>
      <c r="F629" s="26" t="s">
        <v>23</v>
      </c>
      <c r="G629" s="26" t="s">
        <v>24</v>
      </c>
      <c r="H629" s="26" t="s">
        <v>25</v>
      </c>
      <c r="I629" s="26" t="s">
        <v>26</v>
      </c>
      <c r="J629" s="26" t="s">
        <v>24</v>
      </c>
      <c r="K629" s="27"/>
      <c r="L629" s="28" t="s">
        <v>25</v>
      </c>
      <c r="M629" s="29" t="str">
        <f t="shared" si="45"/>
        <v>✓ OK</v>
      </c>
      <c r="N629" s="43">
        <v>46193</v>
      </c>
      <c r="O629" s="26" t="s">
        <v>23</v>
      </c>
      <c r="P629" s="26" t="s">
        <v>24</v>
      </c>
      <c r="Q629" s="26" t="s">
        <v>25</v>
      </c>
      <c r="R629" s="26" t="s">
        <v>26</v>
      </c>
      <c r="S629" s="26" t="s">
        <v>24</v>
      </c>
      <c r="T629" s="27"/>
      <c r="U629" s="28" t="s">
        <v>25</v>
      </c>
      <c r="V629" s="29" t="str">
        <f t="shared" si="46"/>
        <v>✓ OK</v>
      </c>
      <c r="W629" s="45">
        <v>46248</v>
      </c>
      <c r="X629" s="30" t="s">
        <v>23</v>
      </c>
      <c r="Y629" s="30" t="s">
        <v>24</v>
      </c>
      <c r="Z629" s="30" t="s">
        <v>25</v>
      </c>
      <c r="AA629" s="30" t="s">
        <v>26</v>
      </c>
      <c r="AB629" s="30" t="s">
        <v>24</v>
      </c>
      <c r="AC629" s="27"/>
      <c r="AD629" s="31" t="s">
        <v>25</v>
      </c>
      <c r="AE629" s="32" t="str">
        <f t="shared" si="47"/>
        <v>✓ OK</v>
      </c>
      <c r="AF629" s="33" t="s">
        <v>27</v>
      </c>
      <c r="AG629" s="33" t="s">
        <v>23</v>
      </c>
      <c r="AH629" s="33" t="s">
        <v>24</v>
      </c>
      <c r="AI629" s="33" t="s">
        <v>25</v>
      </c>
      <c r="AJ629" s="33" t="s">
        <v>26</v>
      </c>
      <c r="AK629" s="33" t="s">
        <v>24</v>
      </c>
      <c r="AL629" s="27"/>
      <c r="AM629" s="34" t="s">
        <v>25</v>
      </c>
      <c r="AN629" s="35" t="str">
        <f t="shared" si="48"/>
        <v>✓ OK</v>
      </c>
      <c r="AO629" s="36"/>
      <c r="AP629" s="36"/>
      <c r="AQ629" s="36"/>
      <c r="AR629" s="36"/>
      <c r="AS629" s="36"/>
      <c r="AT629" s="36"/>
      <c r="AU629" s="27"/>
      <c r="AV629" s="37"/>
      <c r="AW629" s="38" t="str">
        <f t="shared" si="49"/>
        <v/>
      </c>
    </row>
    <row r="630" spans="1:49" ht="18" customHeight="1" x14ac:dyDescent="0.3">
      <c r="A630" s="39">
        <v>626</v>
      </c>
      <c r="B630" s="40" t="s">
        <v>3100</v>
      </c>
      <c r="C630" s="41" t="s">
        <v>3101</v>
      </c>
      <c r="D630" s="39" t="s">
        <v>2819</v>
      </c>
      <c r="E630" s="43">
        <v>46126</v>
      </c>
      <c r="F630" s="26" t="s">
        <v>23</v>
      </c>
      <c r="G630" s="26" t="s">
        <v>24</v>
      </c>
      <c r="H630" s="26" t="s">
        <v>25</v>
      </c>
      <c r="I630" s="26" t="s">
        <v>26</v>
      </c>
      <c r="J630" s="26" t="s">
        <v>24</v>
      </c>
      <c r="K630" s="27"/>
      <c r="L630" s="28" t="s">
        <v>25</v>
      </c>
      <c r="M630" s="29" t="str">
        <f t="shared" si="45"/>
        <v>✓ OK</v>
      </c>
      <c r="N630" s="43">
        <v>46193</v>
      </c>
      <c r="O630" s="26" t="s">
        <v>23</v>
      </c>
      <c r="P630" s="26" t="s">
        <v>24</v>
      </c>
      <c r="Q630" s="26" t="s">
        <v>25</v>
      </c>
      <c r="R630" s="26" t="s">
        <v>26</v>
      </c>
      <c r="S630" s="26" t="s">
        <v>24</v>
      </c>
      <c r="T630" s="27"/>
      <c r="U630" s="28" t="s">
        <v>25</v>
      </c>
      <c r="V630" s="29" t="str">
        <f t="shared" si="46"/>
        <v>✓ OK</v>
      </c>
      <c r="W630" s="45">
        <v>46248</v>
      </c>
      <c r="X630" s="30" t="s">
        <v>23</v>
      </c>
      <c r="Y630" s="30" t="s">
        <v>24</v>
      </c>
      <c r="Z630" s="30" t="s">
        <v>25</v>
      </c>
      <c r="AA630" s="30" t="s">
        <v>26</v>
      </c>
      <c r="AB630" s="30" t="s">
        <v>24</v>
      </c>
      <c r="AC630" s="27"/>
      <c r="AD630" s="31" t="s">
        <v>25</v>
      </c>
      <c r="AE630" s="32" t="str">
        <f t="shared" si="47"/>
        <v>✓ OK</v>
      </c>
      <c r="AF630" s="33" t="s">
        <v>27</v>
      </c>
      <c r="AG630" s="33" t="s">
        <v>23</v>
      </c>
      <c r="AH630" s="33" t="s">
        <v>24</v>
      </c>
      <c r="AI630" s="33" t="s">
        <v>25</v>
      </c>
      <c r="AJ630" s="33" t="s">
        <v>26</v>
      </c>
      <c r="AK630" s="33" t="s">
        <v>24</v>
      </c>
      <c r="AL630" s="27"/>
      <c r="AM630" s="34" t="s">
        <v>25</v>
      </c>
      <c r="AN630" s="35" t="str">
        <f t="shared" si="48"/>
        <v>✓ OK</v>
      </c>
      <c r="AO630" s="36"/>
      <c r="AP630" s="36"/>
      <c r="AQ630" s="36"/>
      <c r="AR630" s="36"/>
      <c r="AS630" s="36"/>
      <c r="AT630" s="36"/>
      <c r="AU630" s="27"/>
      <c r="AV630" s="37"/>
      <c r="AW630" s="38" t="str">
        <f t="shared" si="49"/>
        <v/>
      </c>
    </row>
    <row r="631" spans="1:49" ht="18" customHeight="1" x14ac:dyDescent="0.3">
      <c r="A631" s="23">
        <v>627</v>
      </c>
      <c r="B631" s="24" t="s">
        <v>3102</v>
      </c>
      <c r="C631" s="25" t="s">
        <v>3103</v>
      </c>
      <c r="D631" s="23" t="s">
        <v>2819</v>
      </c>
      <c r="E631" s="43">
        <v>46126</v>
      </c>
      <c r="F631" s="26" t="s">
        <v>23</v>
      </c>
      <c r="G631" s="26" t="s">
        <v>24</v>
      </c>
      <c r="H631" s="26" t="s">
        <v>25</v>
      </c>
      <c r="I631" s="26" t="s">
        <v>26</v>
      </c>
      <c r="J631" s="26" t="s">
        <v>24</v>
      </c>
      <c r="K631" s="27"/>
      <c r="L631" s="28" t="s">
        <v>25</v>
      </c>
      <c r="M631" s="29" t="str">
        <f t="shared" si="45"/>
        <v>✓ OK</v>
      </c>
      <c r="N631" s="43">
        <v>46193</v>
      </c>
      <c r="O631" s="26" t="s">
        <v>23</v>
      </c>
      <c r="P631" s="26" t="s">
        <v>24</v>
      </c>
      <c r="Q631" s="26" t="s">
        <v>25</v>
      </c>
      <c r="R631" s="26" t="s">
        <v>26</v>
      </c>
      <c r="S631" s="26" t="s">
        <v>24</v>
      </c>
      <c r="T631" s="27"/>
      <c r="U631" s="28" t="s">
        <v>25</v>
      </c>
      <c r="V631" s="29" t="str">
        <f t="shared" si="46"/>
        <v>✓ OK</v>
      </c>
      <c r="W631" s="45">
        <v>46248</v>
      </c>
      <c r="X631" s="30" t="s">
        <v>23</v>
      </c>
      <c r="Y631" s="30" t="s">
        <v>24</v>
      </c>
      <c r="Z631" s="30" t="s">
        <v>25</v>
      </c>
      <c r="AA631" s="30" t="s">
        <v>26</v>
      </c>
      <c r="AB631" s="30" t="s">
        <v>24</v>
      </c>
      <c r="AC631" s="27"/>
      <c r="AD631" s="31" t="s">
        <v>25</v>
      </c>
      <c r="AE631" s="32" t="str">
        <f t="shared" si="47"/>
        <v>✓ OK</v>
      </c>
      <c r="AF631" s="33" t="s">
        <v>27</v>
      </c>
      <c r="AG631" s="33" t="s">
        <v>23</v>
      </c>
      <c r="AH631" s="33" t="s">
        <v>24</v>
      </c>
      <c r="AI631" s="33" t="s">
        <v>25</v>
      </c>
      <c r="AJ631" s="33" t="s">
        <v>26</v>
      </c>
      <c r="AK631" s="33" t="s">
        <v>24</v>
      </c>
      <c r="AL631" s="27"/>
      <c r="AM631" s="34" t="s">
        <v>25</v>
      </c>
      <c r="AN631" s="35" t="str">
        <f t="shared" si="48"/>
        <v>✓ OK</v>
      </c>
      <c r="AO631" s="36"/>
      <c r="AP631" s="36"/>
      <c r="AQ631" s="36"/>
      <c r="AR631" s="36"/>
      <c r="AS631" s="36"/>
      <c r="AT631" s="36"/>
      <c r="AU631" s="27"/>
      <c r="AV631" s="37"/>
      <c r="AW631" s="38" t="str">
        <f t="shared" si="49"/>
        <v/>
      </c>
    </row>
    <row r="632" spans="1:49" ht="18" customHeight="1" x14ac:dyDescent="0.3">
      <c r="A632" s="39">
        <v>628</v>
      </c>
      <c r="B632" s="40" t="s">
        <v>3104</v>
      </c>
      <c r="C632" s="41" t="s">
        <v>3105</v>
      </c>
      <c r="D632" s="39" t="s">
        <v>2819</v>
      </c>
      <c r="E632" s="43">
        <v>46126</v>
      </c>
      <c r="F632" s="26" t="s">
        <v>23</v>
      </c>
      <c r="G632" s="26" t="s">
        <v>24</v>
      </c>
      <c r="H632" s="26" t="s">
        <v>25</v>
      </c>
      <c r="I632" s="26" t="s">
        <v>26</v>
      </c>
      <c r="J632" s="26" t="s">
        <v>24</v>
      </c>
      <c r="K632" s="27"/>
      <c r="L632" s="28" t="s">
        <v>25</v>
      </c>
      <c r="M632" s="29" t="str">
        <f t="shared" si="45"/>
        <v>✓ OK</v>
      </c>
      <c r="N632" s="43">
        <v>46193</v>
      </c>
      <c r="O632" s="26" t="s">
        <v>23</v>
      </c>
      <c r="P632" s="26" t="s">
        <v>24</v>
      </c>
      <c r="Q632" s="26" t="s">
        <v>25</v>
      </c>
      <c r="R632" s="26" t="s">
        <v>26</v>
      </c>
      <c r="S632" s="26" t="s">
        <v>24</v>
      </c>
      <c r="T632" s="27"/>
      <c r="U632" s="28" t="s">
        <v>25</v>
      </c>
      <c r="V632" s="29" t="str">
        <f t="shared" si="46"/>
        <v>✓ OK</v>
      </c>
      <c r="W632" s="45">
        <v>46248</v>
      </c>
      <c r="X632" s="30" t="s">
        <v>23</v>
      </c>
      <c r="Y632" s="30" t="s">
        <v>24</v>
      </c>
      <c r="Z632" s="30" t="s">
        <v>25</v>
      </c>
      <c r="AA632" s="30" t="s">
        <v>26</v>
      </c>
      <c r="AB632" s="30" t="s">
        <v>24</v>
      </c>
      <c r="AC632" s="27"/>
      <c r="AD632" s="31" t="s">
        <v>25</v>
      </c>
      <c r="AE632" s="32" t="str">
        <f t="shared" si="47"/>
        <v>✓ OK</v>
      </c>
      <c r="AF632" s="33" t="s">
        <v>27</v>
      </c>
      <c r="AG632" s="33" t="s">
        <v>23</v>
      </c>
      <c r="AH632" s="33" t="s">
        <v>24</v>
      </c>
      <c r="AI632" s="33" t="s">
        <v>25</v>
      </c>
      <c r="AJ632" s="33" t="s">
        <v>26</v>
      </c>
      <c r="AK632" s="33" t="s">
        <v>24</v>
      </c>
      <c r="AL632" s="27"/>
      <c r="AM632" s="34" t="s">
        <v>25</v>
      </c>
      <c r="AN632" s="35" t="str">
        <f t="shared" si="48"/>
        <v>✓ OK</v>
      </c>
      <c r="AO632" s="36"/>
      <c r="AP632" s="36"/>
      <c r="AQ632" s="36"/>
      <c r="AR632" s="36"/>
      <c r="AS632" s="36"/>
      <c r="AT632" s="36"/>
      <c r="AU632" s="27"/>
      <c r="AV632" s="37"/>
      <c r="AW632" s="38" t="str">
        <f t="shared" si="49"/>
        <v/>
      </c>
    </row>
    <row r="633" spans="1:49" ht="18" customHeight="1" x14ac:dyDescent="0.3">
      <c r="A633" s="23">
        <v>629</v>
      </c>
      <c r="B633" s="24" t="s">
        <v>3106</v>
      </c>
      <c r="C633" s="25" t="s">
        <v>3107</v>
      </c>
      <c r="D633" s="23" t="s">
        <v>2819</v>
      </c>
      <c r="E633" s="43">
        <v>46126</v>
      </c>
      <c r="F633" s="26" t="s">
        <v>23</v>
      </c>
      <c r="G633" s="26" t="s">
        <v>24</v>
      </c>
      <c r="H633" s="26" t="s">
        <v>25</v>
      </c>
      <c r="I633" s="26" t="s">
        <v>26</v>
      </c>
      <c r="J633" s="26" t="s">
        <v>24</v>
      </c>
      <c r="K633" s="27"/>
      <c r="L633" s="28" t="s">
        <v>25</v>
      </c>
      <c r="M633" s="29" t="str">
        <f t="shared" si="45"/>
        <v>✓ OK</v>
      </c>
      <c r="N633" s="43">
        <v>46193</v>
      </c>
      <c r="O633" s="26" t="s">
        <v>23</v>
      </c>
      <c r="P633" s="26" t="s">
        <v>24</v>
      </c>
      <c r="Q633" s="26" t="s">
        <v>25</v>
      </c>
      <c r="R633" s="26" t="s">
        <v>26</v>
      </c>
      <c r="S633" s="26" t="s">
        <v>24</v>
      </c>
      <c r="T633" s="27"/>
      <c r="U633" s="28" t="s">
        <v>25</v>
      </c>
      <c r="V633" s="29" t="str">
        <f t="shared" si="46"/>
        <v>✓ OK</v>
      </c>
      <c r="W633" s="45">
        <v>46248</v>
      </c>
      <c r="X633" s="30" t="s">
        <v>23</v>
      </c>
      <c r="Y633" s="30" t="s">
        <v>24</v>
      </c>
      <c r="Z633" s="30" t="s">
        <v>25</v>
      </c>
      <c r="AA633" s="30" t="s">
        <v>26</v>
      </c>
      <c r="AB633" s="30" t="s">
        <v>24</v>
      </c>
      <c r="AC633" s="27"/>
      <c r="AD633" s="31" t="s">
        <v>25</v>
      </c>
      <c r="AE633" s="32" t="str">
        <f t="shared" si="47"/>
        <v>✓ OK</v>
      </c>
      <c r="AF633" s="33" t="s">
        <v>27</v>
      </c>
      <c r="AG633" s="33" t="s">
        <v>23</v>
      </c>
      <c r="AH633" s="33" t="s">
        <v>24</v>
      </c>
      <c r="AI633" s="33" t="s">
        <v>25</v>
      </c>
      <c r="AJ633" s="33" t="s">
        <v>26</v>
      </c>
      <c r="AK633" s="33" t="s">
        <v>24</v>
      </c>
      <c r="AL633" s="27"/>
      <c r="AM633" s="34" t="s">
        <v>25</v>
      </c>
      <c r="AN633" s="35" t="str">
        <f t="shared" si="48"/>
        <v>✓ OK</v>
      </c>
      <c r="AO633" s="36"/>
      <c r="AP633" s="36"/>
      <c r="AQ633" s="36"/>
      <c r="AR633" s="36"/>
      <c r="AS633" s="36"/>
      <c r="AT633" s="36"/>
      <c r="AU633" s="27"/>
      <c r="AV633" s="37"/>
      <c r="AW633" s="38" t="str">
        <f t="shared" si="49"/>
        <v/>
      </c>
    </row>
    <row r="634" spans="1:49" ht="18" customHeight="1" x14ac:dyDescent="0.3">
      <c r="A634" s="39">
        <v>630</v>
      </c>
      <c r="B634" s="40" t="s">
        <v>3108</v>
      </c>
      <c r="C634" s="41" t="s">
        <v>3109</v>
      </c>
      <c r="D634" s="39" t="s">
        <v>2819</v>
      </c>
      <c r="E634" s="43">
        <v>46126</v>
      </c>
      <c r="F634" s="26" t="s">
        <v>23</v>
      </c>
      <c r="G634" s="26" t="s">
        <v>24</v>
      </c>
      <c r="H634" s="26" t="s">
        <v>25</v>
      </c>
      <c r="I634" s="26" t="s">
        <v>26</v>
      </c>
      <c r="J634" s="26" t="s">
        <v>24</v>
      </c>
      <c r="K634" s="27"/>
      <c r="L634" s="28" t="s">
        <v>25</v>
      </c>
      <c r="M634" s="29" t="str">
        <f t="shared" si="45"/>
        <v>✓ OK</v>
      </c>
      <c r="N634" s="43">
        <v>46193</v>
      </c>
      <c r="O634" s="26" t="s">
        <v>23</v>
      </c>
      <c r="P634" s="26" t="s">
        <v>24</v>
      </c>
      <c r="Q634" s="26" t="s">
        <v>25</v>
      </c>
      <c r="R634" s="26" t="s">
        <v>26</v>
      </c>
      <c r="S634" s="26" t="s">
        <v>24</v>
      </c>
      <c r="T634" s="27"/>
      <c r="U634" s="28" t="s">
        <v>25</v>
      </c>
      <c r="V634" s="29" t="str">
        <f t="shared" si="46"/>
        <v>✓ OK</v>
      </c>
      <c r="W634" s="45">
        <v>46248</v>
      </c>
      <c r="X634" s="30" t="s">
        <v>23</v>
      </c>
      <c r="Y634" s="30" t="s">
        <v>24</v>
      </c>
      <c r="Z634" s="30" t="s">
        <v>25</v>
      </c>
      <c r="AA634" s="30" t="s">
        <v>26</v>
      </c>
      <c r="AB634" s="30" t="s">
        <v>24</v>
      </c>
      <c r="AC634" s="27"/>
      <c r="AD634" s="31" t="s">
        <v>25</v>
      </c>
      <c r="AE634" s="32" t="str">
        <f t="shared" si="47"/>
        <v>✓ OK</v>
      </c>
      <c r="AF634" s="33" t="s">
        <v>27</v>
      </c>
      <c r="AG634" s="33" t="s">
        <v>23</v>
      </c>
      <c r="AH634" s="33" t="s">
        <v>24</v>
      </c>
      <c r="AI634" s="33" t="s">
        <v>25</v>
      </c>
      <c r="AJ634" s="33" t="s">
        <v>26</v>
      </c>
      <c r="AK634" s="33" t="s">
        <v>24</v>
      </c>
      <c r="AL634" s="27"/>
      <c r="AM634" s="34" t="s">
        <v>25</v>
      </c>
      <c r="AN634" s="35" t="str">
        <f t="shared" si="48"/>
        <v>✓ OK</v>
      </c>
      <c r="AO634" s="36"/>
      <c r="AP634" s="36"/>
      <c r="AQ634" s="36"/>
      <c r="AR634" s="36"/>
      <c r="AS634" s="36"/>
      <c r="AT634" s="36"/>
      <c r="AU634" s="27"/>
      <c r="AV634" s="37"/>
      <c r="AW634" s="38" t="str">
        <f t="shared" si="49"/>
        <v/>
      </c>
    </row>
    <row r="635" spans="1:49" ht="18" customHeight="1" x14ac:dyDescent="0.3">
      <c r="A635" s="23">
        <v>631</v>
      </c>
      <c r="B635" s="24" t="s">
        <v>3110</v>
      </c>
      <c r="C635" s="25" t="s">
        <v>3111</v>
      </c>
      <c r="D635" s="23" t="s">
        <v>2819</v>
      </c>
      <c r="E635" s="43">
        <v>46126</v>
      </c>
      <c r="F635" s="26" t="s">
        <v>23</v>
      </c>
      <c r="G635" s="26" t="s">
        <v>24</v>
      </c>
      <c r="H635" s="26" t="s">
        <v>25</v>
      </c>
      <c r="I635" s="26" t="s">
        <v>26</v>
      </c>
      <c r="J635" s="26" t="s">
        <v>24</v>
      </c>
      <c r="K635" s="27"/>
      <c r="L635" s="28" t="s">
        <v>25</v>
      </c>
      <c r="M635" s="29" t="str">
        <f t="shared" si="45"/>
        <v>✓ OK</v>
      </c>
      <c r="N635" s="43">
        <v>46193</v>
      </c>
      <c r="O635" s="26" t="s">
        <v>23</v>
      </c>
      <c r="P635" s="26" t="s">
        <v>24</v>
      </c>
      <c r="Q635" s="26" t="s">
        <v>25</v>
      </c>
      <c r="R635" s="26" t="s">
        <v>26</v>
      </c>
      <c r="S635" s="26" t="s">
        <v>24</v>
      </c>
      <c r="T635" s="27"/>
      <c r="U635" s="28" t="s">
        <v>25</v>
      </c>
      <c r="V635" s="29" t="str">
        <f t="shared" si="46"/>
        <v>✓ OK</v>
      </c>
      <c r="W635" s="45">
        <v>46248</v>
      </c>
      <c r="X635" s="30" t="s">
        <v>23</v>
      </c>
      <c r="Y635" s="30" t="s">
        <v>24</v>
      </c>
      <c r="Z635" s="30" t="s">
        <v>25</v>
      </c>
      <c r="AA635" s="30" t="s">
        <v>26</v>
      </c>
      <c r="AB635" s="30" t="s">
        <v>24</v>
      </c>
      <c r="AC635" s="27"/>
      <c r="AD635" s="31" t="s">
        <v>25</v>
      </c>
      <c r="AE635" s="32" t="str">
        <f t="shared" si="47"/>
        <v>✓ OK</v>
      </c>
      <c r="AF635" s="33" t="s">
        <v>27</v>
      </c>
      <c r="AG635" s="33" t="s">
        <v>23</v>
      </c>
      <c r="AH635" s="33" t="s">
        <v>24</v>
      </c>
      <c r="AI635" s="33" t="s">
        <v>25</v>
      </c>
      <c r="AJ635" s="33" t="s">
        <v>26</v>
      </c>
      <c r="AK635" s="33" t="s">
        <v>24</v>
      </c>
      <c r="AL635" s="27"/>
      <c r="AM635" s="34" t="s">
        <v>25</v>
      </c>
      <c r="AN635" s="35" t="str">
        <f t="shared" si="48"/>
        <v>✓ OK</v>
      </c>
      <c r="AO635" s="36"/>
      <c r="AP635" s="36"/>
      <c r="AQ635" s="36"/>
      <c r="AR635" s="36"/>
      <c r="AS635" s="36"/>
      <c r="AT635" s="36"/>
      <c r="AU635" s="27"/>
      <c r="AV635" s="37"/>
      <c r="AW635" s="38" t="str">
        <f t="shared" si="49"/>
        <v/>
      </c>
    </row>
    <row r="636" spans="1:49" ht="18" customHeight="1" x14ac:dyDescent="0.3">
      <c r="A636" s="39">
        <v>632</v>
      </c>
      <c r="B636" s="40" t="s">
        <v>3112</v>
      </c>
      <c r="C636" s="41" t="s">
        <v>3113</v>
      </c>
      <c r="D636" s="39" t="s">
        <v>2819</v>
      </c>
      <c r="E636" s="43">
        <v>46126</v>
      </c>
      <c r="F636" s="26" t="s">
        <v>23</v>
      </c>
      <c r="G636" s="26" t="s">
        <v>24</v>
      </c>
      <c r="H636" s="26" t="s">
        <v>25</v>
      </c>
      <c r="I636" s="26" t="s">
        <v>26</v>
      </c>
      <c r="J636" s="26" t="s">
        <v>24</v>
      </c>
      <c r="K636" s="27"/>
      <c r="L636" s="28" t="s">
        <v>25</v>
      </c>
      <c r="M636" s="29" t="str">
        <f t="shared" si="45"/>
        <v>✓ OK</v>
      </c>
      <c r="N636" s="43">
        <v>46193</v>
      </c>
      <c r="O636" s="26" t="s">
        <v>23</v>
      </c>
      <c r="P636" s="26" t="s">
        <v>24</v>
      </c>
      <c r="Q636" s="26" t="s">
        <v>25</v>
      </c>
      <c r="R636" s="26" t="s">
        <v>26</v>
      </c>
      <c r="S636" s="26" t="s">
        <v>24</v>
      </c>
      <c r="T636" s="27"/>
      <c r="U636" s="28" t="s">
        <v>25</v>
      </c>
      <c r="V636" s="29" t="str">
        <f t="shared" si="46"/>
        <v>✓ OK</v>
      </c>
      <c r="W636" s="45">
        <v>46248</v>
      </c>
      <c r="X636" s="30" t="s">
        <v>23</v>
      </c>
      <c r="Y636" s="30" t="s">
        <v>24</v>
      </c>
      <c r="Z636" s="30" t="s">
        <v>25</v>
      </c>
      <c r="AA636" s="30" t="s">
        <v>26</v>
      </c>
      <c r="AB636" s="30" t="s">
        <v>24</v>
      </c>
      <c r="AC636" s="27"/>
      <c r="AD636" s="31" t="s">
        <v>25</v>
      </c>
      <c r="AE636" s="32" t="str">
        <f t="shared" si="47"/>
        <v>✓ OK</v>
      </c>
      <c r="AF636" s="33" t="s">
        <v>27</v>
      </c>
      <c r="AG636" s="33" t="s">
        <v>23</v>
      </c>
      <c r="AH636" s="33" t="s">
        <v>24</v>
      </c>
      <c r="AI636" s="33" t="s">
        <v>25</v>
      </c>
      <c r="AJ636" s="33" t="s">
        <v>26</v>
      </c>
      <c r="AK636" s="33" t="s">
        <v>24</v>
      </c>
      <c r="AL636" s="27"/>
      <c r="AM636" s="34" t="s">
        <v>25</v>
      </c>
      <c r="AN636" s="35" t="str">
        <f t="shared" si="48"/>
        <v>✓ OK</v>
      </c>
      <c r="AO636" s="36"/>
      <c r="AP636" s="36"/>
      <c r="AQ636" s="36"/>
      <c r="AR636" s="36"/>
      <c r="AS636" s="36"/>
      <c r="AT636" s="36"/>
      <c r="AU636" s="27"/>
      <c r="AV636" s="37"/>
      <c r="AW636" s="38" t="str">
        <f t="shared" si="49"/>
        <v/>
      </c>
    </row>
    <row r="637" spans="1:49" ht="18" customHeight="1" x14ac:dyDescent="0.3">
      <c r="A637" s="23">
        <v>633</v>
      </c>
      <c r="B637" s="24" t="s">
        <v>3114</v>
      </c>
      <c r="C637" s="25" t="s">
        <v>3115</v>
      </c>
      <c r="D637" s="23" t="s">
        <v>2819</v>
      </c>
      <c r="E637" s="43">
        <v>46126</v>
      </c>
      <c r="F637" s="26" t="s">
        <v>23</v>
      </c>
      <c r="G637" s="26" t="s">
        <v>24</v>
      </c>
      <c r="H637" s="26" t="s">
        <v>25</v>
      </c>
      <c r="I637" s="26" t="s">
        <v>26</v>
      </c>
      <c r="J637" s="26" t="s">
        <v>24</v>
      </c>
      <c r="K637" s="27"/>
      <c r="L637" s="28" t="s">
        <v>25</v>
      </c>
      <c r="M637" s="29" t="str">
        <f t="shared" si="45"/>
        <v>✓ OK</v>
      </c>
      <c r="N637" s="43">
        <v>46193</v>
      </c>
      <c r="O637" s="26" t="s">
        <v>23</v>
      </c>
      <c r="P637" s="26" t="s">
        <v>24</v>
      </c>
      <c r="Q637" s="26" t="s">
        <v>25</v>
      </c>
      <c r="R637" s="26" t="s">
        <v>26</v>
      </c>
      <c r="S637" s="26" t="s">
        <v>24</v>
      </c>
      <c r="T637" s="27"/>
      <c r="U637" s="28" t="s">
        <v>25</v>
      </c>
      <c r="V637" s="29" t="str">
        <f t="shared" si="46"/>
        <v>✓ OK</v>
      </c>
      <c r="W637" s="45">
        <v>46248</v>
      </c>
      <c r="X637" s="30" t="s">
        <v>23</v>
      </c>
      <c r="Y637" s="30" t="s">
        <v>24</v>
      </c>
      <c r="Z637" s="30" t="s">
        <v>25</v>
      </c>
      <c r="AA637" s="30" t="s">
        <v>26</v>
      </c>
      <c r="AB637" s="30" t="s">
        <v>24</v>
      </c>
      <c r="AC637" s="27"/>
      <c r="AD637" s="31" t="s">
        <v>25</v>
      </c>
      <c r="AE637" s="32" t="str">
        <f t="shared" si="47"/>
        <v>✓ OK</v>
      </c>
      <c r="AF637" s="33" t="s">
        <v>27</v>
      </c>
      <c r="AG637" s="33" t="s">
        <v>23</v>
      </c>
      <c r="AH637" s="33" t="s">
        <v>24</v>
      </c>
      <c r="AI637" s="33" t="s">
        <v>25</v>
      </c>
      <c r="AJ637" s="33" t="s">
        <v>26</v>
      </c>
      <c r="AK637" s="33" t="s">
        <v>24</v>
      </c>
      <c r="AL637" s="27"/>
      <c r="AM637" s="34" t="s">
        <v>25</v>
      </c>
      <c r="AN637" s="35" t="str">
        <f t="shared" si="48"/>
        <v>✓ OK</v>
      </c>
      <c r="AO637" s="36"/>
      <c r="AP637" s="36"/>
      <c r="AQ637" s="36"/>
      <c r="AR637" s="36"/>
      <c r="AS637" s="36"/>
      <c r="AT637" s="36"/>
      <c r="AU637" s="27"/>
      <c r="AV637" s="37"/>
      <c r="AW637" s="38" t="str">
        <f t="shared" si="49"/>
        <v/>
      </c>
    </row>
    <row r="638" spans="1:49" ht="18" customHeight="1" x14ac:dyDescent="0.3">
      <c r="A638" s="39">
        <v>634</v>
      </c>
      <c r="B638" s="40" t="s">
        <v>3116</v>
      </c>
      <c r="C638" s="41" t="s">
        <v>3117</v>
      </c>
      <c r="D638" s="39" t="s">
        <v>2819</v>
      </c>
      <c r="E638" s="43">
        <v>46126</v>
      </c>
      <c r="F638" s="26" t="s">
        <v>23</v>
      </c>
      <c r="G638" s="26" t="s">
        <v>24</v>
      </c>
      <c r="H638" s="26" t="s">
        <v>25</v>
      </c>
      <c r="I638" s="26" t="s">
        <v>26</v>
      </c>
      <c r="J638" s="26" t="s">
        <v>24</v>
      </c>
      <c r="K638" s="27"/>
      <c r="L638" s="28" t="s">
        <v>25</v>
      </c>
      <c r="M638" s="29" t="str">
        <f t="shared" si="45"/>
        <v>✓ OK</v>
      </c>
      <c r="N638" s="43">
        <v>46193</v>
      </c>
      <c r="O638" s="26" t="s">
        <v>23</v>
      </c>
      <c r="P638" s="26" t="s">
        <v>24</v>
      </c>
      <c r="Q638" s="26" t="s">
        <v>25</v>
      </c>
      <c r="R638" s="26" t="s">
        <v>26</v>
      </c>
      <c r="S638" s="26" t="s">
        <v>24</v>
      </c>
      <c r="T638" s="27"/>
      <c r="U638" s="28" t="s">
        <v>25</v>
      </c>
      <c r="V638" s="29" t="str">
        <f t="shared" si="46"/>
        <v>✓ OK</v>
      </c>
      <c r="W638" s="45">
        <v>46248</v>
      </c>
      <c r="X638" s="30" t="s">
        <v>23</v>
      </c>
      <c r="Y638" s="30" t="s">
        <v>24</v>
      </c>
      <c r="Z638" s="30" t="s">
        <v>25</v>
      </c>
      <c r="AA638" s="30" t="s">
        <v>26</v>
      </c>
      <c r="AB638" s="30" t="s">
        <v>24</v>
      </c>
      <c r="AC638" s="27"/>
      <c r="AD638" s="31" t="s">
        <v>25</v>
      </c>
      <c r="AE638" s="32" t="str">
        <f t="shared" si="47"/>
        <v>✓ OK</v>
      </c>
      <c r="AF638" s="33" t="s">
        <v>27</v>
      </c>
      <c r="AG638" s="33" t="s">
        <v>23</v>
      </c>
      <c r="AH638" s="33" t="s">
        <v>24</v>
      </c>
      <c r="AI638" s="33" t="s">
        <v>25</v>
      </c>
      <c r="AJ638" s="33" t="s">
        <v>26</v>
      </c>
      <c r="AK638" s="33" t="s">
        <v>24</v>
      </c>
      <c r="AL638" s="27"/>
      <c r="AM638" s="34" t="s">
        <v>25</v>
      </c>
      <c r="AN638" s="35" t="str">
        <f t="shared" si="48"/>
        <v>✓ OK</v>
      </c>
      <c r="AO638" s="36"/>
      <c r="AP638" s="36"/>
      <c r="AQ638" s="36"/>
      <c r="AR638" s="36"/>
      <c r="AS638" s="36"/>
      <c r="AT638" s="36"/>
      <c r="AU638" s="27"/>
      <c r="AV638" s="37"/>
      <c r="AW638" s="38" t="str">
        <f t="shared" si="49"/>
        <v/>
      </c>
    </row>
    <row r="639" spans="1:49" ht="18" customHeight="1" x14ac:dyDescent="0.3">
      <c r="A639" s="23">
        <v>635</v>
      </c>
      <c r="B639" s="24" t="s">
        <v>3118</v>
      </c>
      <c r="C639" s="25" t="s">
        <v>3119</v>
      </c>
      <c r="D639" s="23" t="s">
        <v>2819</v>
      </c>
      <c r="E639" s="43">
        <v>46126</v>
      </c>
      <c r="F639" s="26" t="s">
        <v>23</v>
      </c>
      <c r="G639" s="26" t="s">
        <v>24</v>
      </c>
      <c r="H639" s="26" t="s">
        <v>25</v>
      </c>
      <c r="I639" s="26" t="s">
        <v>26</v>
      </c>
      <c r="J639" s="26" t="s">
        <v>24</v>
      </c>
      <c r="K639" s="27"/>
      <c r="L639" s="28" t="s">
        <v>25</v>
      </c>
      <c r="M639" s="29" t="str">
        <f t="shared" si="45"/>
        <v>✓ OK</v>
      </c>
      <c r="N639" s="43">
        <v>46193</v>
      </c>
      <c r="O639" s="26" t="s">
        <v>23</v>
      </c>
      <c r="P639" s="26" t="s">
        <v>24</v>
      </c>
      <c r="Q639" s="26" t="s">
        <v>25</v>
      </c>
      <c r="R639" s="26" t="s">
        <v>26</v>
      </c>
      <c r="S639" s="26" t="s">
        <v>24</v>
      </c>
      <c r="T639" s="27"/>
      <c r="U639" s="28" t="s">
        <v>25</v>
      </c>
      <c r="V639" s="29" t="str">
        <f t="shared" si="46"/>
        <v>✓ OK</v>
      </c>
      <c r="W639" s="45">
        <v>46248</v>
      </c>
      <c r="X639" s="30" t="s">
        <v>23</v>
      </c>
      <c r="Y639" s="30" t="s">
        <v>24</v>
      </c>
      <c r="Z639" s="30" t="s">
        <v>25</v>
      </c>
      <c r="AA639" s="30" t="s">
        <v>26</v>
      </c>
      <c r="AB639" s="30" t="s">
        <v>24</v>
      </c>
      <c r="AC639" s="27"/>
      <c r="AD639" s="31" t="s">
        <v>25</v>
      </c>
      <c r="AE639" s="32" t="str">
        <f t="shared" si="47"/>
        <v>✓ OK</v>
      </c>
      <c r="AF639" s="33" t="s">
        <v>27</v>
      </c>
      <c r="AG639" s="33" t="s">
        <v>23</v>
      </c>
      <c r="AH639" s="33" t="s">
        <v>24</v>
      </c>
      <c r="AI639" s="33" t="s">
        <v>25</v>
      </c>
      <c r="AJ639" s="33" t="s">
        <v>26</v>
      </c>
      <c r="AK639" s="33" t="s">
        <v>24</v>
      </c>
      <c r="AL639" s="27"/>
      <c r="AM639" s="34" t="s">
        <v>25</v>
      </c>
      <c r="AN639" s="35" t="str">
        <f t="shared" si="48"/>
        <v>✓ OK</v>
      </c>
      <c r="AO639" s="36"/>
      <c r="AP639" s="36"/>
      <c r="AQ639" s="36"/>
      <c r="AR639" s="36"/>
      <c r="AS639" s="36"/>
      <c r="AT639" s="36"/>
      <c r="AU639" s="27"/>
      <c r="AV639" s="37"/>
      <c r="AW639" s="38" t="str">
        <f t="shared" si="49"/>
        <v/>
      </c>
    </row>
    <row r="640" spans="1:49" ht="18" customHeight="1" x14ac:dyDescent="0.3">
      <c r="A640" s="39">
        <v>636</v>
      </c>
      <c r="B640" s="40" t="s">
        <v>3120</v>
      </c>
      <c r="C640" s="41" t="s">
        <v>3121</v>
      </c>
      <c r="D640" s="39" t="s">
        <v>2819</v>
      </c>
      <c r="E640" s="43">
        <v>46126</v>
      </c>
      <c r="F640" s="26" t="s">
        <v>23</v>
      </c>
      <c r="G640" s="26" t="s">
        <v>24</v>
      </c>
      <c r="H640" s="26" t="s">
        <v>25</v>
      </c>
      <c r="I640" s="26" t="s">
        <v>26</v>
      </c>
      <c r="J640" s="26" t="s">
        <v>24</v>
      </c>
      <c r="K640" s="27"/>
      <c r="L640" s="28" t="s">
        <v>25</v>
      </c>
      <c r="M640" s="29" t="str">
        <f t="shared" si="45"/>
        <v>✓ OK</v>
      </c>
      <c r="N640" s="43">
        <v>46193</v>
      </c>
      <c r="O640" s="26" t="s">
        <v>23</v>
      </c>
      <c r="P640" s="26" t="s">
        <v>24</v>
      </c>
      <c r="Q640" s="26" t="s">
        <v>25</v>
      </c>
      <c r="R640" s="26" t="s">
        <v>26</v>
      </c>
      <c r="S640" s="26" t="s">
        <v>24</v>
      </c>
      <c r="T640" s="27"/>
      <c r="U640" s="28" t="s">
        <v>25</v>
      </c>
      <c r="V640" s="29" t="str">
        <f t="shared" si="46"/>
        <v>✓ OK</v>
      </c>
      <c r="W640" s="45">
        <v>46248</v>
      </c>
      <c r="X640" s="30" t="s">
        <v>23</v>
      </c>
      <c r="Y640" s="30" t="s">
        <v>24</v>
      </c>
      <c r="Z640" s="30" t="s">
        <v>25</v>
      </c>
      <c r="AA640" s="30" t="s">
        <v>26</v>
      </c>
      <c r="AB640" s="30" t="s">
        <v>24</v>
      </c>
      <c r="AC640" s="27"/>
      <c r="AD640" s="31" t="s">
        <v>25</v>
      </c>
      <c r="AE640" s="32" t="str">
        <f t="shared" si="47"/>
        <v>✓ OK</v>
      </c>
      <c r="AF640" s="33" t="s">
        <v>27</v>
      </c>
      <c r="AG640" s="33" t="s">
        <v>23</v>
      </c>
      <c r="AH640" s="33" t="s">
        <v>24</v>
      </c>
      <c r="AI640" s="33" t="s">
        <v>25</v>
      </c>
      <c r="AJ640" s="33" t="s">
        <v>26</v>
      </c>
      <c r="AK640" s="33" t="s">
        <v>24</v>
      </c>
      <c r="AL640" s="27"/>
      <c r="AM640" s="34" t="s">
        <v>25</v>
      </c>
      <c r="AN640" s="35" t="str">
        <f t="shared" si="48"/>
        <v>✓ OK</v>
      </c>
      <c r="AO640" s="36"/>
      <c r="AP640" s="36"/>
      <c r="AQ640" s="36"/>
      <c r="AR640" s="36"/>
      <c r="AS640" s="36"/>
      <c r="AT640" s="36"/>
      <c r="AU640" s="27"/>
      <c r="AV640" s="37"/>
      <c r="AW640" s="38" t="str">
        <f t="shared" si="49"/>
        <v/>
      </c>
    </row>
    <row r="641" spans="1:49" ht="18" customHeight="1" x14ac:dyDescent="0.3">
      <c r="A641" s="23">
        <v>637</v>
      </c>
      <c r="B641" s="24" t="s">
        <v>3122</v>
      </c>
      <c r="C641" s="25" t="s">
        <v>3123</v>
      </c>
      <c r="D641" s="23" t="s">
        <v>2819</v>
      </c>
      <c r="E641" s="43">
        <v>46126</v>
      </c>
      <c r="F641" s="26" t="s">
        <v>23</v>
      </c>
      <c r="G641" s="26" t="s">
        <v>24</v>
      </c>
      <c r="H641" s="26" t="s">
        <v>25</v>
      </c>
      <c r="I641" s="26" t="s">
        <v>26</v>
      </c>
      <c r="J641" s="26" t="s">
        <v>24</v>
      </c>
      <c r="K641" s="27"/>
      <c r="L641" s="28" t="s">
        <v>25</v>
      </c>
      <c r="M641" s="29" t="str">
        <f t="shared" si="45"/>
        <v>✓ OK</v>
      </c>
      <c r="N641" s="43">
        <v>46193</v>
      </c>
      <c r="O641" s="26" t="s">
        <v>23</v>
      </c>
      <c r="P641" s="26" t="s">
        <v>24</v>
      </c>
      <c r="Q641" s="26" t="s">
        <v>25</v>
      </c>
      <c r="R641" s="26" t="s">
        <v>26</v>
      </c>
      <c r="S641" s="26" t="s">
        <v>24</v>
      </c>
      <c r="T641" s="27"/>
      <c r="U641" s="28" t="s">
        <v>25</v>
      </c>
      <c r="V641" s="29" t="str">
        <f t="shared" si="46"/>
        <v>✓ OK</v>
      </c>
      <c r="W641" s="45">
        <v>46248</v>
      </c>
      <c r="X641" s="30" t="s">
        <v>23</v>
      </c>
      <c r="Y641" s="30" t="s">
        <v>24</v>
      </c>
      <c r="Z641" s="30" t="s">
        <v>25</v>
      </c>
      <c r="AA641" s="30" t="s">
        <v>26</v>
      </c>
      <c r="AB641" s="30" t="s">
        <v>24</v>
      </c>
      <c r="AC641" s="27"/>
      <c r="AD641" s="31" t="s">
        <v>25</v>
      </c>
      <c r="AE641" s="32" t="str">
        <f t="shared" si="47"/>
        <v>✓ OK</v>
      </c>
      <c r="AF641" s="33" t="s">
        <v>27</v>
      </c>
      <c r="AG641" s="33" t="s">
        <v>23</v>
      </c>
      <c r="AH641" s="33" t="s">
        <v>24</v>
      </c>
      <c r="AI641" s="33" t="s">
        <v>25</v>
      </c>
      <c r="AJ641" s="33" t="s">
        <v>26</v>
      </c>
      <c r="AK641" s="33" t="s">
        <v>24</v>
      </c>
      <c r="AL641" s="27"/>
      <c r="AM641" s="34" t="s">
        <v>25</v>
      </c>
      <c r="AN641" s="35" t="str">
        <f t="shared" si="48"/>
        <v>✓ OK</v>
      </c>
      <c r="AO641" s="36"/>
      <c r="AP641" s="36"/>
      <c r="AQ641" s="36"/>
      <c r="AR641" s="36"/>
      <c r="AS641" s="36"/>
      <c r="AT641" s="36"/>
      <c r="AU641" s="27"/>
      <c r="AV641" s="37"/>
      <c r="AW641" s="38" t="str">
        <f t="shared" si="49"/>
        <v/>
      </c>
    </row>
    <row r="642" spans="1:49" ht="18" customHeight="1" x14ac:dyDescent="0.3">
      <c r="A642" s="39">
        <v>638</v>
      </c>
      <c r="B642" s="40" t="s">
        <v>3124</v>
      </c>
      <c r="C642" s="41" t="s">
        <v>3125</v>
      </c>
      <c r="D642" s="39" t="s">
        <v>2819</v>
      </c>
      <c r="E642" s="43">
        <v>46126</v>
      </c>
      <c r="F642" s="26" t="s">
        <v>23</v>
      </c>
      <c r="G642" s="26" t="s">
        <v>24</v>
      </c>
      <c r="H642" s="26" t="s">
        <v>25</v>
      </c>
      <c r="I642" s="26" t="s">
        <v>26</v>
      </c>
      <c r="J642" s="26" t="s">
        <v>24</v>
      </c>
      <c r="K642" s="27"/>
      <c r="L642" s="28" t="s">
        <v>25</v>
      </c>
      <c r="M642" s="29" t="str">
        <f t="shared" si="45"/>
        <v>✓ OK</v>
      </c>
      <c r="N642" s="43">
        <v>46193</v>
      </c>
      <c r="O642" s="26" t="s">
        <v>23</v>
      </c>
      <c r="P642" s="26" t="s">
        <v>24</v>
      </c>
      <c r="Q642" s="26" t="s">
        <v>25</v>
      </c>
      <c r="R642" s="26" t="s">
        <v>26</v>
      </c>
      <c r="S642" s="26" t="s">
        <v>24</v>
      </c>
      <c r="T642" s="27"/>
      <c r="U642" s="28" t="s">
        <v>25</v>
      </c>
      <c r="V642" s="29" t="str">
        <f t="shared" si="46"/>
        <v>✓ OK</v>
      </c>
      <c r="W642" s="45">
        <v>46248</v>
      </c>
      <c r="X642" s="30" t="s">
        <v>23</v>
      </c>
      <c r="Y642" s="30" t="s">
        <v>24</v>
      </c>
      <c r="Z642" s="30" t="s">
        <v>25</v>
      </c>
      <c r="AA642" s="30" t="s">
        <v>26</v>
      </c>
      <c r="AB642" s="30" t="s">
        <v>24</v>
      </c>
      <c r="AC642" s="27"/>
      <c r="AD642" s="31" t="s">
        <v>25</v>
      </c>
      <c r="AE642" s="32" t="str">
        <f t="shared" si="47"/>
        <v>✓ OK</v>
      </c>
      <c r="AF642" s="33" t="s">
        <v>27</v>
      </c>
      <c r="AG642" s="33" t="s">
        <v>23</v>
      </c>
      <c r="AH642" s="33" t="s">
        <v>24</v>
      </c>
      <c r="AI642" s="33" t="s">
        <v>25</v>
      </c>
      <c r="AJ642" s="33" t="s">
        <v>26</v>
      </c>
      <c r="AK642" s="33" t="s">
        <v>24</v>
      </c>
      <c r="AL642" s="27"/>
      <c r="AM642" s="34" t="s">
        <v>25</v>
      </c>
      <c r="AN642" s="35" t="str">
        <f t="shared" si="48"/>
        <v>✓ OK</v>
      </c>
      <c r="AO642" s="36"/>
      <c r="AP642" s="36"/>
      <c r="AQ642" s="36"/>
      <c r="AR642" s="36"/>
      <c r="AS642" s="36"/>
      <c r="AT642" s="36"/>
      <c r="AU642" s="27"/>
      <c r="AV642" s="37"/>
      <c r="AW642" s="38" t="str">
        <f t="shared" si="49"/>
        <v/>
      </c>
    </row>
    <row r="643" spans="1:49" ht="18" customHeight="1" x14ac:dyDescent="0.3">
      <c r="A643" s="23">
        <v>639</v>
      </c>
      <c r="B643" s="24" t="s">
        <v>3126</v>
      </c>
      <c r="C643" s="25" t="s">
        <v>3127</v>
      </c>
      <c r="D643" s="23" t="s">
        <v>2819</v>
      </c>
      <c r="E643" s="43">
        <v>46126</v>
      </c>
      <c r="F643" s="26" t="s">
        <v>23</v>
      </c>
      <c r="G643" s="26" t="s">
        <v>24</v>
      </c>
      <c r="H643" s="26" t="s">
        <v>25</v>
      </c>
      <c r="I643" s="26" t="s">
        <v>26</v>
      </c>
      <c r="J643" s="26" t="s">
        <v>24</v>
      </c>
      <c r="K643" s="27"/>
      <c r="L643" s="28" t="s">
        <v>25</v>
      </c>
      <c r="M643" s="29" t="str">
        <f t="shared" si="45"/>
        <v>✓ OK</v>
      </c>
      <c r="N643" s="43">
        <v>46193</v>
      </c>
      <c r="O643" s="26" t="s">
        <v>23</v>
      </c>
      <c r="P643" s="26" t="s">
        <v>24</v>
      </c>
      <c r="Q643" s="26" t="s">
        <v>25</v>
      </c>
      <c r="R643" s="26" t="s">
        <v>26</v>
      </c>
      <c r="S643" s="26" t="s">
        <v>24</v>
      </c>
      <c r="T643" s="27"/>
      <c r="U643" s="28" t="s">
        <v>25</v>
      </c>
      <c r="V643" s="29" t="str">
        <f t="shared" si="46"/>
        <v>✓ OK</v>
      </c>
      <c r="W643" s="45">
        <v>46248</v>
      </c>
      <c r="X643" s="30" t="s">
        <v>23</v>
      </c>
      <c r="Y643" s="30" t="s">
        <v>24</v>
      </c>
      <c r="Z643" s="30" t="s">
        <v>25</v>
      </c>
      <c r="AA643" s="30" t="s">
        <v>26</v>
      </c>
      <c r="AB643" s="30" t="s">
        <v>24</v>
      </c>
      <c r="AC643" s="27"/>
      <c r="AD643" s="31" t="s">
        <v>25</v>
      </c>
      <c r="AE643" s="32" t="str">
        <f t="shared" si="47"/>
        <v>✓ OK</v>
      </c>
      <c r="AF643" s="33" t="s">
        <v>27</v>
      </c>
      <c r="AG643" s="33" t="s">
        <v>23</v>
      </c>
      <c r="AH643" s="33" t="s">
        <v>24</v>
      </c>
      <c r="AI643" s="33" t="s">
        <v>25</v>
      </c>
      <c r="AJ643" s="33" t="s">
        <v>26</v>
      </c>
      <c r="AK643" s="33" t="s">
        <v>24</v>
      </c>
      <c r="AL643" s="27"/>
      <c r="AM643" s="34" t="s">
        <v>25</v>
      </c>
      <c r="AN643" s="35" t="str">
        <f t="shared" si="48"/>
        <v>✓ OK</v>
      </c>
      <c r="AO643" s="36"/>
      <c r="AP643" s="36"/>
      <c r="AQ643" s="36"/>
      <c r="AR643" s="36"/>
      <c r="AS643" s="36"/>
      <c r="AT643" s="36"/>
      <c r="AU643" s="27"/>
      <c r="AV643" s="37"/>
      <c r="AW643" s="38" t="str">
        <f t="shared" si="49"/>
        <v/>
      </c>
    </row>
    <row r="644" spans="1:49" ht="18" customHeight="1" x14ac:dyDescent="0.3">
      <c r="A644" s="39">
        <v>640</v>
      </c>
      <c r="B644" s="40" t="s">
        <v>3128</v>
      </c>
      <c r="C644" s="41" t="s">
        <v>3129</v>
      </c>
      <c r="D644" s="39" t="s">
        <v>2819</v>
      </c>
      <c r="E644" s="43">
        <v>46126</v>
      </c>
      <c r="F644" s="26" t="s">
        <v>23</v>
      </c>
      <c r="G644" s="26" t="s">
        <v>24</v>
      </c>
      <c r="H644" s="26" t="s">
        <v>25</v>
      </c>
      <c r="I644" s="26" t="s">
        <v>26</v>
      </c>
      <c r="J644" s="26" t="s">
        <v>24</v>
      </c>
      <c r="K644" s="27"/>
      <c r="L644" s="28" t="s">
        <v>25</v>
      </c>
      <c r="M644" s="29" t="str">
        <f t="shared" si="45"/>
        <v>✓ OK</v>
      </c>
      <c r="N644" s="43">
        <v>46193</v>
      </c>
      <c r="O644" s="26" t="s">
        <v>23</v>
      </c>
      <c r="P644" s="26" t="s">
        <v>24</v>
      </c>
      <c r="Q644" s="26" t="s">
        <v>25</v>
      </c>
      <c r="R644" s="26" t="s">
        <v>26</v>
      </c>
      <c r="S644" s="26" t="s">
        <v>24</v>
      </c>
      <c r="T644" s="27"/>
      <c r="U644" s="28" t="s">
        <v>25</v>
      </c>
      <c r="V644" s="29" t="str">
        <f t="shared" si="46"/>
        <v>✓ OK</v>
      </c>
      <c r="W644" s="45">
        <v>46248</v>
      </c>
      <c r="X644" s="30" t="s">
        <v>23</v>
      </c>
      <c r="Y644" s="30" t="s">
        <v>24</v>
      </c>
      <c r="Z644" s="30" t="s">
        <v>25</v>
      </c>
      <c r="AA644" s="30" t="s">
        <v>26</v>
      </c>
      <c r="AB644" s="30" t="s">
        <v>24</v>
      </c>
      <c r="AC644" s="27"/>
      <c r="AD644" s="31" t="s">
        <v>25</v>
      </c>
      <c r="AE644" s="32" t="str">
        <f t="shared" si="47"/>
        <v>✓ OK</v>
      </c>
      <c r="AF644" s="33" t="s">
        <v>27</v>
      </c>
      <c r="AG644" s="33" t="s">
        <v>23</v>
      </c>
      <c r="AH644" s="33" t="s">
        <v>24</v>
      </c>
      <c r="AI644" s="33" t="s">
        <v>25</v>
      </c>
      <c r="AJ644" s="33" t="s">
        <v>26</v>
      </c>
      <c r="AK644" s="33" t="s">
        <v>24</v>
      </c>
      <c r="AL644" s="27"/>
      <c r="AM644" s="34" t="s">
        <v>25</v>
      </c>
      <c r="AN644" s="35" t="str">
        <f t="shared" si="48"/>
        <v>✓ OK</v>
      </c>
      <c r="AO644" s="36"/>
      <c r="AP644" s="36"/>
      <c r="AQ644" s="36"/>
      <c r="AR644" s="36"/>
      <c r="AS644" s="36"/>
      <c r="AT644" s="36"/>
      <c r="AU644" s="27"/>
      <c r="AV644" s="37"/>
      <c r="AW644" s="38" t="str">
        <f t="shared" si="49"/>
        <v/>
      </c>
    </row>
    <row r="645" spans="1:49" ht="18" customHeight="1" x14ac:dyDescent="0.3">
      <c r="A645" s="23">
        <v>641</v>
      </c>
      <c r="B645" s="24" t="s">
        <v>3130</v>
      </c>
      <c r="C645" s="25" t="s">
        <v>3131</v>
      </c>
      <c r="D645" s="23" t="s">
        <v>2819</v>
      </c>
      <c r="E645" s="43">
        <v>46126</v>
      </c>
      <c r="F645" s="26" t="s">
        <v>23</v>
      </c>
      <c r="G645" s="26" t="s">
        <v>24</v>
      </c>
      <c r="H645" s="26" t="s">
        <v>25</v>
      </c>
      <c r="I645" s="26" t="s">
        <v>26</v>
      </c>
      <c r="J645" s="26" t="s">
        <v>24</v>
      </c>
      <c r="K645" s="27"/>
      <c r="L645" s="28" t="s">
        <v>25</v>
      </c>
      <c r="M645" s="29" t="str">
        <f t="shared" ref="M645:M708" si="50">IF(E645="","",IF(H645="Yes","❌ Disc",IF(G645="No","⚠ Missing",IF(J645="Yes","✓ OK","⚠ Check"))))</f>
        <v>✓ OK</v>
      </c>
      <c r="N645" s="43">
        <v>46193</v>
      </c>
      <c r="O645" s="26" t="s">
        <v>23</v>
      </c>
      <c r="P645" s="26" t="s">
        <v>24</v>
      </c>
      <c r="Q645" s="26" t="s">
        <v>25</v>
      </c>
      <c r="R645" s="26" t="s">
        <v>26</v>
      </c>
      <c r="S645" s="26" t="s">
        <v>24</v>
      </c>
      <c r="T645" s="27"/>
      <c r="U645" s="28" t="s">
        <v>25</v>
      </c>
      <c r="V645" s="29" t="str">
        <f t="shared" ref="V645:V708" si="51">IF(N645="","",IF(Q645="Yes","❌ Disc",IF(P645="No","⚠ Missing",IF(S645="Yes","✓ OK","⚠ Check"))))</f>
        <v>✓ OK</v>
      </c>
      <c r="W645" s="45">
        <v>46248</v>
      </c>
      <c r="X645" s="30" t="s">
        <v>23</v>
      </c>
      <c r="Y645" s="30" t="s">
        <v>24</v>
      </c>
      <c r="Z645" s="30" t="s">
        <v>25</v>
      </c>
      <c r="AA645" s="30" t="s">
        <v>26</v>
      </c>
      <c r="AB645" s="30" t="s">
        <v>24</v>
      </c>
      <c r="AC645" s="27"/>
      <c r="AD645" s="31" t="s">
        <v>25</v>
      </c>
      <c r="AE645" s="32" t="str">
        <f t="shared" ref="AE645:AE708" si="52">IF(W645="","",IF(Z645="Yes","❌ Disc",IF(Y645="No","⚠ Missing",IF(AB645="Yes","✓ OK","⚠ Check"))))</f>
        <v>✓ OK</v>
      </c>
      <c r="AF645" s="33" t="s">
        <v>27</v>
      </c>
      <c r="AG645" s="33" t="s">
        <v>23</v>
      </c>
      <c r="AH645" s="33" t="s">
        <v>24</v>
      </c>
      <c r="AI645" s="33" t="s">
        <v>25</v>
      </c>
      <c r="AJ645" s="33" t="s">
        <v>26</v>
      </c>
      <c r="AK645" s="33" t="s">
        <v>24</v>
      </c>
      <c r="AL645" s="27"/>
      <c r="AM645" s="34" t="s">
        <v>25</v>
      </c>
      <c r="AN645" s="35" t="str">
        <f t="shared" ref="AN645:AN708" si="53">IF(AF645="","",IF(AI645="Yes","❌ Disc",IF(AH645="No","⚠ Missing",IF(AK645="Yes","✓ OK","⚠ Check"))))</f>
        <v>✓ OK</v>
      </c>
      <c r="AO645" s="36"/>
      <c r="AP645" s="36"/>
      <c r="AQ645" s="36"/>
      <c r="AR645" s="36"/>
      <c r="AS645" s="36"/>
      <c r="AT645" s="36"/>
      <c r="AU645" s="27"/>
      <c r="AV645" s="37"/>
      <c r="AW645" s="38" t="str">
        <f t="shared" ref="AW645:AW708" si="54">IF(AO645="","",IF(AR645="Yes","❌ Disc",IF(AQ645="No","⚠ Missing",IF(AT645="Yes","✓ OK","⚠ Check"))))</f>
        <v/>
      </c>
    </row>
    <row r="646" spans="1:49" ht="18" customHeight="1" x14ac:dyDescent="0.3">
      <c r="A646" s="39">
        <v>642</v>
      </c>
      <c r="B646" s="40" t="s">
        <v>3132</v>
      </c>
      <c r="C646" s="41" t="s">
        <v>3133</v>
      </c>
      <c r="D646" s="39" t="s">
        <v>2819</v>
      </c>
      <c r="E646" s="43">
        <v>46126</v>
      </c>
      <c r="F646" s="26" t="s">
        <v>23</v>
      </c>
      <c r="G646" s="26" t="s">
        <v>24</v>
      </c>
      <c r="H646" s="26" t="s">
        <v>25</v>
      </c>
      <c r="I646" s="26" t="s">
        <v>26</v>
      </c>
      <c r="J646" s="26" t="s">
        <v>24</v>
      </c>
      <c r="K646" s="27"/>
      <c r="L646" s="28" t="s">
        <v>25</v>
      </c>
      <c r="M646" s="29" t="str">
        <f t="shared" si="50"/>
        <v>✓ OK</v>
      </c>
      <c r="N646" s="43">
        <v>46193</v>
      </c>
      <c r="O646" s="26" t="s">
        <v>23</v>
      </c>
      <c r="P646" s="26" t="s">
        <v>24</v>
      </c>
      <c r="Q646" s="26" t="s">
        <v>25</v>
      </c>
      <c r="R646" s="26" t="s">
        <v>26</v>
      </c>
      <c r="S646" s="26" t="s">
        <v>24</v>
      </c>
      <c r="T646" s="27"/>
      <c r="U646" s="28" t="s">
        <v>25</v>
      </c>
      <c r="V646" s="29" t="str">
        <f t="shared" si="51"/>
        <v>✓ OK</v>
      </c>
      <c r="W646" s="45">
        <v>46248</v>
      </c>
      <c r="X646" s="30" t="s">
        <v>23</v>
      </c>
      <c r="Y646" s="30" t="s">
        <v>24</v>
      </c>
      <c r="Z646" s="30" t="s">
        <v>25</v>
      </c>
      <c r="AA646" s="30" t="s">
        <v>26</v>
      </c>
      <c r="AB646" s="30" t="s">
        <v>24</v>
      </c>
      <c r="AC646" s="27"/>
      <c r="AD646" s="31" t="s">
        <v>25</v>
      </c>
      <c r="AE646" s="32" t="str">
        <f t="shared" si="52"/>
        <v>✓ OK</v>
      </c>
      <c r="AF646" s="33" t="s">
        <v>27</v>
      </c>
      <c r="AG646" s="33" t="s">
        <v>23</v>
      </c>
      <c r="AH646" s="33" t="s">
        <v>24</v>
      </c>
      <c r="AI646" s="33" t="s">
        <v>25</v>
      </c>
      <c r="AJ646" s="33" t="s">
        <v>26</v>
      </c>
      <c r="AK646" s="33" t="s">
        <v>24</v>
      </c>
      <c r="AL646" s="27"/>
      <c r="AM646" s="34" t="s">
        <v>25</v>
      </c>
      <c r="AN646" s="35" t="str">
        <f t="shared" si="53"/>
        <v>✓ OK</v>
      </c>
      <c r="AO646" s="36"/>
      <c r="AP646" s="36"/>
      <c r="AQ646" s="36"/>
      <c r="AR646" s="36"/>
      <c r="AS646" s="36"/>
      <c r="AT646" s="36"/>
      <c r="AU646" s="27"/>
      <c r="AV646" s="37"/>
      <c r="AW646" s="38" t="str">
        <f t="shared" si="54"/>
        <v/>
      </c>
    </row>
    <row r="647" spans="1:49" ht="18" customHeight="1" x14ac:dyDescent="0.3">
      <c r="A647" s="23">
        <v>643</v>
      </c>
      <c r="B647" s="24" t="s">
        <v>3134</v>
      </c>
      <c r="C647" s="25" t="s">
        <v>3135</v>
      </c>
      <c r="D647" s="23" t="s">
        <v>2819</v>
      </c>
      <c r="E647" s="43">
        <v>46126</v>
      </c>
      <c r="F647" s="26" t="s">
        <v>23</v>
      </c>
      <c r="G647" s="26" t="s">
        <v>24</v>
      </c>
      <c r="H647" s="26" t="s">
        <v>25</v>
      </c>
      <c r="I647" s="26" t="s">
        <v>26</v>
      </c>
      <c r="J647" s="26" t="s">
        <v>24</v>
      </c>
      <c r="K647" s="27"/>
      <c r="L647" s="28" t="s">
        <v>25</v>
      </c>
      <c r="M647" s="29" t="str">
        <f t="shared" si="50"/>
        <v>✓ OK</v>
      </c>
      <c r="N647" s="43">
        <v>46193</v>
      </c>
      <c r="O647" s="26" t="s">
        <v>23</v>
      </c>
      <c r="P647" s="26" t="s">
        <v>24</v>
      </c>
      <c r="Q647" s="26" t="s">
        <v>25</v>
      </c>
      <c r="R647" s="26" t="s">
        <v>26</v>
      </c>
      <c r="S647" s="26" t="s">
        <v>24</v>
      </c>
      <c r="T647" s="27"/>
      <c r="U647" s="28" t="s">
        <v>25</v>
      </c>
      <c r="V647" s="29" t="str">
        <f t="shared" si="51"/>
        <v>✓ OK</v>
      </c>
      <c r="W647" s="45">
        <v>46248</v>
      </c>
      <c r="X647" s="30" t="s">
        <v>23</v>
      </c>
      <c r="Y647" s="30" t="s">
        <v>24</v>
      </c>
      <c r="Z647" s="30" t="s">
        <v>25</v>
      </c>
      <c r="AA647" s="30" t="s">
        <v>26</v>
      </c>
      <c r="AB647" s="30" t="s">
        <v>24</v>
      </c>
      <c r="AC647" s="27"/>
      <c r="AD647" s="31" t="s">
        <v>25</v>
      </c>
      <c r="AE647" s="32" t="str">
        <f t="shared" si="52"/>
        <v>✓ OK</v>
      </c>
      <c r="AF647" s="33" t="s">
        <v>27</v>
      </c>
      <c r="AG647" s="33" t="s">
        <v>23</v>
      </c>
      <c r="AH647" s="33" t="s">
        <v>24</v>
      </c>
      <c r="AI647" s="33" t="s">
        <v>25</v>
      </c>
      <c r="AJ647" s="33" t="s">
        <v>26</v>
      </c>
      <c r="AK647" s="33" t="s">
        <v>24</v>
      </c>
      <c r="AL647" s="27"/>
      <c r="AM647" s="34" t="s">
        <v>25</v>
      </c>
      <c r="AN647" s="35" t="str">
        <f t="shared" si="53"/>
        <v>✓ OK</v>
      </c>
      <c r="AO647" s="36"/>
      <c r="AP647" s="36"/>
      <c r="AQ647" s="36"/>
      <c r="AR647" s="36"/>
      <c r="AS647" s="36"/>
      <c r="AT647" s="36"/>
      <c r="AU647" s="27"/>
      <c r="AV647" s="37"/>
      <c r="AW647" s="38" t="str">
        <f t="shared" si="54"/>
        <v/>
      </c>
    </row>
    <row r="648" spans="1:49" ht="18" customHeight="1" x14ac:dyDescent="0.3">
      <c r="A648" s="39">
        <v>644</v>
      </c>
      <c r="B648" s="40" t="s">
        <v>3136</v>
      </c>
      <c r="C648" s="41" t="s">
        <v>3137</v>
      </c>
      <c r="D648" s="39" t="s">
        <v>2819</v>
      </c>
      <c r="E648" s="43">
        <v>46126</v>
      </c>
      <c r="F648" s="26" t="s">
        <v>23</v>
      </c>
      <c r="G648" s="26" t="s">
        <v>24</v>
      </c>
      <c r="H648" s="26" t="s">
        <v>25</v>
      </c>
      <c r="I648" s="26" t="s">
        <v>26</v>
      </c>
      <c r="J648" s="26" t="s">
        <v>24</v>
      </c>
      <c r="K648" s="27"/>
      <c r="L648" s="28" t="s">
        <v>25</v>
      </c>
      <c r="M648" s="29" t="str">
        <f t="shared" si="50"/>
        <v>✓ OK</v>
      </c>
      <c r="N648" s="43">
        <v>46193</v>
      </c>
      <c r="O648" s="26" t="s">
        <v>23</v>
      </c>
      <c r="P648" s="26" t="s">
        <v>24</v>
      </c>
      <c r="Q648" s="26" t="s">
        <v>25</v>
      </c>
      <c r="R648" s="26" t="s">
        <v>26</v>
      </c>
      <c r="S648" s="26" t="s">
        <v>24</v>
      </c>
      <c r="T648" s="27"/>
      <c r="U648" s="28" t="s">
        <v>25</v>
      </c>
      <c r="V648" s="29" t="str">
        <f t="shared" si="51"/>
        <v>✓ OK</v>
      </c>
      <c r="W648" s="45">
        <v>46248</v>
      </c>
      <c r="X648" s="30" t="s">
        <v>23</v>
      </c>
      <c r="Y648" s="30" t="s">
        <v>24</v>
      </c>
      <c r="Z648" s="30" t="s">
        <v>25</v>
      </c>
      <c r="AA648" s="30" t="s">
        <v>26</v>
      </c>
      <c r="AB648" s="30" t="s">
        <v>24</v>
      </c>
      <c r="AC648" s="27"/>
      <c r="AD648" s="31" t="s">
        <v>25</v>
      </c>
      <c r="AE648" s="32" t="str">
        <f t="shared" si="52"/>
        <v>✓ OK</v>
      </c>
      <c r="AF648" s="33" t="s">
        <v>27</v>
      </c>
      <c r="AG648" s="33" t="s">
        <v>23</v>
      </c>
      <c r="AH648" s="33" t="s">
        <v>24</v>
      </c>
      <c r="AI648" s="33" t="s">
        <v>25</v>
      </c>
      <c r="AJ648" s="33" t="s">
        <v>26</v>
      </c>
      <c r="AK648" s="33" t="s">
        <v>24</v>
      </c>
      <c r="AL648" s="27"/>
      <c r="AM648" s="34" t="s">
        <v>25</v>
      </c>
      <c r="AN648" s="35" t="str">
        <f t="shared" si="53"/>
        <v>✓ OK</v>
      </c>
      <c r="AO648" s="36"/>
      <c r="AP648" s="36"/>
      <c r="AQ648" s="36"/>
      <c r="AR648" s="36"/>
      <c r="AS648" s="36"/>
      <c r="AT648" s="36"/>
      <c r="AU648" s="27"/>
      <c r="AV648" s="37"/>
      <c r="AW648" s="38" t="str">
        <f t="shared" si="54"/>
        <v/>
      </c>
    </row>
    <row r="649" spans="1:49" ht="18" customHeight="1" x14ac:dyDescent="0.3">
      <c r="A649" s="23">
        <v>645</v>
      </c>
      <c r="B649" s="24" t="s">
        <v>3138</v>
      </c>
      <c r="C649" s="25" t="s">
        <v>3139</v>
      </c>
      <c r="D649" s="23" t="s">
        <v>2819</v>
      </c>
      <c r="E649" s="43">
        <v>46126</v>
      </c>
      <c r="F649" s="26" t="s">
        <v>23</v>
      </c>
      <c r="G649" s="26" t="s">
        <v>24</v>
      </c>
      <c r="H649" s="26" t="s">
        <v>25</v>
      </c>
      <c r="I649" s="26" t="s">
        <v>26</v>
      </c>
      <c r="J649" s="26" t="s">
        <v>24</v>
      </c>
      <c r="K649" s="27"/>
      <c r="L649" s="28" t="s">
        <v>25</v>
      </c>
      <c r="M649" s="29" t="str">
        <f t="shared" si="50"/>
        <v>✓ OK</v>
      </c>
      <c r="N649" s="43">
        <v>46193</v>
      </c>
      <c r="O649" s="26" t="s">
        <v>23</v>
      </c>
      <c r="P649" s="26" t="s">
        <v>24</v>
      </c>
      <c r="Q649" s="26" t="s">
        <v>25</v>
      </c>
      <c r="R649" s="26" t="s">
        <v>26</v>
      </c>
      <c r="S649" s="26" t="s">
        <v>24</v>
      </c>
      <c r="T649" s="27"/>
      <c r="U649" s="28" t="s">
        <v>25</v>
      </c>
      <c r="V649" s="29" t="str">
        <f t="shared" si="51"/>
        <v>✓ OK</v>
      </c>
      <c r="W649" s="45">
        <v>46248</v>
      </c>
      <c r="X649" s="30" t="s">
        <v>23</v>
      </c>
      <c r="Y649" s="30" t="s">
        <v>24</v>
      </c>
      <c r="Z649" s="30" t="s">
        <v>25</v>
      </c>
      <c r="AA649" s="30" t="s">
        <v>26</v>
      </c>
      <c r="AB649" s="30" t="s">
        <v>24</v>
      </c>
      <c r="AC649" s="27"/>
      <c r="AD649" s="31" t="s">
        <v>25</v>
      </c>
      <c r="AE649" s="32" t="str">
        <f t="shared" si="52"/>
        <v>✓ OK</v>
      </c>
      <c r="AF649" s="33" t="s">
        <v>27</v>
      </c>
      <c r="AG649" s="33" t="s">
        <v>23</v>
      </c>
      <c r="AH649" s="33" t="s">
        <v>24</v>
      </c>
      <c r="AI649" s="33" t="s">
        <v>25</v>
      </c>
      <c r="AJ649" s="33" t="s">
        <v>26</v>
      </c>
      <c r="AK649" s="33" t="s">
        <v>24</v>
      </c>
      <c r="AL649" s="27"/>
      <c r="AM649" s="34" t="s">
        <v>25</v>
      </c>
      <c r="AN649" s="35" t="str">
        <f t="shared" si="53"/>
        <v>✓ OK</v>
      </c>
      <c r="AO649" s="36"/>
      <c r="AP649" s="36"/>
      <c r="AQ649" s="36"/>
      <c r="AR649" s="36"/>
      <c r="AS649" s="36"/>
      <c r="AT649" s="36"/>
      <c r="AU649" s="27"/>
      <c r="AV649" s="37"/>
      <c r="AW649" s="38" t="str">
        <f t="shared" si="54"/>
        <v/>
      </c>
    </row>
    <row r="650" spans="1:49" ht="18" customHeight="1" x14ac:dyDescent="0.3">
      <c r="A650" s="39">
        <v>646</v>
      </c>
      <c r="B650" s="40" t="s">
        <v>3140</v>
      </c>
      <c r="C650" s="41" t="s">
        <v>3141</v>
      </c>
      <c r="D650" s="39" t="s">
        <v>2819</v>
      </c>
      <c r="E650" s="43">
        <v>46126</v>
      </c>
      <c r="F650" s="26" t="s">
        <v>23</v>
      </c>
      <c r="G650" s="26" t="s">
        <v>24</v>
      </c>
      <c r="H650" s="26" t="s">
        <v>25</v>
      </c>
      <c r="I650" s="26" t="s">
        <v>26</v>
      </c>
      <c r="J650" s="26" t="s">
        <v>24</v>
      </c>
      <c r="K650" s="27"/>
      <c r="L650" s="28" t="s">
        <v>25</v>
      </c>
      <c r="M650" s="29" t="str">
        <f t="shared" si="50"/>
        <v>✓ OK</v>
      </c>
      <c r="N650" s="43">
        <v>46193</v>
      </c>
      <c r="O650" s="26" t="s">
        <v>23</v>
      </c>
      <c r="P650" s="26" t="s">
        <v>24</v>
      </c>
      <c r="Q650" s="26" t="s">
        <v>25</v>
      </c>
      <c r="R650" s="26" t="s">
        <v>26</v>
      </c>
      <c r="S650" s="26" t="s">
        <v>24</v>
      </c>
      <c r="T650" s="27"/>
      <c r="U650" s="28" t="s">
        <v>25</v>
      </c>
      <c r="V650" s="29" t="str">
        <f t="shared" si="51"/>
        <v>✓ OK</v>
      </c>
      <c r="W650" s="45">
        <v>46248</v>
      </c>
      <c r="X650" s="30" t="s">
        <v>23</v>
      </c>
      <c r="Y650" s="30" t="s">
        <v>24</v>
      </c>
      <c r="Z650" s="30" t="s">
        <v>25</v>
      </c>
      <c r="AA650" s="30" t="s">
        <v>26</v>
      </c>
      <c r="AB650" s="30" t="s">
        <v>24</v>
      </c>
      <c r="AC650" s="27"/>
      <c r="AD650" s="31" t="s">
        <v>25</v>
      </c>
      <c r="AE650" s="32" t="str">
        <f t="shared" si="52"/>
        <v>✓ OK</v>
      </c>
      <c r="AF650" s="33" t="s">
        <v>27</v>
      </c>
      <c r="AG650" s="33" t="s">
        <v>23</v>
      </c>
      <c r="AH650" s="33" t="s">
        <v>24</v>
      </c>
      <c r="AI650" s="33" t="s">
        <v>25</v>
      </c>
      <c r="AJ650" s="33" t="s">
        <v>26</v>
      </c>
      <c r="AK650" s="33" t="s">
        <v>24</v>
      </c>
      <c r="AL650" s="27"/>
      <c r="AM650" s="34" t="s">
        <v>25</v>
      </c>
      <c r="AN650" s="35" t="str">
        <f t="shared" si="53"/>
        <v>✓ OK</v>
      </c>
      <c r="AO650" s="36"/>
      <c r="AP650" s="36"/>
      <c r="AQ650" s="36"/>
      <c r="AR650" s="36"/>
      <c r="AS650" s="36"/>
      <c r="AT650" s="36"/>
      <c r="AU650" s="27"/>
      <c r="AV650" s="37"/>
      <c r="AW650" s="38" t="str">
        <f t="shared" si="54"/>
        <v/>
      </c>
    </row>
    <row r="651" spans="1:49" ht="18" customHeight="1" x14ac:dyDescent="0.3">
      <c r="A651" s="23">
        <v>647</v>
      </c>
      <c r="B651" s="24" t="s">
        <v>3142</v>
      </c>
      <c r="C651" s="25" t="s">
        <v>3143</v>
      </c>
      <c r="D651" s="23" t="s">
        <v>2819</v>
      </c>
      <c r="E651" s="43">
        <v>46126</v>
      </c>
      <c r="F651" s="26" t="s">
        <v>23</v>
      </c>
      <c r="G651" s="26" t="s">
        <v>24</v>
      </c>
      <c r="H651" s="26" t="s">
        <v>25</v>
      </c>
      <c r="I651" s="26" t="s">
        <v>26</v>
      </c>
      <c r="J651" s="26" t="s">
        <v>24</v>
      </c>
      <c r="K651" s="27"/>
      <c r="L651" s="28" t="s">
        <v>25</v>
      </c>
      <c r="M651" s="29" t="str">
        <f t="shared" si="50"/>
        <v>✓ OK</v>
      </c>
      <c r="N651" s="43">
        <v>46193</v>
      </c>
      <c r="O651" s="26" t="s">
        <v>23</v>
      </c>
      <c r="P651" s="26" t="s">
        <v>24</v>
      </c>
      <c r="Q651" s="26" t="s">
        <v>25</v>
      </c>
      <c r="R651" s="26" t="s">
        <v>26</v>
      </c>
      <c r="S651" s="26" t="s">
        <v>24</v>
      </c>
      <c r="T651" s="27"/>
      <c r="U651" s="28" t="s">
        <v>25</v>
      </c>
      <c r="V651" s="29" t="str">
        <f t="shared" si="51"/>
        <v>✓ OK</v>
      </c>
      <c r="W651" s="45">
        <v>46248</v>
      </c>
      <c r="X651" s="30" t="s">
        <v>23</v>
      </c>
      <c r="Y651" s="30" t="s">
        <v>24</v>
      </c>
      <c r="Z651" s="30" t="s">
        <v>25</v>
      </c>
      <c r="AA651" s="30" t="s">
        <v>26</v>
      </c>
      <c r="AB651" s="30" t="s">
        <v>24</v>
      </c>
      <c r="AC651" s="27"/>
      <c r="AD651" s="31" t="s">
        <v>25</v>
      </c>
      <c r="AE651" s="32" t="str">
        <f t="shared" si="52"/>
        <v>✓ OK</v>
      </c>
      <c r="AF651" s="33" t="s">
        <v>27</v>
      </c>
      <c r="AG651" s="33" t="s">
        <v>23</v>
      </c>
      <c r="AH651" s="33" t="s">
        <v>24</v>
      </c>
      <c r="AI651" s="33" t="s">
        <v>25</v>
      </c>
      <c r="AJ651" s="33" t="s">
        <v>26</v>
      </c>
      <c r="AK651" s="33" t="s">
        <v>24</v>
      </c>
      <c r="AL651" s="27"/>
      <c r="AM651" s="34" t="s">
        <v>25</v>
      </c>
      <c r="AN651" s="35" t="str">
        <f t="shared" si="53"/>
        <v>✓ OK</v>
      </c>
      <c r="AO651" s="36"/>
      <c r="AP651" s="36"/>
      <c r="AQ651" s="36"/>
      <c r="AR651" s="36"/>
      <c r="AS651" s="36"/>
      <c r="AT651" s="36"/>
      <c r="AU651" s="27"/>
      <c r="AV651" s="37"/>
      <c r="AW651" s="38" t="str">
        <f t="shared" si="54"/>
        <v/>
      </c>
    </row>
    <row r="652" spans="1:49" ht="18" customHeight="1" x14ac:dyDescent="0.3">
      <c r="A652" s="39">
        <v>648</v>
      </c>
      <c r="B652" s="40" t="s">
        <v>3144</v>
      </c>
      <c r="C652" s="41" t="s">
        <v>3145</v>
      </c>
      <c r="D652" s="39" t="s">
        <v>2819</v>
      </c>
      <c r="E652" s="43">
        <v>46126</v>
      </c>
      <c r="F652" s="26" t="s">
        <v>23</v>
      </c>
      <c r="G652" s="26" t="s">
        <v>24</v>
      </c>
      <c r="H652" s="26" t="s">
        <v>25</v>
      </c>
      <c r="I652" s="26" t="s">
        <v>26</v>
      </c>
      <c r="J652" s="26" t="s">
        <v>24</v>
      </c>
      <c r="K652" s="27"/>
      <c r="L652" s="28" t="s">
        <v>25</v>
      </c>
      <c r="M652" s="29" t="str">
        <f t="shared" si="50"/>
        <v>✓ OK</v>
      </c>
      <c r="N652" s="43">
        <v>46193</v>
      </c>
      <c r="O652" s="26" t="s">
        <v>23</v>
      </c>
      <c r="P652" s="26" t="s">
        <v>24</v>
      </c>
      <c r="Q652" s="26" t="s">
        <v>25</v>
      </c>
      <c r="R652" s="26" t="s">
        <v>26</v>
      </c>
      <c r="S652" s="26" t="s">
        <v>24</v>
      </c>
      <c r="T652" s="27"/>
      <c r="U652" s="28" t="s">
        <v>25</v>
      </c>
      <c r="V652" s="29" t="str">
        <f t="shared" si="51"/>
        <v>✓ OK</v>
      </c>
      <c r="W652" s="45">
        <v>46248</v>
      </c>
      <c r="X652" s="30" t="s">
        <v>23</v>
      </c>
      <c r="Y652" s="30" t="s">
        <v>24</v>
      </c>
      <c r="Z652" s="30" t="s">
        <v>25</v>
      </c>
      <c r="AA652" s="30" t="s">
        <v>26</v>
      </c>
      <c r="AB652" s="30" t="s">
        <v>24</v>
      </c>
      <c r="AC652" s="27"/>
      <c r="AD652" s="31" t="s">
        <v>25</v>
      </c>
      <c r="AE652" s="32" t="str">
        <f t="shared" si="52"/>
        <v>✓ OK</v>
      </c>
      <c r="AF652" s="33" t="s">
        <v>27</v>
      </c>
      <c r="AG652" s="33" t="s">
        <v>23</v>
      </c>
      <c r="AH652" s="33" t="s">
        <v>24</v>
      </c>
      <c r="AI652" s="33" t="s">
        <v>25</v>
      </c>
      <c r="AJ652" s="33" t="s">
        <v>26</v>
      </c>
      <c r="AK652" s="33" t="s">
        <v>24</v>
      </c>
      <c r="AL652" s="27"/>
      <c r="AM652" s="34" t="s">
        <v>25</v>
      </c>
      <c r="AN652" s="35" t="str">
        <f t="shared" si="53"/>
        <v>✓ OK</v>
      </c>
      <c r="AO652" s="36"/>
      <c r="AP652" s="36"/>
      <c r="AQ652" s="36"/>
      <c r="AR652" s="36"/>
      <c r="AS652" s="36"/>
      <c r="AT652" s="36"/>
      <c r="AU652" s="27"/>
      <c r="AV652" s="37"/>
      <c r="AW652" s="38" t="str">
        <f t="shared" si="54"/>
        <v/>
      </c>
    </row>
    <row r="653" spans="1:49" ht="18" customHeight="1" x14ac:dyDescent="0.3">
      <c r="A653" s="23">
        <v>649</v>
      </c>
      <c r="B653" s="24" t="s">
        <v>3146</v>
      </c>
      <c r="C653" s="25" t="s">
        <v>3147</v>
      </c>
      <c r="D653" s="23" t="s">
        <v>2819</v>
      </c>
      <c r="E653" s="43">
        <v>46126</v>
      </c>
      <c r="F653" s="26" t="s">
        <v>23</v>
      </c>
      <c r="G653" s="26" t="s">
        <v>24</v>
      </c>
      <c r="H653" s="26" t="s">
        <v>25</v>
      </c>
      <c r="I653" s="26" t="s">
        <v>26</v>
      </c>
      <c r="J653" s="26" t="s">
        <v>24</v>
      </c>
      <c r="K653" s="27"/>
      <c r="L653" s="28" t="s">
        <v>25</v>
      </c>
      <c r="M653" s="29" t="str">
        <f t="shared" si="50"/>
        <v>✓ OK</v>
      </c>
      <c r="N653" s="43">
        <v>46193</v>
      </c>
      <c r="O653" s="26" t="s">
        <v>23</v>
      </c>
      <c r="P653" s="26" t="s">
        <v>24</v>
      </c>
      <c r="Q653" s="26" t="s">
        <v>25</v>
      </c>
      <c r="R653" s="26" t="s">
        <v>26</v>
      </c>
      <c r="S653" s="26" t="s">
        <v>24</v>
      </c>
      <c r="T653" s="27"/>
      <c r="U653" s="28" t="s">
        <v>25</v>
      </c>
      <c r="V653" s="29" t="str">
        <f t="shared" si="51"/>
        <v>✓ OK</v>
      </c>
      <c r="W653" s="45">
        <v>46248</v>
      </c>
      <c r="X653" s="30" t="s">
        <v>23</v>
      </c>
      <c r="Y653" s="30" t="s">
        <v>24</v>
      </c>
      <c r="Z653" s="30" t="s">
        <v>25</v>
      </c>
      <c r="AA653" s="30" t="s">
        <v>26</v>
      </c>
      <c r="AB653" s="30" t="s">
        <v>24</v>
      </c>
      <c r="AC653" s="27"/>
      <c r="AD653" s="31" t="s">
        <v>25</v>
      </c>
      <c r="AE653" s="32" t="str">
        <f t="shared" si="52"/>
        <v>✓ OK</v>
      </c>
      <c r="AF653" s="33" t="s">
        <v>27</v>
      </c>
      <c r="AG653" s="33" t="s">
        <v>23</v>
      </c>
      <c r="AH653" s="33" t="s">
        <v>24</v>
      </c>
      <c r="AI653" s="33" t="s">
        <v>25</v>
      </c>
      <c r="AJ653" s="33" t="s">
        <v>26</v>
      </c>
      <c r="AK653" s="33" t="s">
        <v>24</v>
      </c>
      <c r="AL653" s="27"/>
      <c r="AM653" s="34" t="s">
        <v>25</v>
      </c>
      <c r="AN653" s="35" t="str">
        <f t="shared" si="53"/>
        <v>✓ OK</v>
      </c>
      <c r="AO653" s="36"/>
      <c r="AP653" s="36"/>
      <c r="AQ653" s="36"/>
      <c r="AR653" s="36"/>
      <c r="AS653" s="36"/>
      <c r="AT653" s="36"/>
      <c r="AU653" s="27"/>
      <c r="AV653" s="37"/>
      <c r="AW653" s="38" t="str">
        <f t="shared" si="54"/>
        <v/>
      </c>
    </row>
    <row r="654" spans="1:49" ht="18" customHeight="1" x14ac:dyDescent="0.3">
      <c r="A654" s="39">
        <v>650</v>
      </c>
      <c r="B654" s="40" t="s">
        <v>3148</v>
      </c>
      <c r="C654" s="41" t="s">
        <v>3149</v>
      </c>
      <c r="D654" s="39" t="s">
        <v>2819</v>
      </c>
      <c r="E654" s="43">
        <v>46126</v>
      </c>
      <c r="F654" s="26" t="s">
        <v>23</v>
      </c>
      <c r="G654" s="26" t="s">
        <v>24</v>
      </c>
      <c r="H654" s="26" t="s">
        <v>25</v>
      </c>
      <c r="I654" s="26" t="s">
        <v>26</v>
      </c>
      <c r="J654" s="26" t="s">
        <v>24</v>
      </c>
      <c r="K654" s="27"/>
      <c r="L654" s="28" t="s">
        <v>25</v>
      </c>
      <c r="M654" s="29" t="str">
        <f t="shared" si="50"/>
        <v>✓ OK</v>
      </c>
      <c r="N654" s="43">
        <v>46193</v>
      </c>
      <c r="O654" s="26" t="s">
        <v>23</v>
      </c>
      <c r="P654" s="26" t="s">
        <v>24</v>
      </c>
      <c r="Q654" s="26" t="s">
        <v>25</v>
      </c>
      <c r="R654" s="26" t="s">
        <v>26</v>
      </c>
      <c r="S654" s="26" t="s">
        <v>24</v>
      </c>
      <c r="T654" s="27"/>
      <c r="U654" s="28" t="s">
        <v>25</v>
      </c>
      <c r="V654" s="29" t="str">
        <f t="shared" si="51"/>
        <v>✓ OK</v>
      </c>
      <c r="W654" s="45">
        <v>46248</v>
      </c>
      <c r="X654" s="30" t="s">
        <v>23</v>
      </c>
      <c r="Y654" s="30" t="s">
        <v>24</v>
      </c>
      <c r="Z654" s="30" t="s">
        <v>25</v>
      </c>
      <c r="AA654" s="30" t="s">
        <v>26</v>
      </c>
      <c r="AB654" s="30" t="s">
        <v>24</v>
      </c>
      <c r="AC654" s="27"/>
      <c r="AD654" s="31" t="s">
        <v>25</v>
      </c>
      <c r="AE654" s="32" t="str">
        <f t="shared" si="52"/>
        <v>✓ OK</v>
      </c>
      <c r="AF654" s="33" t="s">
        <v>27</v>
      </c>
      <c r="AG654" s="33" t="s">
        <v>23</v>
      </c>
      <c r="AH654" s="33" t="s">
        <v>24</v>
      </c>
      <c r="AI654" s="33" t="s">
        <v>25</v>
      </c>
      <c r="AJ654" s="33" t="s">
        <v>26</v>
      </c>
      <c r="AK654" s="33" t="s">
        <v>24</v>
      </c>
      <c r="AL654" s="27"/>
      <c r="AM654" s="34" t="s">
        <v>25</v>
      </c>
      <c r="AN654" s="35" t="str">
        <f t="shared" si="53"/>
        <v>✓ OK</v>
      </c>
      <c r="AO654" s="36"/>
      <c r="AP654" s="36"/>
      <c r="AQ654" s="36"/>
      <c r="AR654" s="36"/>
      <c r="AS654" s="36"/>
      <c r="AT654" s="36"/>
      <c r="AU654" s="27"/>
      <c r="AV654" s="37"/>
      <c r="AW654" s="38" t="str">
        <f t="shared" si="54"/>
        <v/>
      </c>
    </row>
    <row r="655" spans="1:49" ht="18" customHeight="1" x14ac:dyDescent="0.3">
      <c r="A655" s="23">
        <v>651</v>
      </c>
      <c r="B655" s="24" t="s">
        <v>3150</v>
      </c>
      <c r="C655" s="25" t="s">
        <v>3151</v>
      </c>
      <c r="D655" s="23" t="s">
        <v>2819</v>
      </c>
      <c r="E655" s="43">
        <v>46126</v>
      </c>
      <c r="F655" s="26" t="s">
        <v>23</v>
      </c>
      <c r="G655" s="26" t="s">
        <v>24</v>
      </c>
      <c r="H655" s="26" t="s">
        <v>25</v>
      </c>
      <c r="I655" s="26" t="s">
        <v>26</v>
      </c>
      <c r="J655" s="26" t="s">
        <v>24</v>
      </c>
      <c r="K655" s="27"/>
      <c r="L655" s="28" t="s">
        <v>25</v>
      </c>
      <c r="M655" s="29" t="str">
        <f t="shared" si="50"/>
        <v>✓ OK</v>
      </c>
      <c r="N655" s="43">
        <v>46193</v>
      </c>
      <c r="O655" s="26" t="s">
        <v>23</v>
      </c>
      <c r="P655" s="26" t="s">
        <v>24</v>
      </c>
      <c r="Q655" s="26" t="s">
        <v>25</v>
      </c>
      <c r="R655" s="26" t="s">
        <v>26</v>
      </c>
      <c r="S655" s="26" t="s">
        <v>24</v>
      </c>
      <c r="T655" s="27"/>
      <c r="U655" s="28" t="s">
        <v>25</v>
      </c>
      <c r="V655" s="29" t="str">
        <f t="shared" si="51"/>
        <v>✓ OK</v>
      </c>
      <c r="W655" s="45">
        <v>46248</v>
      </c>
      <c r="X655" s="30" t="s">
        <v>23</v>
      </c>
      <c r="Y655" s="30" t="s">
        <v>24</v>
      </c>
      <c r="Z655" s="30" t="s">
        <v>25</v>
      </c>
      <c r="AA655" s="30" t="s">
        <v>26</v>
      </c>
      <c r="AB655" s="30" t="s">
        <v>24</v>
      </c>
      <c r="AC655" s="27"/>
      <c r="AD655" s="31" t="s">
        <v>25</v>
      </c>
      <c r="AE655" s="32" t="str">
        <f t="shared" si="52"/>
        <v>✓ OK</v>
      </c>
      <c r="AF655" s="33" t="s">
        <v>27</v>
      </c>
      <c r="AG655" s="33" t="s">
        <v>23</v>
      </c>
      <c r="AH655" s="33" t="s">
        <v>24</v>
      </c>
      <c r="AI655" s="33" t="s">
        <v>25</v>
      </c>
      <c r="AJ655" s="33" t="s">
        <v>26</v>
      </c>
      <c r="AK655" s="33" t="s">
        <v>24</v>
      </c>
      <c r="AL655" s="27"/>
      <c r="AM655" s="34" t="s">
        <v>25</v>
      </c>
      <c r="AN655" s="35" t="str">
        <f t="shared" si="53"/>
        <v>✓ OK</v>
      </c>
      <c r="AO655" s="36"/>
      <c r="AP655" s="36"/>
      <c r="AQ655" s="36"/>
      <c r="AR655" s="36"/>
      <c r="AS655" s="36"/>
      <c r="AT655" s="36"/>
      <c r="AU655" s="27"/>
      <c r="AV655" s="37"/>
      <c r="AW655" s="38" t="str">
        <f t="shared" si="54"/>
        <v/>
      </c>
    </row>
    <row r="656" spans="1:49" ht="18" customHeight="1" x14ac:dyDescent="0.3">
      <c r="A656" s="39">
        <v>652</v>
      </c>
      <c r="B656" s="40" t="s">
        <v>3152</v>
      </c>
      <c r="C656" s="41" t="s">
        <v>3153</v>
      </c>
      <c r="D656" s="39" t="s">
        <v>2819</v>
      </c>
      <c r="E656" s="43">
        <v>46126</v>
      </c>
      <c r="F656" s="26" t="s">
        <v>23</v>
      </c>
      <c r="G656" s="26" t="s">
        <v>24</v>
      </c>
      <c r="H656" s="26" t="s">
        <v>25</v>
      </c>
      <c r="I656" s="26" t="s">
        <v>26</v>
      </c>
      <c r="J656" s="26" t="s">
        <v>24</v>
      </c>
      <c r="K656" s="27"/>
      <c r="L656" s="28" t="s">
        <v>25</v>
      </c>
      <c r="M656" s="29" t="str">
        <f t="shared" si="50"/>
        <v>✓ OK</v>
      </c>
      <c r="N656" s="43">
        <v>46193</v>
      </c>
      <c r="O656" s="26" t="s">
        <v>23</v>
      </c>
      <c r="P656" s="26" t="s">
        <v>24</v>
      </c>
      <c r="Q656" s="26" t="s">
        <v>25</v>
      </c>
      <c r="R656" s="26" t="s">
        <v>26</v>
      </c>
      <c r="S656" s="26" t="s">
        <v>24</v>
      </c>
      <c r="T656" s="27"/>
      <c r="U656" s="28" t="s">
        <v>25</v>
      </c>
      <c r="V656" s="29" t="str">
        <f t="shared" si="51"/>
        <v>✓ OK</v>
      </c>
      <c r="W656" s="45">
        <v>46248</v>
      </c>
      <c r="X656" s="30" t="s">
        <v>23</v>
      </c>
      <c r="Y656" s="30" t="s">
        <v>24</v>
      </c>
      <c r="Z656" s="30" t="s">
        <v>25</v>
      </c>
      <c r="AA656" s="30" t="s">
        <v>26</v>
      </c>
      <c r="AB656" s="30" t="s">
        <v>24</v>
      </c>
      <c r="AC656" s="27"/>
      <c r="AD656" s="31" t="s">
        <v>25</v>
      </c>
      <c r="AE656" s="32" t="str">
        <f t="shared" si="52"/>
        <v>✓ OK</v>
      </c>
      <c r="AF656" s="33" t="s">
        <v>27</v>
      </c>
      <c r="AG656" s="33" t="s">
        <v>23</v>
      </c>
      <c r="AH656" s="33" t="s">
        <v>24</v>
      </c>
      <c r="AI656" s="33" t="s">
        <v>25</v>
      </c>
      <c r="AJ656" s="33" t="s">
        <v>26</v>
      </c>
      <c r="AK656" s="33" t="s">
        <v>24</v>
      </c>
      <c r="AL656" s="27"/>
      <c r="AM656" s="34" t="s">
        <v>25</v>
      </c>
      <c r="AN656" s="35" t="str">
        <f t="shared" si="53"/>
        <v>✓ OK</v>
      </c>
      <c r="AO656" s="36"/>
      <c r="AP656" s="36"/>
      <c r="AQ656" s="36"/>
      <c r="AR656" s="36"/>
      <c r="AS656" s="36"/>
      <c r="AT656" s="36"/>
      <c r="AU656" s="27"/>
      <c r="AV656" s="37"/>
      <c r="AW656" s="38" t="str">
        <f t="shared" si="54"/>
        <v/>
      </c>
    </row>
    <row r="657" spans="1:49" ht="18" customHeight="1" x14ac:dyDescent="0.3">
      <c r="A657" s="23">
        <v>653</v>
      </c>
      <c r="B657" s="24" t="s">
        <v>3154</v>
      </c>
      <c r="C657" s="25" t="s">
        <v>3155</v>
      </c>
      <c r="D657" s="23" t="s">
        <v>2819</v>
      </c>
      <c r="E657" s="43">
        <v>46126</v>
      </c>
      <c r="F657" s="26" t="s">
        <v>23</v>
      </c>
      <c r="G657" s="26" t="s">
        <v>24</v>
      </c>
      <c r="H657" s="26" t="s">
        <v>25</v>
      </c>
      <c r="I657" s="26" t="s">
        <v>26</v>
      </c>
      <c r="J657" s="26" t="s">
        <v>24</v>
      </c>
      <c r="K657" s="27"/>
      <c r="L657" s="28" t="s">
        <v>25</v>
      </c>
      <c r="M657" s="29" t="str">
        <f t="shared" si="50"/>
        <v>✓ OK</v>
      </c>
      <c r="N657" s="43">
        <v>46193</v>
      </c>
      <c r="O657" s="26" t="s">
        <v>23</v>
      </c>
      <c r="P657" s="26" t="s">
        <v>24</v>
      </c>
      <c r="Q657" s="26" t="s">
        <v>25</v>
      </c>
      <c r="R657" s="26" t="s">
        <v>26</v>
      </c>
      <c r="S657" s="26" t="s">
        <v>24</v>
      </c>
      <c r="T657" s="27"/>
      <c r="U657" s="28" t="s">
        <v>25</v>
      </c>
      <c r="V657" s="29" t="str">
        <f t="shared" si="51"/>
        <v>✓ OK</v>
      </c>
      <c r="W657" s="45">
        <v>46248</v>
      </c>
      <c r="X657" s="30" t="s">
        <v>23</v>
      </c>
      <c r="Y657" s="30" t="s">
        <v>24</v>
      </c>
      <c r="Z657" s="30" t="s">
        <v>25</v>
      </c>
      <c r="AA657" s="30" t="s">
        <v>26</v>
      </c>
      <c r="AB657" s="30" t="s">
        <v>24</v>
      </c>
      <c r="AC657" s="27"/>
      <c r="AD657" s="31" t="s">
        <v>25</v>
      </c>
      <c r="AE657" s="32" t="str">
        <f t="shared" si="52"/>
        <v>✓ OK</v>
      </c>
      <c r="AF657" s="33" t="s">
        <v>27</v>
      </c>
      <c r="AG657" s="33" t="s">
        <v>23</v>
      </c>
      <c r="AH657" s="33" t="s">
        <v>24</v>
      </c>
      <c r="AI657" s="33" t="s">
        <v>25</v>
      </c>
      <c r="AJ657" s="33" t="s">
        <v>26</v>
      </c>
      <c r="AK657" s="33" t="s">
        <v>24</v>
      </c>
      <c r="AL657" s="27"/>
      <c r="AM657" s="34" t="s">
        <v>25</v>
      </c>
      <c r="AN657" s="35" t="str">
        <f t="shared" si="53"/>
        <v>✓ OK</v>
      </c>
      <c r="AO657" s="36"/>
      <c r="AP657" s="36"/>
      <c r="AQ657" s="36"/>
      <c r="AR657" s="36"/>
      <c r="AS657" s="36"/>
      <c r="AT657" s="36"/>
      <c r="AU657" s="27"/>
      <c r="AV657" s="37"/>
      <c r="AW657" s="38" t="str">
        <f t="shared" si="54"/>
        <v/>
      </c>
    </row>
    <row r="658" spans="1:49" ht="18" customHeight="1" x14ac:dyDescent="0.3">
      <c r="A658" s="39">
        <v>654</v>
      </c>
      <c r="B658" s="40" t="s">
        <v>3156</v>
      </c>
      <c r="C658" s="41" t="s">
        <v>3157</v>
      </c>
      <c r="D658" s="39" t="s">
        <v>2819</v>
      </c>
      <c r="E658" s="43">
        <v>46126</v>
      </c>
      <c r="F658" s="26" t="s">
        <v>23</v>
      </c>
      <c r="G658" s="26" t="s">
        <v>24</v>
      </c>
      <c r="H658" s="26" t="s">
        <v>25</v>
      </c>
      <c r="I658" s="26" t="s">
        <v>26</v>
      </c>
      <c r="J658" s="26" t="s">
        <v>24</v>
      </c>
      <c r="K658" s="27"/>
      <c r="L658" s="28" t="s">
        <v>25</v>
      </c>
      <c r="M658" s="29" t="str">
        <f t="shared" si="50"/>
        <v>✓ OK</v>
      </c>
      <c r="N658" s="43">
        <v>46193</v>
      </c>
      <c r="O658" s="26" t="s">
        <v>23</v>
      </c>
      <c r="P658" s="26" t="s">
        <v>24</v>
      </c>
      <c r="Q658" s="26" t="s">
        <v>25</v>
      </c>
      <c r="R658" s="26" t="s">
        <v>26</v>
      </c>
      <c r="S658" s="26" t="s">
        <v>24</v>
      </c>
      <c r="T658" s="27"/>
      <c r="U658" s="28" t="s">
        <v>25</v>
      </c>
      <c r="V658" s="29" t="str">
        <f t="shared" si="51"/>
        <v>✓ OK</v>
      </c>
      <c r="W658" s="45">
        <v>46248</v>
      </c>
      <c r="X658" s="30" t="s">
        <v>23</v>
      </c>
      <c r="Y658" s="30" t="s">
        <v>24</v>
      </c>
      <c r="Z658" s="30" t="s">
        <v>25</v>
      </c>
      <c r="AA658" s="30" t="s">
        <v>26</v>
      </c>
      <c r="AB658" s="30" t="s">
        <v>24</v>
      </c>
      <c r="AC658" s="27"/>
      <c r="AD658" s="31" t="s">
        <v>25</v>
      </c>
      <c r="AE658" s="32" t="str">
        <f t="shared" si="52"/>
        <v>✓ OK</v>
      </c>
      <c r="AF658" s="33" t="s">
        <v>27</v>
      </c>
      <c r="AG658" s="33" t="s">
        <v>23</v>
      </c>
      <c r="AH658" s="33" t="s">
        <v>24</v>
      </c>
      <c r="AI658" s="33" t="s">
        <v>25</v>
      </c>
      <c r="AJ658" s="33" t="s">
        <v>26</v>
      </c>
      <c r="AK658" s="33" t="s">
        <v>24</v>
      </c>
      <c r="AL658" s="27"/>
      <c r="AM658" s="34" t="s">
        <v>25</v>
      </c>
      <c r="AN658" s="35" t="str">
        <f t="shared" si="53"/>
        <v>✓ OK</v>
      </c>
      <c r="AO658" s="36"/>
      <c r="AP658" s="36"/>
      <c r="AQ658" s="36"/>
      <c r="AR658" s="36"/>
      <c r="AS658" s="36"/>
      <c r="AT658" s="36"/>
      <c r="AU658" s="27"/>
      <c r="AV658" s="37"/>
      <c r="AW658" s="38" t="str">
        <f t="shared" si="54"/>
        <v/>
      </c>
    </row>
    <row r="659" spans="1:49" ht="18" customHeight="1" x14ac:dyDescent="0.3">
      <c r="A659" s="23">
        <v>655</v>
      </c>
      <c r="B659" s="24" t="s">
        <v>3158</v>
      </c>
      <c r="C659" s="25" t="s">
        <v>3159</v>
      </c>
      <c r="D659" s="23" t="s">
        <v>2819</v>
      </c>
      <c r="E659" s="43">
        <v>46126</v>
      </c>
      <c r="F659" s="26" t="s">
        <v>23</v>
      </c>
      <c r="G659" s="26" t="s">
        <v>24</v>
      </c>
      <c r="H659" s="26" t="s">
        <v>25</v>
      </c>
      <c r="I659" s="26" t="s">
        <v>26</v>
      </c>
      <c r="J659" s="26" t="s">
        <v>24</v>
      </c>
      <c r="K659" s="27"/>
      <c r="L659" s="28" t="s">
        <v>25</v>
      </c>
      <c r="M659" s="29" t="str">
        <f t="shared" si="50"/>
        <v>✓ OK</v>
      </c>
      <c r="N659" s="43">
        <v>46193</v>
      </c>
      <c r="O659" s="26" t="s">
        <v>23</v>
      </c>
      <c r="P659" s="26" t="s">
        <v>24</v>
      </c>
      <c r="Q659" s="26" t="s">
        <v>25</v>
      </c>
      <c r="R659" s="26" t="s">
        <v>26</v>
      </c>
      <c r="S659" s="26" t="s">
        <v>24</v>
      </c>
      <c r="T659" s="27"/>
      <c r="U659" s="28" t="s">
        <v>25</v>
      </c>
      <c r="V659" s="29" t="str">
        <f t="shared" si="51"/>
        <v>✓ OK</v>
      </c>
      <c r="W659" s="45">
        <v>46248</v>
      </c>
      <c r="X659" s="30" t="s">
        <v>23</v>
      </c>
      <c r="Y659" s="30" t="s">
        <v>24</v>
      </c>
      <c r="Z659" s="30" t="s">
        <v>25</v>
      </c>
      <c r="AA659" s="30" t="s">
        <v>26</v>
      </c>
      <c r="AB659" s="30" t="s">
        <v>24</v>
      </c>
      <c r="AC659" s="27"/>
      <c r="AD659" s="31" t="s">
        <v>25</v>
      </c>
      <c r="AE659" s="32" t="str">
        <f t="shared" si="52"/>
        <v>✓ OK</v>
      </c>
      <c r="AF659" s="33" t="s">
        <v>27</v>
      </c>
      <c r="AG659" s="33" t="s">
        <v>23</v>
      </c>
      <c r="AH659" s="33" t="s">
        <v>24</v>
      </c>
      <c r="AI659" s="33" t="s">
        <v>25</v>
      </c>
      <c r="AJ659" s="33" t="s">
        <v>26</v>
      </c>
      <c r="AK659" s="33" t="s">
        <v>24</v>
      </c>
      <c r="AL659" s="27"/>
      <c r="AM659" s="34" t="s">
        <v>25</v>
      </c>
      <c r="AN659" s="35" t="str">
        <f t="shared" si="53"/>
        <v>✓ OK</v>
      </c>
      <c r="AO659" s="36"/>
      <c r="AP659" s="36"/>
      <c r="AQ659" s="36"/>
      <c r="AR659" s="36"/>
      <c r="AS659" s="36"/>
      <c r="AT659" s="36"/>
      <c r="AU659" s="27"/>
      <c r="AV659" s="37"/>
      <c r="AW659" s="38" t="str">
        <f t="shared" si="54"/>
        <v/>
      </c>
    </row>
    <row r="660" spans="1:49" ht="18" customHeight="1" x14ac:dyDescent="0.3">
      <c r="A660" s="39">
        <v>656</v>
      </c>
      <c r="B660" s="40" t="s">
        <v>3160</v>
      </c>
      <c r="C660" s="41" t="s">
        <v>3161</v>
      </c>
      <c r="D660" s="39" t="s">
        <v>2819</v>
      </c>
      <c r="E660" s="43">
        <v>46126</v>
      </c>
      <c r="F660" s="26" t="s">
        <v>23</v>
      </c>
      <c r="G660" s="26" t="s">
        <v>24</v>
      </c>
      <c r="H660" s="26" t="s">
        <v>25</v>
      </c>
      <c r="I660" s="26" t="s">
        <v>26</v>
      </c>
      <c r="J660" s="26" t="s">
        <v>24</v>
      </c>
      <c r="K660" s="27"/>
      <c r="L660" s="28" t="s">
        <v>25</v>
      </c>
      <c r="M660" s="29" t="str">
        <f t="shared" si="50"/>
        <v>✓ OK</v>
      </c>
      <c r="N660" s="43">
        <v>46193</v>
      </c>
      <c r="O660" s="26" t="s">
        <v>23</v>
      </c>
      <c r="P660" s="26" t="s">
        <v>24</v>
      </c>
      <c r="Q660" s="26" t="s">
        <v>25</v>
      </c>
      <c r="R660" s="26" t="s">
        <v>26</v>
      </c>
      <c r="S660" s="26" t="s">
        <v>24</v>
      </c>
      <c r="T660" s="27"/>
      <c r="U660" s="28" t="s">
        <v>25</v>
      </c>
      <c r="V660" s="29" t="str">
        <f t="shared" si="51"/>
        <v>✓ OK</v>
      </c>
      <c r="W660" s="45">
        <v>46248</v>
      </c>
      <c r="X660" s="30" t="s">
        <v>23</v>
      </c>
      <c r="Y660" s="30" t="s">
        <v>24</v>
      </c>
      <c r="Z660" s="30" t="s">
        <v>25</v>
      </c>
      <c r="AA660" s="30" t="s">
        <v>26</v>
      </c>
      <c r="AB660" s="30" t="s">
        <v>24</v>
      </c>
      <c r="AC660" s="27"/>
      <c r="AD660" s="31" t="s">
        <v>25</v>
      </c>
      <c r="AE660" s="32" t="str">
        <f t="shared" si="52"/>
        <v>✓ OK</v>
      </c>
      <c r="AF660" s="33" t="s">
        <v>27</v>
      </c>
      <c r="AG660" s="33" t="s">
        <v>23</v>
      </c>
      <c r="AH660" s="33" t="s">
        <v>24</v>
      </c>
      <c r="AI660" s="33" t="s">
        <v>25</v>
      </c>
      <c r="AJ660" s="33" t="s">
        <v>26</v>
      </c>
      <c r="AK660" s="33" t="s">
        <v>24</v>
      </c>
      <c r="AL660" s="27"/>
      <c r="AM660" s="34" t="s">
        <v>25</v>
      </c>
      <c r="AN660" s="35" t="str">
        <f t="shared" si="53"/>
        <v>✓ OK</v>
      </c>
      <c r="AO660" s="36"/>
      <c r="AP660" s="36"/>
      <c r="AQ660" s="36"/>
      <c r="AR660" s="36"/>
      <c r="AS660" s="36"/>
      <c r="AT660" s="36"/>
      <c r="AU660" s="27"/>
      <c r="AV660" s="37"/>
      <c r="AW660" s="38" t="str">
        <f t="shared" si="54"/>
        <v/>
      </c>
    </row>
    <row r="661" spans="1:49" ht="18" customHeight="1" x14ac:dyDescent="0.3">
      <c r="A661" s="23">
        <v>657</v>
      </c>
      <c r="B661" s="24" t="s">
        <v>3162</v>
      </c>
      <c r="C661" s="25" t="s">
        <v>3163</v>
      </c>
      <c r="D661" s="23" t="s">
        <v>2819</v>
      </c>
      <c r="E661" s="43">
        <v>46126</v>
      </c>
      <c r="F661" s="26" t="s">
        <v>23</v>
      </c>
      <c r="G661" s="26" t="s">
        <v>24</v>
      </c>
      <c r="H661" s="26" t="s">
        <v>25</v>
      </c>
      <c r="I661" s="26" t="s">
        <v>26</v>
      </c>
      <c r="J661" s="26" t="s">
        <v>24</v>
      </c>
      <c r="K661" s="27"/>
      <c r="L661" s="28" t="s">
        <v>25</v>
      </c>
      <c r="M661" s="29" t="str">
        <f t="shared" si="50"/>
        <v>✓ OK</v>
      </c>
      <c r="N661" s="43">
        <v>46193</v>
      </c>
      <c r="O661" s="26" t="s">
        <v>23</v>
      </c>
      <c r="P661" s="26" t="s">
        <v>24</v>
      </c>
      <c r="Q661" s="26" t="s">
        <v>25</v>
      </c>
      <c r="R661" s="26" t="s">
        <v>26</v>
      </c>
      <c r="S661" s="26" t="s">
        <v>24</v>
      </c>
      <c r="T661" s="27"/>
      <c r="U661" s="28" t="s">
        <v>25</v>
      </c>
      <c r="V661" s="29" t="str">
        <f t="shared" si="51"/>
        <v>✓ OK</v>
      </c>
      <c r="W661" s="45">
        <v>46248</v>
      </c>
      <c r="X661" s="30" t="s">
        <v>23</v>
      </c>
      <c r="Y661" s="30" t="s">
        <v>24</v>
      </c>
      <c r="Z661" s="30" t="s">
        <v>25</v>
      </c>
      <c r="AA661" s="30" t="s">
        <v>26</v>
      </c>
      <c r="AB661" s="30" t="s">
        <v>24</v>
      </c>
      <c r="AC661" s="27"/>
      <c r="AD661" s="31" t="s">
        <v>25</v>
      </c>
      <c r="AE661" s="32" t="str">
        <f t="shared" si="52"/>
        <v>✓ OK</v>
      </c>
      <c r="AF661" s="33" t="s">
        <v>27</v>
      </c>
      <c r="AG661" s="33" t="s">
        <v>23</v>
      </c>
      <c r="AH661" s="33" t="s">
        <v>24</v>
      </c>
      <c r="AI661" s="33" t="s">
        <v>25</v>
      </c>
      <c r="AJ661" s="33" t="s">
        <v>26</v>
      </c>
      <c r="AK661" s="33" t="s">
        <v>24</v>
      </c>
      <c r="AL661" s="27"/>
      <c r="AM661" s="34" t="s">
        <v>25</v>
      </c>
      <c r="AN661" s="35" t="str">
        <f t="shared" si="53"/>
        <v>✓ OK</v>
      </c>
      <c r="AO661" s="36"/>
      <c r="AP661" s="36"/>
      <c r="AQ661" s="36"/>
      <c r="AR661" s="36"/>
      <c r="AS661" s="36"/>
      <c r="AT661" s="36"/>
      <c r="AU661" s="27"/>
      <c r="AV661" s="37"/>
      <c r="AW661" s="38" t="str">
        <f t="shared" si="54"/>
        <v/>
      </c>
    </row>
    <row r="662" spans="1:49" ht="18" customHeight="1" x14ac:dyDescent="0.3">
      <c r="A662" s="39">
        <v>658</v>
      </c>
      <c r="B662" s="40" t="s">
        <v>3164</v>
      </c>
      <c r="C662" s="41" t="s">
        <v>3165</v>
      </c>
      <c r="D662" s="39" t="s">
        <v>2819</v>
      </c>
      <c r="E662" s="43">
        <v>46126</v>
      </c>
      <c r="F662" s="26" t="s">
        <v>23</v>
      </c>
      <c r="G662" s="26" t="s">
        <v>24</v>
      </c>
      <c r="H662" s="26" t="s">
        <v>25</v>
      </c>
      <c r="I662" s="26" t="s">
        <v>26</v>
      </c>
      <c r="J662" s="26" t="s">
        <v>24</v>
      </c>
      <c r="K662" s="27"/>
      <c r="L662" s="28" t="s">
        <v>25</v>
      </c>
      <c r="M662" s="29" t="str">
        <f t="shared" si="50"/>
        <v>✓ OK</v>
      </c>
      <c r="N662" s="43">
        <v>46193</v>
      </c>
      <c r="O662" s="26" t="s">
        <v>23</v>
      </c>
      <c r="P662" s="26" t="s">
        <v>24</v>
      </c>
      <c r="Q662" s="26" t="s">
        <v>25</v>
      </c>
      <c r="R662" s="26" t="s">
        <v>26</v>
      </c>
      <c r="S662" s="26" t="s">
        <v>24</v>
      </c>
      <c r="T662" s="27"/>
      <c r="U662" s="28" t="s">
        <v>25</v>
      </c>
      <c r="V662" s="29" t="str">
        <f t="shared" si="51"/>
        <v>✓ OK</v>
      </c>
      <c r="W662" s="45">
        <v>46248</v>
      </c>
      <c r="X662" s="30" t="s">
        <v>23</v>
      </c>
      <c r="Y662" s="30" t="s">
        <v>24</v>
      </c>
      <c r="Z662" s="30" t="s">
        <v>25</v>
      </c>
      <c r="AA662" s="30" t="s">
        <v>26</v>
      </c>
      <c r="AB662" s="30" t="s">
        <v>24</v>
      </c>
      <c r="AC662" s="27"/>
      <c r="AD662" s="31" t="s">
        <v>25</v>
      </c>
      <c r="AE662" s="32" t="str">
        <f t="shared" si="52"/>
        <v>✓ OK</v>
      </c>
      <c r="AF662" s="33" t="s">
        <v>27</v>
      </c>
      <c r="AG662" s="33" t="s">
        <v>23</v>
      </c>
      <c r="AH662" s="33" t="s">
        <v>24</v>
      </c>
      <c r="AI662" s="33" t="s">
        <v>25</v>
      </c>
      <c r="AJ662" s="33" t="s">
        <v>26</v>
      </c>
      <c r="AK662" s="33" t="s">
        <v>24</v>
      </c>
      <c r="AL662" s="27"/>
      <c r="AM662" s="34" t="s">
        <v>25</v>
      </c>
      <c r="AN662" s="35" t="str">
        <f t="shared" si="53"/>
        <v>✓ OK</v>
      </c>
      <c r="AO662" s="36"/>
      <c r="AP662" s="36"/>
      <c r="AQ662" s="36"/>
      <c r="AR662" s="36"/>
      <c r="AS662" s="36"/>
      <c r="AT662" s="36"/>
      <c r="AU662" s="27"/>
      <c r="AV662" s="37"/>
      <c r="AW662" s="38" t="str">
        <f t="shared" si="54"/>
        <v/>
      </c>
    </row>
    <row r="663" spans="1:49" ht="18" customHeight="1" x14ac:dyDescent="0.3">
      <c r="A663" s="23">
        <v>659</v>
      </c>
      <c r="B663" s="24" t="s">
        <v>3166</v>
      </c>
      <c r="C663" s="25" t="s">
        <v>3167</v>
      </c>
      <c r="D663" s="23" t="s">
        <v>2819</v>
      </c>
      <c r="E663" s="43">
        <v>46126</v>
      </c>
      <c r="F663" s="26" t="s">
        <v>23</v>
      </c>
      <c r="G663" s="26" t="s">
        <v>24</v>
      </c>
      <c r="H663" s="26" t="s">
        <v>25</v>
      </c>
      <c r="I663" s="26" t="s">
        <v>26</v>
      </c>
      <c r="J663" s="26" t="s">
        <v>24</v>
      </c>
      <c r="K663" s="27"/>
      <c r="L663" s="28" t="s">
        <v>25</v>
      </c>
      <c r="M663" s="29" t="str">
        <f t="shared" si="50"/>
        <v>✓ OK</v>
      </c>
      <c r="N663" s="43">
        <v>46193</v>
      </c>
      <c r="O663" s="26" t="s">
        <v>23</v>
      </c>
      <c r="P663" s="26" t="s">
        <v>24</v>
      </c>
      <c r="Q663" s="26" t="s">
        <v>25</v>
      </c>
      <c r="R663" s="26" t="s">
        <v>26</v>
      </c>
      <c r="S663" s="26" t="s">
        <v>24</v>
      </c>
      <c r="T663" s="27"/>
      <c r="U663" s="28" t="s">
        <v>25</v>
      </c>
      <c r="V663" s="29" t="str">
        <f t="shared" si="51"/>
        <v>✓ OK</v>
      </c>
      <c r="W663" s="45">
        <v>46248</v>
      </c>
      <c r="X663" s="30" t="s">
        <v>23</v>
      </c>
      <c r="Y663" s="30" t="s">
        <v>24</v>
      </c>
      <c r="Z663" s="30" t="s">
        <v>25</v>
      </c>
      <c r="AA663" s="30" t="s">
        <v>26</v>
      </c>
      <c r="AB663" s="30" t="s">
        <v>24</v>
      </c>
      <c r="AC663" s="27"/>
      <c r="AD663" s="31" t="s">
        <v>25</v>
      </c>
      <c r="AE663" s="32" t="str">
        <f t="shared" si="52"/>
        <v>✓ OK</v>
      </c>
      <c r="AF663" s="33" t="s">
        <v>27</v>
      </c>
      <c r="AG663" s="33" t="s">
        <v>23</v>
      </c>
      <c r="AH663" s="33" t="s">
        <v>24</v>
      </c>
      <c r="AI663" s="33" t="s">
        <v>25</v>
      </c>
      <c r="AJ663" s="33" t="s">
        <v>26</v>
      </c>
      <c r="AK663" s="33" t="s">
        <v>24</v>
      </c>
      <c r="AL663" s="27"/>
      <c r="AM663" s="34" t="s">
        <v>25</v>
      </c>
      <c r="AN663" s="35" t="str">
        <f t="shared" si="53"/>
        <v>✓ OK</v>
      </c>
      <c r="AO663" s="36"/>
      <c r="AP663" s="36"/>
      <c r="AQ663" s="36"/>
      <c r="AR663" s="36"/>
      <c r="AS663" s="36"/>
      <c r="AT663" s="36"/>
      <c r="AU663" s="27"/>
      <c r="AV663" s="37"/>
      <c r="AW663" s="38" t="str">
        <f t="shared" si="54"/>
        <v/>
      </c>
    </row>
    <row r="664" spans="1:49" ht="18" customHeight="1" x14ac:dyDescent="0.3">
      <c r="A664" s="39">
        <v>660</v>
      </c>
      <c r="B664" s="40" t="s">
        <v>3168</v>
      </c>
      <c r="C664" s="41" t="s">
        <v>3169</v>
      </c>
      <c r="D664" s="39" t="s">
        <v>2819</v>
      </c>
      <c r="E664" s="43">
        <v>46126</v>
      </c>
      <c r="F664" s="26" t="s">
        <v>23</v>
      </c>
      <c r="G664" s="26" t="s">
        <v>24</v>
      </c>
      <c r="H664" s="26" t="s">
        <v>25</v>
      </c>
      <c r="I664" s="26" t="s">
        <v>26</v>
      </c>
      <c r="J664" s="26" t="s">
        <v>24</v>
      </c>
      <c r="K664" s="27"/>
      <c r="L664" s="28" t="s">
        <v>25</v>
      </c>
      <c r="M664" s="29" t="str">
        <f t="shared" si="50"/>
        <v>✓ OK</v>
      </c>
      <c r="N664" s="43">
        <v>46193</v>
      </c>
      <c r="O664" s="26" t="s">
        <v>23</v>
      </c>
      <c r="P664" s="26" t="s">
        <v>24</v>
      </c>
      <c r="Q664" s="26" t="s">
        <v>25</v>
      </c>
      <c r="R664" s="26" t="s">
        <v>26</v>
      </c>
      <c r="S664" s="26" t="s">
        <v>24</v>
      </c>
      <c r="T664" s="27"/>
      <c r="U664" s="28" t="s">
        <v>25</v>
      </c>
      <c r="V664" s="29" t="str">
        <f t="shared" si="51"/>
        <v>✓ OK</v>
      </c>
      <c r="W664" s="45">
        <v>46248</v>
      </c>
      <c r="X664" s="30" t="s">
        <v>23</v>
      </c>
      <c r="Y664" s="30" t="s">
        <v>24</v>
      </c>
      <c r="Z664" s="30" t="s">
        <v>25</v>
      </c>
      <c r="AA664" s="30" t="s">
        <v>26</v>
      </c>
      <c r="AB664" s="30" t="s">
        <v>24</v>
      </c>
      <c r="AC664" s="27"/>
      <c r="AD664" s="31" t="s">
        <v>25</v>
      </c>
      <c r="AE664" s="32" t="str">
        <f t="shared" si="52"/>
        <v>✓ OK</v>
      </c>
      <c r="AF664" s="33" t="s">
        <v>27</v>
      </c>
      <c r="AG664" s="33" t="s">
        <v>23</v>
      </c>
      <c r="AH664" s="33" t="s">
        <v>24</v>
      </c>
      <c r="AI664" s="33" t="s">
        <v>25</v>
      </c>
      <c r="AJ664" s="33" t="s">
        <v>26</v>
      </c>
      <c r="AK664" s="33" t="s">
        <v>24</v>
      </c>
      <c r="AL664" s="27"/>
      <c r="AM664" s="34" t="s">
        <v>25</v>
      </c>
      <c r="AN664" s="35" t="str">
        <f t="shared" si="53"/>
        <v>✓ OK</v>
      </c>
      <c r="AO664" s="36"/>
      <c r="AP664" s="36"/>
      <c r="AQ664" s="36"/>
      <c r="AR664" s="36"/>
      <c r="AS664" s="36"/>
      <c r="AT664" s="36"/>
      <c r="AU664" s="27"/>
      <c r="AV664" s="37"/>
      <c r="AW664" s="38" t="str">
        <f t="shared" si="54"/>
        <v/>
      </c>
    </row>
    <row r="665" spans="1:49" ht="18" customHeight="1" x14ac:dyDescent="0.3">
      <c r="A665" s="23">
        <v>661</v>
      </c>
      <c r="B665" s="24" t="s">
        <v>3170</v>
      </c>
      <c r="C665" s="25" t="s">
        <v>3171</v>
      </c>
      <c r="D665" s="23" t="s">
        <v>2819</v>
      </c>
      <c r="E665" s="43">
        <v>46126</v>
      </c>
      <c r="F665" s="26" t="s">
        <v>23</v>
      </c>
      <c r="G665" s="26" t="s">
        <v>24</v>
      </c>
      <c r="H665" s="26" t="s">
        <v>25</v>
      </c>
      <c r="I665" s="26" t="s">
        <v>26</v>
      </c>
      <c r="J665" s="26" t="s">
        <v>24</v>
      </c>
      <c r="K665" s="27"/>
      <c r="L665" s="28" t="s">
        <v>25</v>
      </c>
      <c r="M665" s="29" t="str">
        <f t="shared" si="50"/>
        <v>✓ OK</v>
      </c>
      <c r="N665" s="43">
        <v>46193</v>
      </c>
      <c r="O665" s="26" t="s">
        <v>23</v>
      </c>
      <c r="P665" s="26" t="s">
        <v>24</v>
      </c>
      <c r="Q665" s="26" t="s">
        <v>25</v>
      </c>
      <c r="R665" s="26" t="s">
        <v>26</v>
      </c>
      <c r="S665" s="26" t="s">
        <v>24</v>
      </c>
      <c r="T665" s="27"/>
      <c r="U665" s="28" t="s">
        <v>25</v>
      </c>
      <c r="V665" s="29" t="str">
        <f t="shared" si="51"/>
        <v>✓ OK</v>
      </c>
      <c r="W665" s="45">
        <v>46248</v>
      </c>
      <c r="X665" s="30" t="s">
        <v>23</v>
      </c>
      <c r="Y665" s="30" t="s">
        <v>24</v>
      </c>
      <c r="Z665" s="30" t="s">
        <v>25</v>
      </c>
      <c r="AA665" s="30" t="s">
        <v>26</v>
      </c>
      <c r="AB665" s="30" t="s">
        <v>24</v>
      </c>
      <c r="AC665" s="27"/>
      <c r="AD665" s="31" t="s">
        <v>25</v>
      </c>
      <c r="AE665" s="32" t="str">
        <f t="shared" si="52"/>
        <v>✓ OK</v>
      </c>
      <c r="AF665" s="33" t="s">
        <v>27</v>
      </c>
      <c r="AG665" s="33" t="s">
        <v>23</v>
      </c>
      <c r="AH665" s="33" t="s">
        <v>24</v>
      </c>
      <c r="AI665" s="33" t="s">
        <v>25</v>
      </c>
      <c r="AJ665" s="33" t="s">
        <v>26</v>
      </c>
      <c r="AK665" s="33" t="s">
        <v>24</v>
      </c>
      <c r="AL665" s="27"/>
      <c r="AM665" s="34" t="s">
        <v>25</v>
      </c>
      <c r="AN665" s="35" t="str">
        <f t="shared" si="53"/>
        <v>✓ OK</v>
      </c>
      <c r="AO665" s="36"/>
      <c r="AP665" s="36"/>
      <c r="AQ665" s="36"/>
      <c r="AR665" s="36"/>
      <c r="AS665" s="36"/>
      <c r="AT665" s="36"/>
      <c r="AU665" s="27"/>
      <c r="AV665" s="37"/>
      <c r="AW665" s="38" t="str">
        <f t="shared" si="54"/>
        <v/>
      </c>
    </row>
    <row r="666" spans="1:49" ht="18" customHeight="1" x14ac:dyDescent="0.3">
      <c r="A666" s="39">
        <v>662</v>
      </c>
      <c r="B666" s="40" t="s">
        <v>3172</v>
      </c>
      <c r="C666" s="41" t="s">
        <v>3173</v>
      </c>
      <c r="D666" s="39" t="s">
        <v>2819</v>
      </c>
      <c r="E666" s="43">
        <v>46126</v>
      </c>
      <c r="F666" s="26" t="s">
        <v>23</v>
      </c>
      <c r="G666" s="26" t="s">
        <v>24</v>
      </c>
      <c r="H666" s="26" t="s">
        <v>25</v>
      </c>
      <c r="I666" s="26" t="s">
        <v>26</v>
      </c>
      <c r="J666" s="26" t="s">
        <v>24</v>
      </c>
      <c r="K666" s="27"/>
      <c r="L666" s="28" t="s">
        <v>25</v>
      </c>
      <c r="M666" s="29" t="str">
        <f t="shared" si="50"/>
        <v>✓ OK</v>
      </c>
      <c r="N666" s="43">
        <v>46193</v>
      </c>
      <c r="O666" s="26" t="s">
        <v>23</v>
      </c>
      <c r="P666" s="26" t="s">
        <v>24</v>
      </c>
      <c r="Q666" s="26" t="s">
        <v>25</v>
      </c>
      <c r="R666" s="26" t="s">
        <v>26</v>
      </c>
      <c r="S666" s="26" t="s">
        <v>24</v>
      </c>
      <c r="T666" s="27"/>
      <c r="U666" s="28" t="s">
        <v>25</v>
      </c>
      <c r="V666" s="29" t="str">
        <f t="shared" si="51"/>
        <v>✓ OK</v>
      </c>
      <c r="W666" s="45">
        <v>46248</v>
      </c>
      <c r="X666" s="30" t="s">
        <v>23</v>
      </c>
      <c r="Y666" s="30" t="s">
        <v>24</v>
      </c>
      <c r="Z666" s="30" t="s">
        <v>25</v>
      </c>
      <c r="AA666" s="30" t="s">
        <v>26</v>
      </c>
      <c r="AB666" s="30" t="s">
        <v>24</v>
      </c>
      <c r="AC666" s="27"/>
      <c r="AD666" s="31" t="s">
        <v>25</v>
      </c>
      <c r="AE666" s="32" t="str">
        <f t="shared" si="52"/>
        <v>✓ OK</v>
      </c>
      <c r="AF666" s="33" t="s">
        <v>27</v>
      </c>
      <c r="AG666" s="33" t="s">
        <v>23</v>
      </c>
      <c r="AH666" s="33" t="s">
        <v>24</v>
      </c>
      <c r="AI666" s="33" t="s">
        <v>25</v>
      </c>
      <c r="AJ666" s="33" t="s">
        <v>26</v>
      </c>
      <c r="AK666" s="33" t="s">
        <v>24</v>
      </c>
      <c r="AL666" s="27"/>
      <c r="AM666" s="34" t="s">
        <v>25</v>
      </c>
      <c r="AN666" s="35" t="str">
        <f t="shared" si="53"/>
        <v>✓ OK</v>
      </c>
      <c r="AO666" s="36"/>
      <c r="AP666" s="36"/>
      <c r="AQ666" s="36"/>
      <c r="AR666" s="36"/>
      <c r="AS666" s="36"/>
      <c r="AT666" s="36"/>
      <c r="AU666" s="27"/>
      <c r="AV666" s="37"/>
      <c r="AW666" s="38" t="str">
        <f t="shared" si="54"/>
        <v/>
      </c>
    </row>
    <row r="667" spans="1:49" ht="18" customHeight="1" x14ac:dyDescent="0.3">
      <c r="A667" s="23">
        <v>663</v>
      </c>
      <c r="B667" s="24" t="s">
        <v>3174</v>
      </c>
      <c r="C667" s="25" t="s">
        <v>3175</v>
      </c>
      <c r="D667" s="23" t="s">
        <v>2819</v>
      </c>
      <c r="E667" s="43">
        <v>46126</v>
      </c>
      <c r="F667" s="26" t="s">
        <v>23</v>
      </c>
      <c r="G667" s="26" t="s">
        <v>24</v>
      </c>
      <c r="H667" s="26" t="s">
        <v>25</v>
      </c>
      <c r="I667" s="26" t="s">
        <v>26</v>
      </c>
      <c r="J667" s="26" t="s">
        <v>24</v>
      </c>
      <c r="K667" s="27"/>
      <c r="L667" s="28" t="s">
        <v>25</v>
      </c>
      <c r="M667" s="29" t="str">
        <f t="shared" si="50"/>
        <v>✓ OK</v>
      </c>
      <c r="N667" s="43">
        <v>46193</v>
      </c>
      <c r="O667" s="26" t="s">
        <v>23</v>
      </c>
      <c r="P667" s="26" t="s">
        <v>24</v>
      </c>
      <c r="Q667" s="26" t="s">
        <v>25</v>
      </c>
      <c r="R667" s="26" t="s">
        <v>26</v>
      </c>
      <c r="S667" s="26" t="s">
        <v>24</v>
      </c>
      <c r="T667" s="27"/>
      <c r="U667" s="28" t="s">
        <v>25</v>
      </c>
      <c r="V667" s="29" t="str">
        <f t="shared" si="51"/>
        <v>✓ OK</v>
      </c>
      <c r="W667" s="45">
        <v>46248</v>
      </c>
      <c r="X667" s="30" t="s">
        <v>23</v>
      </c>
      <c r="Y667" s="30" t="s">
        <v>24</v>
      </c>
      <c r="Z667" s="30" t="s">
        <v>25</v>
      </c>
      <c r="AA667" s="30" t="s">
        <v>26</v>
      </c>
      <c r="AB667" s="30" t="s">
        <v>24</v>
      </c>
      <c r="AC667" s="27"/>
      <c r="AD667" s="31" t="s">
        <v>25</v>
      </c>
      <c r="AE667" s="32" t="str">
        <f t="shared" si="52"/>
        <v>✓ OK</v>
      </c>
      <c r="AF667" s="33" t="s">
        <v>27</v>
      </c>
      <c r="AG667" s="33" t="s">
        <v>23</v>
      </c>
      <c r="AH667" s="33" t="s">
        <v>24</v>
      </c>
      <c r="AI667" s="33" t="s">
        <v>25</v>
      </c>
      <c r="AJ667" s="33" t="s">
        <v>26</v>
      </c>
      <c r="AK667" s="33" t="s">
        <v>24</v>
      </c>
      <c r="AL667" s="27"/>
      <c r="AM667" s="34" t="s">
        <v>25</v>
      </c>
      <c r="AN667" s="35" t="str">
        <f t="shared" si="53"/>
        <v>✓ OK</v>
      </c>
      <c r="AO667" s="36"/>
      <c r="AP667" s="36"/>
      <c r="AQ667" s="36"/>
      <c r="AR667" s="36"/>
      <c r="AS667" s="36"/>
      <c r="AT667" s="36"/>
      <c r="AU667" s="27"/>
      <c r="AV667" s="37"/>
      <c r="AW667" s="38" t="str">
        <f t="shared" si="54"/>
        <v/>
      </c>
    </row>
    <row r="668" spans="1:49" ht="18" customHeight="1" x14ac:dyDescent="0.3">
      <c r="A668" s="39">
        <v>664</v>
      </c>
      <c r="B668" s="40" t="s">
        <v>3176</v>
      </c>
      <c r="C668" s="41" t="s">
        <v>3177</v>
      </c>
      <c r="D668" s="39" t="s">
        <v>2819</v>
      </c>
      <c r="E668" s="43">
        <v>46126</v>
      </c>
      <c r="F668" s="26" t="s">
        <v>23</v>
      </c>
      <c r="G668" s="26" t="s">
        <v>24</v>
      </c>
      <c r="H668" s="26" t="s">
        <v>25</v>
      </c>
      <c r="I668" s="26" t="s">
        <v>26</v>
      </c>
      <c r="J668" s="26" t="s">
        <v>24</v>
      </c>
      <c r="K668" s="27"/>
      <c r="L668" s="28" t="s">
        <v>25</v>
      </c>
      <c r="M668" s="29" t="str">
        <f t="shared" si="50"/>
        <v>✓ OK</v>
      </c>
      <c r="N668" s="43">
        <v>46193</v>
      </c>
      <c r="O668" s="26" t="s">
        <v>23</v>
      </c>
      <c r="P668" s="26" t="s">
        <v>24</v>
      </c>
      <c r="Q668" s="26" t="s">
        <v>25</v>
      </c>
      <c r="R668" s="26" t="s">
        <v>26</v>
      </c>
      <c r="S668" s="26" t="s">
        <v>24</v>
      </c>
      <c r="T668" s="27"/>
      <c r="U668" s="28" t="s">
        <v>25</v>
      </c>
      <c r="V668" s="29" t="str">
        <f t="shared" si="51"/>
        <v>✓ OK</v>
      </c>
      <c r="W668" s="45">
        <v>46248</v>
      </c>
      <c r="X668" s="30" t="s">
        <v>23</v>
      </c>
      <c r="Y668" s="30" t="s">
        <v>24</v>
      </c>
      <c r="Z668" s="30" t="s">
        <v>25</v>
      </c>
      <c r="AA668" s="30" t="s">
        <v>26</v>
      </c>
      <c r="AB668" s="30" t="s">
        <v>24</v>
      </c>
      <c r="AC668" s="27"/>
      <c r="AD668" s="31" t="s">
        <v>25</v>
      </c>
      <c r="AE668" s="32" t="str">
        <f t="shared" si="52"/>
        <v>✓ OK</v>
      </c>
      <c r="AF668" s="33" t="s">
        <v>27</v>
      </c>
      <c r="AG668" s="33" t="s">
        <v>23</v>
      </c>
      <c r="AH668" s="33" t="s">
        <v>24</v>
      </c>
      <c r="AI668" s="33" t="s">
        <v>25</v>
      </c>
      <c r="AJ668" s="33" t="s">
        <v>26</v>
      </c>
      <c r="AK668" s="33" t="s">
        <v>24</v>
      </c>
      <c r="AL668" s="27"/>
      <c r="AM668" s="34" t="s">
        <v>25</v>
      </c>
      <c r="AN668" s="35" t="str">
        <f t="shared" si="53"/>
        <v>✓ OK</v>
      </c>
      <c r="AO668" s="36"/>
      <c r="AP668" s="36"/>
      <c r="AQ668" s="36"/>
      <c r="AR668" s="36"/>
      <c r="AS668" s="36"/>
      <c r="AT668" s="36"/>
      <c r="AU668" s="27"/>
      <c r="AV668" s="37"/>
      <c r="AW668" s="38" t="str">
        <f t="shared" si="54"/>
        <v/>
      </c>
    </row>
    <row r="669" spans="1:49" ht="18" customHeight="1" x14ac:dyDescent="0.3">
      <c r="A669" s="23">
        <v>665</v>
      </c>
      <c r="B669" s="24" t="s">
        <v>3178</v>
      </c>
      <c r="C669" s="25" t="s">
        <v>3179</v>
      </c>
      <c r="D669" s="23" t="s">
        <v>2819</v>
      </c>
      <c r="E669" s="43">
        <v>46126</v>
      </c>
      <c r="F669" s="26" t="s">
        <v>23</v>
      </c>
      <c r="G669" s="26" t="s">
        <v>24</v>
      </c>
      <c r="H669" s="26" t="s">
        <v>25</v>
      </c>
      <c r="I669" s="26" t="s">
        <v>26</v>
      </c>
      <c r="J669" s="26" t="s">
        <v>24</v>
      </c>
      <c r="K669" s="27"/>
      <c r="L669" s="28" t="s">
        <v>25</v>
      </c>
      <c r="M669" s="29" t="str">
        <f t="shared" si="50"/>
        <v>✓ OK</v>
      </c>
      <c r="N669" s="43">
        <v>46193</v>
      </c>
      <c r="O669" s="26" t="s">
        <v>23</v>
      </c>
      <c r="P669" s="26" t="s">
        <v>24</v>
      </c>
      <c r="Q669" s="26" t="s">
        <v>25</v>
      </c>
      <c r="R669" s="26" t="s">
        <v>26</v>
      </c>
      <c r="S669" s="26" t="s">
        <v>24</v>
      </c>
      <c r="T669" s="27"/>
      <c r="U669" s="28" t="s">
        <v>25</v>
      </c>
      <c r="V669" s="29" t="str">
        <f t="shared" si="51"/>
        <v>✓ OK</v>
      </c>
      <c r="W669" s="45">
        <v>46248</v>
      </c>
      <c r="X669" s="30" t="s">
        <v>23</v>
      </c>
      <c r="Y669" s="30" t="s">
        <v>24</v>
      </c>
      <c r="Z669" s="30" t="s">
        <v>25</v>
      </c>
      <c r="AA669" s="30" t="s">
        <v>26</v>
      </c>
      <c r="AB669" s="30" t="s">
        <v>24</v>
      </c>
      <c r="AC669" s="27"/>
      <c r="AD669" s="31" t="s">
        <v>25</v>
      </c>
      <c r="AE669" s="32" t="str">
        <f t="shared" si="52"/>
        <v>✓ OK</v>
      </c>
      <c r="AF669" s="33" t="s">
        <v>27</v>
      </c>
      <c r="AG669" s="33" t="s">
        <v>23</v>
      </c>
      <c r="AH669" s="33" t="s">
        <v>24</v>
      </c>
      <c r="AI669" s="33" t="s">
        <v>25</v>
      </c>
      <c r="AJ669" s="33" t="s">
        <v>26</v>
      </c>
      <c r="AK669" s="33" t="s">
        <v>24</v>
      </c>
      <c r="AL669" s="27"/>
      <c r="AM669" s="34" t="s">
        <v>25</v>
      </c>
      <c r="AN669" s="35" t="str">
        <f t="shared" si="53"/>
        <v>✓ OK</v>
      </c>
      <c r="AO669" s="36"/>
      <c r="AP669" s="36"/>
      <c r="AQ669" s="36"/>
      <c r="AR669" s="36"/>
      <c r="AS669" s="36"/>
      <c r="AT669" s="36"/>
      <c r="AU669" s="27"/>
      <c r="AV669" s="37"/>
      <c r="AW669" s="38" t="str">
        <f t="shared" si="54"/>
        <v/>
      </c>
    </row>
    <row r="670" spans="1:49" ht="18" customHeight="1" x14ac:dyDescent="0.3">
      <c r="A670" s="39">
        <v>666</v>
      </c>
      <c r="B670" s="40" t="s">
        <v>3180</v>
      </c>
      <c r="C670" s="41" t="s">
        <v>3181</v>
      </c>
      <c r="D670" s="39" t="s">
        <v>2819</v>
      </c>
      <c r="E670" s="43">
        <v>46126</v>
      </c>
      <c r="F670" s="26" t="s">
        <v>23</v>
      </c>
      <c r="G670" s="26" t="s">
        <v>24</v>
      </c>
      <c r="H670" s="26" t="s">
        <v>25</v>
      </c>
      <c r="I670" s="26" t="s">
        <v>26</v>
      </c>
      <c r="J670" s="26" t="s">
        <v>24</v>
      </c>
      <c r="K670" s="27"/>
      <c r="L670" s="28" t="s">
        <v>25</v>
      </c>
      <c r="M670" s="29" t="str">
        <f t="shared" si="50"/>
        <v>✓ OK</v>
      </c>
      <c r="N670" s="43">
        <v>46193</v>
      </c>
      <c r="O670" s="26" t="s">
        <v>23</v>
      </c>
      <c r="P670" s="26" t="s">
        <v>24</v>
      </c>
      <c r="Q670" s="26" t="s">
        <v>25</v>
      </c>
      <c r="R670" s="26" t="s">
        <v>26</v>
      </c>
      <c r="S670" s="26" t="s">
        <v>24</v>
      </c>
      <c r="T670" s="27"/>
      <c r="U670" s="28" t="s">
        <v>25</v>
      </c>
      <c r="V670" s="29" t="str">
        <f t="shared" si="51"/>
        <v>✓ OK</v>
      </c>
      <c r="W670" s="45">
        <v>46248</v>
      </c>
      <c r="X670" s="30" t="s">
        <v>23</v>
      </c>
      <c r="Y670" s="30" t="s">
        <v>24</v>
      </c>
      <c r="Z670" s="30" t="s">
        <v>25</v>
      </c>
      <c r="AA670" s="30" t="s">
        <v>26</v>
      </c>
      <c r="AB670" s="30" t="s">
        <v>24</v>
      </c>
      <c r="AC670" s="27"/>
      <c r="AD670" s="31" t="s">
        <v>25</v>
      </c>
      <c r="AE670" s="32" t="str">
        <f t="shared" si="52"/>
        <v>✓ OK</v>
      </c>
      <c r="AF670" s="33" t="s">
        <v>27</v>
      </c>
      <c r="AG670" s="33" t="s">
        <v>23</v>
      </c>
      <c r="AH670" s="33" t="s">
        <v>24</v>
      </c>
      <c r="AI670" s="33" t="s">
        <v>25</v>
      </c>
      <c r="AJ670" s="33" t="s">
        <v>26</v>
      </c>
      <c r="AK670" s="33" t="s">
        <v>24</v>
      </c>
      <c r="AL670" s="27"/>
      <c r="AM670" s="34" t="s">
        <v>25</v>
      </c>
      <c r="AN670" s="35" t="str">
        <f t="shared" si="53"/>
        <v>✓ OK</v>
      </c>
      <c r="AO670" s="36"/>
      <c r="AP670" s="36"/>
      <c r="AQ670" s="36"/>
      <c r="AR670" s="36"/>
      <c r="AS670" s="36"/>
      <c r="AT670" s="36"/>
      <c r="AU670" s="27"/>
      <c r="AV670" s="37"/>
      <c r="AW670" s="38" t="str">
        <f t="shared" si="54"/>
        <v/>
      </c>
    </row>
    <row r="671" spans="1:49" ht="18" customHeight="1" x14ac:dyDescent="0.3">
      <c r="A671" s="23">
        <v>667</v>
      </c>
      <c r="B671" s="24" t="s">
        <v>3182</v>
      </c>
      <c r="C671" s="25" t="s">
        <v>3183</v>
      </c>
      <c r="D671" s="23" t="s">
        <v>2819</v>
      </c>
      <c r="E671" s="43">
        <v>46126</v>
      </c>
      <c r="F671" s="26" t="s">
        <v>23</v>
      </c>
      <c r="G671" s="26" t="s">
        <v>24</v>
      </c>
      <c r="H671" s="26" t="s">
        <v>25</v>
      </c>
      <c r="I671" s="26" t="s">
        <v>26</v>
      </c>
      <c r="J671" s="26" t="s">
        <v>24</v>
      </c>
      <c r="K671" s="27"/>
      <c r="L671" s="28" t="s">
        <v>25</v>
      </c>
      <c r="M671" s="29" t="str">
        <f t="shared" si="50"/>
        <v>✓ OK</v>
      </c>
      <c r="N671" s="43">
        <v>46193</v>
      </c>
      <c r="O671" s="26" t="s">
        <v>23</v>
      </c>
      <c r="P671" s="26" t="s">
        <v>24</v>
      </c>
      <c r="Q671" s="26" t="s">
        <v>25</v>
      </c>
      <c r="R671" s="26" t="s">
        <v>26</v>
      </c>
      <c r="S671" s="26" t="s">
        <v>24</v>
      </c>
      <c r="T671" s="27"/>
      <c r="U671" s="28" t="s">
        <v>25</v>
      </c>
      <c r="V671" s="29" t="str">
        <f t="shared" si="51"/>
        <v>✓ OK</v>
      </c>
      <c r="W671" s="45">
        <v>46248</v>
      </c>
      <c r="X671" s="30" t="s">
        <v>23</v>
      </c>
      <c r="Y671" s="30" t="s">
        <v>24</v>
      </c>
      <c r="Z671" s="30" t="s">
        <v>25</v>
      </c>
      <c r="AA671" s="30" t="s">
        <v>26</v>
      </c>
      <c r="AB671" s="30" t="s">
        <v>24</v>
      </c>
      <c r="AC671" s="27"/>
      <c r="AD671" s="31" t="s">
        <v>25</v>
      </c>
      <c r="AE671" s="32" t="str">
        <f t="shared" si="52"/>
        <v>✓ OK</v>
      </c>
      <c r="AF671" s="33" t="s">
        <v>27</v>
      </c>
      <c r="AG671" s="33" t="s">
        <v>23</v>
      </c>
      <c r="AH671" s="33" t="s">
        <v>24</v>
      </c>
      <c r="AI671" s="33" t="s">
        <v>25</v>
      </c>
      <c r="AJ671" s="33" t="s">
        <v>26</v>
      </c>
      <c r="AK671" s="33" t="s">
        <v>24</v>
      </c>
      <c r="AL671" s="27"/>
      <c r="AM671" s="34" t="s">
        <v>25</v>
      </c>
      <c r="AN671" s="35" t="str">
        <f t="shared" si="53"/>
        <v>✓ OK</v>
      </c>
      <c r="AO671" s="36"/>
      <c r="AP671" s="36"/>
      <c r="AQ671" s="36"/>
      <c r="AR671" s="36"/>
      <c r="AS671" s="36"/>
      <c r="AT671" s="36"/>
      <c r="AU671" s="27"/>
      <c r="AV671" s="37"/>
      <c r="AW671" s="38" t="str">
        <f t="shared" si="54"/>
        <v/>
      </c>
    </row>
    <row r="672" spans="1:49" ht="18" customHeight="1" x14ac:dyDescent="0.3">
      <c r="A672" s="39">
        <v>668</v>
      </c>
      <c r="B672" s="40" t="s">
        <v>3184</v>
      </c>
      <c r="C672" s="41" t="s">
        <v>3185</v>
      </c>
      <c r="D672" s="39" t="s">
        <v>2819</v>
      </c>
      <c r="E672" s="43">
        <v>46126</v>
      </c>
      <c r="F672" s="26" t="s">
        <v>23</v>
      </c>
      <c r="G672" s="26" t="s">
        <v>24</v>
      </c>
      <c r="H672" s="26" t="s">
        <v>25</v>
      </c>
      <c r="I672" s="26" t="s">
        <v>26</v>
      </c>
      <c r="J672" s="26" t="s">
        <v>24</v>
      </c>
      <c r="K672" s="27"/>
      <c r="L672" s="28" t="s">
        <v>25</v>
      </c>
      <c r="M672" s="29" t="str">
        <f t="shared" si="50"/>
        <v>✓ OK</v>
      </c>
      <c r="N672" s="43">
        <v>46193</v>
      </c>
      <c r="O672" s="26" t="s">
        <v>23</v>
      </c>
      <c r="P672" s="26" t="s">
        <v>24</v>
      </c>
      <c r="Q672" s="26" t="s">
        <v>25</v>
      </c>
      <c r="R672" s="26" t="s">
        <v>26</v>
      </c>
      <c r="S672" s="26" t="s">
        <v>24</v>
      </c>
      <c r="T672" s="27"/>
      <c r="U672" s="28" t="s">
        <v>25</v>
      </c>
      <c r="V672" s="29" t="str">
        <f t="shared" si="51"/>
        <v>✓ OK</v>
      </c>
      <c r="W672" s="45">
        <v>46248</v>
      </c>
      <c r="X672" s="30" t="s">
        <v>23</v>
      </c>
      <c r="Y672" s="30" t="s">
        <v>24</v>
      </c>
      <c r="Z672" s="30" t="s">
        <v>25</v>
      </c>
      <c r="AA672" s="30" t="s">
        <v>26</v>
      </c>
      <c r="AB672" s="30" t="s">
        <v>24</v>
      </c>
      <c r="AC672" s="27"/>
      <c r="AD672" s="31" t="s">
        <v>25</v>
      </c>
      <c r="AE672" s="32" t="str">
        <f t="shared" si="52"/>
        <v>✓ OK</v>
      </c>
      <c r="AF672" s="33" t="s">
        <v>27</v>
      </c>
      <c r="AG672" s="33" t="s">
        <v>23</v>
      </c>
      <c r="AH672" s="33" t="s">
        <v>24</v>
      </c>
      <c r="AI672" s="33" t="s">
        <v>25</v>
      </c>
      <c r="AJ672" s="33" t="s">
        <v>26</v>
      </c>
      <c r="AK672" s="33" t="s">
        <v>24</v>
      </c>
      <c r="AL672" s="27"/>
      <c r="AM672" s="34" t="s">
        <v>25</v>
      </c>
      <c r="AN672" s="35" t="str">
        <f t="shared" si="53"/>
        <v>✓ OK</v>
      </c>
      <c r="AO672" s="36"/>
      <c r="AP672" s="36"/>
      <c r="AQ672" s="36"/>
      <c r="AR672" s="36"/>
      <c r="AS672" s="36"/>
      <c r="AT672" s="36"/>
      <c r="AU672" s="27"/>
      <c r="AV672" s="37"/>
      <c r="AW672" s="38" t="str">
        <f t="shared" si="54"/>
        <v/>
      </c>
    </row>
    <row r="673" spans="1:49" ht="18" customHeight="1" x14ac:dyDescent="0.3">
      <c r="A673" s="23">
        <v>669</v>
      </c>
      <c r="B673" s="24" t="s">
        <v>3186</v>
      </c>
      <c r="C673" s="25" t="s">
        <v>3187</v>
      </c>
      <c r="D673" s="23" t="s">
        <v>2819</v>
      </c>
      <c r="E673" s="43">
        <v>46126</v>
      </c>
      <c r="F673" s="26" t="s">
        <v>23</v>
      </c>
      <c r="G673" s="26" t="s">
        <v>24</v>
      </c>
      <c r="H673" s="26" t="s">
        <v>25</v>
      </c>
      <c r="I673" s="26" t="s">
        <v>26</v>
      </c>
      <c r="J673" s="26" t="s">
        <v>24</v>
      </c>
      <c r="K673" s="27"/>
      <c r="L673" s="28" t="s">
        <v>25</v>
      </c>
      <c r="M673" s="29" t="str">
        <f t="shared" si="50"/>
        <v>✓ OK</v>
      </c>
      <c r="N673" s="43">
        <v>46193</v>
      </c>
      <c r="O673" s="26" t="s">
        <v>23</v>
      </c>
      <c r="P673" s="26" t="s">
        <v>24</v>
      </c>
      <c r="Q673" s="26" t="s">
        <v>25</v>
      </c>
      <c r="R673" s="26" t="s">
        <v>26</v>
      </c>
      <c r="S673" s="26" t="s">
        <v>24</v>
      </c>
      <c r="T673" s="27"/>
      <c r="U673" s="28" t="s">
        <v>25</v>
      </c>
      <c r="V673" s="29" t="str">
        <f t="shared" si="51"/>
        <v>✓ OK</v>
      </c>
      <c r="W673" s="45">
        <v>46248</v>
      </c>
      <c r="X673" s="30" t="s">
        <v>23</v>
      </c>
      <c r="Y673" s="30" t="s">
        <v>24</v>
      </c>
      <c r="Z673" s="30" t="s">
        <v>25</v>
      </c>
      <c r="AA673" s="30" t="s">
        <v>26</v>
      </c>
      <c r="AB673" s="30" t="s">
        <v>24</v>
      </c>
      <c r="AC673" s="27"/>
      <c r="AD673" s="31" t="s">
        <v>25</v>
      </c>
      <c r="AE673" s="32" t="str">
        <f t="shared" si="52"/>
        <v>✓ OK</v>
      </c>
      <c r="AF673" s="33" t="s">
        <v>27</v>
      </c>
      <c r="AG673" s="33" t="s">
        <v>23</v>
      </c>
      <c r="AH673" s="33" t="s">
        <v>24</v>
      </c>
      <c r="AI673" s="33" t="s">
        <v>25</v>
      </c>
      <c r="AJ673" s="33" t="s">
        <v>26</v>
      </c>
      <c r="AK673" s="33" t="s">
        <v>24</v>
      </c>
      <c r="AL673" s="27"/>
      <c r="AM673" s="34" t="s">
        <v>25</v>
      </c>
      <c r="AN673" s="35" t="str">
        <f t="shared" si="53"/>
        <v>✓ OK</v>
      </c>
      <c r="AO673" s="36"/>
      <c r="AP673" s="36"/>
      <c r="AQ673" s="36"/>
      <c r="AR673" s="36"/>
      <c r="AS673" s="36"/>
      <c r="AT673" s="36"/>
      <c r="AU673" s="27"/>
      <c r="AV673" s="37"/>
      <c r="AW673" s="38" t="str">
        <f t="shared" si="54"/>
        <v/>
      </c>
    </row>
    <row r="674" spans="1:49" ht="18" customHeight="1" x14ac:dyDescent="0.3">
      <c r="A674" s="39">
        <v>670</v>
      </c>
      <c r="B674" s="40" t="s">
        <v>3188</v>
      </c>
      <c r="C674" s="41" t="s">
        <v>3189</v>
      </c>
      <c r="D674" s="39" t="s">
        <v>2819</v>
      </c>
      <c r="E674" s="43">
        <v>46126</v>
      </c>
      <c r="F674" s="26" t="s">
        <v>23</v>
      </c>
      <c r="G674" s="26" t="s">
        <v>24</v>
      </c>
      <c r="H674" s="26" t="s">
        <v>25</v>
      </c>
      <c r="I674" s="26" t="s">
        <v>26</v>
      </c>
      <c r="J674" s="26" t="s">
        <v>24</v>
      </c>
      <c r="K674" s="27"/>
      <c r="L674" s="28" t="s">
        <v>25</v>
      </c>
      <c r="M674" s="29" t="str">
        <f t="shared" si="50"/>
        <v>✓ OK</v>
      </c>
      <c r="N674" s="43">
        <v>46193</v>
      </c>
      <c r="O674" s="26" t="s">
        <v>23</v>
      </c>
      <c r="P674" s="26" t="s">
        <v>24</v>
      </c>
      <c r="Q674" s="26" t="s">
        <v>25</v>
      </c>
      <c r="R674" s="26" t="s">
        <v>26</v>
      </c>
      <c r="S674" s="26" t="s">
        <v>24</v>
      </c>
      <c r="T674" s="27"/>
      <c r="U674" s="28" t="s">
        <v>25</v>
      </c>
      <c r="V674" s="29" t="str">
        <f t="shared" si="51"/>
        <v>✓ OK</v>
      </c>
      <c r="W674" s="45">
        <v>46248</v>
      </c>
      <c r="X674" s="30" t="s">
        <v>23</v>
      </c>
      <c r="Y674" s="30" t="s">
        <v>24</v>
      </c>
      <c r="Z674" s="30" t="s">
        <v>25</v>
      </c>
      <c r="AA674" s="30" t="s">
        <v>26</v>
      </c>
      <c r="AB674" s="30" t="s">
        <v>24</v>
      </c>
      <c r="AC674" s="27"/>
      <c r="AD674" s="31" t="s">
        <v>25</v>
      </c>
      <c r="AE674" s="32" t="str">
        <f t="shared" si="52"/>
        <v>✓ OK</v>
      </c>
      <c r="AF674" s="33" t="s">
        <v>27</v>
      </c>
      <c r="AG674" s="33" t="s">
        <v>23</v>
      </c>
      <c r="AH674" s="33" t="s">
        <v>24</v>
      </c>
      <c r="AI674" s="33" t="s">
        <v>25</v>
      </c>
      <c r="AJ674" s="33" t="s">
        <v>26</v>
      </c>
      <c r="AK674" s="33" t="s">
        <v>24</v>
      </c>
      <c r="AL674" s="27"/>
      <c r="AM674" s="34" t="s">
        <v>25</v>
      </c>
      <c r="AN674" s="35" t="str">
        <f t="shared" si="53"/>
        <v>✓ OK</v>
      </c>
      <c r="AO674" s="36"/>
      <c r="AP674" s="36"/>
      <c r="AQ674" s="36"/>
      <c r="AR674" s="36"/>
      <c r="AS674" s="36"/>
      <c r="AT674" s="36"/>
      <c r="AU674" s="27"/>
      <c r="AV674" s="37"/>
      <c r="AW674" s="38" t="str">
        <f t="shared" si="54"/>
        <v/>
      </c>
    </row>
    <row r="675" spans="1:49" ht="18" customHeight="1" x14ac:dyDescent="0.3">
      <c r="A675" s="23">
        <v>671</v>
      </c>
      <c r="B675" s="24" t="s">
        <v>3190</v>
      </c>
      <c r="C675" s="25" t="s">
        <v>3191</v>
      </c>
      <c r="D675" s="23" t="s">
        <v>2819</v>
      </c>
      <c r="E675" s="43">
        <v>46126</v>
      </c>
      <c r="F675" s="26" t="s">
        <v>23</v>
      </c>
      <c r="G675" s="26" t="s">
        <v>24</v>
      </c>
      <c r="H675" s="26" t="s">
        <v>25</v>
      </c>
      <c r="I675" s="26" t="s">
        <v>26</v>
      </c>
      <c r="J675" s="26" t="s">
        <v>24</v>
      </c>
      <c r="K675" s="27"/>
      <c r="L675" s="28" t="s">
        <v>25</v>
      </c>
      <c r="M675" s="29" t="str">
        <f t="shared" si="50"/>
        <v>✓ OK</v>
      </c>
      <c r="N675" s="43">
        <v>46193</v>
      </c>
      <c r="O675" s="26" t="s">
        <v>23</v>
      </c>
      <c r="P675" s="26" t="s">
        <v>24</v>
      </c>
      <c r="Q675" s="26" t="s">
        <v>25</v>
      </c>
      <c r="R675" s="26" t="s">
        <v>26</v>
      </c>
      <c r="S675" s="26" t="s">
        <v>24</v>
      </c>
      <c r="T675" s="27"/>
      <c r="U675" s="28" t="s">
        <v>25</v>
      </c>
      <c r="V675" s="29" t="str">
        <f t="shared" si="51"/>
        <v>✓ OK</v>
      </c>
      <c r="W675" s="45">
        <v>46248</v>
      </c>
      <c r="X675" s="30" t="s">
        <v>23</v>
      </c>
      <c r="Y675" s="30" t="s">
        <v>24</v>
      </c>
      <c r="Z675" s="30" t="s">
        <v>25</v>
      </c>
      <c r="AA675" s="30" t="s">
        <v>26</v>
      </c>
      <c r="AB675" s="30" t="s">
        <v>24</v>
      </c>
      <c r="AC675" s="27"/>
      <c r="AD675" s="31" t="s">
        <v>25</v>
      </c>
      <c r="AE675" s="32" t="str">
        <f t="shared" si="52"/>
        <v>✓ OK</v>
      </c>
      <c r="AF675" s="33" t="s">
        <v>27</v>
      </c>
      <c r="AG675" s="33" t="s">
        <v>23</v>
      </c>
      <c r="AH675" s="33" t="s">
        <v>24</v>
      </c>
      <c r="AI675" s="33" t="s">
        <v>25</v>
      </c>
      <c r="AJ675" s="33" t="s">
        <v>26</v>
      </c>
      <c r="AK675" s="33" t="s">
        <v>24</v>
      </c>
      <c r="AL675" s="27"/>
      <c r="AM675" s="34" t="s">
        <v>25</v>
      </c>
      <c r="AN675" s="35" t="str">
        <f t="shared" si="53"/>
        <v>✓ OK</v>
      </c>
      <c r="AO675" s="36"/>
      <c r="AP675" s="36"/>
      <c r="AQ675" s="36"/>
      <c r="AR675" s="36"/>
      <c r="AS675" s="36"/>
      <c r="AT675" s="36"/>
      <c r="AU675" s="27"/>
      <c r="AV675" s="37"/>
      <c r="AW675" s="38" t="str">
        <f t="shared" si="54"/>
        <v/>
      </c>
    </row>
    <row r="676" spans="1:49" ht="18" customHeight="1" x14ac:dyDescent="0.3">
      <c r="A676" s="39">
        <v>672</v>
      </c>
      <c r="B676" s="40" t="s">
        <v>3192</v>
      </c>
      <c r="C676" s="41" t="s">
        <v>3193</v>
      </c>
      <c r="D676" s="39" t="s">
        <v>2819</v>
      </c>
      <c r="E676" s="43">
        <v>46126</v>
      </c>
      <c r="F676" s="26" t="s">
        <v>23</v>
      </c>
      <c r="G676" s="26" t="s">
        <v>24</v>
      </c>
      <c r="H676" s="26" t="s">
        <v>25</v>
      </c>
      <c r="I676" s="26" t="s">
        <v>26</v>
      </c>
      <c r="J676" s="26" t="s">
        <v>24</v>
      </c>
      <c r="K676" s="27"/>
      <c r="L676" s="28" t="s">
        <v>25</v>
      </c>
      <c r="M676" s="29" t="str">
        <f t="shared" si="50"/>
        <v>✓ OK</v>
      </c>
      <c r="N676" s="43">
        <v>46193</v>
      </c>
      <c r="O676" s="26" t="s">
        <v>23</v>
      </c>
      <c r="P676" s="26" t="s">
        <v>24</v>
      </c>
      <c r="Q676" s="26" t="s">
        <v>25</v>
      </c>
      <c r="R676" s="26" t="s">
        <v>26</v>
      </c>
      <c r="S676" s="26" t="s">
        <v>24</v>
      </c>
      <c r="T676" s="27"/>
      <c r="U676" s="28" t="s">
        <v>25</v>
      </c>
      <c r="V676" s="29" t="str">
        <f t="shared" si="51"/>
        <v>✓ OK</v>
      </c>
      <c r="W676" s="45">
        <v>46248</v>
      </c>
      <c r="X676" s="30" t="s">
        <v>23</v>
      </c>
      <c r="Y676" s="30" t="s">
        <v>24</v>
      </c>
      <c r="Z676" s="30" t="s">
        <v>25</v>
      </c>
      <c r="AA676" s="30" t="s">
        <v>26</v>
      </c>
      <c r="AB676" s="30" t="s">
        <v>24</v>
      </c>
      <c r="AC676" s="27"/>
      <c r="AD676" s="31" t="s">
        <v>25</v>
      </c>
      <c r="AE676" s="32" t="str">
        <f t="shared" si="52"/>
        <v>✓ OK</v>
      </c>
      <c r="AF676" s="33" t="s">
        <v>27</v>
      </c>
      <c r="AG676" s="33" t="s">
        <v>23</v>
      </c>
      <c r="AH676" s="33" t="s">
        <v>24</v>
      </c>
      <c r="AI676" s="33" t="s">
        <v>25</v>
      </c>
      <c r="AJ676" s="33" t="s">
        <v>26</v>
      </c>
      <c r="AK676" s="33" t="s">
        <v>24</v>
      </c>
      <c r="AL676" s="27"/>
      <c r="AM676" s="34" t="s">
        <v>25</v>
      </c>
      <c r="AN676" s="35" t="str">
        <f t="shared" si="53"/>
        <v>✓ OK</v>
      </c>
      <c r="AO676" s="36"/>
      <c r="AP676" s="36"/>
      <c r="AQ676" s="36"/>
      <c r="AR676" s="36"/>
      <c r="AS676" s="36"/>
      <c r="AT676" s="36"/>
      <c r="AU676" s="27"/>
      <c r="AV676" s="37"/>
      <c r="AW676" s="38" t="str">
        <f t="shared" si="54"/>
        <v/>
      </c>
    </row>
    <row r="677" spans="1:49" ht="18" customHeight="1" x14ac:dyDescent="0.3">
      <c r="A677" s="23">
        <v>673</v>
      </c>
      <c r="B677" s="24" t="s">
        <v>3194</v>
      </c>
      <c r="C677" s="25" t="s">
        <v>3195</v>
      </c>
      <c r="D677" s="23" t="s">
        <v>2819</v>
      </c>
      <c r="E677" s="43">
        <v>46126</v>
      </c>
      <c r="F677" s="26" t="s">
        <v>23</v>
      </c>
      <c r="G677" s="26" t="s">
        <v>24</v>
      </c>
      <c r="H677" s="26" t="s">
        <v>25</v>
      </c>
      <c r="I677" s="26" t="s">
        <v>26</v>
      </c>
      <c r="J677" s="26" t="s">
        <v>24</v>
      </c>
      <c r="K677" s="27"/>
      <c r="L677" s="28" t="s">
        <v>25</v>
      </c>
      <c r="M677" s="29" t="str">
        <f t="shared" si="50"/>
        <v>✓ OK</v>
      </c>
      <c r="N677" s="43">
        <v>46193</v>
      </c>
      <c r="O677" s="26" t="s">
        <v>23</v>
      </c>
      <c r="P677" s="26" t="s">
        <v>24</v>
      </c>
      <c r="Q677" s="26" t="s">
        <v>25</v>
      </c>
      <c r="R677" s="26" t="s">
        <v>26</v>
      </c>
      <c r="S677" s="26" t="s">
        <v>24</v>
      </c>
      <c r="T677" s="27"/>
      <c r="U677" s="28" t="s">
        <v>25</v>
      </c>
      <c r="V677" s="29" t="str">
        <f t="shared" si="51"/>
        <v>✓ OK</v>
      </c>
      <c r="W677" s="45">
        <v>46248</v>
      </c>
      <c r="X677" s="30" t="s">
        <v>23</v>
      </c>
      <c r="Y677" s="30" t="s">
        <v>24</v>
      </c>
      <c r="Z677" s="30" t="s">
        <v>25</v>
      </c>
      <c r="AA677" s="30" t="s">
        <v>26</v>
      </c>
      <c r="AB677" s="30" t="s">
        <v>24</v>
      </c>
      <c r="AC677" s="27"/>
      <c r="AD677" s="31" t="s">
        <v>25</v>
      </c>
      <c r="AE677" s="32" t="str">
        <f t="shared" si="52"/>
        <v>✓ OK</v>
      </c>
      <c r="AF677" s="33" t="s">
        <v>27</v>
      </c>
      <c r="AG677" s="33" t="s">
        <v>23</v>
      </c>
      <c r="AH677" s="33" t="s">
        <v>24</v>
      </c>
      <c r="AI677" s="33" t="s">
        <v>25</v>
      </c>
      <c r="AJ677" s="33" t="s">
        <v>26</v>
      </c>
      <c r="AK677" s="33" t="s">
        <v>24</v>
      </c>
      <c r="AL677" s="27"/>
      <c r="AM677" s="34" t="s">
        <v>25</v>
      </c>
      <c r="AN677" s="35" t="str">
        <f t="shared" si="53"/>
        <v>✓ OK</v>
      </c>
      <c r="AO677" s="36"/>
      <c r="AP677" s="36"/>
      <c r="AQ677" s="36"/>
      <c r="AR677" s="36"/>
      <c r="AS677" s="36"/>
      <c r="AT677" s="36"/>
      <c r="AU677" s="27"/>
      <c r="AV677" s="37"/>
      <c r="AW677" s="38" t="str">
        <f t="shared" si="54"/>
        <v/>
      </c>
    </row>
    <row r="678" spans="1:49" ht="18" customHeight="1" x14ac:dyDescent="0.3">
      <c r="A678" s="39">
        <v>674</v>
      </c>
      <c r="B678" s="40" t="s">
        <v>3196</v>
      </c>
      <c r="C678" s="41" t="s">
        <v>3197</v>
      </c>
      <c r="D678" s="39" t="s">
        <v>2819</v>
      </c>
      <c r="E678" s="43">
        <v>46126</v>
      </c>
      <c r="F678" s="26" t="s">
        <v>23</v>
      </c>
      <c r="G678" s="26" t="s">
        <v>24</v>
      </c>
      <c r="H678" s="26" t="s">
        <v>25</v>
      </c>
      <c r="I678" s="26" t="s">
        <v>26</v>
      </c>
      <c r="J678" s="26" t="s">
        <v>24</v>
      </c>
      <c r="K678" s="27"/>
      <c r="L678" s="28" t="s">
        <v>25</v>
      </c>
      <c r="M678" s="29" t="str">
        <f t="shared" si="50"/>
        <v>✓ OK</v>
      </c>
      <c r="N678" s="43">
        <v>46193</v>
      </c>
      <c r="O678" s="26" t="s">
        <v>23</v>
      </c>
      <c r="P678" s="26" t="s">
        <v>24</v>
      </c>
      <c r="Q678" s="26" t="s">
        <v>25</v>
      </c>
      <c r="R678" s="26" t="s">
        <v>26</v>
      </c>
      <c r="S678" s="26" t="s">
        <v>24</v>
      </c>
      <c r="T678" s="27"/>
      <c r="U678" s="28" t="s">
        <v>25</v>
      </c>
      <c r="V678" s="29" t="str">
        <f t="shared" si="51"/>
        <v>✓ OK</v>
      </c>
      <c r="W678" s="45">
        <v>46248</v>
      </c>
      <c r="X678" s="30" t="s">
        <v>23</v>
      </c>
      <c r="Y678" s="30" t="s">
        <v>24</v>
      </c>
      <c r="Z678" s="30" t="s">
        <v>25</v>
      </c>
      <c r="AA678" s="30" t="s">
        <v>26</v>
      </c>
      <c r="AB678" s="30" t="s">
        <v>24</v>
      </c>
      <c r="AC678" s="27"/>
      <c r="AD678" s="31" t="s">
        <v>25</v>
      </c>
      <c r="AE678" s="32" t="str">
        <f t="shared" si="52"/>
        <v>✓ OK</v>
      </c>
      <c r="AF678" s="33" t="s">
        <v>27</v>
      </c>
      <c r="AG678" s="33" t="s">
        <v>23</v>
      </c>
      <c r="AH678" s="33" t="s">
        <v>24</v>
      </c>
      <c r="AI678" s="33" t="s">
        <v>25</v>
      </c>
      <c r="AJ678" s="33" t="s">
        <v>26</v>
      </c>
      <c r="AK678" s="33" t="s">
        <v>24</v>
      </c>
      <c r="AL678" s="27"/>
      <c r="AM678" s="34" t="s">
        <v>25</v>
      </c>
      <c r="AN678" s="35" t="str">
        <f t="shared" si="53"/>
        <v>✓ OK</v>
      </c>
      <c r="AO678" s="36"/>
      <c r="AP678" s="36"/>
      <c r="AQ678" s="36"/>
      <c r="AR678" s="36"/>
      <c r="AS678" s="36"/>
      <c r="AT678" s="36"/>
      <c r="AU678" s="27"/>
      <c r="AV678" s="37"/>
      <c r="AW678" s="38" t="str">
        <f t="shared" si="54"/>
        <v/>
      </c>
    </row>
    <row r="679" spans="1:49" ht="18" customHeight="1" x14ac:dyDescent="0.3">
      <c r="A679" s="23">
        <v>675</v>
      </c>
      <c r="B679" s="24" t="s">
        <v>3198</v>
      </c>
      <c r="C679" s="25" t="s">
        <v>3199</v>
      </c>
      <c r="D679" s="23" t="s">
        <v>2819</v>
      </c>
      <c r="E679" s="43">
        <v>46126</v>
      </c>
      <c r="F679" s="26" t="s">
        <v>23</v>
      </c>
      <c r="G679" s="26" t="s">
        <v>24</v>
      </c>
      <c r="H679" s="26" t="s">
        <v>25</v>
      </c>
      <c r="I679" s="26" t="s">
        <v>26</v>
      </c>
      <c r="J679" s="26" t="s">
        <v>24</v>
      </c>
      <c r="K679" s="27"/>
      <c r="L679" s="28" t="s">
        <v>25</v>
      </c>
      <c r="M679" s="29" t="str">
        <f t="shared" si="50"/>
        <v>✓ OK</v>
      </c>
      <c r="N679" s="43">
        <v>46193</v>
      </c>
      <c r="O679" s="26" t="s">
        <v>23</v>
      </c>
      <c r="P679" s="26" t="s">
        <v>24</v>
      </c>
      <c r="Q679" s="26" t="s">
        <v>25</v>
      </c>
      <c r="R679" s="26" t="s">
        <v>26</v>
      </c>
      <c r="S679" s="26" t="s">
        <v>24</v>
      </c>
      <c r="T679" s="27"/>
      <c r="U679" s="28" t="s">
        <v>25</v>
      </c>
      <c r="V679" s="29" t="str">
        <f t="shared" si="51"/>
        <v>✓ OK</v>
      </c>
      <c r="W679" s="45">
        <v>46248</v>
      </c>
      <c r="X679" s="30" t="s">
        <v>23</v>
      </c>
      <c r="Y679" s="30" t="s">
        <v>24</v>
      </c>
      <c r="Z679" s="30" t="s">
        <v>25</v>
      </c>
      <c r="AA679" s="30" t="s">
        <v>26</v>
      </c>
      <c r="AB679" s="30" t="s">
        <v>24</v>
      </c>
      <c r="AC679" s="27"/>
      <c r="AD679" s="31" t="s">
        <v>25</v>
      </c>
      <c r="AE679" s="32" t="str">
        <f t="shared" si="52"/>
        <v>✓ OK</v>
      </c>
      <c r="AF679" s="33" t="s">
        <v>27</v>
      </c>
      <c r="AG679" s="33" t="s">
        <v>23</v>
      </c>
      <c r="AH679" s="33" t="s">
        <v>24</v>
      </c>
      <c r="AI679" s="33" t="s">
        <v>25</v>
      </c>
      <c r="AJ679" s="33" t="s">
        <v>26</v>
      </c>
      <c r="AK679" s="33" t="s">
        <v>24</v>
      </c>
      <c r="AL679" s="27"/>
      <c r="AM679" s="34" t="s">
        <v>25</v>
      </c>
      <c r="AN679" s="35" t="str">
        <f t="shared" si="53"/>
        <v>✓ OK</v>
      </c>
      <c r="AO679" s="36"/>
      <c r="AP679" s="36"/>
      <c r="AQ679" s="36"/>
      <c r="AR679" s="36"/>
      <c r="AS679" s="36"/>
      <c r="AT679" s="36"/>
      <c r="AU679" s="27"/>
      <c r="AV679" s="37"/>
      <c r="AW679" s="38" t="str">
        <f t="shared" si="54"/>
        <v/>
      </c>
    </row>
    <row r="680" spans="1:49" ht="18" customHeight="1" x14ac:dyDescent="0.3">
      <c r="A680" s="39">
        <v>676</v>
      </c>
      <c r="B680" s="40" t="s">
        <v>3200</v>
      </c>
      <c r="C680" s="41" t="s">
        <v>3201</v>
      </c>
      <c r="D680" s="39" t="s">
        <v>2819</v>
      </c>
      <c r="E680" s="43">
        <v>46126</v>
      </c>
      <c r="F680" s="26" t="s">
        <v>23</v>
      </c>
      <c r="G680" s="26" t="s">
        <v>24</v>
      </c>
      <c r="H680" s="26" t="s">
        <v>25</v>
      </c>
      <c r="I680" s="26" t="s">
        <v>26</v>
      </c>
      <c r="J680" s="26" t="s">
        <v>24</v>
      </c>
      <c r="K680" s="27"/>
      <c r="L680" s="28" t="s">
        <v>25</v>
      </c>
      <c r="M680" s="29" t="str">
        <f t="shared" si="50"/>
        <v>✓ OK</v>
      </c>
      <c r="N680" s="43">
        <v>46193</v>
      </c>
      <c r="O680" s="26" t="s">
        <v>23</v>
      </c>
      <c r="P680" s="26" t="s">
        <v>24</v>
      </c>
      <c r="Q680" s="26" t="s">
        <v>25</v>
      </c>
      <c r="R680" s="26" t="s">
        <v>26</v>
      </c>
      <c r="S680" s="26" t="s">
        <v>24</v>
      </c>
      <c r="T680" s="27"/>
      <c r="U680" s="28" t="s">
        <v>25</v>
      </c>
      <c r="V680" s="29" t="str">
        <f t="shared" si="51"/>
        <v>✓ OK</v>
      </c>
      <c r="W680" s="45">
        <v>46248</v>
      </c>
      <c r="X680" s="30" t="s">
        <v>23</v>
      </c>
      <c r="Y680" s="30" t="s">
        <v>24</v>
      </c>
      <c r="Z680" s="30" t="s">
        <v>25</v>
      </c>
      <c r="AA680" s="30" t="s">
        <v>26</v>
      </c>
      <c r="AB680" s="30" t="s">
        <v>24</v>
      </c>
      <c r="AC680" s="27"/>
      <c r="AD680" s="31" t="s">
        <v>25</v>
      </c>
      <c r="AE680" s="32" t="str">
        <f t="shared" si="52"/>
        <v>✓ OK</v>
      </c>
      <c r="AF680" s="33" t="s">
        <v>27</v>
      </c>
      <c r="AG680" s="33" t="s">
        <v>23</v>
      </c>
      <c r="AH680" s="33" t="s">
        <v>24</v>
      </c>
      <c r="AI680" s="33" t="s">
        <v>25</v>
      </c>
      <c r="AJ680" s="33" t="s">
        <v>26</v>
      </c>
      <c r="AK680" s="33" t="s">
        <v>24</v>
      </c>
      <c r="AL680" s="27"/>
      <c r="AM680" s="34" t="s">
        <v>25</v>
      </c>
      <c r="AN680" s="35" t="str">
        <f t="shared" si="53"/>
        <v>✓ OK</v>
      </c>
      <c r="AO680" s="36"/>
      <c r="AP680" s="36"/>
      <c r="AQ680" s="36"/>
      <c r="AR680" s="36"/>
      <c r="AS680" s="36"/>
      <c r="AT680" s="36"/>
      <c r="AU680" s="27"/>
      <c r="AV680" s="37"/>
      <c r="AW680" s="38" t="str">
        <f t="shared" si="54"/>
        <v/>
      </c>
    </row>
    <row r="681" spans="1:49" ht="18" customHeight="1" x14ac:dyDescent="0.3">
      <c r="A681" s="23">
        <v>677</v>
      </c>
      <c r="B681" s="24" t="s">
        <v>3202</v>
      </c>
      <c r="C681" s="25" t="s">
        <v>3203</v>
      </c>
      <c r="D681" s="23" t="s">
        <v>2819</v>
      </c>
      <c r="E681" s="43">
        <v>46126</v>
      </c>
      <c r="F681" s="26" t="s">
        <v>23</v>
      </c>
      <c r="G681" s="26" t="s">
        <v>24</v>
      </c>
      <c r="H681" s="26" t="s">
        <v>25</v>
      </c>
      <c r="I681" s="26" t="s">
        <v>26</v>
      </c>
      <c r="J681" s="26" t="s">
        <v>24</v>
      </c>
      <c r="K681" s="27"/>
      <c r="L681" s="28" t="s">
        <v>25</v>
      </c>
      <c r="M681" s="29" t="str">
        <f t="shared" si="50"/>
        <v>✓ OK</v>
      </c>
      <c r="N681" s="43">
        <v>46193</v>
      </c>
      <c r="O681" s="26" t="s">
        <v>23</v>
      </c>
      <c r="P681" s="26" t="s">
        <v>24</v>
      </c>
      <c r="Q681" s="26" t="s">
        <v>25</v>
      </c>
      <c r="R681" s="26" t="s">
        <v>26</v>
      </c>
      <c r="S681" s="26" t="s">
        <v>24</v>
      </c>
      <c r="T681" s="27"/>
      <c r="U681" s="28" t="s">
        <v>25</v>
      </c>
      <c r="V681" s="29" t="str">
        <f t="shared" si="51"/>
        <v>✓ OK</v>
      </c>
      <c r="W681" s="45">
        <v>46248</v>
      </c>
      <c r="X681" s="30" t="s">
        <v>23</v>
      </c>
      <c r="Y681" s="30" t="s">
        <v>24</v>
      </c>
      <c r="Z681" s="30" t="s">
        <v>25</v>
      </c>
      <c r="AA681" s="30" t="s">
        <v>26</v>
      </c>
      <c r="AB681" s="30" t="s">
        <v>24</v>
      </c>
      <c r="AC681" s="27"/>
      <c r="AD681" s="31" t="s">
        <v>25</v>
      </c>
      <c r="AE681" s="32" t="str">
        <f t="shared" si="52"/>
        <v>✓ OK</v>
      </c>
      <c r="AF681" s="33" t="s">
        <v>27</v>
      </c>
      <c r="AG681" s="33" t="s">
        <v>23</v>
      </c>
      <c r="AH681" s="33" t="s">
        <v>24</v>
      </c>
      <c r="AI681" s="33" t="s">
        <v>25</v>
      </c>
      <c r="AJ681" s="33" t="s">
        <v>26</v>
      </c>
      <c r="AK681" s="33" t="s">
        <v>24</v>
      </c>
      <c r="AL681" s="27"/>
      <c r="AM681" s="34" t="s">
        <v>25</v>
      </c>
      <c r="AN681" s="35" t="str">
        <f t="shared" si="53"/>
        <v>✓ OK</v>
      </c>
      <c r="AO681" s="36"/>
      <c r="AP681" s="36"/>
      <c r="AQ681" s="36"/>
      <c r="AR681" s="36"/>
      <c r="AS681" s="36"/>
      <c r="AT681" s="36"/>
      <c r="AU681" s="27"/>
      <c r="AV681" s="37"/>
      <c r="AW681" s="38" t="str">
        <f t="shared" si="54"/>
        <v/>
      </c>
    </row>
    <row r="682" spans="1:49" ht="18" customHeight="1" x14ac:dyDescent="0.3">
      <c r="A682" s="39">
        <v>678</v>
      </c>
      <c r="B682" s="40" t="s">
        <v>3204</v>
      </c>
      <c r="C682" s="41" t="s">
        <v>3205</v>
      </c>
      <c r="D682" s="39" t="s">
        <v>2819</v>
      </c>
      <c r="E682" s="43">
        <v>46126</v>
      </c>
      <c r="F682" s="26" t="s">
        <v>23</v>
      </c>
      <c r="G682" s="26" t="s">
        <v>24</v>
      </c>
      <c r="H682" s="26" t="s">
        <v>25</v>
      </c>
      <c r="I682" s="26" t="s">
        <v>26</v>
      </c>
      <c r="J682" s="26" t="s">
        <v>24</v>
      </c>
      <c r="K682" s="27"/>
      <c r="L682" s="28" t="s">
        <v>25</v>
      </c>
      <c r="M682" s="29" t="str">
        <f t="shared" si="50"/>
        <v>✓ OK</v>
      </c>
      <c r="N682" s="43">
        <v>46193</v>
      </c>
      <c r="O682" s="26" t="s">
        <v>23</v>
      </c>
      <c r="P682" s="26" t="s">
        <v>24</v>
      </c>
      <c r="Q682" s="26" t="s">
        <v>25</v>
      </c>
      <c r="R682" s="26" t="s">
        <v>26</v>
      </c>
      <c r="S682" s="26" t="s">
        <v>24</v>
      </c>
      <c r="T682" s="27"/>
      <c r="U682" s="28" t="s">
        <v>25</v>
      </c>
      <c r="V682" s="29" t="str">
        <f t="shared" si="51"/>
        <v>✓ OK</v>
      </c>
      <c r="W682" s="45">
        <v>46248</v>
      </c>
      <c r="X682" s="30" t="s">
        <v>23</v>
      </c>
      <c r="Y682" s="30" t="s">
        <v>24</v>
      </c>
      <c r="Z682" s="30" t="s">
        <v>25</v>
      </c>
      <c r="AA682" s="30" t="s">
        <v>26</v>
      </c>
      <c r="AB682" s="30" t="s">
        <v>24</v>
      </c>
      <c r="AC682" s="27"/>
      <c r="AD682" s="31" t="s">
        <v>25</v>
      </c>
      <c r="AE682" s="32" t="str">
        <f t="shared" si="52"/>
        <v>✓ OK</v>
      </c>
      <c r="AF682" s="33" t="s">
        <v>27</v>
      </c>
      <c r="AG682" s="33" t="s">
        <v>23</v>
      </c>
      <c r="AH682" s="33" t="s">
        <v>24</v>
      </c>
      <c r="AI682" s="33" t="s">
        <v>25</v>
      </c>
      <c r="AJ682" s="33" t="s">
        <v>26</v>
      </c>
      <c r="AK682" s="33" t="s">
        <v>24</v>
      </c>
      <c r="AL682" s="27"/>
      <c r="AM682" s="34" t="s">
        <v>25</v>
      </c>
      <c r="AN682" s="35" t="str">
        <f t="shared" si="53"/>
        <v>✓ OK</v>
      </c>
      <c r="AO682" s="36"/>
      <c r="AP682" s="36"/>
      <c r="AQ682" s="36"/>
      <c r="AR682" s="36"/>
      <c r="AS682" s="36"/>
      <c r="AT682" s="36"/>
      <c r="AU682" s="27"/>
      <c r="AV682" s="37"/>
      <c r="AW682" s="38" t="str">
        <f t="shared" si="54"/>
        <v/>
      </c>
    </row>
    <row r="683" spans="1:49" ht="18" customHeight="1" x14ac:dyDescent="0.3">
      <c r="A683" s="23">
        <v>679</v>
      </c>
      <c r="B683" s="24" t="s">
        <v>3206</v>
      </c>
      <c r="C683" s="25" t="s">
        <v>3207</v>
      </c>
      <c r="D683" s="23" t="s">
        <v>2819</v>
      </c>
      <c r="E683" s="43">
        <v>46126</v>
      </c>
      <c r="F683" s="26" t="s">
        <v>23</v>
      </c>
      <c r="G683" s="26" t="s">
        <v>24</v>
      </c>
      <c r="H683" s="26" t="s">
        <v>25</v>
      </c>
      <c r="I683" s="26" t="s">
        <v>26</v>
      </c>
      <c r="J683" s="26" t="s">
        <v>24</v>
      </c>
      <c r="K683" s="27"/>
      <c r="L683" s="28" t="s">
        <v>25</v>
      </c>
      <c r="M683" s="29" t="str">
        <f t="shared" si="50"/>
        <v>✓ OK</v>
      </c>
      <c r="N683" s="43">
        <v>46193</v>
      </c>
      <c r="O683" s="26" t="s">
        <v>23</v>
      </c>
      <c r="P683" s="26" t="s">
        <v>24</v>
      </c>
      <c r="Q683" s="26" t="s">
        <v>25</v>
      </c>
      <c r="R683" s="26" t="s">
        <v>26</v>
      </c>
      <c r="S683" s="26" t="s">
        <v>24</v>
      </c>
      <c r="T683" s="27"/>
      <c r="U683" s="28" t="s">
        <v>25</v>
      </c>
      <c r="V683" s="29" t="str">
        <f t="shared" si="51"/>
        <v>✓ OK</v>
      </c>
      <c r="W683" s="45">
        <v>46248</v>
      </c>
      <c r="X683" s="30" t="s">
        <v>23</v>
      </c>
      <c r="Y683" s="30" t="s">
        <v>24</v>
      </c>
      <c r="Z683" s="30" t="s">
        <v>25</v>
      </c>
      <c r="AA683" s="30" t="s">
        <v>26</v>
      </c>
      <c r="AB683" s="30" t="s">
        <v>24</v>
      </c>
      <c r="AC683" s="27"/>
      <c r="AD683" s="31" t="s">
        <v>25</v>
      </c>
      <c r="AE683" s="32" t="str">
        <f t="shared" si="52"/>
        <v>✓ OK</v>
      </c>
      <c r="AF683" s="33" t="s">
        <v>27</v>
      </c>
      <c r="AG683" s="33" t="s">
        <v>23</v>
      </c>
      <c r="AH683" s="33" t="s">
        <v>24</v>
      </c>
      <c r="AI683" s="33" t="s">
        <v>25</v>
      </c>
      <c r="AJ683" s="33" t="s">
        <v>26</v>
      </c>
      <c r="AK683" s="33" t="s">
        <v>24</v>
      </c>
      <c r="AL683" s="27"/>
      <c r="AM683" s="34" t="s">
        <v>25</v>
      </c>
      <c r="AN683" s="35" t="str">
        <f t="shared" si="53"/>
        <v>✓ OK</v>
      </c>
      <c r="AO683" s="36"/>
      <c r="AP683" s="36"/>
      <c r="AQ683" s="36"/>
      <c r="AR683" s="36"/>
      <c r="AS683" s="36"/>
      <c r="AT683" s="36"/>
      <c r="AU683" s="27"/>
      <c r="AV683" s="37"/>
      <c r="AW683" s="38" t="str">
        <f t="shared" si="54"/>
        <v/>
      </c>
    </row>
    <row r="684" spans="1:49" ht="18" customHeight="1" x14ac:dyDescent="0.3">
      <c r="A684" s="39">
        <v>680</v>
      </c>
      <c r="B684" s="40" t="s">
        <v>3208</v>
      </c>
      <c r="C684" s="41" t="s">
        <v>3209</v>
      </c>
      <c r="D684" s="39" t="s">
        <v>2819</v>
      </c>
      <c r="E684" s="43">
        <v>46126</v>
      </c>
      <c r="F684" s="26" t="s">
        <v>23</v>
      </c>
      <c r="G684" s="26" t="s">
        <v>24</v>
      </c>
      <c r="H684" s="26" t="s">
        <v>25</v>
      </c>
      <c r="I684" s="26" t="s">
        <v>26</v>
      </c>
      <c r="J684" s="26" t="s">
        <v>24</v>
      </c>
      <c r="K684" s="27"/>
      <c r="L684" s="28" t="s">
        <v>25</v>
      </c>
      <c r="M684" s="29" t="str">
        <f t="shared" si="50"/>
        <v>✓ OK</v>
      </c>
      <c r="N684" s="43">
        <v>46193</v>
      </c>
      <c r="O684" s="26" t="s">
        <v>23</v>
      </c>
      <c r="P684" s="26" t="s">
        <v>24</v>
      </c>
      <c r="Q684" s="26" t="s">
        <v>25</v>
      </c>
      <c r="R684" s="26" t="s">
        <v>26</v>
      </c>
      <c r="S684" s="26" t="s">
        <v>24</v>
      </c>
      <c r="T684" s="27"/>
      <c r="U684" s="28" t="s">
        <v>25</v>
      </c>
      <c r="V684" s="29" t="str">
        <f t="shared" si="51"/>
        <v>✓ OK</v>
      </c>
      <c r="W684" s="45">
        <v>46248</v>
      </c>
      <c r="X684" s="30" t="s">
        <v>23</v>
      </c>
      <c r="Y684" s="30" t="s">
        <v>24</v>
      </c>
      <c r="Z684" s="30" t="s">
        <v>25</v>
      </c>
      <c r="AA684" s="30" t="s">
        <v>26</v>
      </c>
      <c r="AB684" s="30" t="s">
        <v>24</v>
      </c>
      <c r="AC684" s="27"/>
      <c r="AD684" s="31" t="s">
        <v>25</v>
      </c>
      <c r="AE684" s="32" t="str">
        <f t="shared" si="52"/>
        <v>✓ OK</v>
      </c>
      <c r="AF684" s="33" t="s">
        <v>27</v>
      </c>
      <c r="AG684" s="33" t="s">
        <v>23</v>
      </c>
      <c r="AH684" s="33" t="s">
        <v>24</v>
      </c>
      <c r="AI684" s="33" t="s">
        <v>25</v>
      </c>
      <c r="AJ684" s="33" t="s">
        <v>26</v>
      </c>
      <c r="AK684" s="33" t="s">
        <v>24</v>
      </c>
      <c r="AL684" s="27"/>
      <c r="AM684" s="34" t="s">
        <v>25</v>
      </c>
      <c r="AN684" s="35" t="str">
        <f t="shared" si="53"/>
        <v>✓ OK</v>
      </c>
      <c r="AO684" s="36"/>
      <c r="AP684" s="36"/>
      <c r="AQ684" s="36"/>
      <c r="AR684" s="36"/>
      <c r="AS684" s="36"/>
      <c r="AT684" s="36"/>
      <c r="AU684" s="27"/>
      <c r="AV684" s="37"/>
      <c r="AW684" s="38" t="str">
        <f t="shared" si="54"/>
        <v/>
      </c>
    </row>
    <row r="685" spans="1:49" ht="18" customHeight="1" x14ac:dyDescent="0.3">
      <c r="A685" s="23">
        <v>681</v>
      </c>
      <c r="B685" s="24" t="s">
        <v>3210</v>
      </c>
      <c r="C685" s="25" t="s">
        <v>3211</v>
      </c>
      <c r="D685" s="23" t="s">
        <v>2819</v>
      </c>
      <c r="E685" s="43">
        <v>46126</v>
      </c>
      <c r="F685" s="26" t="s">
        <v>23</v>
      </c>
      <c r="G685" s="26" t="s">
        <v>24</v>
      </c>
      <c r="H685" s="26" t="s">
        <v>25</v>
      </c>
      <c r="I685" s="26" t="s">
        <v>26</v>
      </c>
      <c r="J685" s="26" t="s">
        <v>24</v>
      </c>
      <c r="K685" s="27"/>
      <c r="L685" s="28" t="s">
        <v>25</v>
      </c>
      <c r="M685" s="29" t="str">
        <f t="shared" si="50"/>
        <v>✓ OK</v>
      </c>
      <c r="N685" s="43">
        <v>46193</v>
      </c>
      <c r="O685" s="26" t="s">
        <v>23</v>
      </c>
      <c r="P685" s="26" t="s">
        <v>24</v>
      </c>
      <c r="Q685" s="26" t="s">
        <v>25</v>
      </c>
      <c r="R685" s="26" t="s">
        <v>26</v>
      </c>
      <c r="S685" s="26" t="s">
        <v>24</v>
      </c>
      <c r="T685" s="27"/>
      <c r="U685" s="28" t="s">
        <v>25</v>
      </c>
      <c r="V685" s="29" t="str">
        <f t="shared" si="51"/>
        <v>✓ OK</v>
      </c>
      <c r="W685" s="45">
        <v>46248</v>
      </c>
      <c r="X685" s="30" t="s">
        <v>23</v>
      </c>
      <c r="Y685" s="30" t="s">
        <v>24</v>
      </c>
      <c r="Z685" s="30" t="s">
        <v>25</v>
      </c>
      <c r="AA685" s="30" t="s">
        <v>26</v>
      </c>
      <c r="AB685" s="30" t="s">
        <v>24</v>
      </c>
      <c r="AC685" s="27"/>
      <c r="AD685" s="31" t="s">
        <v>25</v>
      </c>
      <c r="AE685" s="32" t="str">
        <f t="shared" si="52"/>
        <v>✓ OK</v>
      </c>
      <c r="AF685" s="33" t="s">
        <v>27</v>
      </c>
      <c r="AG685" s="33" t="s">
        <v>23</v>
      </c>
      <c r="AH685" s="33" t="s">
        <v>24</v>
      </c>
      <c r="AI685" s="33" t="s">
        <v>25</v>
      </c>
      <c r="AJ685" s="33" t="s">
        <v>26</v>
      </c>
      <c r="AK685" s="33" t="s">
        <v>24</v>
      </c>
      <c r="AL685" s="27"/>
      <c r="AM685" s="34" t="s">
        <v>25</v>
      </c>
      <c r="AN685" s="35" t="str">
        <f t="shared" si="53"/>
        <v>✓ OK</v>
      </c>
      <c r="AO685" s="36"/>
      <c r="AP685" s="36"/>
      <c r="AQ685" s="36"/>
      <c r="AR685" s="36"/>
      <c r="AS685" s="36"/>
      <c r="AT685" s="36"/>
      <c r="AU685" s="27"/>
      <c r="AV685" s="37"/>
      <c r="AW685" s="38" t="str">
        <f t="shared" si="54"/>
        <v/>
      </c>
    </row>
    <row r="686" spans="1:49" ht="18" customHeight="1" x14ac:dyDescent="0.3">
      <c r="A686" s="39">
        <v>682</v>
      </c>
      <c r="B686" s="40" t="s">
        <v>3212</v>
      </c>
      <c r="C686" s="41" t="s">
        <v>3213</v>
      </c>
      <c r="D686" s="39" t="s">
        <v>2819</v>
      </c>
      <c r="E686" s="43">
        <v>46126</v>
      </c>
      <c r="F686" s="26" t="s">
        <v>23</v>
      </c>
      <c r="G686" s="26" t="s">
        <v>24</v>
      </c>
      <c r="H686" s="26" t="s">
        <v>25</v>
      </c>
      <c r="I686" s="26" t="s">
        <v>26</v>
      </c>
      <c r="J686" s="26" t="s">
        <v>24</v>
      </c>
      <c r="K686" s="27"/>
      <c r="L686" s="28" t="s">
        <v>25</v>
      </c>
      <c r="M686" s="29" t="str">
        <f t="shared" si="50"/>
        <v>✓ OK</v>
      </c>
      <c r="N686" s="43">
        <v>46193</v>
      </c>
      <c r="O686" s="26" t="s">
        <v>23</v>
      </c>
      <c r="P686" s="26" t="s">
        <v>24</v>
      </c>
      <c r="Q686" s="26" t="s">
        <v>25</v>
      </c>
      <c r="R686" s="26" t="s">
        <v>26</v>
      </c>
      <c r="S686" s="26" t="s">
        <v>24</v>
      </c>
      <c r="T686" s="27"/>
      <c r="U686" s="28" t="s">
        <v>25</v>
      </c>
      <c r="V686" s="29" t="str">
        <f t="shared" si="51"/>
        <v>✓ OK</v>
      </c>
      <c r="W686" s="45">
        <v>46248</v>
      </c>
      <c r="X686" s="30" t="s">
        <v>23</v>
      </c>
      <c r="Y686" s="30" t="s">
        <v>24</v>
      </c>
      <c r="Z686" s="30" t="s">
        <v>25</v>
      </c>
      <c r="AA686" s="30" t="s">
        <v>26</v>
      </c>
      <c r="AB686" s="30" t="s">
        <v>24</v>
      </c>
      <c r="AC686" s="27"/>
      <c r="AD686" s="31" t="s">
        <v>25</v>
      </c>
      <c r="AE686" s="32" t="str">
        <f t="shared" si="52"/>
        <v>✓ OK</v>
      </c>
      <c r="AF686" s="33" t="s">
        <v>27</v>
      </c>
      <c r="AG686" s="33" t="s">
        <v>23</v>
      </c>
      <c r="AH686" s="33" t="s">
        <v>24</v>
      </c>
      <c r="AI686" s="33" t="s">
        <v>25</v>
      </c>
      <c r="AJ686" s="33" t="s">
        <v>26</v>
      </c>
      <c r="AK686" s="33" t="s">
        <v>24</v>
      </c>
      <c r="AL686" s="27"/>
      <c r="AM686" s="34" t="s">
        <v>25</v>
      </c>
      <c r="AN686" s="35" t="str">
        <f t="shared" si="53"/>
        <v>✓ OK</v>
      </c>
      <c r="AO686" s="36"/>
      <c r="AP686" s="36"/>
      <c r="AQ686" s="36"/>
      <c r="AR686" s="36"/>
      <c r="AS686" s="36"/>
      <c r="AT686" s="36"/>
      <c r="AU686" s="27"/>
      <c r="AV686" s="37"/>
      <c r="AW686" s="38" t="str">
        <f t="shared" si="54"/>
        <v/>
      </c>
    </row>
    <row r="687" spans="1:49" ht="18" customHeight="1" x14ac:dyDescent="0.3">
      <c r="A687" s="23">
        <v>683</v>
      </c>
      <c r="B687" s="24" t="s">
        <v>3214</v>
      </c>
      <c r="C687" s="25" t="s">
        <v>3215</v>
      </c>
      <c r="D687" s="23" t="s">
        <v>2819</v>
      </c>
      <c r="E687" s="43">
        <v>46126</v>
      </c>
      <c r="F687" s="26" t="s">
        <v>23</v>
      </c>
      <c r="G687" s="26" t="s">
        <v>24</v>
      </c>
      <c r="H687" s="26" t="s">
        <v>25</v>
      </c>
      <c r="I687" s="26" t="s">
        <v>26</v>
      </c>
      <c r="J687" s="26" t="s">
        <v>24</v>
      </c>
      <c r="K687" s="27"/>
      <c r="L687" s="28" t="s">
        <v>25</v>
      </c>
      <c r="M687" s="29" t="str">
        <f t="shared" si="50"/>
        <v>✓ OK</v>
      </c>
      <c r="N687" s="43">
        <v>46193</v>
      </c>
      <c r="O687" s="26" t="s">
        <v>23</v>
      </c>
      <c r="P687" s="26" t="s">
        <v>24</v>
      </c>
      <c r="Q687" s="26" t="s">
        <v>25</v>
      </c>
      <c r="R687" s="26" t="s">
        <v>26</v>
      </c>
      <c r="S687" s="26" t="s">
        <v>24</v>
      </c>
      <c r="T687" s="27"/>
      <c r="U687" s="28" t="s">
        <v>25</v>
      </c>
      <c r="V687" s="29" t="str">
        <f t="shared" si="51"/>
        <v>✓ OK</v>
      </c>
      <c r="W687" s="45">
        <v>46248</v>
      </c>
      <c r="X687" s="30" t="s">
        <v>23</v>
      </c>
      <c r="Y687" s="30" t="s">
        <v>24</v>
      </c>
      <c r="Z687" s="30" t="s">
        <v>25</v>
      </c>
      <c r="AA687" s="30" t="s">
        <v>26</v>
      </c>
      <c r="AB687" s="30" t="s">
        <v>24</v>
      </c>
      <c r="AC687" s="27"/>
      <c r="AD687" s="31" t="s">
        <v>25</v>
      </c>
      <c r="AE687" s="32" t="str">
        <f t="shared" si="52"/>
        <v>✓ OK</v>
      </c>
      <c r="AF687" s="33" t="s">
        <v>27</v>
      </c>
      <c r="AG687" s="33" t="s">
        <v>23</v>
      </c>
      <c r="AH687" s="33" t="s">
        <v>24</v>
      </c>
      <c r="AI687" s="33" t="s">
        <v>25</v>
      </c>
      <c r="AJ687" s="33" t="s">
        <v>26</v>
      </c>
      <c r="AK687" s="33" t="s">
        <v>24</v>
      </c>
      <c r="AL687" s="27"/>
      <c r="AM687" s="34" t="s">
        <v>25</v>
      </c>
      <c r="AN687" s="35" t="str">
        <f t="shared" si="53"/>
        <v>✓ OK</v>
      </c>
      <c r="AO687" s="36"/>
      <c r="AP687" s="36"/>
      <c r="AQ687" s="36"/>
      <c r="AR687" s="36"/>
      <c r="AS687" s="36"/>
      <c r="AT687" s="36"/>
      <c r="AU687" s="27"/>
      <c r="AV687" s="37"/>
      <c r="AW687" s="38" t="str">
        <f t="shared" si="54"/>
        <v/>
      </c>
    </row>
    <row r="688" spans="1:49" ht="18" customHeight="1" x14ac:dyDescent="0.3">
      <c r="A688" s="39">
        <v>684</v>
      </c>
      <c r="B688" s="40" t="s">
        <v>3216</v>
      </c>
      <c r="C688" s="41" t="s">
        <v>3217</v>
      </c>
      <c r="D688" s="39" t="s">
        <v>2819</v>
      </c>
      <c r="E688" s="43">
        <v>46126</v>
      </c>
      <c r="F688" s="26" t="s">
        <v>23</v>
      </c>
      <c r="G688" s="26" t="s">
        <v>24</v>
      </c>
      <c r="H688" s="26" t="s">
        <v>25</v>
      </c>
      <c r="I688" s="26" t="s">
        <v>26</v>
      </c>
      <c r="J688" s="26" t="s">
        <v>24</v>
      </c>
      <c r="K688" s="27"/>
      <c r="L688" s="28" t="s">
        <v>25</v>
      </c>
      <c r="M688" s="29" t="str">
        <f t="shared" si="50"/>
        <v>✓ OK</v>
      </c>
      <c r="N688" s="43">
        <v>46193</v>
      </c>
      <c r="O688" s="26" t="s">
        <v>23</v>
      </c>
      <c r="P688" s="26" t="s">
        <v>24</v>
      </c>
      <c r="Q688" s="26" t="s">
        <v>25</v>
      </c>
      <c r="R688" s="26" t="s">
        <v>26</v>
      </c>
      <c r="S688" s="26" t="s">
        <v>24</v>
      </c>
      <c r="T688" s="27"/>
      <c r="U688" s="28" t="s">
        <v>25</v>
      </c>
      <c r="V688" s="29" t="str">
        <f t="shared" si="51"/>
        <v>✓ OK</v>
      </c>
      <c r="W688" s="45">
        <v>46248</v>
      </c>
      <c r="X688" s="30" t="s">
        <v>23</v>
      </c>
      <c r="Y688" s="30" t="s">
        <v>24</v>
      </c>
      <c r="Z688" s="30" t="s">
        <v>25</v>
      </c>
      <c r="AA688" s="30" t="s">
        <v>26</v>
      </c>
      <c r="AB688" s="30" t="s">
        <v>24</v>
      </c>
      <c r="AC688" s="27"/>
      <c r="AD688" s="31" t="s">
        <v>25</v>
      </c>
      <c r="AE688" s="32" t="str">
        <f t="shared" si="52"/>
        <v>✓ OK</v>
      </c>
      <c r="AF688" s="33" t="s">
        <v>27</v>
      </c>
      <c r="AG688" s="33" t="s">
        <v>23</v>
      </c>
      <c r="AH688" s="33" t="s">
        <v>24</v>
      </c>
      <c r="AI688" s="33" t="s">
        <v>25</v>
      </c>
      <c r="AJ688" s="33" t="s">
        <v>26</v>
      </c>
      <c r="AK688" s="33" t="s">
        <v>24</v>
      </c>
      <c r="AL688" s="27"/>
      <c r="AM688" s="34" t="s">
        <v>25</v>
      </c>
      <c r="AN688" s="35" t="str">
        <f t="shared" si="53"/>
        <v>✓ OK</v>
      </c>
      <c r="AO688" s="36"/>
      <c r="AP688" s="36"/>
      <c r="AQ688" s="36"/>
      <c r="AR688" s="36"/>
      <c r="AS688" s="36"/>
      <c r="AT688" s="36"/>
      <c r="AU688" s="27"/>
      <c r="AV688" s="37"/>
      <c r="AW688" s="38" t="str">
        <f t="shared" si="54"/>
        <v/>
      </c>
    </row>
    <row r="689" spans="1:49" ht="18" customHeight="1" x14ac:dyDescent="0.3">
      <c r="A689" s="23">
        <v>685</v>
      </c>
      <c r="B689" s="24" t="s">
        <v>3218</v>
      </c>
      <c r="C689" s="25" t="s">
        <v>3219</v>
      </c>
      <c r="D689" s="23" t="s">
        <v>2819</v>
      </c>
      <c r="E689" s="43">
        <v>46126</v>
      </c>
      <c r="F689" s="26" t="s">
        <v>23</v>
      </c>
      <c r="G689" s="26" t="s">
        <v>24</v>
      </c>
      <c r="H689" s="26" t="s">
        <v>25</v>
      </c>
      <c r="I689" s="26" t="s">
        <v>26</v>
      </c>
      <c r="J689" s="26" t="s">
        <v>24</v>
      </c>
      <c r="K689" s="27"/>
      <c r="L689" s="28" t="s">
        <v>25</v>
      </c>
      <c r="M689" s="29" t="str">
        <f t="shared" si="50"/>
        <v>✓ OK</v>
      </c>
      <c r="N689" s="43">
        <v>46193</v>
      </c>
      <c r="O689" s="26" t="s">
        <v>23</v>
      </c>
      <c r="P689" s="26" t="s">
        <v>24</v>
      </c>
      <c r="Q689" s="26" t="s">
        <v>25</v>
      </c>
      <c r="R689" s="26" t="s">
        <v>26</v>
      </c>
      <c r="S689" s="26" t="s">
        <v>24</v>
      </c>
      <c r="T689" s="27"/>
      <c r="U689" s="28" t="s">
        <v>25</v>
      </c>
      <c r="V689" s="29" t="str">
        <f t="shared" si="51"/>
        <v>✓ OK</v>
      </c>
      <c r="W689" s="45">
        <v>46248</v>
      </c>
      <c r="X689" s="30" t="s">
        <v>23</v>
      </c>
      <c r="Y689" s="30" t="s">
        <v>24</v>
      </c>
      <c r="Z689" s="30" t="s">
        <v>25</v>
      </c>
      <c r="AA689" s="30" t="s">
        <v>26</v>
      </c>
      <c r="AB689" s="30" t="s">
        <v>24</v>
      </c>
      <c r="AC689" s="27"/>
      <c r="AD689" s="31" t="s">
        <v>25</v>
      </c>
      <c r="AE689" s="32" t="str">
        <f t="shared" si="52"/>
        <v>✓ OK</v>
      </c>
      <c r="AF689" s="33" t="s">
        <v>27</v>
      </c>
      <c r="AG689" s="33" t="s">
        <v>23</v>
      </c>
      <c r="AH689" s="33" t="s">
        <v>24</v>
      </c>
      <c r="AI689" s="33" t="s">
        <v>25</v>
      </c>
      <c r="AJ689" s="33" t="s">
        <v>26</v>
      </c>
      <c r="AK689" s="33" t="s">
        <v>24</v>
      </c>
      <c r="AL689" s="27"/>
      <c r="AM689" s="34" t="s">
        <v>25</v>
      </c>
      <c r="AN689" s="35" t="str">
        <f t="shared" si="53"/>
        <v>✓ OK</v>
      </c>
      <c r="AO689" s="36"/>
      <c r="AP689" s="36"/>
      <c r="AQ689" s="36"/>
      <c r="AR689" s="36"/>
      <c r="AS689" s="36"/>
      <c r="AT689" s="36"/>
      <c r="AU689" s="27"/>
      <c r="AV689" s="37"/>
      <c r="AW689" s="38" t="str">
        <f t="shared" si="54"/>
        <v/>
      </c>
    </row>
    <row r="690" spans="1:49" ht="18" customHeight="1" x14ac:dyDescent="0.3">
      <c r="A690" s="39">
        <v>686</v>
      </c>
      <c r="B690" s="40" t="s">
        <v>3220</v>
      </c>
      <c r="C690" s="41" t="s">
        <v>3221</v>
      </c>
      <c r="D690" s="39" t="s">
        <v>2819</v>
      </c>
      <c r="E690" s="43">
        <v>46126</v>
      </c>
      <c r="F690" s="26" t="s">
        <v>23</v>
      </c>
      <c r="G690" s="26" t="s">
        <v>24</v>
      </c>
      <c r="H690" s="26" t="s">
        <v>25</v>
      </c>
      <c r="I690" s="26" t="s">
        <v>26</v>
      </c>
      <c r="J690" s="26" t="s">
        <v>24</v>
      </c>
      <c r="K690" s="27"/>
      <c r="L690" s="28" t="s">
        <v>25</v>
      </c>
      <c r="M690" s="29" t="str">
        <f t="shared" si="50"/>
        <v>✓ OK</v>
      </c>
      <c r="N690" s="43">
        <v>46193</v>
      </c>
      <c r="O690" s="26" t="s">
        <v>23</v>
      </c>
      <c r="P690" s="26" t="s">
        <v>24</v>
      </c>
      <c r="Q690" s="26" t="s">
        <v>25</v>
      </c>
      <c r="R690" s="26" t="s">
        <v>26</v>
      </c>
      <c r="S690" s="26" t="s">
        <v>24</v>
      </c>
      <c r="T690" s="27"/>
      <c r="U690" s="28" t="s">
        <v>25</v>
      </c>
      <c r="V690" s="29" t="str">
        <f t="shared" si="51"/>
        <v>✓ OK</v>
      </c>
      <c r="W690" s="45">
        <v>46248</v>
      </c>
      <c r="X690" s="30" t="s">
        <v>23</v>
      </c>
      <c r="Y690" s="30" t="s">
        <v>24</v>
      </c>
      <c r="Z690" s="30" t="s">
        <v>25</v>
      </c>
      <c r="AA690" s="30" t="s">
        <v>26</v>
      </c>
      <c r="AB690" s="30" t="s">
        <v>24</v>
      </c>
      <c r="AC690" s="27"/>
      <c r="AD690" s="31" t="s">
        <v>25</v>
      </c>
      <c r="AE690" s="32" t="str">
        <f t="shared" si="52"/>
        <v>✓ OK</v>
      </c>
      <c r="AF690" s="33" t="s">
        <v>27</v>
      </c>
      <c r="AG690" s="33" t="s">
        <v>23</v>
      </c>
      <c r="AH690" s="33" t="s">
        <v>24</v>
      </c>
      <c r="AI690" s="33" t="s">
        <v>25</v>
      </c>
      <c r="AJ690" s="33" t="s">
        <v>26</v>
      </c>
      <c r="AK690" s="33" t="s">
        <v>24</v>
      </c>
      <c r="AL690" s="27"/>
      <c r="AM690" s="34" t="s">
        <v>25</v>
      </c>
      <c r="AN690" s="35" t="str">
        <f t="shared" si="53"/>
        <v>✓ OK</v>
      </c>
      <c r="AO690" s="36"/>
      <c r="AP690" s="36"/>
      <c r="AQ690" s="36"/>
      <c r="AR690" s="36"/>
      <c r="AS690" s="36"/>
      <c r="AT690" s="36"/>
      <c r="AU690" s="27"/>
      <c r="AV690" s="37"/>
      <c r="AW690" s="38" t="str">
        <f t="shared" si="54"/>
        <v/>
      </c>
    </row>
    <row r="691" spans="1:49" ht="18" customHeight="1" x14ac:dyDescent="0.3">
      <c r="A691" s="23">
        <v>687</v>
      </c>
      <c r="B691" s="24" t="s">
        <v>3222</v>
      </c>
      <c r="C691" s="25" t="s">
        <v>3223</v>
      </c>
      <c r="D691" s="23" t="s">
        <v>2819</v>
      </c>
      <c r="E691" s="43">
        <v>46126</v>
      </c>
      <c r="F691" s="26" t="s">
        <v>23</v>
      </c>
      <c r="G691" s="26" t="s">
        <v>24</v>
      </c>
      <c r="H691" s="26" t="s">
        <v>25</v>
      </c>
      <c r="I691" s="26" t="s">
        <v>26</v>
      </c>
      <c r="J691" s="26" t="s">
        <v>24</v>
      </c>
      <c r="K691" s="27"/>
      <c r="L691" s="28" t="s">
        <v>25</v>
      </c>
      <c r="M691" s="29" t="str">
        <f t="shared" si="50"/>
        <v>✓ OK</v>
      </c>
      <c r="N691" s="43">
        <v>46193</v>
      </c>
      <c r="O691" s="26" t="s">
        <v>23</v>
      </c>
      <c r="P691" s="26" t="s">
        <v>24</v>
      </c>
      <c r="Q691" s="26" t="s">
        <v>25</v>
      </c>
      <c r="R691" s="26" t="s">
        <v>26</v>
      </c>
      <c r="S691" s="26" t="s">
        <v>24</v>
      </c>
      <c r="T691" s="27"/>
      <c r="U691" s="28" t="s">
        <v>25</v>
      </c>
      <c r="V691" s="29" t="str">
        <f t="shared" si="51"/>
        <v>✓ OK</v>
      </c>
      <c r="W691" s="45">
        <v>46248</v>
      </c>
      <c r="X691" s="30" t="s">
        <v>23</v>
      </c>
      <c r="Y691" s="30" t="s">
        <v>24</v>
      </c>
      <c r="Z691" s="30" t="s">
        <v>25</v>
      </c>
      <c r="AA691" s="30" t="s">
        <v>26</v>
      </c>
      <c r="AB691" s="30" t="s">
        <v>24</v>
      </c>
      <c r="AC691" s="27"/>
      <c r="AD691" s="31" t="s">
        <v>25</v>
      </c>
      <c r="AE691" s="32" t="str">
        <f t="shared" si="52"/>
        <v>✓ OK</v>
      </c>
      <c r="AF691" s="33" t="s">
        <v>27</v>
      </c>
      <c r="AG691" s="33" t="s">
        <v>23</v>
      </c>
      <c r="AH691" s="33" t="s">
        <v>24</v>
      </c>
      <c r="AI691" s="33" t="s">
        <v>25</v>
      </c>
      <c r="AJ691" s="33" t="s">
        <v>26</v>
      </c>
      <c r="AK691" s="33" t="s">
        <v>24</v>
      </c>
      <c r="AL691" s="27"/>
      <c r="AM691" s="34" t="s">
        <v>25</v>
      </c>
      <c r="AN691" s="35" t="str">
        <f t="shared" si="53"/>
        <v>✓ OK</v>
      </c>
      <c r="AO691" s="36"/>
      <c r="AP691" s="36"/>
      <c r="AQ691" s="36"/>
      <c r="AR691" s="36"/>
      <c r="AS691" s="36"/>
      <c r="AT691" s="36"/>
      <c r="AU691" s="27"/>
      <c r="AV691" s="37"/>
      <c r="AW691" s="38" t="str">
        <f t="shared" si="54"/>
        <v/>
      </c>
    </row>
    <row r="692" spans="1:49" ht="18" customHeight="1" x14ac:dyDescent="0.3">
      <c r="A692" s="39">
        <v>688</v>
      </c>
      <c r="B692" s="40" t="s">
        <v>3224</v>
      </c>
      <c r="C692" s="41" t="s">
        <v>3225</v>
      </c>
      <c r="D692" s="39" t="s">
        <v>2819</v>
      </c>
      <c r="E692" s="43">
        <v>46126</v>
      </c>
      <c r="F692" s="26" t="s">
        <v>23</v>
      </c>
      <c r="G692" s="26" t="s">
        <v>24</v>
      </c>
      <c r="H692" s="26" t="s">
        <v>25</v>
      </c>
      <c r="I692" s="26" t="s">
        <v>26</v>
      </c>
      <c r="J692" s="26" t="s">
        <v>24</v>
      </c>
      <c r="K692" s="27"/>
      <c r="L692" s="28" t="s">
        <v>25</v>
      </c>
      <c r="M692" s="29" t="str">
        <f t="shared" si="50"/>
        <v>✓ OK</v>
      </c>
      <c r="N692" s="43">
        <v>46193</v>
      </c>
      <c r="O692" s="26" t="s">
        <v>23</v>
      </c>
      <c r="P692" s="26" t="s">
        <v>24</v>
      </c>
      <c r="Q692" s="26" t="s">
        <v>25</v>
      </c>
      <c r="R692" s="26" t="s">
        <v>26</v>
      </c>
      <c r="S692" s="26" t="s">
        <v>24</v>
      </c>
      <c r="T692" s="27"/>
      <c r="U692" s="28" t="s">
        <v>25</v>
      </c>
      <c r="V692" s="29" t="str">
        <f t="shared" si="51"/>
        <v>✓ OK</v>
      </c>
      <c r="W692" s="45">
        <v>46248</v>
      </c>
      <c r="X692" s="30" t="s">
        <v>23</v>
      </c>
      <c r="Y692" s="30" t="s">
        <v>24</v>
      </c>
      <c r="Z692" s="30" t="s">
        <v>25</v>
      </c>
      <c r="AA692" s="30" t="s">
        <v>26</v>
      </c>
      <c r="AB692" s="30" t="s">
        <v>24</v>
      </c>
      <c r="AC692" s="27"/>
      <c r="AD692" s="31" t="s">
        <v>25</v>
      </c>
      <c r="AE692" s="32" t="str">
        <f t="shared" si="52"/>
        <v>✓ OK</v>
      </c>
      <c r="AF692" s="33" t="s">
        <v>27</v>
      </c>
      <c r="AG692" s="33" t="s">
        <v>23</v>
      </c>
      <c r="AH692" s="33" t="s">
        <v>24</v>
      </c>
      <c r="AI692" s="33" t="s">
        <v>25</v>
      </c>
      <c r="AJ692" s="33" t="s">
        <v>26</v>
      </c>
      <c r="AK692" s="33" t="s">
        <v>24</v>
      </c>
      <c r="AL692" s="27"/>
      <c r="AM692" s="34" t="s">
        <v>25</v>
      </c>
      <c r="AN692" s="35" t="str">
        <f t="shared" si="53"/>
        <v>✓ OK</v>
      </c>
      <c r="AO692" s="36"/>
      <c r="AP692" s="36"/>
      <c r="AQ692" s="36"/>
      <c r="AR692" s="36"/>
      <c r="AS692" s="36"/>
      <c r="AT692" s="36"/>
      <c r="AU692" s="27"/>
      <c r="AV692" s="37"/>
      <c r="AW692" s="38" t="str">
        <f t="shared" si="54"/>
        <v/>
      </c>
    </row>
    <row r="693" spans="1:49" ht="18" customHeight="1" x14ac:dyDescent="0.3">
      <c r="A693" s="23">
        <v>689</v>
      </c>
      <c r="B693" s="24" t="s">
        <v>3226</v>
      </c>
      <c r="C693" s="25" t="s">
        <v>3227</v>
      </c>
      <c r="D693" s="23" t="s">
        <v>2819</v>
      </c>
      <c r="E693" s="43">
        <v>46126</v>
      </c>
      <c r="F693" s="26" t="s">
        <v>23</v>
      </c>
      <c r="G693" s="26" t="s">
        <v>24</v>
      </c>
      <c r="H693" s="26" t="s">
        <v>25</v>
      </c>
      <c r="I693" s="26" t="s">
        <v>26</v>
      </c>
      <c r="J693" s="26" t="s">
        <v>24</v>
      </c>
      <c r="K693" s="27"/>
      <c r="L693" s="28" t="s">
        <v>25</v>
      </c>
      <c r="M693" s="29" t="str">
        <f t="shared" si="50"/>
        <v>✓ OK</v>
      </c>
      <c r="N693" s="43">
        <v>46193</v>
      </c>
      <c r="O693" s="26" t="s">
        <v>23</v>
      </c>
      <c r="P693" s="26" t="s">
        <v>24</v>
      </c>
      <c r="Q693" s="26" t="s">
        <v>25</v>
      </c>
      <c r="R693" s="26" t="s">
        <v>26</v>
      </c>
      <c r="S693" s="26" t="s">
        <v>24</v>
      </c>
      <c r="T693" s="27"/>
      <c r="U693" s="28" t="s">
        <v>25</v>
      </c>
      <c r="V693" s="29" t="str">
        <f t="shared" si="51"/>
        <v>✓ OK</v>
      </c>
      <c r="W693" s="45">
        <v>46248</v>
      </c>
      <c r="X693" s="30" t="s">
        <v>23</v>
      </c>
      <c r="Y693" s="30" t="s">
        <v>24</v>
      </c>
      <c r="Z693" s="30" t="s">
        <v>25</v>
      </c>
      <c r="AA693" s="30" t="s">
        <v>26</v>
      </c>
      <c r="AB693" s="30" t="s">
        <v>24</v>
      </c>
      <c r="AC693" s="27"/>
      <c r="AD693" s="31" t="s">
        <v>25</v>
      </c>
      <c r="AE693" s="32" t="str">
        <f t="shared" si="52"/>
        <v>✓ OK</v>
      </c>
      <c r="AF693" s="33" t="s">
        <v>27</v>
      </c>
      <c r="AG693" s="33" t="s">
        <v>23</v>
      </c>
      <c r="AH693" s="33" t="s">
        <v>24</v>
      </c>
      <c r="AI693" s="33" t="s">
        <v>25</v>
      </c>
      <c r="AJ693" s="33" t="s">
        <v>26</v>
      </c>
      <c r="AK693" s="33" t="s">
        <v>24</v>
      </c>
      <c r="AL693" s="27"/>
      <c r="AM693" s="34" t="s">
        <v>25</v>
      </c>
      <c r="AN693" s="35" t="str">
        <f t="shared" si="53"/>
        <v>✓ OK</v>
      </c>
      <c r="AO693" s="36"/>
      <c r="AP693" s="36"/>
      <c r="AQ693" s="36"/>
      <c r="AR693" s="36"/>
      <c r="AS693" s="36"/>
      <c r="AT693" s="36"/>
      <c r="AU693" s="27"/>
      <c r="AV693" s="37"/>
      <c r="AW693" s="38" t="str">
        <f t="shared" si="54"/>
        <v/>
      </c>
    </row>
    <row r="694" spans="1:49" ht="18" customHeight="1" x14ac:dyDescent="0.3">
      <c r="A694" s="39">
        <v>690</v>
      </c>
      <c r="B694" s="40" t="s">
        <v>3228</v>
      </c>
      <c r="C694" s="41" t="s">
        <v>3229</v>
      </c>
      <c r="D694" s="39" t="s">
        <v>2819</v>
      </c>
      <c r="E694" s="43">
        <v>46126</v>
      </c>
      <c r="F694" s="26" t="s">
        <v>23</v>
      </c>
      <c r="G694" s="26" t="s">
        <v>24</v>
      </c>
      <c r="H694" s="26" t="s">
        <v>25</v>
      </c>
      <c r="I694" s="26" t="s">
        <v>26</v>
      </c>
      <c r="J694" s="26" t="s">
        <v>24</v>
      </c>
      <c r="K694" s="27"/>
      <c r="L694" s="28" t="s">
        <v>25</v>
      </c>
      <c r="M694" s="29" t="str">
        <f t="shared" si="50"/>
        <v>✓ OK</v>
      </c>
      <c r="N694" s="43">
        <v>46193</v>
      </c>
      <c r="O694" s="26" t="s">
        <v>23</v>
      </c>
      <c r="P694" s="26" t="s">
        <v>24</v>
      </c>
      <c r="Q694" s="26" t="s">
        <v>25</v>
      </c>
      <c r="R694" s="26" t="s">
        <v>26</v>
      </c>
      <c r="S694" s="26" t="s">
        <v>24</v>
      </c>
      <c r="T694" s="27"/>
      <c r="U694" s="28" t="s">
        <v>25</v>
      </c>
      <c r="V694" s="29" t="str">
        <f t="shared" si="51"/>
        <v>✓ OK</v>
      </c>
      <c r="W694" s="45">
        <v>46248</v>
      </c>
      <c r="X694" s="30" t="s">
        <v>23</v>
      </c>
      <c r="Y694" s="30" t="s">
        <v>24</v>
      </c>
      <c r="Z694" s="30" t="s">
        <v>25</v>
      </c>
      <c r="AA694" s="30" t="s">
        <v>26</v>
      </c>
      <c r="AB694" s="30" t="s">
        <v>24</v>
      </c>
      <c r="AC694" s="27"/>
      <c r="AD694" s="31" t="s">
        <v>25</v>
      </c>
      <c r="AE694" s="32" t="str">
        <f t="shared" si="52"/>
        <v>✓ OK</v>
      </c>
      <c r="AF694" s="33" t="s">
        <v>27</v>
      </c>
      <c r="AG694" s="33" t="s">
        <v>23</v>
      </c>
      <c r="AH694" s="33" t="s">
        <v>24</v>
      </c>
      <c r="AI694" s="33" t="s">
        <v>25</v>
      </c>
      <c r="AJ694" s="33" t="s">
        <v>26</v>
      </c>
      <c r="AK694" s="33" t="s">
        <v>24</v>
      </c>
      <c r="AL694" s="27"/>
      <c r="AM694" s="34" t="s">
        <v>25</v>
      </c>
      <c r="AN694" s="35" t="str">
        <f t="shared" si="53"/>
        <v>✓ OK</v>
      </c>
      <c r="AO694" s="36"/>
      <c r="AP694" s="36"/>
      <c r="AQ694" s="36"/>
      <c r="AR694" s="36"/>
      <c r="AS694" s="36"/>
      <c r="AT694" s="36"/>
      <c r="AU694" s="27"/>
      <c r="AV694" s="37"/>
      <c r="AW694" s="38" t="str">
        <f t="shared" si="54"/>
        <v/>
      </c>
    </row>
    <row r="695" spans="1:49" ht="18" customHeight="1" x14ac:dyDescent="0.3">
      <c r="A695" s="23">
        <v>691</v>
      </c>
      <c r="B695" s="24" t="s">
        <v>3230</v>
      </c>
      <c r="C695" s="25" t="s">
        <v>3231</v>
      </c>
      <c r="D695" s="23" t="s">
        <v>2819</v>
      </c>
      <c r="E695" s="43">
        <v>46126</v>
      </c>
      <c r="F695" s="26" t="s">
        <v>23</v>
      </c>
      <c r="G695" s="26" t="s">
        <v>24</v>
      </c>
      <c r="H695" s="26" t="s">
        <v>25</v>
      </c>
      <c r="I695" s="26" t="s">
        <v>26</v>
      </c>
      <c r="J695" s="26" t="s">
        <v>24</v>
      </c>
      <c r="K695" s="27"/>
      <c r="L695" s="28" t="s">
        <v>25</v>
      </c>
      <c r="M695" s="29" t="str">
        <f t="shared" si="50"/>
        <v>✓ OK</v>
      </c>
      <c r="N695" s="43">
        <v>46193</v>
      </c>
      <c r="O695" s="26" t="s">
        <v>23</v>
      </c>
      <c r="P695" s="26" t="s">
        <v>24</v>
      </c>
      <c r="Q695" s="26" t="s">
        <v>25</v>
      </c>
      <c r="R695" s="26" t="s">
        <v>26</v>
      </c>
      <c r="S695" s="26" t="s">
        <v>24</v>
      </c>
      <c r="T695" s="27"/>
      <c r="U695" s="28" t="s">
        <v>25</v>
      </c>
      <c r="V695" s="29" t="str">
        <f t="shared" si="51"/>
        <v>✓ OK</v>
      </c>
      <c r="W695" s="45">
        <v>46248</v>
      </c>
      <c r="X695" s="30" t="s">
        <v>23</v>
      </c>
      <c r="Y695" s="30" t="s">
        <v>24</v>
      </c>
      <c r="Z695" s="30" t="s">
        <v>25</v>
      </c>
      <c r="AA695" s="30" t="s">
        <v>26</v>
      </c>
      <c r="AB695" s="30" t="s">
        <v>24</v>
      </c>
      <c r="AC695" s="27"/>
      <c r="AD695" s="31" t="s">
        <v>25</v>
      </c>
      <c r="AE695" s="32" t="str">
        <f t="shared" si="52"/>
        <v>✓ OK</v>
      </c>
      <c r="AF695" s="33" t="s">
        <v>27</v>
      </c>
      <c r="AG695" s="33" t="s">
        <v>23</v>
      </c>
      <c r="AH695" s="33" t="s">
        <v>24</v>
      </c>
      <c r="AI695" s="33" t="s">
        <v>25</v>
      </c>
      <c r="AJ695" s="33" t="s">
        <v>26</v>
      </c>
      <c r="AK695" s="33" t="s">
        <v>24</v>
      </c>
      <c r="AL695" s="27"/>
      <c r="AM695" s="34" t="s">
        <v>25</v>
      </c>
      <c r="AN695" s="35" t="str">
        <f t="shared" si="53"/>
        <v>✓ OK</v>
      </c>
      <c r="AO695" s="36"/>
      <c r="AP695" s="36"/>
      <c r="AQ695" s="36"/>
      <c r="AR695" s="36"/>
      <c r="AS695" s="36"/>
      <c r="AT695" s="36"/>
      <c r="AU695" s="27"/>
      <c r="AV695" s="37"/>
      <c r="AW695" s="38" t="str">
        <f t="shared" si="54"/>
        <v/>
      </c>
    </row>
    <row r="696" spans="1:49" ht="18" customHeight="1" x14ac:dyDescent="0.3">
      <c r="A696" s="39">
        <v>692</v>
      </c>
      <c r="B696" s="40" t="s">
        <v>3232</v>
      </c>
      <c r="C696" s="41" t="s">
        <v>3233</v>
      </c>
      <c r="D696" s="39" t="s">
        <v>2819</v>
      </c>
      <c r="E696" s="43">
        <v>46126</v>
      </c>
      <c r="F696" s="26" t="s">
        <v>23</v>
      </c>
      <c r="G696" s="26" t="s">
        <v>24</v>
      </c>
      <c r="H696" s="26" t="s">
        <v>25</v>
      </c>
      <c r="I696" s="26" t="s">
        <v>26</v>
      </c>
      <c r="J696" s="26" t="s">
        <v>24</v>
      </c>
      <c r="K696" s="27"/>
      <c r="L696" s="28" t="s">
        <v>25</v>
      </c>
      <c r="M696" s="29" t="str">
        <f t="shared" si="50"/>
        <v>✓ OK</v>
      </c>
      <c r="N696" s="43">
        <v>46193</v>
      </c>
      <c r="O696" s="26" t="s">
        <v>23</v>
      </c>
      <c r="P696" s="26" t="s">
        <v>24</v>
      </c>
      <c r="Q696" s="26" t="s">
        <v>25</v>
      </c>
      <c r="R696" s="26" t="s">
        <v>26</v>
      </c>
      <c r="S696" s="26" t="s">
        <v>24</v>
      </c>
      <c r="T696" s="27"/>
      <c r="U696" s="28" t="s">
        <v>25</v>
      </c>
      <c r="V696" s="29" t="str">
        <f t="shared" si="51"/>
        <v>✓ OK</v>
      </c>
      <c r="W696" s="45">
        <v>46248</v>
      </c>
      <c r="X696" s="30" t="s">
        <v>23</v>
      </c>
      <c r="Y696" s="30" t="s">
        <v>24</v>
      </c>
      <c r="Z696" s="30" t="s">
        <v>25</v>
      </c>
      <c r="AA696" s="30" t="s">
        <v>26</v>
      </c>
      <c r="AB696" s="30" t="s">
        <v>24</v>
      </c>
      <c r="AC696" s="27"/>
      <c r="AD696" s="31" t="s">
        <v>25</v>
      </c>
      <c r="AE696" s="32" t="str">
        <f t="shared" si="52"/>
        <v>✓ OK</v>
      </c>
      <c r="AF696" s="33" t="s">
        <v>27</v>
      </c>
      <c r="AG696" s="33" t="s">
        <v>23</v>
      </c>
      <c r="AH696" s="33" t="s">
        <v>24</v>
      </c>
      <c r="AI696" s="33" t="s">
        <v>25</v>
      </c>
      <c r="AJ696" s="33" t="s">
        <v>26</v>
      </c>
      <c r="AK696" s="33" t="s">
        <v>24</v>
      </c>
      <c r="AL696" s="27"/>
      <c r="AM696" s="34" t="s">
        <v>25</v>
      </c>
      <c r="AN696" s="35" t="str">
        <f t="shared" si="53"/>
        <v>✓ OK</v>
      </c>
      <c r="AO696" s="36"/>
      <c r="AP696" s="36"/>
      <c r="AQ696" s="36"/>
      <c r="AR696" s="36"/>
      <c r="AS696" s="36"/>
      <c r="AT696" s="36"/>
      <c r="AU696" s="27"/>
      <c r="AV696" s="37"/>
      <c r="AW696" s="38" t="str">
        <f t="shared" si="54"/>
        <v/>
      </c>
    </row>
    <row r="697" spans="1:49" ht="18" customHeight="1" x14ac:dyDescent="0.3">
      <c r="A697" s="23">
        <v>693</v>
      </c>
      <c r="B697" s="24" t="s">
        <v>3234</v>
      </c>
      <c r="C697" s="25" t="s">
        <v>3235</v>
      </c>
      <c r="D697" s="23" t="s">
        <v>2819</v>
      </c>
      <c r="E697" s="43">
        <v>46126</v>
      </c>
      <c r="F697" s="26" t="s">
        <v>23</v>
      </c>
      <c r="G697" s="26" t="s">
        <v>24</v>
      </c>
      <c r="H697" s="26" t="s">
        <v>25</v>
      </c>
      <c r="I697" s="26" t="s">
        <v>26</v>
      </c>
      <c r="J697" s="26" t="s">
        <v>24</v>
      </c>
      <c r="K697" s="27"/>
      <c r="L697" s="28" t="s">
        <v>25</v>
      </c>
      <c r="M697" s="29" t="str">
        <f t="shared" si="50"/>
        <v>✓ OK</v>
      </c>
      <c r="N697" s="43">
        <v>46193</v>
      </c>
      <c r="O697" s="26" t="s">
        <v>23</v>
      </c>
      <c r="P697" s="26" t="s">
        <v>24</v>
      </c>
      <c r="Q697" s="26" t="s">
        <v>25</v>
      </c>
      <c r="R697" s="26" t="s">
        <v>26</v>
      </c>
      <c r="S697" s="26" t="s">
        <v>24</v>
      </c>
      <c r="T697" s="27"/>
      <c r="U697" s="28" t="s">
        <v>25</v>
      </c>
      <c r="V697" s="29" t="str">
        <f t="shared" si="51"/>
        <v>✓ OK</v>
      </c>
      <c r="W697" s="45">
        <v>46248</v>
      </c>
      <c r="X697" s="30" t="s">
        <v>23</v>
      </c>
      <c r="Y697" s="30" t="s">
        <v>24</v>
      </c>
      <c r="Z697" s="30" t="s">
        <v>25</v>
      </c>
      <c r="AA697" s="30" t="s">
        <v>26</v>
      </c>
      <c r="AB697" s="30" t="s">
        <v>24</v>
      </c>
      <c r="AC697" s="27"/>
      <c r="AD697" s="31" t="s">
        <v>25</v>
      </c>
      <c r="AE697" s="32" t="str">
        <f t="shared" si="52"/>
        <v>✓ OK</v>
      </c>
      <c r="AF697" s="33" t="s">
        <v>27</v>
      </c>
      <c r="AG697" s="33" t="s">
        <v>23</v>
      </c>
      <c r="AH697" s="33" t="s">
        <v>24</v>
      </c>
      <c r="AI697" s="33" t="s">
        <v>25</v>
      </c>
      <c r="AJ697" s="33" t="s">
        <v>26</v>
      </c>
      <c r="AK697" s="33" t="s">
        <v>24</v>
      </c>
      <c r="AL697" s="27"/>
      <c r="AM697" s="34" t="s">
        <v>25</v>
      </c>
      <c r="AN697" s="35" t="str">
        <f t="shared" si="53"/>
        <v>✓ OK</v>
      </c>
      <c r="AO697" s="36"/>
      <c r="AP697" s="36"/>
      <c r="AQ697" s="36"/>
      <c r="AR697" s="36"/>
      <c r="AS697" s="36"/>
      <c r="AT697" s="36"/>
      <c r="AU697" s="27"/>
      <c r="AV697" s="37"/>
      <c r="AW697" s="38" t="str">
        <f t="shared" si="54"/>
        <v/>
      </c>
    </row>
    <row r="698" spans="1:49" ht="18" customHeight="1" x14ac:dyDescent="0.3">
      <c r="A698" s="39">
        <v>694</v>
      </c>
      <c r="B698" s="40" t="s">
        <v>3236</v>
      </c>
      <c r="C698" s="41" t="s">
        <v>3237</v>
      </c>
      <c r="D698" s="39" t="s">
        <v>2819</v>
      </c>
      <c r="E698" s="43">
        <v>46126</v>
      </c>
      <c r="F698" s="26" t="s">
        <v>23</v>
      </c>
      <c r="G698" s="26" t="s">
        <v>24</v>
      </c>
      <c r="H698" s="26" t="s">
        <v>25</v>
      </c>
      <c r="I698" s="26" t="s">
        <v>26</v>
      </c>
      <c r="J698" s="26" t="s">
        <v>24</v>
      </c>
      <c r="K698" s="27"/>
      <c r="L698" s="28" t="s">
        <v>25</v>
      </c>
      <c r="M698" s="29" t="str">
        <f t="shared" si="50"/>
        <v>✓ OK</v>
      </c>
      <c r="N698" s="43">
        <v>46193</v>
      </c>
      <c r="O698" s="26" t="s">
        <v>23</v>
      </c>
      <c r="P698" s="26" t="s">
        <v>24</v>
      </c>
      <c r="Q698" s="26" t="s">
        <v>25</v>
      </c>
      <c r="R698" s="26" t="s">
        <v>26</v>
      </c>
      <c r="S698" s="26" t="s">
        <v>24</v>
      </c>
      <c r="T698" s="27"/>
      <c r="U698" s="28" t="s">
        <v>25</v>
      </c>
      <c r="V698" s="29" t="str">
        <f t="shared" si="51"/>
        <v>✓ OK</v>
      </c>
      <c r="W698" s="45">
        <v>46248</v>
      </c>
      <c r="X698" s="30" t="s">
        <v>23</v>
      </c>
      <c r="Y698" s="30" t="s">
        <v>24</v>
      </c>
      <c r="Z698" s="30" t="s">
        <v>25</v>
      </c>
      <c r="AA698" s="30" t="s">
        <v>26</v>
      </c>
      <c r="AB698" s="30" t="s">
        <v>24</v>
      </c>
      <c r="AC698" s="27"/>
      <c r="AD698" s="31" t="s">
        <v>25</v>
      </c>
      <c r="AE698" s="32" t="str">
        <f t="shared" si="52"/>
        <v>✓ OK</v>
      </c>
      <c r="AF698" s="33" t="s">
        <v>27</v>
      </c>
      <c r="AG698" s="33" t="s">
        <v>23</v>
      </c>
      <c r="AH698" s="33" t="s">
        <v>24</v>
      </c>
      <c r="AI698" s="33" t="s">
        <v>25</v>
      </c>
      <c r="AJ698" s="33" t="s">
        <v>26</v>
      </c>
      <c r="AK698" s="33" t="s">
        <v>24</v>
      </c>
      <c r="AL698" s="27"/>
      <c r="AM698" s="34" t="s">
        <v>25</v>
      </c>
      <c r="AN698" s="35" t="str">
        <f t="shared" si="53"/>
        <v>✓ OK</v>
      </c>
      <c r="AO698" s="36"/>
      <c r="AP698" s="36"/>
      <c r="AQ698" s="36"/>
      <c r="AR698" s="36"/>
      <c r="AS698" s="36"/>
      <c r="AT698" s="36"/>
      <c r="AU698" s="27"/>
      <c r="AV698" s="37"/>
      <c r="AW698" s="38" t="str">
        <f t="shared" si="54"/>
        <v/>
      </c>
    </row>
    <row r="699" spans="1:49" ht="18" customHeight="1" x14ac:dyDescent="0.3">
      <c r="A699" s="23">
        <v>695</v>
      </c>
      <c r="B699" s="24" t="s">
        <v>3238</v>
      </c>
      <c r="C699" s="25" t="s">
        <v>3239</v>
      </c>
      <c r="D699" s="23" t="s">
        <v>2819</v>
      </c>
      <c r="E699" s="43">
        <v>46126</v>
      </c>
      <c r="F699" s="26" t="s">
        <v>23</v>
      </c>
      <c r="G699" s="26" t="s">
        <v>24</v>
      </c>
      <c r="H699" s="26" t="s">
        <v>25</v>
      </c>
      <c r="I699" s="26" t="s">
        <v>26</v>
      </c>
      <c r="J699" s="26" t="s">
        <v>24</v>
      </c>
      <c r="K699" s="27"/>
      <c r="L699" s="28" t="s">
        <v>25</v>
      </c>
      <c r="M699" s="29" t="str">
        <f t="shared" si="50"/>
        <v>✓ OK</v>
      </c>
      <c r="N699" s="43">
        <v>46193</v>
      </c>
      <c r="O699" s="26" t="s">
        <v>23</v>
      </c>
      <c r="P699" s="26" t="s">
        <v>24</v>
      </c>
      <c r="Q699" s="26" t="s">
        <v>25</v>
      </c>
      <c r="R699" s="26" t="s">
        <v>26</v>
      </c>
      <c r="S699" s="26" t="s">
        <v>24</v>
      </c>
      <c r="T699" s="27"/>
      <c r="U699" s="28" t="s">
        <v>25</v>
      </c>
      <c r="V699" s="29" t="str">
        <f t="shared" si="51"/>
        <v>✓ OK</v>
      </c>
      <c r="W699" s="45">
        <v>46248</v>
      </c>
      <c r="X699" s="30" t="s">
        <v>23</v>
      </c>
      <c r="Y699" s="30" t="s">
        <v>24</v>
      </c>
      <c r="Z699" s="30" t="s">
        <v>25</v>
      </c>
      <c r="AA699" s="30" t="s">
        <v>26</v>
      </c>
      <c r="AB699" s="30" t="s">
        <v>24</v>
      </c>
      <c r="AC699" s="27"/>
      <c r="AD699" s="31" t="s">
        <v>25</v>
      </c>
      <c r="AE699" s="32" t="str">
        <f t="shared" si="52"/>
        <v>✓ OK</v>
      </c>
      <c r="AF699" s="33" t="s">
        <v>27</v>
      </c>
      <c r="AG699" s="33" t="s">
        <v>23</v>
      </c>
      <c r="AH699" s="33" t="s">
        <v>24</v>
      </c>
      <c r="AI699" s="33" t="s">
        <v>25</v>
      </c>
      <c r="AJ699" s="33" t="s">
        <v>26</v>
      </c>
      <c r="AK699" s="33" t="s">
        <v>24</v>
      </c>
      <c r="AL699" s="27"/>
      <c r="AM699" s="34" t="s">
        <v>25</v>
      </c>
      <c r="AN699" s="35" t="str">
        <f t="shared" si="53"/>
        <v>✓ OK</v>
      </c>
      <c r="AO699" s="36"/>
      <c r="AP699" s="36"/>
      <c r="AQ699" s="36"/>
      <c r="AR699" s="36"/>
      <c r="AS699" s="36"/>
      <c r="AT699" s="36"/>
      <c r="AU699" s="27"/>
      <c r="AV699" s="37"/>
      <c r="AW699" s="38" t="str">
        <f t="shared" si="54"/>
        <v/>
      </c>
    </row>
    <row r="700" spans="1:49" ht="18" customHeight="1" x14ac:dyDescent="0.3">
      <c r="A700" s="39">
        <v>696</v>
      </c>
      <c r="B700" s="40" t="s">
        <v>3240</v>
      </c>
      <c r="C700" s="41" t="s">
        <v>3241</v>
      </c>
      <c r="D700" s="39" t="s">
        <v>2819</v>
      </c>
      <c r="E700" s="43">
        <v>46126</v>
      </c>
      <c r="F700" s="26" t="s">
        <v>23</v>
      </c>
      <c r="G700" s="26" t="s">
        <v>24</v>
      </c>
      <c r="H700" s="26" t="s">
        <v>25</v>
      </c>
      <c r="I700" s="26" t="s">
        <v>26</v>
      </c>
      <c r="J700" s="26" t="s">
        <v>24</v>
      </c>
      <c r="K700" s="27"/>
      <c r="L700" s="28" t="s">
        <v>25</v>
      </c>
      <c r="M700" s="29" t="str">
        <f t="shared" si="50"/>
        <v>✓ OK</v>
      </c>
      <c r="N700" s="43">
        <v>46193</v>
      </c>
      <c r="O700" s="26" t="s">
        <v>23</v>
      </c>
      <c r="P700" s="26" t="s">
        <v>24</v>
      </c>
      <c r="Q700" s="26" t="s">
        <v>25</v>
      </c>
      <c r="R700" s="26" t="s">
        <v>26</v>
      </c>
      <c r="S700" s="26" t="s">
        <v>24</v>
      </c>
      <c r="T700" s="27"/>
      <c r="U700" s="28" t="s">
        <v>25</v>
      </c>
      <c r="V700" s="29" t="str">
        <f t="shared" si="51"/>
        <v>✓ OK</v>
      </c>
      <c r="W700" s="45">
        <v>46248</v>
      </c>
      <c r="X700" s="30" t="s">
        <v>23</v>
      </c>
      <c r="Y700" s="30" t="s">
        <v>24</v>
      </c>
      <c r="Z700" s="30" t="s">
        <v>25</v>
      </c>
      <c r="AA700" s="30" t="s">
        <v>26</v>
      </c>
      <c r="AB700" s="30" t="s">
        <v>24</v>
      </c>
      <c r="AC700" s="27"/>
      <c r="AD700" s="31" t="s">
        <v>25</v>
      </c>
      <c r="AE700" s="32" t="str">
        <f t="shared" si="52"/>
        <v>✓ OK</v>
      </c>
      <c r="AF700" s="33" t="s">
        <v>27</v>
      </c>
      <c r="AG700" s="33" t="s">
        <v>23</v>
      </c>
      <c r="AH700" s="33" t="s">
        <v>24</v>
      </c>
      <c r="AI700" s="33" t="s">
        <v>25</v>
      </c>
      <c r="AJ700" s="33" t="s">
        <v>26</v>
      </c>
      <c r="AK700" s="33" t="s">
        <v>24</v>
      </c>
      <c r="AL700" s="27"/>
      <c r="AM700" s="34" t="s">
        <v>25</v>
      </c>
      <c r="AN700" s="35" t="str">
        <f t="shared" si="53"/>
        <v>✓ OK</v>
      </c>
      <c r="AO700" s="36"/>
      <c r="AP700" s="36"/>
      <c r="AQ700" s="36"/>
      <c r="AR700" s="36"/>
      <c r="AS700" s="36"/>
      <c r="AT700" s="36"/>
      <c r="AU700" s="27"/>
      <c r="AV700" s="37"/>
      <c r="AW700" s="38" t="str">
        <f t="shared" si="54"/>
        <v/>
      </c>
    </row>
    <row r="701" spans="1:49" ht="18" customHeight="1" x14ac:dyDescent="0.3">
      <c r="A701" s="23">
        <v>697</v>
      </c>
      <c r="B701" s="24" t="s">
        <v>3242</v>
      </c>
      <c r="C701" s="25" t="s">
        <v>3243</v>
      </c>
      <c r="D701" s="23" t="s">
        <v>2819</v>
      </c>
      <c r="E701" s="43">
        <v>46126</v>
      </c>
      <c r="F701" s="26" t="s">
        <v>23</v>
      </c>
      <c r="G701" s="26" t="s">
        <v>24</v>
      </c>
      <c r="H701" s="26" t="s">
        <v>25</v>
      </c>
      <c r="I701" s="26" t="s">
        <v>26</v>
      </c>
      <c r="J701" s="26" t="s">
        <v>24</v>
      </c>
      <c r="K701" s="27"/>
      <c r="L701" s="28" t="s">
        <v>25</v>
      </c>
      <c r="M701" s="29" t="str">
        <f t="shared" si="50"/>
        <v>✓ OK</v>
      </c>
      <c r="N701" s="43">
        <v>46193</v>
      </c>
      <c r="O701" s="26" t="s">
        <v>23</v>
      </c>
      <c r="P701" s="26" t="s">
        <v>24</v>
      </c>
      <c r="Q701" s="26" t="s">
        <v>25</v>
      </c>
      <c r="R701" s="26" t="s">
        <v>26</v>
      </c>
      <c r="S701" s="26" t="s">
        <v>24</v>
      </c>
      <c r="T701" s="27"/>
      <c r="U701" s="28" t="s">
        <v>25</v>
      </c>
      <c r="V701" s="29" t="str">
        <f t="shared" si="51"/>
        <v>✓ OK</v>
      </c>
      <c r="W701" s="45">
        <v>46248</v>
      </c>
      <c r="X701" s="30" t="s">
        <v>23</v>
      </c>
      <c r="Y701" s="30" t="s">
        <v>24</v>
      </c>
      <c r="Z701" s="30" t="s">
        <v>25</v>
      </c>
      <c r="AA701" s="30" t="s">
        <v>26</v>
      </c>
      <c r="AB701" s="30" t="s">
        <v>24</v>
      </c>
      <c r="AC701" s="27"/>
      <c r="AD701" s="31" t="s">
        <v>25</v>
      </c>
      <c r="AE701" s="32" t="str">
        <f t="shared" si="52"/>
        <v>✓ OK</v>
      </c>
      <c r="AF701" s="33" t="s">
        <v>27</v>
      </c>
      <c r="AG701" s="33" t="s">
        <v>23</v>
      </c>
      <c r="AH701" s="33" t="s">
        <v>24</v>
      </c>
      <c r="AI701" s="33" t="s">
        <v>25</v>
      </c>
      <c r="AJ701" s="33" t="s">
        <v>26</v>
      </c>
      <c r="AK701" s="33" t="s">
        <v>24</v>
      </c>
      <c r="AL701" s="27"/>
      <c r="AM701" s="34" t="s">
        <v>25</v>
      </c>
      <c r="AN701" s="35" t="str">
        <f t="shared" si="53"/>
        <v>✓ OK</v>
      </c>
      <c r="AO701" s="36"/>
      <c r="AP701" s="36"/>
      <c r="AQ701" s="36"/>
      <c r="AR701" s="36"/>
      <c r="AS701" s="36"/>
      <c r="AT701" s="36"/>
      <c r="AU701" s="27"/>
      <c r="AV701" s="37"/>
      <c r="AW701" s="38" t="str">
        <f t="shared" si="54"/>
        <v/>
      </c>
    </row>
    <row r="702" spans="1:49" ht="18" customHeight="1" x14ac:dyDescent="0.3">
      <c r="A702" s="39">
        <v>698</v>
      </c>
      <c r="B702" s="40" t="s">
        <v>3244</v>
      </c>
      <c r="C702" s="41" t="s">
        <v>3245</v>
      </c>
      <c r="D702" s="39" t="s">
        <v>2819</v>
      </c>
      <c r="E702" s="43">
        <v>46126</v>
      </c>
      <c r="F702" s="26" t="s">
        <v>23</v>
      </c>
      <c r="G702" s="26" t="s">
        <v>24</v>
      </c>
      <c r="H702" s="26" t="s">
        <v>25</v>
      </c>
      <c r="I702" s="26" t="s">
        <v>26</v>
      </c>
      <c r="J702" s="26" t="s">
        <v>24</v>
      </c>
      <c r="K702" s="27"/>
      <c r="L702" s="28" t="s">
        <v>25</v>
      </c>
      <c r="M702" s="29" t="str">
        <f t="shared" si="50"/>
        <v>✓ OK</v>
      </c>
      <c r="N702" s="43">
        <v>46193</v>
      </c>
      <c r="O702" s="26" t="s">
        <v>23</v>
      </c>
      <c r="P702" s="26" t="s">
        <v>24</v>
      </c>
      <c r="Q702" s="26" t="s">
        <v>25</v>
      </c>
      <c r="R702" s="26" t="s">
        <v>26</v>
      </c>
      <c r="S702" s="26" t="s">
        <v>24</v>
      </c>
      <c r="T702" s="27"/>
      <c r="U702" s="28" t="s">
        <v>25</v>
      </c>
      <c r="V702" s="29" t="str">
        <f t="shared" si="51"/>
        <v>✓ OK</v>
      </c>
      <c r="W702" s="45">
        <v>46248</v>
      </c>
      <c r="X702" s="30" t="s">
        <v>23</v>
      </c>
      <c r="Y702" s="30" t="s">
        <v>24</v>
      </c>
      <c r="Z702" s="30" t="s">
        <v>25</v>
      </c>
      <c r="AA702" s="30" t="s">
        <v>26</v>
      </c>
      <c r="AB702" s="30" t="s">
        <v>24</v>
      </c>
      <c r="AC702" s="27"/>
      <c r="AD702" s="31" t="s">
        <v>25</v>
      </c>
      <c r="AE702" s="32" t="str">
        <f t="shared" si="52"/>
        <v>✓ OK</v>
      </c>
      <c r="AF702" s="33" t="s">
        <v>27</v>
      </c>
      <c r="AG702" s="33" t="s">
        <v>23</v>
      </c>
      <c r="AH702" s="33" t="s">
        <v>24</v>
      </c>
      <c r="AI702" s="33" t="s">
        <v>25</v>
      </c>
      <c r="AJ702" s="33" t="s">
        <v>26</v>
      </c>
      <c r="AK702" s="33" t="s">
        <v>24</v>
      </c>
      <c r="AL702" s="27"/>
      <c r="AM702" s="34" t="s">
        <v>25</v>
      </c>
      <c r="AN702" s="35" t="str">
        <f t="shared" si="53"/>
        <v>✓ OK</v>
      </c>
      <c r="AO702" s="36"/>
      <c r="AP702" s="36"/>
      <c r="AQ702" s="36"/>
      <c r="AR702" s="36"/>
      <c r="AS702" s="36"/>
      <c r="AT702" s="36"/>
      <c r="AU702" s="27"/>
      <c r="AV702" s="37"/>
      <c r="AW702" s="38" t="str">
        <f t="shared" si="54"/>
        <v/>
      </c>
    </row>
    <row r="703" spans="1:49" ht="18" customHeight="1" x14ac:dyDescent="0.3">
      <c r="A703" s="23">
        <v>699</v>
      </c>
      <c r="B703" s="24" t="s">
        <v>3246</v>
      </c>
      <c r="C703" s="25" t="s">
        <v>3247</v>
      </c>
      <c r="D703" s="23" t="s">
        <v>2819</v>
      </c>
      <c r="E703" s="43">
        <v>46126</v>
      </c>
      <c r="F703" s="26" t="s">
        <v>23</v>
      </c>
      <c r="G703" s="26" t="s">
        <v>24</v>
      </c>
      <c r="H703" s="26" t="s">
        <v>25</v>
      </c>
      <c r="I703" s="26" t="s">
        <v>26</v>
      </c>
      <c r="J703" s="26" t="s">
        <v>24</v>
      </c>
      <c r="K703" s="27"/>
      <c r="L703" s="28" t="s">
        <v>25</v>
      </c>
      <c r="M703" s="29" t="str">
        <f t="shared" si="50"/>
        <v>✓ OK</v>
      </c>
      <c r="N703" s="43">
        <v>46193</v>
      </c>
      <c r="O703" s="26" t="s">
        <v>23</v>
      </c>
      <c r="P703" s="26" t="s">
        <v>24</v>
      </c>
      <c r="Q703" s="26" t="s">
        <v>25</v>
      </c>
      <c r="R703" s="26" t="s">
        <v>26</v>
      </c>
      <c r="S703" s="26" t="s">
        <v>24</v>
      </c>
      <c r="T703" s="27"/>
      <c r="U703" s="28" t="s">
        <v>25</v>
      </c>
      <c r="V703" s="29" t="str">
        <f t="shared" si="51"/>
        <v>✓ OK</v>
      </c>
      <c r="W703" s="45">
        <v>46248</v>
      </c>
      <c r="X703" s="30" t="s">
        <v>23</v>
      </c>
      <c r="Y703" s="30" t="s">
        <v>24</v>
      </c>
      <c r="Z703" s="30" t="s">
        <v>25</v>
      </c>
      <c r="AA703" s="30" t="s">
        <v>26</v>
      </c>
      <c r="AB703" s="30" t="s">
        <v>24</v>
      </c>
      <c r="AC703" s="27"/>
      <c r="AD703" s="31" t="s">
        <v>25</v>
      </c>
      <c r="AE703" s="32" t="str">
        <f t="shared" si="52"/>
        <v>✓ OK</v>
      </c>
      <c r="AF703" s="33" t="s">
        <v>27</v>
      </c>
      <c r="AG703" s="33" t="s">
        <v>23</v>
      </c>
      <c r="AH703" s="33" t="s">
        <v>24</v>
      </c>
      <c r="AI703" s="33" t="s">
        <v>25</v>
      </c>
      <c r="AJ703" s="33" t="s">
        <v>26</v>
      </c>
      <c r="AK703" s="33" t="s">
        <v>24</v>
      </c>
      <c r="AL703" s="27"/>
      <c r="AM703" s="34" t="s">
        <v>25</v>
      </c>
      <c r="AN703" s="35" t="str">
        <f t="shared" si="53"/>
        <v>✓ OK</v>
      </c>
      <c r="AO703" s="36"/>
      <c r="AP703" s="36"/>
      <c r="AQ703" s="36"/>
      <c r="AR703" s="36"/>
      <c r="AS703" s="36"/>
      <c r="AT703" s="36"/>
      <c r="AU703" s="27"/>
      <c r="AV703" s="37"/>
      <c r="AW703" s="38" t="str">
        <f t="shared" si="54"/>
        <v/>
      </c>
    </row>
    <row r="704" spans="1:49" ht="18" customHeight="1" x14ac:dyDescent="0.3">
      <c r="A704" s="39">
        <v>700</v>
      </c>
      <c r="B704" s="40" t="s">
        <v>3248</v>
      </c>
      <c r="C704" s="41" t="s">
        <v>3249</v>
      </c>
      <c r="D704" s="39" t="s">
        <v>2819</v>
      </c>
      <c r="E704" s="43">
        <v>46126</v>
      </c>
      <c r="F704" s="26" t="s">
        <v>23</v>
      </c>
      <c r="G704" s="26" t="s">
        <v>24</v>
      </c>
      <c r="H704" s="26" t="s">
        <v>25</v>
      </c>
      <c r="I704" s="26" t="s">
        <v>26</v>
      </c>
      <c r="J704" s="26" t="s">
        <v>24</v>
      </c>
      <c r="K704" s="27"/>
      <c r="L704" s="28" t="s">
        <v>25</v>
      </c>
      <c r="M704" s="29" t="str">
        <f t="shared" si="50"/>
        <v>✓ OK</v>
      </c>
      <c r="N704" s="43">
        <v>46193</v>
      </c>
      <c r="O704" s="26" t="s">
        <v>23</v>
      </c>
      <c r="P704" s="26" t="s">
        <v>24</v>
      </c>
      <c r="Q704" s="26" t="s">
        <v>25</v>
      </c>
      <c r="R704" s="26" t="s">
        <v>26</v>
      </c>
      <c r="S704" s="26" t="s">
        <v>24</v>
      </c>
      <c r="T704" s="27"/>
      <c r="U704" s="28" t="s">
        <v>25</v>
      </c>
      <c r="V704" s="29" t="str">
        <f t="shared" si="51"/>
        <v>✓ OK</v>
      </c>
      <c r="W704" s="45">
        <v>46248</v>
      </c>
      <c r="X704" s="30" t="s">
        <v>23</v>
      </c>
      <c r="Y704" s="30" t="s">
        <v>24</v>
      </c>
      <c r="Z704" s="30" t="s">
        <v>25</v>
      </c>
      <c r="AA704" s="30" t="s">
        <v>26</v>
      </c>
      <c r="AB704" s="30" t="s">
        <v>24</v>
      </c>
      <c r="AC704" s="27"/>
      <c r="AD704" s="31" t="s">
        <v>25</v>
      </c>
      <c r="AE704" s="32" t="str">
        <f t="shared" si="52"/>
        <v>✓ OK</v>
      </c>
      <c r="AF704" s="33" t="s">
        <v>27</v>
      </c>
      <c r="AG704" s="33" t="s">
        <v>23</v>
      </c>
      <c r="AH704" s="33" t="s">
        <v>24</v>
      </c>
      <c r="AI704" s="33" t="s">
        <v>25</v>
      </c>
      <c r="AJ704" s="33" t="s">
        <v>26</v>
      </c>
      <c r="AK704" s="33" t="s">
        <v>24</v>
      </c>
      <c r="AL704" s="27"/>
      <c r="AM704" s="34" t="s">
        <v>25</v>
      </c>
      <c r="AN704" s="35" t="str">
        <f t="shared" si="53"/>
        <v>✓ OK</v>
      </c>
      <c r="AO704" s="36"/>
      <c r="AP704" s="36"/>
      <c r="AQ704" s="36"/>
      <c r="AR704" s="36"/>
      <c r="AS704" s="36"/>
      <c r="AT704" s="36"/>
      <c r="AU704" s="27"/>
      <c r="AV704" s="37"/>
      <c r="AW704" s="38" t="str">
        <f t="shared" si="54"/>
        <v/>
      </c>
    </row>
    <row r="705" spans="1:49" ht="18" customHeight="1" x14ac:dyDescent="0.3">
      <c r="A705" s="23">
        <v>701</v>
      </c>
      <c r="B705" s="24" t="s">
        <v>3250</v>
      </c>
      <c r="C705" s="25" t="s">
        <v>3251</v>
      </c>
      <c r="D705" s="23" t="s">
        <v>2819</v>
      </c>
      <c r="E705" s="43">
        <v>46126</v>
      </c>
      <c r="F705" s="26" t="s">
        <v>23</v>
      </c>
      <c r="G705" s="26" t="s">
        <v>24</v>
      </c>
      <c r="H705" s="26" t="s">
        <v>25</v>
      </c>
      <c r="I705" s="26" t="s">
        <v>26</v>
      </c>
      <c r="J705" s="26" t="s">
        <v>24</v>
      </c>
      <c r="K705" s="27"/>
      <c r="L705" s="28" t="s">
        <v>25</v>
      </c>
      <c r="M705" s="29" t="str">
        <f t="shared" si="50"/>
        <v>✓ OK</v>
      </c>
      <c r="N705" s="43">
        <v>46193</v>
      </c>
      <c r="O705" s="26" t="s">
        <v>23</v>
      </c>
      <c r="P705" s="26" t="s">
        <v>24</v>
      </c>
      <c r="Q705" s="26" t="s">
        <v>25</v>
      </c>
      <c r="R705" s="26" t="s">
        <v>26</v>
      </c>
      <c r="S705" s="26" t="s">
        <v>24</v>
      </c>
      <c r="T705" s="27"/>
      <c r="U705" s="28" t="s">
        <v>25</v>
      </c>
      <c r="V705" s="29" t="str">
        <f t="shared" si="51"/>
        <v>✓ OK</v>
      </c>
      <c r="W705" s="45">
        <v>46248</v>
      </c>
      <c r="X705" s="30" t="s">
        <v>23</v>
      </c>
      <c r="Y705" s="30" t="s">
        <v>24</v>
      </c>
      <c r="Z705" s="30" t="s">
        <v>25</v>
      </c>
      <c r="AA705" s="30" t="s">
        <v>26</v>
      </c>
      <c r="AB705" s="30" t="s">
        <v>24</v>
      </c>
      <c r="AC705" s="27"/>
      <c r="AD705" s="31" t="s">
        <v>25</v>
      </c>
      <c r="AE705" s="32" t="str">
        <f t="shared" si="52"/>
        <v>✓ OK</v>
      </c>
      <c r="AF705" s="33" t="s">
        <v>27</v>
      </c>
      <c r="AG705" s="33" t="s">
        <v>23</v>
      </c>
      <c r="AH705" s="33" t="s">
        <v>24</v>
      </c>
      <c r="AI705" s="33" t="s">
        <v>25</v>
      </c>
      <c r="AJ705" s="33" t="s">
        <v>26</v>
      </c>
      <c r="AK705" s="33" t="s">
        <v>24</v>
      </c>
      <c r="AL705" s="27"/>
      <c r="AM705" s="34" t="s">
        <v>25</v>
      </c>
      <c r="AN705" s="35" t="str">
        <f t="shared" si="53"/>
        <v>✓ OK</v>
      </c>
      <c r="AO705" s="36"/>
      <c r="AP705" s="36"/>
      <c r="AQ705" s="36"/>
      <c r="AR705" s="36"/>
      <c r="AS705" s="36"/>
      <c r="AT705" s="36"/>
      <c r="AU705" s="27"/>
      <c r="AV705" s="37"/>
      <c r="AW705" s="38" t="str">
        <f t="shared" si="54"/>
        <v/>
      </c>
    </row>
    <row r="706" spans="1:49" ht="18" customHeight="1" x14ac:dyDescent="0.3">
      <c r="A706" s="39">
        <v>702</v>
      </c>
      <c r="B706" s="40" t="s">
        <v>3252</v>
      </c>
      <c r="C706" s="41" t="s">
        <v>3253</v>
      </c>
      <c r="D706" s="39" t="s">
        <v>2819</v>
      </c>
      <c r="E706" s="43">
        <v>46126</v>
      </c>
      <c r="F706" s="26" t="s">
        <v>23</v>
      </c>
      <c r="G706" s="26" t="s">
        <v>24</v>
      </c>
      <c r="H706" s="26" t="s">
        <v>25</v>
      </c>
      <c r="I706" s="26" t="s">
        <v>26</v>
      </c>
      <c r="J706" s="26" t="s">
        <v>24</v>
      </c>
      <c r="K706" s="27"/>
      <c r="L706" s="28" t="s">
        <v>25</v>
      </c>
      <c r="M706" s="29" t="str">
        <f t="shared" si="50"/>
        <v>✓ OK</v>
      </c>
      <c r="N706" s="43">
        <v>46193</v>
      </c>
      <c r="O706" s="26" t="s">
        <v>23</v>
      </c>
      <c r="P706" s="26" t="s">
        <v>24</v>
      </c>
      <c r="Q706" s="26" t="s">
        <v>25</v>
      </c>
      <c r="R706" s="26" t="s">
        <v>26</v>
      </c>
      <c r="S706" s="26" t="s">
        <v>24</v>
      </c>
      <c r="T706" s="27"/>
      <c r="U706" s="28" t="s">
        <v>25</v>
      </c>
      <c r="V706" s="29" t="str">
        <f t="shared" si="51"/>
        <v>✓ OK</v>
      </c>
      <c r="W706" s="45">
        <v>46248</v>
      </c>
      <c r="X706" s="30" t="s">
        <v>23</v>
      </c>
      <c r="Y706" s="30" t="s">
        <v>24</v>
      </c>
      <c r="Z706" s="30" t="s">
        <v>25</v>
      </c>
      <c r="AA706" s="30" t="s">
        <v>26</v>
      </c>
      <c r="AB706" s="30" t="s">
        <v>24</v>
      </c>
      <c r="AC706" s="27"/>
      <c r="AD706" s="31" t="s">
        <v>25</v>
      </c>
      <c r="AE706" s="32" t="str">
        <f t="shared" si="52"/>
        <v>✓ OK</v>
      </c>
      <c r="AF706" s="33" t="s">
        <v>27</v>
      </c>
      <c r="AG706" s="33" t="s">
        <v>23</v>
      </c>
      <c r="AH706" s="33" t="s">
        <v>24</v>
      </c>
      <c r="AI706" s="33" t="s">
        <v>25</v>
      </c>
      <c r="AJ706" s="33" t="s">
        <v>26</v>
      </c>
      <c r="AK706" s="33" t="s">
        <v>24</v>
      </c>
      <c r="AL706" s="27"/>
      <c r="AM706" s="34" t="s">
        <v>25</v>
      </c>
      <c r="AN706" s="35" t="str">
        <f t="shared" si="53"/>
        <v>✓ OK</v>
      </c>
      <c r="AO706" s="36"/>
      <c r="AP706" s="36"/>
      <c r="AQ706" s="36"/>
      <c r="AR706" s="36"/>
      <c r="AS706" s="36"/>
      <c r="AT706" s="36"/>
      <c r="AU706" s="27"/>
      <c r="AV706" s="37"/>
      <c r="AW706" s="38" t="str">
        <f t="shared" si="54"/>
        <v/>
      </c>
    </row>
    <row r="707" spans="1:49" ht="18" customHeight="1" x14ac:dyDescent="0.3">
      <c r="A707" s="23">
        <v>703</v>
      </c>
      <c r="B707" s="24" t="s">
        <v>3254</v>
      </c>
      <c r="C707" s="25" t="s">
        <v>3255</v>
      </c>
      <c r="D707" s="23" t="s">
        <v>2819</v>
      </c>
      <c r="E707" s="43">
        <v>46126</v>
      </c>
      <c r="F707" s="26" t="s">
        <v>23</v>
      </c>
      <c r="G707" s="26" t="s">
        <v>24</v>
      </c>
      <c r="H707" s="26" t="s">
        <v>25</v>
      </c>
      <c r="I707" s="26" t="s">
        <v>26</v>
      </c>
      <c r="J707" s="26" t="s">
        <v>24</v>
      </c>
      <c r="K707" s="27"/>
      <c r="L707" s="28" t="s">
        <v>25</v>
      </c>
      <c r="M707" s="29" t="str">
        <f t="shared" si="50"/>
        <v>✓ OK</v>
      </c>
      <c r="N707" s="43">
        <v>46193</v>
      </c>
      <c r="O707" s="26" t="s">
        <v>23</v>
      </c>
      <c r="P707" s="26" t="s">
        <v>24</v>
      </c>
      <c r="Q707" s="26" t="s">
        <v>25</v>
      </c>
      <c r="R707" s="26" t="s">
        <v>26</v>
      </c>
      <c r="S707" s="26" t="s">
        <v>24</v>
      </c>
      <c r="T707" s="27"/>
      <c r="U707" s="28" t="s">
        <v>25</v>
      </c>
      <c r="V707" s="29" t="str">
        <f t="shared" si="51"/>
        <v>✓ OK</v>
      </c>
      <c r="W707" s="45">
        <v>46248</v>
      </c>
      <c r="X707" s="30" t="s">
        <v>23</v>
      </c>
      <c r="Y707" s="30" t="s">
        <v>24</v>
      </c>
      <c r="Z707" s="30" t="s">
        <v>25</v>
      </c>
      <c r="AA707" s="30" t="s">
        <v>26</v>
      </c>
      <c r="AB707" s="30" t="s">
        <v>24</v>
      </c>
      <c r="AC707" s="27"/>
      <c r="AD707" s="31" t="s">
        <v>25</v>
      </c>
      <c r="AE707" s="32" t="str">
        <f t="shared" si="52"/>
        <v>✓ OK</v>
      </c>
      <c r="AF707" s="33" t="s">
        <v>27</v>
      </c>
      <c r="AG707" s="33" t="s">
        <v>23</v>
      </c>
      <c r="AH707" s="33" t="s">
        <v>24</v>
      </c>
      <c r="AI707" s="33" t="s">
        <v>25</v>
      </c>
      <c r="AJ707" s="33" t="s">
        <v>26</v>
      </c>
      <c r="AK707" s="33" t="s">
        <v>24</v>
      </c>
      <c r="AL707" s="27"/>
      <c r="AM707" s="34" t="s">
        <v>25</v>
      </c>
      <c r="AN707" s="35" t="str">
        <f t="shared" si="53"/>
        <v>✓ OK</v>
      </c>
      <c r="AO707" s="36"/>
      <c r="AP707" s="36"/>
      <c r="AQ707" s="36"/>
      <c r="AR707" s="36"/>
      <c r="AS707" s="36"/>
      <c r="AT707" s="36"/>
      <c r="AU707" s="27"/>
      <c r="AV707" s="37"/>
      <c r="AW707" s="38" t="str">
        <f t="shared" si="54"/>
        <v/>
      </c>
    </row>
    <row r="708" spans="1:49" ht="18" customHeight="1" x14ac:dyDescent="0.3">
      <c r="A708" s="39">
        <v>704</v>
      </c>
      <c r="B708" s="40" t="s">
        <v>3256</v>
      </c>
      <c r="C708" s="41" t="s">
        <v>3257</v>
      </c>
      <c r="D708" s="39" t="s">
        <v>2819</v>
      </c>
      <c r="E708" s="43">
        <v>46126</v>
      </c>
      <c r="F708" s="26" t="s">
        <v>23</v>
      </c>
      <c r="G708" s="26" t="s">
        <v>24</v>
      </c>
      <c r="H708" s="26" t="s">
        <v>25</v>
      </c>
      <c r="I708" s="26" t="s">
        <v>26</v>
      </c>
      <c r="J708" s="26" t="s">
        <v>24</v>
      </c>
      <c r="K708" s="27"/>
      <c r="L708" s="28" t="s">
        <v>25</v>
      </c>
      <c r="M708" s="29" t="str">
        <f t="shared" si="50"/>
        <v>✓ OK</v>
      </c>
      <c r="N708" s="43">
        <v>46193</v>
      </c>
      <c r="O708" s="26" t="s">
        <v>23</v>
      </c>
      <c r="P708" s="26" t="s">
        <v>24</v>
      </c>
      <c r="Q708" s="26" t="s">
        <v>25</v>
      </c>
      <c r="R708" s="26" t="s">
        <v>26</v>
      </c>
      <c r="S708" s="26" t="s">
        <v>24</v>
      </c>
      <c r="T708" s="27"/>
      <c r="U708" s="28" t="s">
        <v>25</v>
      </c>
      <c r="V708" s="29" t="str">
        <f t="shared" si="51"/>
        <v>✓ OK</v>
      </c>
      <c r="W708" s="45">
        <v>46248</v>
      </c>
      <c r="X708" s="30" t="s">
        <v>23</v>
      </c>
      <c r="Y708" s="30" t="s">
        <v>24</v>
      </c>
      <c r="Z708" s="30" t="s">
        <v>25</v>
      </c>
      <c r="AA708" s="30" t="s">
        <v>26</v>
      </c>
      <c r="AB708" s="30" t="s">
        <v>24</v>
      </c>
      <c r="AC708" s="27"/>
      <c r="AD708" s="31" t="s">
        <v>25</v>
      </c>
      <c r="AE708" s="32" t="str">
        <f t="shared" si="52"/>
        <v>✓ OK</v>
      </c>
      <c r="AF708" s="33" t="s">
        <v>27</v>
      </c>
      <c r="AG708" s="33" t="s">
        <v>23</v>
      </c>
      <c r="AH708" s="33" t="s">
        <v>24</v>
      </c>
      <c r="AI708" s="33" t="s">
        <v>25</v>
      </c>
      <c r="AJ708" s="33" t="s">
        <v>26</v>
      </c>
      <c r="AK708" s="33" t="s">
        <v>24</v>
      </c>
      <c r="AL708" s="27"/>
      <c r="AM708" s="34" t="s">
        <v>25</v>
      </c>
      <c r="AN708" s="35" t="str">
        <f t="shared" si="53"/>
        <v>✓ OK</v>
      </c>
      <c r="AO708" s="36"/>
      <c r="AP708" s="36"/>
      <c r="AQ708" s="36"/>
      <c r="AR708" s="36"/>
      <c r="AS708" s="36"/>
      <c r="AT708" s="36"/>
      <c r="AU708" s="27"/>
      <c r="AV708" s="37"/>
      <c r="AW708" s="38" t="str">
        <f t="shared" si="54"/>
        <v/>
      </c>
    </row>
    <row r="709" spans="1:49" ht="18" customHeight="1" x14ac:dyDescent="0.3">
      <c r="A709" s="23">
        <v>705</v>
      </c>
      <c r="B709" s="24" t="s">
        <v>3258</v>
      </c>
      <c r="C709" s="25" t="s">
        <v>3259</v>
      </c>
      <c r="D709" s="23" t="s">
        <v>2819</v>
      </c>
      <c r="E709" s="43">
        <v>46126</v>
      </c>
      <c r="F709" s="26" t="s">
        <v>23</v>
      </c>
      <c r="G709" s="26" t="s">
        <v>24</v>
      </c>
      <c r="H709" s="26" t="s">
        <v>25</v>
      </c>
      <c r="I709" s="26" t="s">
        <v>26</v>
      </c>
      <c r="J709" s="26" t="s">
        <v>24</v>
      </c>
      <c r="K709" s="27"/>
      <c r="L709" s="28" t="s">
        <v>25</v>
      </c>
      <c r="M709" s="29" t="str">
        <f t="shared" ref="M709:M772" si="55">IF(E709="","",IF(H709="Yes","❌ Disc",IF(G709="No","⚠ Missing",IF(J709="Yes","✓ OK","⚠ Check"))))</f>
        <v>✓ OK</v>
      </c>
      <c r="N709" s="43">
        <v>46193</v>
      </c>
      <c r="O709" s="26" t="s">
        <v>23</v>
      </c>
      <c r="P709" s="26" t="s">
        <v>24</v>
      </c>
      <c r="Q709" s="26" t="s">
        <v>25</v>
      </c>
      <c r="R709" s="26" t="s">
        <v>26</v>
      </c>
      <c r="S709" s="26" t="s">
        <v>24</v>
      </c>
      <c r="T709" s="27"/>
      <c r="U709" s="28" t="s">
        <v>25</v>
      </c>
      <c r="V709" s="29" t="str">
        <f t="shared" ref="V709:V772" si="56">IF(N709="","",IF(Q709="Yes","❌ Disc",IF(P709="No","⚠ Missing",IF(S709="Yes","✓ OK","⚠ Check"))))</f>
        <v>✓ OK</v>
      </c>
      <c r="W709" s="45">
        <v>46248</v>
      </c>
      <c r="X709" s="30" t="s">
        <v>23</v>
      </c>
      <c r="Y709" s="30" t="s">
        <v>24</v>
      </c>
      <c r="Z709" s="30" t="s">
        <v>25</v>
      </c>
      <c r="AA709" s="30" t="s">
        <v>26</v>
      </c>
      <c r="AB709" s="30" t="s">
        <v>24</v>
      </c>
      <c r="AC709" s="27"/>
      <c r="AD709" s="31" t="s">
        <v>25</v>
      </c>
      <c r="AE709" s="32" t="str">
        <f t="shared" ref="AE709:AE772" si="57">IF(W709="","",IF(Z709="Yes","❌ Disc",IF(Y709="No","⚠ Missing",IF(AB709="Yes","✓ OK","⚠ Check"))))</f>
        <v>✓ OK</v>
      </c>
      <c r="AF709" s="33" t="s">
        <v>27</v>
      </c>
      <c r="AG709" s="33" t="s">
        <v>23</v>
      </c>
      <c r="AH709" s="33" t="s">
        <v>24</v>
      </c>
      <c r="AI709" s="33" t="s">
        <v>25</v>
      </c>
      <c r="AJ709" s="33" t="s">
        <v>26</v>
      </c>
      <c r="AK709" s="33" t="s">
        <v>24</v>
      </c>
      <c r="AL709" s="27"/>
      <c r="AM709" s="34" t="s">
        <v>25</v>
      </c>
      <c r="AN709" s="35" t="str">
        <f t="shared" ref="AN709:AN772" si="58">IF(AF709="","",IF(AI709="Yes","❌ Disc",IF(AH709="No","⚠ Missing",IF(AK709="Yes","✓ OK","⚠ Check"))))</f>
        <v>✓ OK</v>
      </c>
      <c r="AO709" s="36"/>
      <c r="AP709" s="36"/>
      <c r="AQ709" s="36"/>
      <c r="AR709" s="36"/>
      <c r="AS709" s="36"/>
      <c r="AT709" s="36"/>
      <c r="AU709" s="27"/>
      <c r="AV709" s="37"/>
      <c r="AW709" s="38" t="str">
        <f t="shared" ref="AW709:AW772" si="59">IF(AO709="","",IF(AR709="Yes","❌ Disc",IF(AQ709="No","⚠ Missing",IF(AT709="Yes","✓ OK","⚠ Check"))))</f>
        <v/>
      </c>
    </row>
    <row r="710" spans="1:49" ht="18" customHeight="1" x14ac:dyDescent="0.3">
      <c r="A710" s="39">
        <v>706</v>
      </c>
      <c r="B710" s="40" t="s">
        <v>3260</v>
      </c>
      <c r="C710" s="41" t="s">
        <v>3261</v>
      </c>
      <c r="D710" s="39" t="s">
        <v>2819</v>
      </c>
      <c r="E710" s="43">
        <v>46126</v>
      </c>
      <c r="F710" s="26" t="s">
        <v>23</v>
      </c>
      <c r="G710" s="26" t="s">
        <v>24</v>
      </c>
      <c r="H710" s="26" t="s">
        <v>25</v>
      </c>
      <c r="I710" s="26" t="s">
        <v>26</v>
      </c>
      <c r="J710" s="26" t="s">
        <v>24</v>
      </c>
      <c r="K710" s="27"/>
      <c r="L710" s="28" t="s">
        <v>25</v>
      </c>
      <c r="M710" s="29" t="str">
        <f t="shared" si="55"/>
        <v>✓ OK</v>
      </c>
      <c r="N710" s="43">
        <v>46193</v>
      </c>
      <c r="O710" s="26" t="s">
        <v>23</v>
      </c>
      <c r="P710" s="26" t="s">
        <v>24</v>
      </c>
      <c r="Q710" s="26" t="s">
        <v>25</v>
      </c>
      <c r="R710" s="26" t="s">
        <v>26</v>
      </c>
      <c r="S710" s="26" t="s">
        <v>24</v>
      </c>
      <c r="T710" s="27"/>
      <c r="U710" s="28" t="s">
        <v>25</v>
      </c>
      <c r="V710" s="29" t="str">
        <f t="shared" si="56"/>
        <v>✓ OK</v>
      </c>
      <c r="W710" s="45">
        <v>46248</v>
      </c>
      <c r="X710" s="30" t="s">
        <v>23</v>
      </c>
      <c r="Y710" s="30" t="s">
        <v>24</v>
      </c>
      <c r="Z710" s="30" t="s">
        <v>25</v>
      </c>
      <c r="AA710" s="30" t="s">
        <v>26</v>
      </c>
      <c r="AB710" s="30" t="s">
        <v>24</v>
      </c>
      <c r="AC710" s="27"/>
      <c r="AD710" s="31" t="s">
        <v>25</v>
      </c>
      <c r="AE710" s="32" t="str">
        <f t="shared" si="57"/>
        <v>✓ OK</v>
      </c>
      <c r="AF710" s="33" t="s">
        <v>27</v>
      </c>
      <c r="AG710" s="33" t="s">
        <v>23</v>
      </c>
      <c r="AH710" s="33" t="s">
        <v>24</v>
      </c>
      <c r="AI710" s="33" t="s">
        <v>25</v>
      </c>
      <c r="AJ710" s="33" t="s">
        <v>26</v>
      </c>
      <c r="AK710" s="33" t="s">
        <v>24</v>
      </c>
      <c r="AL710" s="27"/>
      <c r="AM710" s="34" t="s">
        <v>25</v>
      </c>
      <c r="AN710" s="35" t="str">
        <f t="shared" si="58"/>
        <v>✓ OK</v>
      </c>
      <c r="AO710" s="36"/>
      <c r="AP710" s="36"/>
      <c r="AQ710" s="36"/>
      <c r="AR710" s="36"/>
      <c r="AS710" s="36"/>
      <c r="AT710" s="36"/>
      <c r="AU710" s="27"/>
      <c r="AV710" s="37"/>
      <c r="AW710" s="38" t="str">
        <f t="shared" si="59"/>
        <v/>
      </c>
    </row>
    <row r="711" spans="1:49" ht="18" customHeight="1" x14ac:dyDescent="0.3">
      <c r="A711" s="23">
        <v>707</v>
      </c>
      <c r="B711" s="24" t="s">
        <v>3262</v>
      </c>
      <c r="C711" s="25" t="s">
        <v>3263</v>
      </c>
      <c r="D711" s="23" t="s">
        <v>2819</v>
      </c>
      <c r="E711" s="43">
        <v>46126</v>
      </c>
      <c r="F711" s="26" t="s">
        <v>23</v>
      </c>
      <c r="G711" s="26" t="s">
        <v>24</v>
      </c>
      <c r="H711" s="26" t="s">
        <v>25</v>
      </c>
      <c r="I711" s="26" t="s">
        <v>26</v>
      </c>
      <c r="J711" s="26" t="s">
        <v>24</v>
      </c>
      <c r="K711" s="27"/>
      <c r="L711" s="28" t="s">
        <v>25</v>
      </c>
      <c r="M711" s="29" t="str">
        <f t="shared" si="55"/>
        <v>✓ OK</v>
      </c>
      <c r="N711" s="43">
        <v>46193</v>
      </c>
      <c r="O711" s="26" t="s">
        <v>23</v>
      </c>
      <c r="P711" s="26" t="s">
        <v>24</v>
      </c>
      <c r="Q711" s="26" t="s">
        <v>25</v>
      </c>
      <c r="R711" s="26" t="s">
        <v>26</v>
      </c>
      <c r="S711" s="26" t="s">
        <v>24</v>
      </c>
      <c r="T711" s="27"/>
      <c r="U711" s="28" t="s">
        <v>25</v>
      </c>
      <c r="V711" s="29" t="str">
        <f t="shared" si="56"/>
        <v>✓ OK</v>
      </c>
      <c r="W711" s="45">
        <v>46248</v>
      </c>
      <c r="X711" s="30" t="s">
        <v>23</v>
      </c>
      <c r="Y711" s="30" t="s">
        <v>24</v>
      </c>
      <c r="Z711" s="30" t="s">
        <v>25</v>
      </c>
      <c r="AA711" s="30" t="s">
        <v>26</v>
      </c>
      <c r="AB711" s="30" t="s">
        <v>24</v>
      </c>
      <c r="AC711" s="27"/>
      <c r="AD711" s="31" t="s">
        <v>25</v>
      </c>
      <c r="AE711" s="32" t="str">
        <f t="shared" si="57"/>
        <v>✓ OK</v>
      </c>
      <c r="AF711" s="33" t="s">
        <v>27</v>
      </c>
      <c r="AG711" s="33" t="s">
        <v>23</v>
      </c>
      <c r="AH711" s="33" t="s">
        <v>24</v>
      </c>
      <c r="AI711" s="33" t="s">
        <v>25</v>
      </c>
      <c r="AJ711" s="33" t="s">
        <v>26</v>
      </c>
      <c r="AK711" s="33" t="s">
        <v>24</v>
      </c>
      <c r="AL711" s="27"/>
      <c r="AM711" s="34" t="s">
        <v>25</v>
      </c>
      <c r="AN711" s="35" t="str">
        <f t="shared" si="58"/>
        <v>✓ OK</v>
      </c>
      <c r="AO711" s="36"/>
      <c r="AP711" s="36"/>
      <c r="AQ711" s="36"/>
      <c r="AR711" s="36"/>
      <c r="AS711" s="36"/>
      <c r="AT711" s="36"/>
      <c r="AU711" s="27"/>
      <c r="AV711" s="37"/>
      <c r="AW711" s="38" t="str">
        <f t="shared" si="59"/>
        <v/>
      </c>
    </row>
    <row r="712" spans="1:49" ht="18" customHeight="1" x14ac:dyDescent="0.3">
      <c r="A712" s="39">
        <v>708</v>
      </c>
      <c r="B712" s="40" t="s">
        <v>3264</v>
      </c>
      <c r="C712" s="41" t="s">
        <v>3265</v>
      </c>
      <c r="D712" s="39" t="s">
        <v>2819</v>
      </c>
      <c r="E712" s="43">
        <v>46126</v>
      </c>
      <c r="F712" s="26" t="s">
        <v>23</v>
      </c>
      <c r="G712" s="26" t="s">
        <v>24</v>
      </c>
      <c r="H712" s="26" t="s">
        <v>25</v>
      </c>
      <c r="I712" s="26" t="s">
        <v>26</v>
      </c>
      <c r="J712" s="26" t="s">
        <v>24</v>
      </c>
      <c r="K712" s="27"/>
      <c r="L712" s="28" t="s">
        <v>25</v>
      </c>
      <c r="M712" s="29" t="str">
        <f t="shared" si="55"/>
        <v>✓ OK</v>
      </c>
      <c r="N712" s="43">
        <v>46193</v>
      </c>
      <c r="O712" s="26" t="s">
        <v>23</v>
      </c>
      <c r="P712" s="26" t="s">
        <v>24</v>
      </c>
      <c r="Q712" s="26" t="s">
        <v>25</v>
      </c>
      <c r="R712" s="26" t="s">
        <v>26</v>
      </c>
      <c r="S712" s="26" t="s">
        <v>24</v>
      </c>
      <c r="T712" s="27"/>
      <c r="U712" s="28" t="s">
        <v>25</v>
      </c>
      <c r="V712" s="29" t="str">
        <f t="shared" si="56"/>
        <v>✓ OK</v>
      </c>
      <c r="W712" s="45">
        <v>46248</v>
      </c>
      <c r="X712" s="30" t="s">
        <v>23</v>
      </c>
      <c r="Y712" s="30" t="s">
        <v>24</v>
      </c>
      <c r="Z712" s="30" t="s">
        <v>25</v>
      </c>
      <c r="AA712" s="30" t="s">
        <v>26</v>
      </c>
      <c r="AB712" s="30" t="s">
        <v>24</v>
      </c>
      <c r="AC712" s="27"/>
      <c r="AD712" s="31" t="s">
        <v>25</v>
      </c>
      <c r="AE712" s="32" t="str">
        <f t="shared" si="57"/>
        <v>✓ OK</v>
      </c>
      <c r="AF712" s="33" t="s">
        <v>27</v>
      </c>
      <c r="AG712" s="33" t="s">
        <v>23</v>
      </c>
      <c r="AH712" s="33" t="s">
        <v>24</v>
      </c>
      <c r="AI712" s="33" t="s">
        <v>25</v>
      </c>
      <c r="AJ712" s="33" t="s">
        <v>26</v>
      </c>
      <c r="AK712" s="33" t="s">
        <v>24</v>
      </c>
      <c r="AL712" s="27"/>
      <c r="AM712" s="34" t="s">
        <v>25</v>
      </c>
      <c r="AN712" s="35" t="str">
        <f t="shared" si="58"/>
        <v>✓ OK</v>
      </c>
      <c r="AO712" s="36"/>
      <c r="AP712" s="36"/>
      <c r="AQ712" s="36"/>
      <c r="AR712" s="36"/>
      <c r="AS712" s="36"/>
      <c r="AT712" s="36"/>
      <c r="AU712" s="27"/>
      <c r="AV712" s="37"/>
      <c r="AW712" s="38" t="str">
        <f t="shared" si="59"/>
        <v/>
      </c>
    </row>
    <row r="713" spans="1:49" ht="18" customHeight="1" x14ac:dyDescent="0.3">
      <c r="A713" s="23">
        <v>709</v>
      </c>
      <c r="B713" s="24" t="s">
        <v>3266</v>
      </c>
      <c r="C713" s="25" t="s">
        <v>3267</v>
      </c>
      <c r="D713" s="23" t="s">
        <v>2819</v>
      </c>
      <c r="E713" s="43">
        <v>46126</v>
      </c>
      <c r="F713" s="26" t="s">
        <v>23</v>
      </c>
      <c r="G713" s="26" t="s">
        <v>24</v>
      </c>
      <c r="H713" s="26" t="s">
        <v>25</v>
      </c>
      <c r="I713" s="26" t="s">
        <v>26</v>
      </c>
      <c r="J713" s="26" t="s">
        <v>24</v>
      </c>
      <c r="K713" s="27"/>
      <c r="L713" s="28" t="s">
        <v>25</v>
      </c>
      <c r="M713" s="29" t="str">
        <f t="shared" si="55"/>
        <v>✓ OK</v>
      </c>
      <c r="N713" s="43">
        <v>46193</v>
      </c>
      <c r="O713" s="26" t="s">
        <v>23</v>
      </c>
      <c r="P713" s="26" t="s">
        <v>24</v>
      </c>
      <c r="Q713" s="26" t="s">
        <v>25</v>
      </c>
      <c r="R713" s="26" t="s">
        <v>26</v>
      </c>
      <c r="S713" s="26" t="s">
        <v>24</v>
      </c>
      <c r="T713" s="27"/>
      <c r="U713" s="28" t="s">
        <v>25</v>
      </c>
      <c r="V713" s="29" t="str">
        <f t="shared" si="56"/>
        <v>✓ OK</v>
      </c>
      <c r="W713" s="45">
        <v>46248</v>
      </c>
      <c r="X713" s="30" t="s">
        <v>23</v>
      </c>
      <c r="Y713" s="30" t="s">
        <v>24</v>
      </c>
      <c r="Z713" s="30" t="s">
        <v>25</v>
      </c>
      <c r="AA713" s="30" t="s">
        <v>26</v>
      </c>
      <c r="AB713" s="30" t="s">
        <v>24</v>
      </c>
      <c r="AC713" s="27"/>
      <c r="AD713" s="31" t="s">
        <v>25</v>
      </c>
      <c r="AE713" s="32" t="str">
        <f t="shared" si="57"/>
        <v>✓ OK</v>
      </c>
      <c r="AF713" s="33" t="s">
        <v>27</v>
      </c>
      <c r="AG713" s="33" t="s">
        <v>23</v>
      </c>
      <c r="AH713" s="33" t="s">
        <v>24</v>
      </c>
      <c r="AI713" s="33" t="s">
        <v>25</v>
      </c>
      <c r="AJ713" s="33" t="s">
        <v>26</v>
      </c>
      <c r="AK713" s="33" t="s">
        <v>24</v>
      </c>
      <c r="AL713" s="27"/>
      <c r="AM713" s="34" t="s">
        <v>25</v>
      </c>
      <c r="AN713" s="35" t="str">
        <f t="shared" si="58"/>
        <v>✓ OK</v>
      </c>
      <c r="AO713" s="36"/>
      <c r="AP713" s="36"/>
      <c r="AQ713" s="36"/>
      <c r="AR713" s="36"/>
      <c r="AS713" s="36"/>
      <c r="AT713" s="36"/>
      <c r="AU713" s="27"/>
      <c r="AV713" s="37"/>
      <c r="AW713" s="38" t="str">
        <f t="shared" si="59"/>
        <v/>
      </c>
    </row>
    <row r="714" spans="1:49" ht="18" customHeight="1" x14ac:dyDescent="0.3">
      <c r="A714" s="39">
        <v>710</v>
      </c>
      <c r="B714" s="40" t="s">
        <v>3268</v>
      </c>
      <c r="C714" s="41" t="s">
        <v>3269</v>
      </c>
      <c r="D714" s="39" t="s">
        <v>2819</v>
      </c>
      <c r="E714" s="43">
        <v>46126</v>
      </c>
      <c r="F714" s="26" t="s">
        <v>23</v>
      </c>
      <c r="G714" s="26" t="s">
        <v>24</v>
      </c>
      <c r="H714" s="26" t="s">
        <v>25</v>
      </c>
      <c r="I714" s="26" t="s">
        <v>26</v>
      </c>
      <c r="J714" s="26" t="s">
        <v>24</v>
      </c>
      <c r="K714" s="27"/>
      <c r="L714" s="28" t="s">
        <v>25</v>
      </c>
      <c r="M714" s="29" t="str">
        <f t="shared" si="55"/>
        <v>✓ OK</v>
      </c>
      <c r="N714" s="43">
        <v>46193</v>
      </c>
      <c r="O714" s="26" t="s">
        <v>23</v>
      </c>
      <c r="P714" s="26" t="s">
        <v>24</v>
      </c>
      <c r="Q714" s="26" t="s">
        <v>25</v>
      </c>
      <c r="R714" s="26" t="s">
        <v>26</v>
      </c>
      <c r="S714" s="26" t="s">
        <v>24</v>
      </c>
      <c r="T714" s="27"/>
      <c r="U714" s="28" t="s">
        <v>25</v>
      </c>
      <c r="V714" s="29" t="str">
        <f t="shared" si="56"/>
        <v>✓ OK</v>
      </c>
      <c r="W714" s="45">
        <v>46248</v>
      </c>
      <c r="X714" s="30" t="s">
        <v>23</v>
      </c>
      <c r="Y714" s="30" t="s">
        <v>24</v>
      </c>
      <c r="Z714" s="30" t="s">
        <v>25</v>
      </c>
      <c r="AA714" s="30" t="s">
        <v>26</v>
      </c>
      <c r="AB714" s="30" t="s">
        <v>24</v>
      </c>
      <c r="AC714" s="27"/>
      <c r="AD714" s="31" t="s">
        <v>25</v>
      </c>
      <c r="AE714" s="32" t="str">
        <f t="shared" si="57"/>
        <v>✓ OK</v>
      </c>
      <c r="AF714" s="33" t="s">
        <v>27</v>
      </c>
      <c r="AG714" s="33" t="s">
        <v>23</v>
      </c>
      <c r="AH714" s="33" t="s">
        <v>24</v>
      </c>
      <c r="AI714" s="33" t="s">
        <v>25</v>
      </c>
      <c r="AJ714" s="33" t="s">
        <v>26</v>
      </c>
      <c r="AK714" s="33" t="s">
        <v>24</v>
      </c>
      <c r="AL714" s="27"/>
      <c r="AM714" s="34" t="s">
        <v>25</v>
      </c>
      <c r="AN714" s="35" t="str">
        <f t="shared" si="58"/>
        <v>✓ OK</v>
      </c>
      <c r="AO714" s="36"/>
      <c r="AP714" s="36"/>
      <c r="AQ714" s="36"/>
      <c r="AR714" s="36"/>
      <c r="AS714" s="36"/>
      <c r="AT714" s="36"/>
      <c r="AU714" s="27"/>
      <c r="AV714" s="37"/>
      <c r="AW714" s="38" t="str">
        <f t="shared" si="59"/>
        <v/>
      </c>
    </row>
    <row r="715" spans="1:49" ht="18" customHeight="1" x14ac:dyDescent="0.3">
      <c r="A715" s="23">
        <v>711</v>
      </c>
      <c r="B715" s="24" t="s">
        <v>3270</v>
      </c>
      <c r="C715" s="25" t="s">
        <v>3271</v>
      </c>
      <c r="D715" s="23" t="s">
        <v>2819</v>
      </c>
      <c r="E715" s="43">
        <v>46126</v>
      </c>
      <c r="F715" s="26" t="s">
        <v>23</v>
      </c>
      <c r="G715" s="26" t="s">
        <v>24</v>
      </c>
      <c r="H715" s="26" t="s">
        <v>25</v>
      </c>
      <c r="I715" s="26" t="s">
        <v>26</v>
      </c>
      <c r="J715" s="26" t="s">
        <v>24</v>
      </c>
      <c r="K715" s="27"/>
      <c r="L715" s="28" t="s">
        <v>25</v>
      </c>
      <c r="M715" s="29" t="str">
        <f t="shared" si="55"/>
        <v>✓ OK</v>
      </c>
      <c r="N715" s="43">
        <v>46193</v>
      </c>
      <c r="O715" s="26" t="s">
        <v>23</v>
      </c>
      <c r="P715" s="26" t="s">
        <v>24</v>
      </c>
      <c r="Q715" s="26" t="s">
        <v>25</v>
      </c>
      <c r="R715" s="26" t="s">
        <v>26</v>
      </c>
      <c r="S715" s="26" t="s">
        <v>24</v>
      </c>
      <c r="T715" s="27"/>
      <c r="U715" s="28" t="s">
        <v>25</v>
      </c>
      <c r="V715" s="29" t="str">
        <f t="shared" si="56"/>
        <v>✓ OK</v>
      </c>
      <c r="W715" s="45">
        <v>46248</v>
      </c>
      <c r="X715" s="30" t="s">
        <v>23</v>
      </c>
      <c r="Y715" s="30" t="s">
        <v>24</v>
      </c>
      <c r="Z715" s="30" t="s">
        <v>25</v>
      </c>
      <c r="AA715" s="30" t="s">
        <v>26</v>
      </c>
      <c r="AB715" s="30" t="s">
        <v>24</v>
      </c>
      <c r="AC715" s="27"/>
      <c r="AD715" s="31" t="s">
        <v>25</v>
      </c>
      <c r="AE715" s="32" t="str">
        <f t="shared" si="57"/>
        <v>✓ OK</v>
      </c>
      <c r="AF715" s="33" t="s">
        <v>27</v>
      </c>
      <c r="AG715" s="33" t="s">
        <v>23</v>
      </c>
      <c r="AH715" s="33" t="s">
        <v>24</v>
      </c>
      <c r="AI715" s="33" t="s">
        <v>25</v>
      </c>
      <c r="AJ715" s="33" t="s">
        <v>26</v>
      </c>
      <c r="AK715" s="33" t="s">
        <v>24</v>
      </c>
      <c r="AL715" s="27"/>
      <c r="AM715" s="34" t="s">
        <v>25</v>
      </c>
      <c r="AN715" s="35" t="str">
        <f t="shared" si="58"/>
        <v>✓ OK</v>
      </c>
      <c r="AO715" s="36"/>
      <c r="AP715" s="36"/>
      <c r="AQ715" s="36"/>
      <c r="AR715" s="36"/>
      <c r="AS715" s="36"/>
      <c r="AT715" s="36"/>
      <c r="AU715" s="27"/>
      <c r="AV715" s="37"/>
      <c r="AW715" s="38" t="str">
        <f t="shared" si="59"/>
        <v/>
      </c>
    </row>
    <row r="716" spans="1:49" ht="18" customHeight="1" x14ac:dyDescent="0.3">
      <c r="A716" s="39">
        <v>712</v>
      </c>
      <c r="B716" s="40" t="s">
        <v>3272</v>
      </c>
      <c r="C716" s="41" t="s">
        <v>3273</v>
      </c>
      <c r="D716" s="39" t="s">
        <v>2819</v>
      </c>
      <c r="E716" s="43">
        <v>46126</v>
      </c>
      <c r="F716" s="26" t="s">
        <v>23</v>
      </c>
      <c r="G716" s="26" t="s">
        <v>24</v>
      </c>
      <c r="H716" s="26" t="s">
        <v>25</v>
      </c>
      <c r="I716" s="26" t="s">
        <v>26</v>
      </c>
      <c r="J716" s="26" t="s">
        <v>24</v>
      </c>
      <c r="K716" s="27"/>
      <c r="L716" s="28" t="s">
        <v>25</v>
      </c>
      <c r="M716" s="29" t="str">
        <f t="shared" si="55"/>
        <v>✓ OK</v>
      </c>
      <c r="N716" s="43">
        <v>46193</v>
      </c>
      <c r="O716" s="26" t="s">
        <v>23</v>
      </c>
      <c r="P716" s="26" t="s">
        <v>24</v>
      </c>
      <c r="Q716" s="26" t="s">
        <v>25</v>
      </c>
      <c r="R716" s="26" t="s">
        <v>26</v>
      </c>
      <c r="S716" s="26" t="s">
        <v>24</v>
      </c>
      <c r="T716" s="27"/>
      <c r="U716" s="28" t="s">
        <v>25</v>
      </c>
      <c r="V716" s="29" t="str">
        <f t="shared" si="56"/>
        <v>✓ OK</v>
      </c>
      <c r="W716" s="45">
        <v>46248</v>
      </c>
      <c r="X716" s="30" t="s">
        <v>23</v>
      </c>
      <c r="Y716" s="30" t="s">
        <v>24</v>
      </c>
      <c r="Z716" s="30" t="s">
        <v>25</v>
      </c>
      <c r="AA716" s="30" t="s">
        <v>26</v>
      </c>
      <c r="AB716" s="30" t="s">
        <v>24</v>
      </c>
      <c r="AC716" s="27"/>
      <c r="AD716" s="31" t="s">
        <v>25</v>
      </c>
      <c r="AE716" s="32" t="str">
        <f t="shared" si="57"/>
        <v>✓ OK</v>
      </c>
      <c r="AF716" s="33" t="s">
        <v>27</v>
      </c>
      <c r="AG716" s="33" t="s">
        <v>23</v>
      </c>
      <c r="AH716" s="33" t="s">
        <v>24</v>
      </c>
      <c r="AI716" s="33" t="s">
        <v>25</v>
      </c>
      <c r="AJ716" s="33" t="s">
        <v>26</v>
      </c>
      <c r="AK716" s="33" t="s">
        <v>24</v>
      </c>
      <c r="AL716" s="27"/>
      <c r="AM716" s="34" t="s">
        <v>25</v>
      </c>
      <c r="AN716" s="35" t="str">
        <f t="shared" si="58"/>
        <v>✓ OK</v>
      </c>
      <c r="AO716" s="36"/>
      <c r="AP716" s="36"/>
      <c r="AQ716" s="36"/>
      <c r="AR716" s="36"/>
      <c r="AS716" s="36"/>
      <c r="AT716" s="36"/>
      <c r="AU716" s="27"/>
      <c r="AV716" s="37"/>
      <c r="AW716" s="38" t="str">
        <f t="shared" si="59"/>
        <v/>
      </c>
    </row>
    <row r="717" spans="1:49" ht="18" customHeight="1" x14ac:dyDescent="0.3">
      <c r="A717" s="23">
        <v>713</v>
      </c>
      <c r="B717" s="24" t="s">
        <v>3274</v>
      </c>
      <c r="C717" s="25" t="s">
        <v>3275</v>
      </c>
      <c r="D717" s="23" t="s">
        <v>2819</v>
      </c>
      <c r="E717" s="43">
        <v>46126</v>
      </c>
      <c r="F717" s="26" t="s">
        <v>23</v>
      </c>
      <c r="G717" s="26" t="s">
        <v>24</v>
      </c>
      <c r="H717" s="26" t="s">
        <v>25</v>
      </c>
      <c r="I717" s="26" t="s">
        <v>26</v>
      </c>
      <c r="J717" s="26" t="s">
        <v>24</v>
      </c>
      <c r="K717" s="27"/>
      <c r="L717" s="28" t="s">
        <v>25</v>
      </c>
      <c r="M717" s="29" t="str">
        <f t="shared" si="55"/>
        <v>✓ OK</v>
      </c>
      <c r="N717" s="43">
        <v>46193</v>
      </c>
      <c r="O717" s="26" t="s">
        <v>23</v>
      </c>
      <c r="P717" s="26" t="s">
        <v>24</v>
      </c>
      <c r="Q717" s="26" t="s">
        <v>25</v>
      </c>
      <c r="R717" s="26" t="s">
        <v>26</v>
      </c>
      <c r="S717" s="26" t="s">
        <v>24</v>
      </c>
      <c r="T717" s="27"/>
      <c r="U717" s="28" t="s">
        <v>25</v>
      </c>
      <c r="V717" s="29" t="str">
        <f t="shared" si="56"/>
        <v>✓ OK</v>
      </c>
      <c r="W717" s="45">
        <v>46248</v>
      </c>
      <c r="X717" s="30" t="s">
        <v>23</v>
      </c>
      <c r="Y717" s="30" t="s">
        <v>24</v>
      </c>
      <c r="Z717" s="30" t="s">
        <v>25</v>
      </c>
      <c r="AA717" s="30" t="s">
        <v>26</v>
      </c>
      <c r="AB717" s="30" t="s">
        <v>24</v>
      </c>
      <c r="AC717" s="27"/>
      <c r="AD717" s="31" t="s">
        <v>25</v>
      </c>
      <c r="AE717" s="32" t="str">
        <f t="shared" si="57"/>
        <v>✓ OK</v>
      </c>
      <c r="AF717" s="33" t="s">
        <v>27</v>
      </c>
      <c r="AG717" s="33" t="s">
        <v>23</v>
      </c>
      <c r="AH717" s="33" t="s">
        <v>24</v>
      </c>
      <c r="AI717" s="33" t="s">
        <v>25</v>
      </c>
      <c r="AJ717" s="33" t="s">
        <v>26</v>
      </c>
      <c r="AK717" s="33" t="s">
        <v>24</v>
      </c>
      <c r="AL717" s="27"/>
      <c r="AM717" s="34" t="s">
        <v>25</v>
      </c>
      <c r="AN717" s="35" t="str">
        <f t="shared" si="58"/>
        <v>✓ OK</v>
      </c>
      <c r="AO717" s="36"/>
      <c r="AP717" s="36"/>
      <c r="AQ717" s="36"/>
      <c r="AR717" s="36"/>
      <c r="AS717" s="36"/>
      <c r="AT717" s="36"/>
      <c r="AU717" s="27"/>
      <c r="AV717" s="37"/>
      <c r="AW717" s="38" t="str">
        <f t="shared" si="59"/>
        <v/>
      </c>
    </row>
    <row r="718" spans="1:49" ht="18" customHeight="1" x14ac:dyDescent="0.3">
      <c r="A718" s="39">
        <v>714</v>
      </c>
      <c r="B718" s="40" t="s">
        <v>3276</v>
      </c>
      <c r="C718" s="41" t="s">
        <v>3277</v>
      </c>
      <c r="D718" s="39" t="s">
        <v>2819</v>
      </c>
      <c r="E718" s="43">
        <v>46126</v>
      </c>
      <c r="F718" s="26" t="s">
        <v>23</v>
      </c>
      <c r="G718" s="26" t="s">
        <v>24</v>
      </c>
      <c r="H718" s="26" t="s">
        <v>25</v>
      </c>
      <c r="I718" s="26" t="s">
        <v>26</v>
      </c>
      <c r="J718" s="26" t="s">
        <v>24</v>
      </c>
      <c r="K718" s="27"/>
      <c r="L718" s="28" t="s">
        <v>25</v>
      </c>
      <c r="M718" s="29" t="str">
        <f t="shared" si="55"/>
        <v>✓ OK</v>
      </c>
      <c r="N718" s="43">
        <v>46193</v>
      </c>
      <c r="O718" s="26" t="s">
        <v>23</v>
      </c>
      <c r="P718" s="26" t="s">
        <v>24</v>
      </c>
      <c r="Q718" s="26" t="s">
        <v>25</v>
      </c>
      <c r="R718" s="26" t="s">
        <v>26</v>
      </c>
      <c r="S718" s="26" t="s">
        <v>24</v>
      </c>
      <c r="T718" s="27"/>
      <c r="U718" s="28" t="s">
        <v>25</v>
      </c>
      <c r="V718" s="29" t="str">
        <f t="shared" si="56"/>
        <v>✓ OK</v>
      </c>
      <c r="W718" s="45">
        <v>46248</v>
      </c>
      <c r="X718" s="30" t="s">
        <v>23</v>
      </c>
      <c r="Y718" s="30" t="s">
        <v>24</v>
      </c>
      <c r="Z718" s="30" t="s">
        <v>25</v>
      </c>
      <c r="AA718" s="30" t="s">
        <v>26</v>
      </c>
      <c r="AB718" s="30" t="s">
        <v>24</v>
      </c>
      <c r="AC718" s="27"/>
      <c r="AD718" s="31" t="s">
        <v>25</v>
      </c>
      <c r="AE718" s="32" t="str">
        <f t="shared" si="57"/>
        <v>✓ OK</v>
      </c>
      <c r="AF718" s="33" t="s">
        <v>27</v>
      </c>
      <c r="AG718" s="33" t="s">
        <v>23</v>
      </c>
      <c r="AH718" s="33" t="s">
        <v>24</v>
      </c>
      <c r="AI718" s="33" t="s">
        <v>25</v>
      </c>
      <c r="AJ718" s="33" t="s">
        <v>26</v>
      </c>
      <c r="AK718" s="33" t="s">
        <v>24</v>
      </c>
      <c r="AL718" s="27"/>
      <c r="AM718" s="34" t="s">
        <v>25</v>
      </c>
      <c r="AN718" s="35" t="str">
        <f t="shared" si="58"/>
        <v>✓ OK</v>
      </c>
      <c r="AO718" s="36"/>
      <c r="AP718" s="36"/>
      <c r="AQ718" s="36"/>
      <c r="AR718" s="36"/>
      <c r="AS718" s="36"/>
      <c r="AT718" s="36"/>
      <c r="AU718" s="27"/>
      <c r="AV718" s="37"/>
      <c r="AW718" s="38" t="str">
        <f t="shared" si="59"/>
        <v/>
      </c>
    </row>
    <row r="719" spans="1:49" ht="18" customHeight="1" x14ac:dyDescent="0.3">
      <c r="A719" s="23">
        <v>715</v>
      </c>
      <c r="B719" s="24" t="s">
        <v>3278</v>
      </c>
      <c r="C719" s="25" t="s">
        <v>3279</v>
      </c>
      <c r="D719" s="23" t="s">
        <v>2819</v>
      </c>
      <c r="E719" s="43">
        <v>46126</v>
      </c>
      <c r="F719" s="26" t="s">
        <v>23</v>
      </c>
      <c r="G719" s="26" t="s">
        <v>24</v>
      </c>
      <c r="H719" s="26" t="s">
        <v>25</v>
      </c>
      <c r="I719" s="26" t="s">
        <v>26</v>
      </c>
      <c r="J719" s="26" t="s">
        <v>24</v>
      </c>
      <c r="K719" s="27"/>
      <c r="L719" s="28" t="s">
        <v>25</v>
      </c>
      <c r="M719" s="29" t="str">
        <f t="shared" si="55"/>
        <v>✓ OK</v>
      </c>
      <c r="N719" s="43">
        <v>46193</v>
      </c>
      <c r="O719" s="26" t="s">
        <v>23</v>
      </c>
      <c r="P719" s="26" t="s">
        <v>24</v>
      </c>
      <c r="Q719" s="26" t="s">
        <v>25</v>
      </c>
      <c r="R719" s="26" t="s">
        <v>26</v>
      </c>
      <c r="S719" s="26" t="s">
        <v>24</v>
      </c>
      <c r="T719" s="27"/>
      <c r="U719" s="28" t="s">
        <v>25</v>
      </c>
      <c r="V719" s="29" t="str">
        <f t="shared" si="56"/>
        <v>✓ OK</v>
      </c>
      <c r="W719" s="45">
        <v>46248</v>
      </c>
      <c r="X719" s="30" t="s">
        <v>23</v>
      </c>
      <c r="Y719" s="30" t="s">
        <v>24</v>
      </c>
      <c r="Z719" s="30" t="s">
        <v>25</v>
      </c>
      <c r="AA719" s="30" t="s">
        <v>26</v>
      </c>
      <c r="AB719" s="30" t="s">
        <v>24</v>
      </c>
      <c r="AC719" s="27"/>
      <c r="AD719" s="31" t="s">
        <v>25</v>
      </c>
      <c r="AE719" s="32" t="str">
        <f t="shared" si="57"/>
        <v>✓ OK</v>
      </c>
      <c r="AF719" s="33" t="s">
        <v>27</v>
      </c>
      <c r="AG719" s="33" t="s">
        <v>23</v>
      </c>
      <c r="AH719" s="33" t="s">
        <v>24</v>
      </c>
      <c r="AI719" s="33" t="s">
        <v>25</v>
      </c>
      <c r="AJ719" s="33" t="s">
        <v>26</v>
      </c>
      <c r="AK719" s="33" t="s">
        <v>24</v>
      </c>
      <c r="AL719" s="27"/>
      <c r="AM719" s="34" t="s">
        <v>25</v>
      </c>
      <c r="AN719" s="35" t="str">
        <f t="shared" si="58"/>
        <v>✓ OK</v>
      </c>
      <c r="AO719" s="36"/>
      <c r="AP719" s="36"/>
      <c r="AQ719" s="36"/>
      <c r="AR719" s="36"/>
      <c r="AS719" s="36"/>
      <c r="AT719" s="36"/>
      <c r="AU719" s="27"/>
      <c r="AV719" s="37"/>
      <c r="AW719" s="38" t="str">
        <f t="shared" si="59"/>
        <v/>
      </c>
    </row>
    <row r="720" spans="1:49" ht="18" customHeight="1" x14ac:dyDescent="0.3">
      <c r="A720" s="39">
        <v>716</v>
      </c>
      <c r="B720" s="40" t="s">
        <v>3280</v>
      </c>
      <c r="C720" s="41" t="s">
        <v>3281</v>
      </c>
      <c r="D720" s="39" t="s">
        <v>2819</v>
      </c>
      <c r="E720" s="43">
        <v>46126</v>
      </c>
      <c r="F720" s="26" t="s">
        <v>23</v>
      </c>
      <c r="G720" s="26" t="s">
        <v>24</v>
      </c>
      <c r="H720" s="26" t="s">
        <v>25</v>
      </c>
      <c r="I720" s="26" t="s">
        <v>26</v>
      </c>
      <c r="J720" s="26" t="s">
        <v>24</v>
      </c>
      <c r="K720" s="27"/>
      <c r="L720" s="28" t="s">
        <v>25</v>
      </c>
      <c r="M720" s="29" t="str">
        <f t="shared" si="55"/>
        <v>✓ OK</v>
      </c>
      <c r="N720" s="43">
        <v>46193</v>
      </c>
      <c r="O720" s="26" t="s">
        <v>23</v>
      </c>
      <c r="P720" s="26" t="s">
        <v>24</v>
      </c>
      <c r="Q720" s="26" t="s">
        <v>25</v>
      </c>
      <c r="R720" s="26" t="s">
        <v>26</v>
      </c>
      <c r="S720" s="26" t="s">
        <v>24</v>
      </c>
      <c r="T720" s="27"/>
      <c r="U720" s="28" t="s">
        <v>25</v>
      </c>
      <c r="V720" s="29" t="str">
        <f t="shared" si="56"/>
        <v>✓ OK</v>
      </c>
      <c r="W720" s="45">
        <v>46248</v>
      </c>
      <c r="X720" s="30" t="s">
        <v>23</v>
      </c>
      <c r="Y720" s="30" t="s">
        <v>24</v>
      </c>
      <c r="Z720" s="30" t="s">
        <v>25</v>
      </c>
      <c r="AA720" s="30" t="s">
        <v>26</v>
      </c>
      <c r="AB720" s="30" t="s">
        <v>24</v>
      </c>
      <c r="AC720" s="27"/>
      <c r="AD720" s="31" t="s">
        <v>25</v>
      </c>
      <c r="AE720" s="32" t="str">
        <f t="shared" si="57"/>
        <v>✓ OK</v>
      </c>
      <c r="AF720" s="33" t="s">
        <v>27</v>
      </c>
      <c r="AG720" s="33" t="s">
        <v>23</v>
      </c>
      <c r="AH720" s="33" t="s">
        <v>24</v>
      </c>
      <c r="AI720" s="33" t="s">
        <v>25</v>
      </c>
      <c r="AJ720" s="33" t="s">
        <v>26</v>
      </c>
      <c r="AK720" s="33" t="s">
        <v>24</v>
      </c>
      <c r="AL720" s="27"/>
      <c r="AM720" s="34" t="s">
        <v>25</v>
      </c>
      <c r="AN720" s="35" t="str">
        <f t="shared" si="58"/>
        <v>✓ OK</v>
      </c>
      <c r="AO720" s="36"/>
      <c r="AP720" s="36"/>
      <c r="AQ720" s="36"/>
      <c r="AR720" s="36"/>
      <c r="AS720" s="36"/>
      <c r="AT720" s="36"/>
      <c r="AU720" s="27"/>
      <c r="AV720" s="37"/>
      <c r="AW720" s="38" t="str">
        <f t="shared" si="59"/>
        <v/>
      </c>
    </row>
    <row r="721" spans="1:49" ht="18" customHeight="1" x14ac:dyDescent="0.3">
      <c r="A721" s="23">
        <v>717</v>
      </c>
      <c r="B721" s="24" t="s">
        <v>3282</v>
      </c>
      <c r="C721" s="25" t="s">
        <v>3283</v>
      </c>
      <c r="D721" s="23" t="s">
        <v>2819</v>
      </c>
      <c r="E721" s="43">
        <v>46126</v>
      </c>
      <c r="F721" s="26" t="s">
        <v>23</v>
      </c>
      <c r="G721" s="26" t="s">
        <v>24</v>
      </c>
      <c r="H721" s="26" t="s">
        <v>25</v>
      </c>
      <c r="I721" s="26" t="s">
        <v>26</v>
      </c>
      <c r="J721" s="26" t="s">
        <v>24</v>
      </c>
      <c r="K721" s="27"/>
      <c r="L721" s="28" t="s">
        <v>25</v>
      </c>
      <c r="M721" s="29" t="str">
        <f t="shared" si="55"/>
        <v>✓ OK</v>
      </c>
      <c r="N721" s="43">
        <v>46193</v>
      </c>
      <c r="O721" s="26" t="s">
        <v>23</v>
      </c>
      <c r="P721" s="26" t="s">
        <v>24</v>
      </c>
      <c r="Q721" s="26" t="s">
        <v>25</v>
      </c>
      <c r="R721" s="26" t="s">
        <v>26</v>
      </c>
      <c r="S721" s="26" t="s">
        <v>24</v>
      </c>
      <c r="T721" s="27"/>
      <c r="U721" s="28" t="s">
        <v>25</v>
      </c>
      <c r="V721" s="29" t="str">
        <f t="shared" si="56"/>
        <v>✓ OK</v>
      </c>
      <c r="W721" s="45">
        <v>46248</v>
      </c>
      <c r="X721" s="30" t="s">
        <v>23</v>
      </c>
      <c r="Y721" s="30" t="s">
        <v>24</v>
      </c>
      <c r="Z721" s="30" t="s">
        <v>25</v>
      </c>
      <c r="AA721" s="30" t="s">
        <v>26</v>
      </c>
      <c r="AB721" s="30" t="s">
        <v>24</v>
      </c>
      <c r="AC721" s="27"/>
      <c r="AD721" s="31" t="s">
        <v>25</v>
      </c>
      <c r="AE721" s="32" t="str">
        <f t="shared" si="57"/>
        <v>✓ OK</v>
      </c>
      <c r="AF721" s="33" t="s">
        <v>27</v>
      </c>
      <c r="AG721" s="33" t="s">
        <v>23</v>
      </c>
      <c r="AH721" s="33" t="s">
        <v>24</v>
      </c>
      <c r="AI721" s="33" t="s">
        <v>25</v>
      </c>
      <c r="AJ721" s="33" t="s">
        <v>26</v>
      </c>
      <c r="AK721" s="33" t="s">
        <v>24</v>
      </c>
      <c r="AL721" s="27"/>
      <c r="AM721" s="34" t="s">
        <v>25</v>
      </c>
      <c r="AN721" s="35" t="str">
        <f t="shared" si="58"/>
        <v>✓ OK</v>
      </c>
      <c r="AO721" s="36"/>
      <c r="AP721" s="36"/>
      <c r="AQ721" s="36"/>
      <c r="AR721" s="36"/>
      <c r="AS721" s="36"/>
      <c r="AT721" s="36"/>
      <c r="AU721" s="27"/>
      <c r="AV721" s="37"/>
      <c r="AW721" s="38" t="str">
        <f t="shared" si="59"/>
        <v/>
      </c>
    </row>
    <row r="722" spans="1:49" ht="18" customHeight="1" x14ac:dyDescent="0.3">
      <c r="A722" s="39">
        <v>718</v>
      </c>
      <c r="B722" s="40" t="s">
        <v>3284</v>
      </c>
      <c r="C722" s="41" t="s">
        <v>3285</v>
      </c>
      <c r="D722" s="39" t="s">
        <v>2819</v>
      </c>
      <c r="E722" s="43">
        <v>46126</v>
      </c>
      <c r="F722" s="26" t="s">
        <v>23</v>
      </c>
      <c r="G722" s="26" t="s">
        <v>24</v>
      </c>
      <c r="H722" s="26" t="s">
        <v>25</v>
      </c>
      <c r="I722" s="26" t="s">
        <v>26</v>
      </c>
      <c r="J722" s="26" t="s">
        <v>24</v>
      </c>
      <c r="K722" s="27"/>
      <c r="L722" s="28" t="s">
        <v>25</v>
      </c>
      <c r="M722" s="29" t="str">
        <f t="shared" si="55"/>
        <v>✓ OK</v>
      </c>
      <c r="N722" s="43">
        <v>46193</v>
      </c>
      <c r="O722" s="26" t="s">
        <v>23</v>
      </c>
      <c r="P722" s="26" t="s">
        <v>24</v>
      </c>
      <c r="Q722" s="26" t="s">
        <v>25</v>
      </c>
      <c r="R722" s="26" t="s">
        <v>26</v>
      </c>
      <c r="S722" s="26" t="s">
        <v>24</v>
      </c>
      <c r="T722" s="27"/>
      <c r="U722" s="28" t="s">
        <v>25</v>
      </c>
      <c r="V722" s="29" t="str">
        <f t="shared" si="56"/>
        <v>✓ OK</v>
      </c>
      <c r="W722" s="45">
        <v>46248</v>
      </c>
      <c r="X722" s="30" t="s">
        <v>23</v>
      </c>
      <c r="Y722" s="30" t="s">
        <v>24</v>
      </c>
      <c r="Z722" s="30" t="s">
        <v>25</v>
      </c>
      <c r="AA722" s="30" t="s">
        <v>26</v>
      </c>
      <c r="AB722" s="30" t="s">
        <v>24</v>
      </c>
      <c r="AC722" s="27"/>
      <c r="AD722" s="31" t="s">
        <v>25</v>
      </c>
      <c r="AE722" s="32" t="str">
        <f t="shared" si="57"/>
        <v>✓ OK</v>
      </c>
      <c r="AF722" s="33" t="s">
        <v>27</v>
      </c>
      <c r="AG722" s="33" t="s">
        <v>23</v>
      </c>
      <c r="AH722" s="33" t="s">
        <v>24</v>
      </c>
      <c r="AI722" s="33" t="s">
        <v>25</v>
      </c>
      <c r="AJ722" s="33" t="s">
        <v>26</v>
      </c>
      <c r="AK722" s="33" t="s">
        <v>24</v>
      </c>
      <c r="AL722" s="27"/>
      <c r="AM722" s="34" t="s">
        <v>25</v>
      </c>
      <c r="AN722" s="35" t="str">
        <f t="shared" si="58"/>
        <v>✓ OK</v>
      </c>
      <c r="AO722" s="36"/>
      <c r="AP722" s="36"/>
      <c r="AQ722" s="36"/>
      <c r="AR722" s="36"/>
      <c r="AS722" s="36"/>
      <c r="AT722" s="36"/>
      <c r="AU722" s="27"/>
      <c r="AV722" s="37"/>
      <c r="AW722" s="38" t="str">
        <f t="shared" si="59"/>
        <v/>
      </c>
    </row>
    <row r="723" spans="1:49" ht="18" customHeight="1" x14ac:dyDescent="0.3">
      <c r="A723" s="23">
        <v>719</v>
      </c>
      <c r="B723" s="24" t="s">
        <v>3286</v>
      </c>
      <c r="C723" s="25" t="s">
        <v>3287</v>
      </c>
      <c r="D723" s="23" t="s">
        <v>2819</v>
      </c>
      <c r="E723" s="43">
        <v>46126</v>
      </c>
      <c r="F723" s="26" t="s">
        <v>23</v>
      </c>
      <c r="G723" s="26" t="s">
        <v>24</v>
      </c>
      <c r="H723" s="26" t="s">
        <v>25</v>
      </c>
      <c r="I723" s="26" t="s">
        <v>26</v>
      </c>
      <c r="J723" s="26" t="s">
        <v>24</v>
      </c>
      <c r="K723" s="27"/>
      <c r="L723" s="28" t="s">
        <v>25</v>
      </c>
      <c r="M723" s="29" t="str">
        <f t="shared" si="55"/>
        <v>✓ OK</v>
      </c>
      <c r="N723" s="43">
        <v>46193</v>
      </c>
      <c r="O723" s="26" t="s">
        <v>23</v>
      </c>
      <c r="P723" s="26" t="s">
        <v>24</v>
      </c>
      <c r="Q723" s="26" t="s">
        <v>25</v>
      </c>
      <c r="R723" s="26" t="s">
        <v>26</v>
      </c>
      <c r="S723" s="26" t="s">
        <v>24</v>
      </c>
      <c r="T723" s="27"/>
      <c r="U723" s="28" t="s">
        <v>25</v>
      </c>
      <c r="V723" s="29" t="str">
        <f t="shared" si="56"/>
        <v>✓ OK</v>
      </c>
      <c r="W723" s="45">
        <v>46248</v>
      </c>
      <c r="X723" s="30" t="s">
        <v>23</v>
      </c>
      <c r="Y723" s="30" t="s">
        <v>24</v>
      </c>
      <c r="Z723" s="30" t="s">
        <v>25</v>
      </c>
      <c r="AA723" s="30" t="s">
        <v>26</v>
      </c>
      <c r="AB723" s="30" t="s">
        <v>24</v>
      </c>
      <c r="AC723" s="27"/>
      <c r="AD723" s="31" t="s">
        <v>25</v>
      </c>
      <c r="AE723" s="32" t="str">
        <f t="shared" si="57"/>
        <v>✓ OK</v>
      </c>
      <c r="AF723" s="33" t="s">
        <v>27</v>
      </c>
      <c r="AG723" s="33" t="s">
        <v>23</v>
      </c>
      <c r="AH723" s="33" t="s">
        <v>24</v>
      </c>
      <c r="AI723" s="33" t="s">
        <v>25</v>
      </c>
      <c r="AJ723" s="33" t="s">
        <v>26</v>
      </c>
      <c r="AK723" s="33" t="s">
        <v>24</v>
      </c>
      <c r="AL723" s="27"/>
      <c r="AM723" s="34" t="s">
        <v>25</v>
      </c>
      <c r="AN723" s="35" t="str">
        <f t="shared" si="58"/>
        <v>✓ OK</v>
      </c>
      <c r="AO723" s="36"/>
      <c r="AP723" s="36"/>
      <c r="AQ723" s="36"/>
      <c r="AR723" s="36"/>
      <c r="AS723" s="36"/>
      <c r="AT723" s="36"/>
      <c r="AU723" s="27"/>
      <c r="AV723" s="37"/>
      <c r="AW723" s="38" t="str">
        <f t="shared" si="59"/>
        <v/>
      </c>
    </row>
    <row r="724" spans="1:49" ht="18" customHeight="1" x14ac:dyDescent="0.3">
      <c r="A724" s="39">
        <v>720</v>
      </c>
      <c r="B724" s="40" t="s">
        <v>3288</v>
      </c>
      <c r="C724" s="41" t="s">
        <v>3289</v>
      </c>
      <c r="D724" s="39" t="s">
        <v>2819</v>
      </c>
      <c r="E724" s="43">
        <v>46126</v>
      </c>
      <c r="F724" s="26" t="s">
        <v>23</v>
      </c>
      <c r="G724" s="26" t="s">
        <v>24</v>
      </c>
      <c r="H724" s="26" t="s">
        <v>25</v>
      </c>
      <c r="I724" s="26" t="s">
        <v>26</v>
      </c>
      <c r="J724" s="26" t="s">
        <v>24</v>
      </c>
      <c r="K724" s="27"/>
      <c r="L724" s="28" t="s">
        <v>25</v>
      </c>
      <c r="M724" s="29" t="str">
        <f t="shared" si="55"/>
        <v>✓ OK</v>
      </c>
      <c r="N724" s="43">
        <v>46193</v>
      </c>
      <c r="O724" s="26" t="s">
        <v>23</v>
      </c>
      <c r="P724" s="26" t="s">
        <v>24</v>
      </c>
      <c r="Q724" s="26" t="s">
        <v>25</v>
      </c>
      <c r="R724" s="26" t="s">
        <v>26</v>
      </c>
      <c r="S724" s="26" t="s">
        <v>24</v>
      </c>
      <c r="T724" s="27"/>
      <c r="U724" s="28" t="s">
        <v>25</v>
      </c>
      <c r="V724" s="29" t="str">
        <f t="shared" si="56"/>
        <v>✓ OK</v>
      </c>
      <c r="W724" s="45">
        <v>46248</v>
      </c>
      <c r="X724" s="30" t="s">
        <v>23</v>
      </c>
      <c r="Y724" s="30" t="s">
        <v>24</v>
      </c>
      <c r="Z724" s="30" t="s">
        <v>25</v>
      </c>
      <c r="AA724" s="30" t="s">
        <v>26</v>
      </c>
      <c r="AB724" s="30" t="s">
        <v>24</v>
      </c>
      <c r="AC724" s="27"/>
      <c r="AD724" s="31" t="s">
        <v>25</v>
      </c>
      <c r="AE724" s="32" t="str">
        <f t="shared" si="57"/>
        <v>✓ OK</v>
      </c>
      <c r="AF724" s="33" t="s">
        <v>27</v>
      </c>
      <c r="AG724" s="33" t="s">
        <v>23</v>
      </c>
      <c r="AH724" s="33" t="s">
        <v>24</v>
      </c>
      <c r="AI724" s="33" t="s">
        <v>25</v>
      </c>
      <c r="AJ724" s="33" t="s">
        <v>26</v>
      </c>
      <c r="AK724" s="33" t="s">
        <v>24</v>
      </c>
      <c r="AL724" s="27"/>
      <c r="AM724" s="34" t="s">
        <v>25</v>
      </c>
      <c r="AN724" s="35" t="str">
        <f t="shared" si="58"/>
        <v>✓ OK</v>
      </c>
      <c r="AO724" s="36"/>
      <c r="AP724" s="36"/>
      <c r="AQ724" s="36"/>
      <c r="AR724" s="36"/>
      <c r="AS724" s="36"/>
      <c r="AT724" s="36"/>
      <c r="AU724" s="27"/>
      <c r="AV724" s="37"/>
      <c r="AW724" s="38" t="str">
        <f t="shared" si="59"/>
        <v/>
      </c>
    </row>
    <row r="725" spans="1:49" ht="18" customHeight="1" x14ac:dyDescent="0.3">
      <c r="A725" s="23">
        <v>721</v>
      </c>
      <c r="B725" s="24" t="s">
        <v>3290</v>
      </c>
      <c r="C725" s="25" t="s">
        <v>3291</v>
      </c>
      <c r="D725" s="23" t="s">
        <v>2819</v>
      </c>
      <c r="E725" s="43">
        <v>46126</v>
      </c>
      <c r="F725" s="26" t="s">
        <v>23</v>
      </c>
      <c r="G725" s="26" t="s">
        <v>24</v>
      </c>
      <c r="H725" s="26" t="s">
        <v>25</v>
      </c>
      <c r="I725" s="26" t="s">
        <v>26</v>
      </c>
      <c r="J725" s="26" t="s">
        <v>24</v>
      </c>
      <c r="K725" s="27"/>
      <c r="L725" s="28" t="s">
        <v>25</v>
      </c>
      <c r="M725" s="29" t="str">
        <f t="shared" si="55"/>
        <v>✓ OK</v>
      </c>
      <c r="N725" s="43">
        <v>46193</v>
      </c>
      <c r="O725" s="26" t="s">
        <v>23</v>
      </c>
      <c r="P725" s="26" t="s">
        <v>24</v>
      </c>
      <c r="Q725" s="26" t="s">
        <v>25</v>
      </c>
      <c r="R725" s="26" t="s">
        <v>26</v>
      </c>
      <c r="S725" s="26" t="s">
        <v>24</v>
      </c>
      <c r="T725" s="27"/>
      <c r="U725" s="28" t="s">
        <v>25</v>
      </c>
      <c r="V725" s="29" t="str">
        <f t="shared" si="56"/>
        <v>✓ OK</v>
      </c>
      <c r="W725" s="45">
        <v>46248</v>
      </c>
      <c r="X725" s="30" t="s">
        <v>23</v>
      </c>
      <c r="Y725" s="30" t="s">
        <v>24</v>
      </c>
      <c r="Z725" s="30" t="s">
        <v>25</v>
      </c>
      <c r="AA725" s="30" t="s">
        <v>26</v>
      </c>
      <c r="AB725" s="30" t="s">
        <v>24</v>
      </c>
      <c r="AC725" s="27"/>
      <c r="AD725" s="31" t="s">
        <v>25</v>
      </c>
      <c r="AE725" s="32" t="str">
        <f t="shared" si="57"/>
        <v>✓ OK</v>
      </c>
      <c r="AF725" s="33" t="s">
        <v>27</v>
      </c>
      <c r="AG725" s="33" t="s">
        <v>23</v>
      </c>
      <c r="AH725" s="33" t="s">
        <v>24</v>
      </c>
      <c r="AI725" s="33" t="s">
        <v>25</v>
      </c>
      <c r="AJ725" s="33" t="s">
        <v>26</v>
      </c>
      <c r="AK725" s="33" t="s">
        <v>24</v>
      </c>
      <c r="AL725" s="27"/>
      <c r="AM725" s="34" t="s">
        <v>25</v>
      </c>
      <c r="AN725" s="35" t="str">
        <f t="shared" si="58"/>
        <v>✓ OK</v>
      </c>
      <c r="AO725" s="36"/>
      <c r="AP725" s="36"/>
      <c r="AQ725" s="36"/>
      <c r="AR725" s="36"/>
      <c r="AS725" s="36"/>
      <c r="AT725" s="36"/>
      <c r="AU725" s="27"/>
      <c r="AV725" s="37"/>
      <c r="AW725" s="38" t="str">
        <f t="shared" si="59"/>
        <v/>
      </c>
    </row>
    <row r="726" spans="1:49" ht="18" customHeight="1" x14ac:dyDescent="0.3">
      <c r="A726" s="39">
        <v>722</v>
      </c>
      <c r="B726" s="40" t="s">
        <v>3292</v>
      </c>
      <c r="C726" s="41" t="s">
        <v>3293</v>
      </c>
      <c r="D726" s="39" t="s">
        <v>2819</v>
      </c>
      <c r="E726" s="43">
        <v>46126</v>
      </c>
      <c r="F726" s="26" t="s">
        <v>23</v>
      </c>
      <c r="G726" s="26" t="s">
        <v>24</v>
      </c>
      <c r="H726" s="26" t="s">
        <v>25</v>
      </c>
      <c r="I726" s="26" t="s">
        <v>26</v>
      </c>
      <c r="J726" s="26" t="s">
        <v>24</v>
      </c>
      <c r="K726" s="27"/>
      <c r="L726" s="28" t="s">
        <v>25</v>
      </c>
      <c r="M726" s="29" t="str">
        <f t="shared" si="55"/>
        <v>✓ OK</v>
      </c>
      <c r="N726" s="43">
        <v>46193</v>
      </c>
      <c r="O726" s="26" t="s">
        <v>23</v>
      </c>
      <c r="P726" s="26" t="s">
        <v>24</v>
      </c>
      <c r="Q726" s="26" t="s">
        <v>25</v>
      </c>
      <c r="R726" s="26" t="s">
        <v>26</v>
      </c>
      <c r="S726" s="26" t="s">
        <v>24</v>
      </c>
      <c r="T726" s="27"/>
      <c r="U726" s="28" t="s">
        <v>25</v>
      </c>
      <c r="V726" s="29" t="str">
        <f t="shared" si="56"/>
        <v>✓ OK</v>
      </c>
      <c r="W726" s="45">
        <v>46248</v>
      </c>
      <c r="X726" s="30" t="s">
        <v>23</v>
      </c>
      <c r="Y726" s="30" t="s">
        <v>24</v>
      </c>
      <c r="Z726" s="30" t="s">
        <v>25</v>
      </c>
      <c r="AA726" s="30" t="s">
        <v>26</v>
      </c>
      <c r="AB726" s="30" t="s">
        <v>24</v>
      </c>
      <c r="AC726" s="27"/>
      <c r="AD726" s="31" t="s">
        <v>25</v>
      </c>
      <c r="AE726" s="32" t="str">
        <f t="shared" si="57"/>
        <v>✓ OK</v>
      </c>
      <c r="AF726" s="33" t="s">
        <v>27</v>
      </c>
      <c r="AG726" s="33" t="s">
        <v>23</v>
      </c>
      <c r="AH726" s="33" t="s">
        <v>24</v>
      </c>
      <c r="AI726" s="33" t="s">
        <v>25</v>
      </c>
      <c r="AJ726" s="33" t="s">
        <v>26</v>
      </c>
      <c r="AK726" s="33" t="s">
        <v>24</v>
      </c>
      <c r="AL726" s="27"/>
      <c r="AM726" s="34" t="s">
        <v>25</v>
      </c>
      <c r="AN726" s="35" t="str">
        <f t="shared" si="58"/>
        <v>✓ OK</v>
      </c>
      <c r="AO726" s="36"/>
      <c r="AP726" s="36"/>
      <c r="AQ726" s="36"/>
      <c r="AR726" s="36"/>
      <c r="AS726" s="36"/>
      <c r="AT726" s="36"/>
      <c r="AU726" s="27"/>
      <c r="AV726" s="37"/>
      <c r="AW726" s="38" t="str">
        <f t="shared" si="59"/>
        <v/>
      </c>
    </row>
    <row r="727" spans="1:49" ht="18" customHeight="1" x14ac:dyDescent="0.3">
      <c r="A727" s="23">
        <v>723</v>
      </c>
      <c r="B727" s="24" t="s">
        <v>3294</v>
      </c>
      <c r="C727" s="25" t="s">
        <v>3295</v>
      </c>
      <c r="D727" s="23" t="s">
        <v>2819</v>
      </c>
      <c r="E727" s="43">
        <v>46126</v>
      </c>
      <c r="F727" s="26" t="s">
        <v>23</v>
      </c>
      <c r="G727" s="26" t="s">
        <v>24</v>
      </c>
      <c r="H727" s="26" t="s">
        <v>25</v>
      </c>
      <c r="I727" s="26" t="s">
        <v>26</v>
      </c>
      <c r="J727" s="26" t="s">
        <v>24</v>
      </c>
      <c r="K727" s="27"/>
      <c r="L727" s="28" t="s">
        <v>25</v>
      </c>
      <c r="M727" s="29" t="str">
        <f t="shared" si="55"/>
        <v>✓ OK</v>
      </c>
      <c r="N727" s="43">
        <v>46193</v>
      </c>
      <c r="O727" s="26" t="s">
        <v>23</v>
      </c>
      <c r="P727" s="26" t="s">
        <v>24</v>
      </c>
      <c r="Q727" s="26" t="s">
        <v>25</v>
      </c>
      <c r="R727" s="26" t="s">
        <v>26</v>
      </c>
      <c r="S727" s="26" t="s">
        <v>24</v>
      </c>
      <c r="T727" s="27"/>
      <c r="U727" s="28" t="s">
        <v>25</v>
      </c>
      <c r="V727" s="29" t="str">
        <f t="shared" si="56"/>
        <v>✓ OK</v>
      </c>
      <c r="W727" s="45">
        <v>46248</v>
      </c>
      <c r="X727" s="30" t="s">
        <v>23</v>
      </c>
      <c r="Y727" s="30" t="s">
        <v>24</v>
      </c>
      <c r="Z727" s="30" t="s">
        <v>25</v>
      </c>
      <c r="AA727" s="30" t="s">
        <v>26</v>
      </c>
      <c r="AB727" s="30" t="s">
        <v>24</v>
      </c>
      <c r="AC727" s="27"/>
      <c r="AD727" s="31" t="s">
        <v>25</v>
      </c>
      <c r="AE727" s="32" t="str">
        <f t="shared" si="57"/>
        <v>✓ OK</v>
      </c>
      <c r="AF727" s="33" t="s">
        <v>27</v>
      </c>
      <c r="AG727" s="33" t="s">
        <v>23</v>
      </c>
      <c r="AH727" s="33" t="s">
        <v>24</v>
      </c>
      <c r="AI727" s="33" t="s">
        <v>25</v>
      </c>
      <c r="AJ727" s="33" t="s">
        <v>26</v>
      </c>
      <c r="AK727" s="33" t="s">
        <v>24</v>
      </c>
      <c r="AL727" s="27"/>
      <c r="AM727" s="34" t="s">
        <v>25</v>
      </c>
      <c r="AN727" s="35" t="str">
        <f t="shared" si="58"/>
        <v>✓ OK</v>
      </c>
      <c r="AO727" s="36"/>
      <c r="AP727" s="36"/>
      <c r="AQ727" s="36"/>
      <c r="AR727" s="36"/>
      <c r="AS727" s="36"/>
      <c r="AT727" s="36"/>
      <c r="AU727" s="27"/>
      <c r="AV727" s="37"/>
      <c r="AW727" s="38" t="str">
        <f t="shared" si="59"/>
        <v/>
      </c>
    </row>
    <row r="728" spans="1:49" ht="18" customHeight="1" x14ac:dyDescent="0.3">
      <c r="A728" s="39">
        <v>724</v>
      </c>
      <c r="B728" s="40" t="s">
        <v>3296</v>
      </c>
      <c r="C728" s="41" t="s">
        <v>3297</v>
      </c>
      <c r="D728" s="39" t="s">
        <v>2819</v>
      </c>
      <c r="E728" s="43">
        <v>46126</v>
      </c>
      <c r="F728" s="26" t="s">
        <v>23</v>
      </c>
      <c r="G728" s="26" t="s">
        <v>24</v>
      </c>
      <c r="H728" s="26" t="s">
        <v>25</v>
      </c>
      <c r="I728" s="26" t="s">
        <v>26</v>
      </c>
      <c r="J728" s="26" t="s">
        <v>24</v>
      </c>
      <c r="K728" s="27"/>
      <c r="L728" s="28" t="s">
        <v>25</v>
      </c>
      <c r="M728" s="29" t="str">
        <f t="shared" si="55"/>
        <v>✓ OK</v>
      </c>
      <c r="N728" s="43">
        <v>46193</v>
      </c>
      <c r="O728" s="26" t="s">
        <v>23</v>
      </c>
      <c r="P728" s="26" t="s">
        <v>24</v>
      </c>
      <c r="Q728" s="26" t="s">
        <v>25</v>
      </c>
      <c r="R728" s="26" t="s">
        <v>26</v>
      </c>
      <c r="S728" s="26" t="s">
        <v>24</v>
      </c>
      <c r="T728" s="27"/>
      <c r="U728" s="28" t="s">
        <v>25</v>
      </c>
      <c r="V728" s="29" t="str">
        <f t="shared" si="56"/>
        <v>✓ OK</v>
      </c>
      <c r="W728" s="45">
        <v>46248</v>
      </c>
      <c r="X728" s="30" t="s">
        <v>23</v>
      </c>
      <c r="Y728" s="30" t="s">
        <v>24</v>
      </c>
      <c r="Z728" s="30" t="s">
        <v>25</v>
      </c>
      <c r="AA728" s="30" t="s">
        <v>26</v>
      </c>
      <c r="AB728" s="30" t="s">
        <v>24</v>
      </c>
      <c r="AC728" s="27"/>
      <c r="AD728" s="31" t="s">
        <v>25</v>
      </c>
      <c r="AE728" s="32" t="str">
        <f t="shared" si="57"/>
        <v>✓ OK</v>
      </c>
      <c r="AF728" s="33" t="s">
        <v>27</v>
      </c>
      <c r="AG728" s="33" t="s">
        <v>23</v>
      </c>
      <c r="AH728" s="33" t="s">
        <v>24</v>
      </c>
      <c r="AI728" s="33" t="s">
        <v>25</v>
      </c>
      <c r="AJ728" s="33" t="s">
        <v>26</v>
      </c>
      <c r="AK728" s="33" t="s">
        <v>24</v>
      </c>
      <c r="AL728" s="27"/>
      <c r="AM728" s="34" t="s">
        <v>25</v>
      </c>
      <c r="AN728" s="35" t="str">
        <f t="shared" si="58"/>
        <v>✓ OK</v>
      </c>
      <c r="AO728" s="36"/>
      <c r="AP728" s="36"/>
      <c r="AQ728" s="36"/>
      <c r="AR728" s="36"/>
      <c r="AS728" s="36"/>
      <c r="AT728" s="36"/>
      <c r="AU728" s="27"/>
      <c r="AV728" s="37"/>
      <c r="AW728" s="38" t="str">
        <f t="shared" si="59"/>
        <v/>
      </c>
    </row>
    <row r="729" spans="1:49" ht="18" customHeight="1" x14ac:dyDescent="0.3">
      <c r="A729" s="23">
        <v>725</v>
      </c>
      <c r="B729" s="24" t="s">
        <v>3298</v>
      </c>
      <c r="C729" s="25" t="s">
        <v>3299</v>
      </c>
      <c r="D729" s="23" t="s">
        <v>2819</v>
      </c>
      <c r="E729" s="43">
        <v>46126</v>
      </c>
      <c r="F729" s="26" t="s">
        <v>23</v>
      </c>
      <c r="G729" s="26" t="s">
        <v>24</v>
      </c>
      <c r="H729" s="26" t="s">
        <v>25</v>
      </c>
      <c r="I729" s="26" t="s">
        <v>26</v>
      </c>
      <c r="J729" s="26" t="s">
        <v>24</v>
      </c>
      <c r="K729" s="27"/>
      <c r="L729" s="28" t="s">
        <v>25</v>
      </c>
      <c r="M729" s="29" t="str">
        <f t="shared" si="55"/>
        <v>✓ OK</v>
      </c>
      <c r="N729" s="43">
        <v>46193</v>
      </c>
      <c r="O729" s="26" t="s">
        <v>23</v>
      </c>
      <c r="P729" s="26" t="s">
        <v>24</v>
      </c>
      <c r="Q729" s="26" t="s">
        <v>25</v>
      </c>
      <c r="R729" s="26" t="s">
        <v>26</v>
      </c>
      <c r="S729" s="26" t="s">
        <v>24</v>
      </c>
      <c r="T729" s="27"/>
      <c r="U729" s="28" t="s">
        <v>25</v>
      </c>
      <c r="V729" s="29" t="str">
        <f t="shared" si="56"/>
        <v>✓ OK</v>
      </c>
      <c r="W729" s="45">
        <v>46248</v>
      </c>
      <c r="X729" s="30" t="s">
        <v>23</v>
      </c>
      <c r="Y729" s="30" t="s">
        <v>24</v>
      </c>
      <c r="Z729" s="30" t="s">
        <v>25</v>
      </c>
      <c r="AA729" s="30" t="s">
        <v>26</v>
      </c>
      <c r="AB729" s="30" t="s">
        <v>24</v>
      </c>
      <c r="AC729" s="27"/>
      <c r="AD729" s="31" t="s">
        <v>25</v>
      </c>
      <c r="AE729" s="32" t="str">
        <f t="shared" si="57"/>
        <v>✓ OK</v>
      </c>
      <c r="AF729" s="33" t="s">
        <v>27</v>
      </c>
      <c r="AG729" s="33" t="s">
        <v>23</v>
      </c>
      <c r="AH729" s="33" t="s">
        <v>24</v>
      </c>
      <c r="AI729" s="33" t="s">
        <v>25</v>
      </c>
      <c r="AJ729" s="33" t="s">
        <v>26</v>
      </c>
      <c r="AK729" s="33" t="s">
        <v>24</v>
      </c>
      <c r="AL729" s="27"/>
      <c r="AM729" s="34" t="s">
        <v>25</v>
      </c>
      <c r="AN729" s="35" t="str">
        <f t="shared" si="58"/>
        <v>✓ OK</v>
      </c>
      <c r="AO729" s="36"/>
      <c r="AP729" s="36"/>
      <c r="AQ729" s="36"/>
      <c r="AR729" s="36"/>
      <c r="AS729" s="36"/>
      <c r="AT729" s="36"/>
      <c r="AU729" s="27"/>
      <c r="AV729" s="37"/>
      <c r="AW729" s="38" t="str">
        <f t="shared" si="59"/>
        <v/>
      </c>
    </row>
    <row r="730" spans="1:49" ht="18" customHeight="1" x14ac:dyDescent="0.3">
      <c r="A730" s="39">
        <v>726</v>
      </c>
      <c r="B730" s="40" t="s">
        <v>3300</v>
      </c>
      <c r="C730" s="41" t="s">
        <v>3301</v>
      </c>
      <c r="D730" s="39" t="s">
        <v>2819</v>
      </c>
      <c r="E730" s="43">
        <v>46126</v>
      </c>
      <c r="F730" s="26" t="s">
        <v>23</v>
      </c>
      <c r="G730" s="26" t="s">
        <v>24</v>
      </c>
      <c r="H730" s="26" t="s">
        <v>25</v>
      </c>
      <c r="I730" s="26" t="s">
        <v>26</v>
      </c>
      <c r="J730" s="26" t="s">
        <v>24</v>
      </c>
      <c r="K730" s="27"/>
      <c r="L730" s="28" t="s">
        <v>25</v>
      </c>
      <c r="M730" s="29" t="str">
        <f t="shared" si="55"/>
        <v>✓ OK</v>
      </c>
      <c r="N730" s="43">
        <v>46193</v>
      </c>
      <c r="O730" s="26" t="s">
        <v>23</v>
      </c>
      <c r="P730" s="26" t="s">
        <v>24</v>
      </c>
      <c r="Q730" s="26" t="s">
        <v>25</v>
      </c>
      <c r="R730" s="26" t="s">
        <v>26</v>
      </c>
      <c r="S730" s="26" t="s">
        <v>24</v>
      </c>
      <c r="T730" s="27"/>
      <c r="U730" s="28" t="s">
        <v>25</v>
      </c>
      <c r="V730" s="29" t="str">
        <f t="shared" si="56"/>
        <v>✓ OK</v>
      </c>
      <c r="W730" s="45">
        <v>46248</v>
      </c>
      <c r="X730" s="30" t="s">
        <v>23</v>
      </c>
      <c r="Y730" s="30" t="s">
        <v>24</v>
      </c>
      <c r="Z730" s="30" t="s">
        <v>25</v>
      </c>
      <c r="AA730" s="30" t="s">
        <v>26</v>
      </c>
      <c r="AB730" s="30" t="s">
        <v>24</v>
      </c>
      <c r="AC730" s="27"/>
      <c r="AD730" s="31" t="s">
        <v>25</v>
      </c>
      <c r="AE730" s="32" t="str">
        <f t="shared" si="57"/>
        <v>✓ OK</v>
      </c>
      <c r="AF730" s="33" t="s">
        <v>27</v>
      </c>
      <c r="AG730" s="33" t="s">
        <v>23</v>
      </c>
      <c r="AH730" s="33" t="s">
        <v>24</v>
      </c>
      <c r="AI730" s="33" t="s">
        <v>25</v>
      </c>
      <c r="AJ730" s="33" t="s">
        <v>26</v>
      </c>
      <c r="AK730" s="33" t="s">
        <v>24</v>
      </c>
      <c r="AL730" s="27"/>
      <c r="AM730" s="34" t="s">
        <v>25</v>
      </c>
      <c r="AN730" s="35" t="str">
        <f t="shared" si="58"/>
        <v>✓ OK</v>
      </c>
      <c r="AO730" s="36"/>
      <c r="AP730" s="36"/>
      <c r="AQ730" s="36"/>
      <c r="AR730" s="36"/>
      <c r="AS730" s="36"/>
      <c r="AT730" s="36"/>
      <c r="AU730" s="27"/>
      <c r="AV730" s="37"/>
      <c r="AW730" s="38" t="str">
        <f t="shared" si="59"/>
        <v/>
      </c>
    </row>
    <row r="731" spans="1:49" ht="18" customHeight="1" x14ac:dyDescent="0.3">
      <c r="A731" s="23">
        <v>727</v>
      </c>
      <c r="B731" s="24" t="s">
        <v>3302</v>
      </c>
      <c r="C731" s="25" t="s">
        <v>3303</v>
      </c>
      <c r="D731" s="23" t="s">
        <v>2819</v>
      </c>
      <c r="E731" s="43">
        <v>46126</v>
      </c>
      <c r="F731" s="26" t="s">
        <v>23</v>
      </c>
      <c r="G731" s="26" t="s">
        <v>24</v>
      </c>
      <c r="H731" s="26" t="s">
        <v>25</v>
      </c>
      <c r="I731" s="26" t="s">
        <v>26</v>
      </c>
      <c r="J731" s="26" t="s">
        <v>24</v>
      </c>
      <c r="K731" s="27"/>
      <c r="L731" s="28" t="s">
        <v>25</v>
      </c>
      <c r="M731" s="29" t="str">
        <f t="shared" si="55"/>
        <v>✓ OK</v>
      </c>
      <c r="N731" s="43">
        <v>46193</v>
      </c>
      <c r="O731" s="26" t="s">
        <v>23</v>
      </c>
      <c r="P731" s="26" t="s">
        <v>24</v>
      </c>
      <c r="Q731" s="26" t="s">
        <v>25</v>
      </c>
      <c r="R731" s="26" t="s">
        <v>26</v>
      </c>
      <c r="S731" s="26" t="s">
        <v>24</v>
      </c>
      <c r="T731" s="27"/>
      <c r="U731" s="28" t="s">
        <v>25</v>
      </c>
      <c r="V731" s="29" t="str">
        <f t="shared" si="56"/>
        <v>✓ OK</v>
      </c>
      <c r="W731" s="45">
        <v>46248</v>
      </c>
      <c r="X731" s="30" t="s">
        <v>23</v>
      </c>
      <c r="Y731" s="30" t="s">
        <v>24</v>
      </c>
      <c r="Z731" s="30" t="s">
        <v>25</v>
      </c>
      <c r="AA731" s="30" t="s">
        <v>26</v>
      </c>
      <c r="AB731" s="30" t="s">
        <v>24</v>
      </c>
      <c r="AC731" s="27"/>
      <c r="AD731" s="31" t="s">
        <v>25</v>
      </c>
      <c r="AE731" s="32" t="str">
        <f t="shared" si="57"/>
        <v>✓ OK</v>
      </c>
      <c r="AF731" s="33" t="s">
        <v>27</v>
      </c>
      <c r="AG731" s="33" t="s">
        <v>23</v>
      </c>
      <c r="AH731" s="33" t="s">
        <v>24</v>
      </c>
      <c r="AI731" s="33" t="s">
        <v>25</v>
      </c>
      <c r="AJ731" s="33" t="s">
        <v>26</v>
      </c>
      <c r="AK731" s="33" t="s">
        <v>24</v>
      </c>
      <c r="AL731" s="27"/>
      <c r="AM731" s="34" t="s">
        <v>25</v>
      </c>
      <c r="AN731" s="35" t="str">
        <f t="shared" si="58"/>
        <v>✓ OK</v>
      </c>
      <c r="AO731" s="36"/>
      <c r="AP731" s="36"/>
      <c r="AQ731" s="36"/>
      <c r="AR731" s="36"/>
      <c r="AS731" s="36"/>
      <c r="AT731" s="36"/>
      <c r="AU731" s="27"/>
      <c r="AV731" s="37"/>
      <c r="AW731" s="38" t="str">
        <f t="shared" si="59"/>
        <v/>
      </c>
    </row>
    <row r="732" spans="1:49" ht="18" customHeight="1" x14ac:dyDescent="0.3">
      <c r="A732" s="39">
        <v>728</v>
      </c>
      <c r="B732" s="40" t="s">
        <v>3304</v>
      </c>
      <c r="C732" s="41" t="s">
        <v>3305</v>
      </c>
      <c r="D732" s="39" t="s">
        <v>2819</v>
      </c>
      <c r="E732" s="43">
        <v>46126</v>
      </c>
      <c r="F732" s="26" t="s">
        <v>23</v>
      </c>
      <c r="G732" s="26" t="s">
        <v>24</v>
      </c>
      <c r="H732" s="26" t="s">
        <v>25</v>
      </c>
      <c r="I732" s="26" t="s">
        <v>26</v>
      </c>
      <c r="J732" s="26" t="s">
        <v>24</v>
      </c>
      <c r="K732" s="27"/>
      <c r="L732" s="28" t="s">
        <v>25</v>
      </c>
      <c r="M732" s="29" t="str">
        <f t="shared" si="55"/>
        <v>✓ OK</v>
      </c>
      <c r="N732" s="43">
        <v>46193</v>
      </c>
      <c r="O732" s="26" t="s">
        <v>23</v>
      </c>
      <c r="P732" s="26" t="s">
        <v>24</v>
      </c>
      <c r="Q732" s="26" t="s">
        <v>25</v>
      </c>
      <c r="R732" s="26" t="s">
        <v>26</v>
      </c>
      <c r="S732" s="26" t="s">
        <v>24</v>
      </c>
      <c r="T732" s="27"/>
      <c r="U732" s="28" t="s">
        <v>25</v>
      </c>
      <c r="V732" s="29" t="str">
        <f t="shared" si="56"/>
        <v>✓ OK</v>
      </c>
      <c r="W732" s="45">
        <v>46248</v>
      </c>
      <c r="X732" s="30" t="s">
        <v>23</v>
      </c>
      <c r="Y732" s="30" t="s">
        <v>24</v>
      </c>
      <c r="Z732" s="30" t="s">
        <v>25</v>
      </c>
      <c r="AA732" s="30" t="s">
        <v>26</v>
      </c>
      <c r="AB732" s="30" t="s">
        <v>24</v>
      </c>
      <c r="AC732" s="27"/>
      <c r="AD732" s="31" t="s">
        <v>25</v>
      </c>
      <c r="AE732" s="32" t="str">
        <f t="shared" si="57"/>
        <v>✓ OK</v>
      </c>
      <c r="AF732" s="33" t="s">
        <v>27</v>
      </c>
      <c r="AG732" s="33" t="s">
        <v>23</v>
      </c>
      <c r="AH732" s="33" t="s">
        <v>24</v>
      </c>
      <c r="AI732" s="33" t="s">
        <v>25</v>
      </c>
      <c r="AJ732" s="33" t="s">
        <v>26</v>
      </c>
      <c r="AK732" s="33" t="s">
        <v>24</v>
      </c>
      <c r="AL732" s="27"/>
      <c r="AM732" s="34" t="s">
        <v>25</v>
      </c>
      <c r="AN732" s="35" t="str">
        <f t="shared" si="58"/>
        <v>✓ OK</v>
      </c>
      <c r="AO732" s="36"/>
      <c r="AP732" s="36"/>
      <c r="AQ732" s="36"/>
      <c r="AR732" s="36"/>
      <c r="AS732" s="36"/>
      <c r="AT732" s="36"/>
      <c r="AU732" s="27"/>
      <c r="AV732" s="37"/>
      <c r="AW732" s="38" t="str">
        <f t="shared" si="59"/>
        <v/>
      </c>
    </row>
    <row r="733" spans="1:49" ht="18" customHeight="1" x14ac:dyDescent="0.3">
      <c r="A733" s="23">
        <v>729</v>
      </c>
      <c r="B733" s="24" t="s">
        <v>3306</v>
      </c>
      <c r="C733" s="25" t="s">
        <v>3307</v>
      </c>
      <c r="D733" s="23" t="s">
        <v>2819</v>
      </c>
      <c r="E733" s="43">
        <v>46126</v>
      </c>
      <c r="F733" s="26" t="s">
        <v>23</v>
      </c>
      <c r="G733" s="26" t="s">
        <v>24</v>
      </c>
      <c r="H733" s="26" t="s">
        <v>25</v>
      </c>
      <c r="I733" s="26" t="s">
        <v>26</v>
      </c>
      <c r="J733" s="26" t="s">
        <v>24</v>
      </c>
      <c r="K733" s="27"/>
      <c r="L733" s="28" t="s">
        <v>25</v>
      </c>
      <c r="M733" s="29" t="str">
        <f t="shared" si="55"/>
        <v>✓ OK</v>
      </c>
      <c r="N733" s="43">
        <v>46193</v>
      </c>
      <c r="O733" s="26" t="s">
        <v>23</v>
      </c>
      <c r="P733" s="26" t="s">
        <v>24</v>
      </c>
      <c r="Q733" s="26" t="s">
        <v>25</v>
      </c>
      <c r="R733" s="26" t="s">
        <v>26</v>
      </c>
      <c r="S733" s="26" t="s">
        <v>24</v>
      </c>
      <c r="T733" s="27"/>
      <c r="U733" s="28" t="s">
        <v>25</v>
      </c>
      <c r="V733" s="29" t="str">
        <f t="shared" si="56"/>
        <v>✓ OK</v>
      </c>
      <c r="W733" s="45">
        <v>46248</v>
      </c>
      <c r="X733" s="30" t="s">
        <v>23</v>
      </c>
      <c r="Y733" s="30" t="s">
        <v>24</v>
      </c>
      <c r="Z733" s="30" t="s">
        <v>25</v>
      </c>
      <c r="AA733" s="30" t="s">
        <v>26</v>
      </c>
      <c r="AB733" s="30" t="s">
        <v>24</v>
      </c>
      <c r="AC733" s="27"/>
      <c r="AD733" s="31" t="s">
        <v>25</v>
      </c>
      <c r="AE733" s="32" t="str">
        <f t="shared" si="57"/>
        <v>✓ OK</v>
      </c>
      <c r="AF733" s="33" t="s">
        <v>27</v>
      </c>
      <c r="AG733" s="33" t="s">
        <v>23</v>
      </c>
      <c r="AH733" s="33" t="s">
        <v>24</v>
      </c>
      <c r="AI733" s="33" t="s">
        <v>25</v>
      </c>
      <c r="AJ733" s="33" t="s">
        <v>26</v>
      </c>
      <c r="AK733" s="33" t="s">
        <v>24</v>
      </c>
      <c r="AL733" s="27"/>
      <c r="AM733" s="34" t="s">
        <v>25</v>
      </c>
      <c r="AN733" s="35" t="str">
        <f t="shared" si="58"/>
        <v>✓ OK</v>
      </c>
      <c r="AO733" s="36"/>
      <c r="AP733" s="36"/>
      <c r="AQ733" s="36"/>
      <c r="AR733" s="36"/>
      <c r="AS733" s="36"/>
      <c r="AT733" s="36"/>
      <c r="AU733" s="27"/>
      <c r="AV733" s="37"/>
      <c r="AW733" s="38" t="str">
        <f t="shared" si="59"/>
        <v/>
      </c>
    </row>
    <row r="734" spans="1:49" ht="18" customHeight="1" x14ac:dyDescent="0.3">
      <c r="A734" s="39">
        <v>730</v>
      </c>
      <c r="B734" s="40" t="s">
        <v>3308</v>
      </c>
      <c r="C734" s="41" t="s">
        <v>3309</v>
      </c>
      <c r="D734" s="39" t="s">
        <v>2819</v>
      </c>
      <c r="E734" s="43">
        <v>46126</v>
      </c>
      <c r="F734" s="26" t="s">
        <v>23</v>
      </c>
      <c r="G734" s="26" t="s">
        <v>24</v>
      </c>
      <c r="H734" s="26" t="s">
        <v>25</v>
      </c>
      <c r="I734" s="26" t="s">
        <v>26</v>
      </c>
      <c r="J734" s="26" t="s">
        <v>24</v>
      </c>
      <c r="K734" s="27"/>
      <c r="L734" s="28" t="s">
        <v>25</v>
      </c>
      <c r="M734" s="29" t="str">
        <f t="shared" si="55"/>
        <v>✓ OK</v>
      </c>
      <c r="N734" s="43">
        <v>46193</v>
      </c>
      <c r="O734" s="26" t="s">
        <v>23</v>
      </c>
      <c r="P734" s="26" t="s">
        <v>24</v>
      </c>
      <c r="Q734" s="26" t="s">
        <v>25</v>
      </c>
      <c r="R734" s="26" t="s">
        <v>26</v>
      </c>
      <c r="S734" s="26" t="s">
        <v>24</v>
      </c>
      <c r="T734" s="27"/>
      <c r="U734" s="28" t="s">
        <v>25</v>
      </c>
      <c r="V734" s="29" t="str">
        <f t="shared" si="56"/>
        <v>✓ OK</v>
      </c>
      <c r="W734" s="45">
        <v>46248</v>
      </c>
      <c r="X734" s="30" t="s">
        <v>23</v>
      </c>
      <c r="Y734" s="30" t="s">
        <v>24</v>
      </c>
      <c r="Z734" s="30" t="s">
        <v>25</v>
      </c>
      <c r="AA734" s="30" t="s">
        <v>26</v>
      </c>
      <c r="AB734" s="30" t="s">
        <v>24</v>
      </c>
      <c r="AC734" s="27"/>
      <c r="AD734" s="31" t="s">
        <v>25</v>
      </c>
      <c r="AE734" s="32" t="str">
        <f t="shared" si="57"/>
        <v>✓ OK</v>
      </c>
      <c r="AF734" s="33" t="s">
        <v>27</v>
      </c>
      <c r="AG734" s="33" t="s">
        <v>23</v>
      </c>
      <c r="AH734" s="33" t="s">
        <v>24</v>
      </c>
      <c r="AI734" s="33" t="s">
        <v>25</v>
      </c>
      <c r="AJ734" s="33" t="s">
        <v>26</v>
      </c>
      <c r="AK734" s="33" t="s">
        <v>24</v>
      </c>
      <c r="AL734" s="27"/>
      <c r="AM734" s="34" t="s">
        <v>25</v>
      </c>
      <c r="AN734" s="35" t="str">
        <f t="shared" si="58"/>
        <v>✓ OK</v>
      </c>
      <c r="AO734" s="36"/>
      <c r="AP734" s="36"/>
      <c r="AQ734" s="36"/>
      <c r="AR734" s="36"/>
      <c r="AS734" s="36"/>
      <c r="AT734" s="36"/>
      <c r="AU734" s="27"/>
      <c r="AV734" s="37"/>
      <c r="AW734" s="38" t="str">
        <f t="shared" si="59"/>
        <v/>
      </c>
    </row>
    <row r="735" spans="1:49" ht="18" customHeight="1" x14ac:dyDescent="0.3">
      <c r="A735" s="23">
        <v>731</v>
      </c>
      <c r="B735" s="24" t="s">
        <v>3310</v>
      </c>
      <c r="C735" s="25" t="s">
        <v>3311</v>
      </c>
      <c r="D735" s="23" t="s">
        <v>2819</v>
      </c>
      <c r="E735" s="43">
        <v>46126</v>
      </c>
      <c r="F735" s="26" t="s">
        <v>23</v>
      </c>
      <c r="G735" s="26" t="s">
        <v>24</v>
      </c>
      <c r="H735" s="26" t="s">
        <v>25</v>
      </c>
      <c r="I735" s="26" t="s">
        <v>26</v>
      </c>
      <c r="J735" s="26" t="s">
        <v>24</v>
      </c>
      <c r="K735" s="27"/>
      <c r="L735" s="28" t="s">
        <v>25</v>
      </c>
      <c r="M735" s="29" t="str">
        <f t="shared" si="55"/>
        <v>✓ OK</v>
      </c>
      <c r="N735" s="43">
        <v>46193</v>
      </c>
      <c r="O735" s="26" t="s">
        <v>23</v>
      </c>
      <c r="P735" s="26" t="s">
        <v>24</v>
      </c>
      <c r="Q735" s="26" t="s">
        <v>25</v>
      </c>
      <c r="R735" s="26" t="s">
        <v>26</v>
      </c>
      <c r="S735" s="26" t="s">
        <v>24</v>
      </c>
      <c r="T735" s="27"/>
      <c r="U735" s="28" t="s">
        <v>25</v>
      </c>
      <c r="V735" s="29" t="str">
        <f t="shared" si="56"/>
        <v>✓ OK</v>
      </c>
      <c r="W735" s="45">
        <v>46248</v>
      </c>
      <c r="X735" s="30" t="s">
        <v>23</v>
      </c>
      <c r="Y735" s="30" t="s">
        <v>24</v>
      </c>
      <c r="Z735" s="30" t="s">
        <v>25</v>
      </c>
      <c r="AA735" s="30" t="s">
        <v>26</v>
      </c>
      <c r="AB735" s="30" t="s">
        <v>24</v>
      </c>
      <c r="AC735" s="27"/>
      <c r="AD735" s="31" t="s">
        <v>25</v>
      </c>
      <c r="AE735" s="32" t="str">
        <f t="shared" si="57"/>
        <v>✓ OK</v>
      </c>
      <c r="AF735" s="33" t="s">
        <v>27</v>
      </c>
      <c r="AG735" s="33" t="s">
        <v>23</v>
      </c>
      <c r="AH735" s="33" t="s">
        <v>24</v>
      </c>
      <c r="AI735" s="33" t="s">
        <v>25</v>
      </c>
      <c r="AJ735" s="33" t="s">
        <v>26</v>
      </c>
      <c r="AK735" s="33" t="s">
        <v>24</v>
      </c>
      <c r="AL735" s="27"/>
      <c r="AM735" s="34" t="s">
        <v>25</v>
      </c>
      <c r="AN735" s="35" t="str">
        <f t="shared" si="58"/>
        <v>✓ OK</v>
      </c>
      <c r="AO735" s="36"/>
      <c r="AP735" s="36"/>
      <c r="AQ735" s="36"/>
      <c r="AR735" s="36"/>
      <c r="AS735" s="36"/>
      <c r="AT735" s="36"/>
      <c r="AU735" s="27"/>
      <c r="AV735" s="37"/>
      <c r="AW735" s="38" t="str">
        <f t="shared" si="59"/>
        <v/>
      </c>
    </row>
    <row r="736" spans="1:49" ht="18" customHeight="1" x14ac:dyDescent="0.3">
      <c r="A736" s="39">
        <v>732</v>
      </c>
      <c r="B736" s="40" t="s">
        <v>3312</v>
      </c>
      <c r="C736" s="41" t="s">
        <v>3313</v>
      </c>
      <c r="D736" s="39" t="s">
        <v>2819</v>
      </c>
      <c r="E736" s="43">
        <v>46126</v>
      </c>
      <c r="F736" s="26" t="s">
        <v>23</v>
      </c>
      <c r="G736" s="26" t="s">
        <v>24</v>
      </c>
      <c r="H736" s="26" t="s">
        <v>25</v>
      </c>
      <c r="I736" s="26" t="s">
        <v>26</v>
      </c>
      <c r="J736" s="26" t="s">
        <v>24</v>
      </c>
      <c r="K736" s="27"/>
      <c r="L736" s="28" t="s">
        <v>25</v>
      </c>
      <c r="M736" s="29" t="str">
        <f t="shared" si="55"/>
        <v>✓ OK</v>
      </c>
      <c r="N736" s="43">
        <v>46193</v>
      </c>
      <c r="O736" s="26" t="s">
        <v>23</v>
      </c>
      <c r="P736" s="26" t="s">
        <v>24</v>
      </c>
      <c r="Q736" s="26" t="s">
        <v>25</v>
      </c>
      <c r="R736" s="26" t="s">
        <v>26</v>
      </c>
      <c r="S736" s="26" t="s">
        <v>24</v>
      </c>
      <c r="T736" s="27"/>
      <c r="U736" s="28" t="s">
        <v>25</v>
      </c>
      <c r="V736" s="29" t="str">
        <f t="shared" si="56"/>
        <v>✓ OK</v>
      </c>
      <c r="W736" s="45">
        <v>46248</v>
      </c>
      <c r="X736" s="30" t="s">
        <v>23</v>
      </c>
      <c r="Y736" s="30" t="s">
        <v>24</v>
      </c>
      <c r="Z736" s="30" t="s">
        <v>25</v>
      </c>
      <c r="AA736" s="30" t="s">
        <v>26</v>
      </c>
      <c r="AB736" s="30" t="s">
        <v>24</v>
      </c>
      <c r="AC736" s="27"/>
      <c r="AD736" s="31" t="s">
        <v>25</v>
      </c>
      <c r="AE736" s="32" t="str">
        <f t="shared" si="57"/>
        <v>✓ OK</v>
      </c>
      <c r="AF736" s="33" t="s">
        <v>27</v>
      </c>
      <c r="AG736" s="33" t="s">
        <v>23</v>
      </c>
      <c r="AH736" s="33" t="s">
        <v>24</v>
      </c>
      <c r="AI736" s="33" t="s">
        <v>25</v>
      </c>
      <c r="AJ736" s="33" t="s">
        <v>26</v>
      </c>
      <c r="AK736" s="33" t="s">
        <v>24</v>
      </c>
      <c r="AL736" s="27"/>
      <c r="AM736" s="34" t="s">
        <v>25</v>
      </c>
      <c r="AN736" s="35" t="str">
        <f t="shared" si="58"/>
        <v>✓ OK</v>
      </c>
      <c r="AO736" s="36"/>
      <c r="AP736" s="36"/>
      <c r="AQ736" s="36"/>
      <c r="AR736" s="36"/>
      <c r="AS736" s="36"/>
      <c r="AT736" s="36"/>
      <c r="AU736" s="27"/>
      <c r="AV736" s="37"/>
      <c r="AW736" s="38" t="str">
        <f t="shared" si="59"/>
        <v/>
      </c>
    </row>
    <row r="737" spans="1:49" ht="18" customHeight="1" x14ac:dyDescent="0.3">
      <c r="A737" s="23">
        <v>733</v>
      </c>
      <c r="B737" s="24" t="s">
        <v>3314</v>
      </c>
      <c r="C737" s="25" t="s">
        <v>3315</v>
      </c>
      <c r="D737" s="23" t="s">
        <v>2819</v>
      </c>
      <c r="E737" s="43">
        <v>46126</v>
      </c>
      <c r="F737" s="26" t="s">
        <v>23</v>
      </c>
      <c r="G737" s="26" t="s">
        <v>24</v>
      </c>
      <c r="H737" s="26" t="s">
        <v>25</v>
      </c>
      <c r="I737" s="26" t="s">
        <v>26</v>
      </c>
      <c r="J737" s="26" t="s">
        <v>24</v>
      </c>
      <c r="K737" s="27"/>
      <c r="L737" s="28" t="s">
        <v>25</v>
      </c>
      <c r="M737" s="29" t="str">
        <f t="shared" si="55"/>
        <v>✓ OK</v>
      </c>
      <c r="N737" s="43">
        <v>46193</v>
      </c>
      <c r="O737" s="26" t="s">
        <v>23</v>
      </c>
      <c r="P737" s="26" t="s">
        <v>24</v>
      </c>
      <c r="Q737" s="26" t="s">
        <v>25</v>
      </c>
      <c r="R737" s="26" t="s">
        <v>26</v>
      </c>
      <c r="S737" s="26" t="s">
        <v>24</v>
      </c>
      <c r="T737" s="27"/>
      <c r="U737" s="28" t="s">
        <v>25</v>
      </c>
      <c r="V737" s="29" t="str">
        <f t="shared" si="56"/>
        <v>✓ OK</v>
      </c>
      <c r="W737" s="45">
        <v>46248</v>
      </c>
      <c r="X737" s="30" t="s">
        <v>23</v>
      </c>
      <c r="Y737" s="30" t="s">
        <v>24</v>
      </c>
      <c r="Z737" s="30" t="s">
        <v>25</v>
      </c>
      <c r="AA737" s="30" t="s">
        <v>26</v>
      </c>
      <c r="AB737" s="30" t="s">
        <v>24</v>
      </c>
      <c r="AC737" s="27"/>
      <c r="AD737" s="31" t="s">
        <v>25</v>
      </c>
      <c r="AE737" s="32" t="str">
        <f t="shared" si="57"/>
        <v>✓ OK</v>
      </c>
      <c r="AF737" s="33" t="s">
        <v>27</v>
      </c>
      <c r="AG737" s="33" t="s">
        <v>23</v>
      </c>
      <c r="AH737" s="33" t="s">
        <v>24</v>
      </c>
      <c r="AI737" s="33" t="s">
        <v>25</v>
      </c>
      <c r="AJ737" s="33" t="s">
        <v>26</v>
      </c>
      <c r="AK737" s="33" t="s">
        <v>24</v>
      </c>
      <c r="AL737" s="27"/>
      <c r="AM737" s="34" t="s">
        <v>25</v>
      </c>
      <c r="AN737" s="35" t="str">
        <f t="shared" si="58"/>
        <v>✓ OK</v>
      </c>
      <c r="AO737" s="36"/>
      <c r="AP737" s="36"/>
      <c r="AQ737" s="36"/>
      <c r="AR737" s="36"/>
      <c r="AS737" s="36"/>
      <c r="AT737" s="36"/>
      <c r="AU737" s="27"/>
      <c r="AV737" s="37"/>
      <c r="AW737" s="38" t="str">
        <f t="shared" si="59"/>
        <v/>
      </c>
    </row>
    <row r="738" spans="1:49" ht="18" customHeight="1" x14ac:dyDescent="0.3">
      <c r="A738" s="39">
        <v>734</v>
      </c>
      <c r="B738" s="40" t="s">
        <v>3316</v>
      </c>
      <c r="C738" s="41" t="s">
        <v>3317</v>
      </c>
      <c r="D738" s="39" t="s">
        <v>2819</v>
      </c>
      <c r="E738" s="43">
        <v>46126</v>
      </c>
      <c r="F738" s="26" t="s">
        <v>23</v>
      </c>
      <c r="G738" s="26" t="s">
        <v>24</v>
      </c>
      <c r="H738" s="26" t="s">
        <v>25</v>
      </c>
      <c r="I738" s="26" t="s">
        <v>26</v>
      </c>
      <c r="J738" s="26" t="s">
        <v>24</v>
      </c>
      <c r="K738" s="27"/>
      <c r="L738" s="28" t="s">
        <v>25</v>
      </c>
      <c r="M738" s="29" t="str">
        <f t="shared" si="55"/>
        <v>✓ OK</v>
      </c>
      <c r="N738" s="43">
        <v>46193</v>
      </c>
      <c r="O738" s="26" t="s">
        <v>23</v>
      </c>
      <c r="P738" s="26" t="s">
        <v>24</v>
      </c>
      <c r="Q738" s="26" t="s">
        <v>25</v>
      </c>
      <c r="R738" s="26" t="s">
        <v>26</v>
      </c>
      <c r="S738" s="26" t="s">
        <v>24</v>
      </c>
      <c r="T738" s="27"/>
      <c r="U738" s="28" t="s">
        <v>25</v>
      </c>
      <c r="V738" s="29" t="str">
        <f t="shared" si="56"/>
        <v>✓ OK</v>
      </c>
      <c r="W738" s="45">
        <v>46248</v>
      </c>
      <c r="X738" s="30" t="s">
        <v>23</v>
      </c>
      <c r="Y738" s="30" t="s">
        <v>24</v>
      </c>
      <c r="Z738" s="30" t="s">
        <v>25</v>
      </c>
      <c r="AA738" s="30" t="s">
        <v>26</v>
      </c>
      <c r="AB738" s="30" t="s">
        <v>24</v>
      </c>
      <c r="AC738" s="27"/>
      <c r="AD738" s="31" t="s">
        <v>25</v>
      </c>
      <c r="AE738" s="32" t="str">
        <f t="shared" si="57"/>
        <v>✓ OK</v>
      </c>
      <c r="AF738" s="33" t="s">
        <v>27</v>
      </c>
      <c r="AG738" s="33" t="s">
        <v>23</v>
      </c>
      <c r="AH738" s="33" t="s">
        <v>24</v>
      </c>
      <c r="AI738" s="33" t="s">
        <v>25</v>
      </c>
      <c r="AJ738" s="33" t="s">
        <v>26</v>
      </c>
      <c r="AK738" s="33" t="s">
        <v>24</v>
      </c>
      <c r="AL738" s="27"/>
      <c r="AM738" s="34" t="s">
        <v>25</v>
      </c>
      <c r="AN738" s="35" t="str">
        <f t="shared" si="58"/>
        <v>✓ OK</v>
      </c>
      <c r="AO738" s="36"/>
      <c r="AP738" s="36"/>
      <c r="AQ738" s="36"/>
      <c r="AR738" s="36"/>
      <c r="AS738" s="36"/>
      <c r="AT738" s="36"/>
      <c r="AU738" s="27"/>
      <c r="AV738" s="37"/>
      <c r="AW738" s="38" t="str">
        <f t="shared" si="59"/>
        <v/>
      </c>
    </row>
    <row r="739" spans="1:49" ht="18" customHeight="1" x14ac:dyDescent="0.3">
      <c r="A739" s="23">
        <v>735</v>
      </c>
      <c r="B739" s="24" t="s">
        <v>3318</v>
      </c>
      <c r="C739" s="25" t="s">
        <v>3319</v>
      </c>
      <c r="D739" s="23" t="s">
        <v>2819</v>
      </c>
      <c r="E739" s="43">
        <v>46126</v>
      </c>
      <c r="F739" s="26" t="s">
        <v>23</v>
      </c>
      <c r="G739" s="26" t="s">
        <v>24</v>
      </c>
      <c r="H739" s="26" t="s">
        <v>25</v>
      </c>
      <c r="I739" s="26" t="s">
        <v>26</v>
      </c>
      <c r="J739" s="26" t="s">
        <v>24</v>
      </c>
      <c r="K739" s="27"/>
      <c r="L739" s="28" t="s">
        <v>25</v>
      </c>
      <c r="M739" s="29" t="str">
        <f t="shared" si="55"/>
        <v>✓ OK</v>
      </c>
      <c r="N739" s="43">
        <v>46193</v>
      </c>
      <c r="O739" s="26" t="s">
        <v>23</v>
      </c>
      <c r="P739" s="26" t="s">
        <v>24</v>
      </c>
      <c r="Q739" s="26" t="s">
        <v>25</v>
      </c>
      <c r="R739" s="26" t="s">
        <v>26</v>
      </c>
      <c r="S739" s="26" t="s">
        <v>24</v>
      </c>
      <c r="T739" s="27"/>
      <c r="U739" s="28" t="s">
        <v>25</v>
      </c>
      <c r="V739" s="29" t="str">
        <f t="shared" si="56"/>
        <v>✓ OK</v>
      </c>
      <c r="W739" s="45">
        <v>46248</v>
      </c>
      <c r="X739" s="30" t="s">
        <v>23</v>
      </c>
      <c r="Y739" s="30" t="s">
        <v>24</v>
      </c>
      <c r="Z739" s="30" t="s">
        <v>25</v>
      </c>
      <c r="AA739" s="30" t="s">
        <v>26</v>
      </c>
      <c r="AB739" s="30" t="s">
        <v>24</v>
      </c>
      <c r="AC739" s="27"/>
      <c r="AD739" s="31" t="s">
        <v>25</v>
      </c>
      <c r="AE739" s="32" t="str">
        <f t="shared" si="57"/>
        <v>✓ OK</v>
      </c>
      <c r="AF739" s="33" t="s">
        <v>27</v>
      </c>
      <c r="AG739" s="33" t="s">
        <v>23</v>
      </c>
      <c r="AH739" s="33" t="s">
        <v>24</v>
      </c>
      <c r="AI739" s="33" t="s">
        <v>25</v>
      </c>
      <c r="AJ739" s="33" t="s">
        <v>26</v>
      </c>
      <c r="AK739" s="33" t="s">
        <v>24</v>
      </c>
      <c r="AL739" s="27"/>
      <c r="AM739" s="34" t="s">
        <v>25</v>
      </c>
      <c r="AN739" s="35" t="str">
        <f t="shared" si="58"/>
        <v>✓ OK</v>
      </c>
      <c r="AO739" s="36"/>
      <c r="AP739" s="36"/>
      <c r="AQ739" s="36"/>
      <c r="AR739" s="36"/>
      <c r="AS739" s="36"/>
      <c r="AT739" s="36"/>
      <c r="AU739" s="27"/>
      <c r="AV739" s="37"/>
      <c r="AW739" s="38" t="str">
        <f t="shared" si="59"/>
        <v/>
      </c>
    </row>
    <row r="740" spans="1:49" ht="18" customHeight="1" x14ac:dyDescent="0.3">
      <c r="A740" s="39">
        <v>736</v>
      </c>
      <c r="B740" s="40" t="s">
        <v>3320</v>
      </c>
      <c r="C740" s="41" t="s">
        <v>3321</v>
      </c>
      <c r="D740" s="39" t="s">
        <v>2819</v>
      </c>
      <c r="E740" s="43">
        <v>46126</v>
      </c>
      <c r="F740" s="26" t="s">
        <v>23</v>
      </c>
      <c r="G740" s="26" t="s">
        <v>24</v>
      </c>
      <c r="H740" s="26" t="s">
        <v>25</v>
      </c>
      <c r="I740" s="26" t="s">
        <v>26</v>
      </c>
      <c r="J740" s="26" t="s">
        <v>24</v>
      </c>
      <c r="K740" s="27"/>
      <c r="L740" s="28" t="s">
        <v>25</v>
      </c>
      <c r="M740" s="29" t="str">
        <f t="shared" si="55"/>
        <v>✓ OK</v>
      </c>
      <c r="N740" s="43">
        <v>46193</v>
      </c>
      <c r="O740" s="26" t="s">
        <v>23</v>
      </c>
      <c r="P740" s="26" t="s">
        <v>24</v>
      </c>
      <c r="Q740" s="26" t="s">
        <v>25</v>
      </c>
      <c r="R740" s="26" t="s">
        <v>26</v>
      </c>
      <c r="S740" s="26" t="s">
        <v>24</v>
      </c>
      <c r="T740" s="27"/>
      <c r="U740" s="28" t="s">
        <v>25</v>
      </c>
      <c r="V740" s="29" t="str">
        <f t="shared" si="56"/>
        <v>✓ OK</v>
      </c>
      <c r="W740" s="45">
        <v>46248</v>
      </c>
      <c r="X740" s="30" t="s">
        <v>23</v>
      </c>
      <c r="Y740" s="30" t="s">
        <v>24</v>
      </c>
      <c r="Z740" s="30" t="s">
        <v>25</v>
      </c>
      <c r="AA740" s="30" t="s">
        <v>26</v>
      </c>
      <c r="AB740" s="30" t="s">
        <v>24</v>
      </c>
      <c r="AC740" s="27"/>
      <c r="AD740" s="31" t="s">
        <v>25</v>
      </c>
      <c r="AE740" s="32" t="str">
        <f t="shared" si="57"/>
        <v>✓ OK</v>
      </c>
      <c r="AF740" s="33" t="s">
        <v>27</v>
      </c>
      <c r="AG740" s="33" t="s">
        <v>23</v>
      </c>
      <c r="AH740" s="33" t="s">
        <v>24</v>
      </c>
      <c r="AI740" s="33" t="s">
        <v>25</v>
      </c>
      <c r="AJ740" s="33" t="s">
        <v>26</v>
      </c>
      <c r="AK740" s="33" t="s">
        <v>24</v>
      </c>
      <c r="AL740" s="27"/>
      <c r="AM740" s="34" t="s">
        <v>25</v>
      </c>
      <c r="AN740" s="35" t="str">
        <f t="shared" si="58"/>
        <v>✓ OK</v>
      </c>
      <c r="AO740" s="36"/>
      <c r="AP740" s="36"/>
      <c r="AQ740" s="36"/>
      <c r="AR740" s="36"/>
      <c r="AS740" s="36"/>
      <c r="AT740" s="36"/>
      <c r="AU740" s="27"/>
      <c r="AV740" s="37"/>
      <c r="AW740" s="38" t="str">
        <f t="shared" si="59"/>
        <v/>
      </c>
    </row>
    <row r="741" spans="1:49" ht="18" customHeight="1" x14ac:dyDescent="0.3">
      <c r="A741" s="23">
        <v>737</v>
      </c>
      <c r="B741" s="24" t="s">
        <v>3322</v>
      </c>
      <c r="C741" s="25" t="s">
        <v>3323</v>
      </c>
      <c r="D741" s="23" t="s">
        <v>2819</v>
      </c>
      <c r="E741" s="43">
        <v>46126</v>
      </c>
      <c r="F741" s="26" t="s">
        <v>23</v>
      </c>
      <c r="G741" s="26" t="s">
        <v>24</v>
      </c>
      <c r="H741" s="26" t="s">
        <v>25</v>
      </c>
      <c r="I741" s="26" t="s">
        <v>26</v>
      </c>
      <c r="J741" s="26" t="s">
        <v>24</v>
      </c>
      <c r="K741" s="27"/>
      <c r="L741" s="28" t="s">
        <v>25</v>
      </c>
      <c r="M741" s="29" t="str">
        <f t="shared" si="55"/>
        <v>✓ OK</v>
      </c>
      <c r="N741" s="43">
        <v>46193</v>
      </c>
      <c r="O741" s="26" t="s">
        <v>23</v>
      </c>
      <c r="P741" s="26" t="s">
        <v>24</v>
      </c>
      <c r="Q741" s="26" t="s">
        <v>25</v>
      </c>
      <c r="R741" s="26" t="s">
        <v>26</v>
      </c>
      <c r="S741" s="26" t="s">
        <v>24</v>
      </c>
      <c r="T741" s="27"/>
      <c r="U741" s="28" t="s">
        <v>25</v>
      </c>
      <c r="V741" s="29" t="str">
        <f t="shared" si="56"/>
        <v>✓ OK</v>
      </c>
      <c r="W741" s="45">
        <v>46248</v>
      </c>
      <c r="X741" s="30" t="s">
        <v>23</v>
      </c>
      <c r="Y741" s="30" t="s">
        <v>24</v>
      </c>
      <c r="Z741" s="30" t="s">
        <v>25</v>
      </c>
      <c r="AA741" s="30" t="s">
        <v>26</v>
      </c>
      <c r="AB741" s="30" t="s">
        <v>24</v>
      </c>
      <c r="AC741" s="27"/>
      <c r="AD741" s="31" t="s">
        <v>25</v>
      </c>
      <c r="AE741" s="32" t="str">
        <f t="shared" si="57"/>
        <v>✓ OK</v>
      </c>
      <c r="AF741" s="33" t="s">
        <v>27</v>
      </c>
      <c r="AG741" s="33" t="s">
        <v>23</v>
      </c>
      <c r="AH741" s="33" t="s">
        <v>24</v>
      </c>
      <c r="AI741" s="33" t="s">
        <v>25</v>
      </c>
      <c r="AJ741" s="33" t="s">
        <v>26</v>
      </c>
      <c r="AK741" s="33" t="s">
        <v>24</v>
      </c>
      <c r="AL741" s="27"/>
      <c r="AM741" s="34" t="s">
        <v>25</v>
      </c>
      <c r="AN741" s="35" t="str">
        <f t="shared" si="58"/>
        <v>✓ OK</v>
      </c>
      <c r="AO741" s="36"/>
      <c r="AP741" s="36"/>
      <c r="AQ741" s="36"/>
      <c r="AR741" s="36"/>
      <c r="AS741" s="36"/>
      <c r="AT741" s="36"/>
      <c r="AU741" s="27"/>
      <c r="AV741" s="37"/>
      <c r="AW741" s="38" t="str">
        <f t="shared" si="59"/>
        <v/>
      </c>
    </row>
    <row r="742" spans="1:49" ht="18" customHeight="1" x14ac:dyDescent="0.3">
      <c r="A742" s="39">
        <v>738</v>
      </c>
      <c r="B742" s="40" t="s">
        <v>3324</v>
      </c>
      <c r="C742" s="41" t="s">
        <v>3325</v>
      </c>
      <c r="D742" s="39" t="s">
        <v>2819</v>
      </c>
      <c r="E742" s="43">
        <v>46126</v>
      </c>
      <c r="F742" s="26" t="s">
        <v>23</v>
      </c>
      <c r="G742" s="26" t="s">
        <v>24</v>
      </c>
      <c r="H742" s="26" t="s">
        <v>25</v>
      </c>
      <c r="I742" s="26" t="s">
        <v>26</v>
      </c>
      <c r="J742" s="26" t="s">
        <v>24</v>
      </c>
      <c r="K742" s="27"/>
      <c r="L742" s="28" t="s">
        <v>25</v>
      </c>
      <c r="M742" s="29" t="str">
        <f t="shared" si="55"/>
        <v>✓ OK</v>
      </c>
      <c r="N742" s="43">
        <v>46193</v>
      </c>
      <c r="O742" s="26" t="s">
        <v>23</v>
      </c>
      <c r="P742" s="26" t="s">
        <v>24</v>
      </c>
      <c r="Q742" s="26" t="s">
        <v>25</v>
      </c>
      <c r="R742" s="26" t="s">
        <v>26</v>
      </c>
      <c r="S742" s="26" t="s">
        <v>24</v>
      </c>
      <c r="T742" s="27"/>
      <c r="U742" s="28" t="s">
        <v>25</v>
      </c>
      <c r="V742" s="29" t="str">
        <f t="shared" si="56"/>
        <v>✓ OK</v>
      </c>
      <c r="W742" s="45">
        <v>46248</v>
      </c>
      <c r="X742" s="30" t="s">
        <v>23</v>
      </c>
      <c r="Y742" s="30" t="s">
        <v>24</v>
      </c>
      <c r="Z742" s="30" t="s">
        <v>25</v>
      </c>
      <c r="AA742" s="30" t="s">
        <v>26</v>
      </c>
      <c r="AB742" s="30" t="s">
        <v>24</v>
      </c>
      <c r="AC742" s="27"/>
      <c r="AD742" s="31" t="s">
        <v>25</v>
      </c>
      <c r="AE742" s="32" t="str">
        <f t="shared" si="57"/>
        <v>✓ OK</v>
      </c>
      <c r="AF742" s="33" t="s">
        <v>27</v>
      </c>
      <c r="AG742" s="33" t="s">
        <v>23</v>
      </c>
      <c r="AH742" s="33" t="s">
        <v>24</v>
      </c>
      <c r="AI742" s="33" t="s">
        <v>25</v>
      </c>
      <c r="AJ742" s="33" t="s">
        <v>26</v>
      </c>
      <c r="AK742" s="33" t="s">
        <v>24</v>
      </c>
      <c r="AL742" s="27"/>
      <c r="AM742" s="34" t="s">
        <v>25</v>
      </c>
      <c r="AN742" s="35" t="str">
        <f t="shared" si="58"/>
        <v>✓ OK</v>
      </c>
      <c r="AO742" s="36"/>
      <c r="AP742" s="36"/>
      <c r="AQ742" s="36"/>
      <c r="AR742" s="36"/>
      <c r="AS742" s="36"/>
      <c r="AT742" s="36"/>
      <c r="AU742" s="27"/>
      <c r="AV742" s="37"/>
      <c r="AW742" s="38" t="str">
        <f t="shared" si="59"/>
        <v/>
      </c>
    </row>
    <row r="743" spans="1:49" ht="18" customHeight="1" x14ac:dyDescent="0.3">
      <c r="A743" s="23">
        <v>739</v>
      </c>
      <c r="B743" s="24" t="s">
        <v>3326</v>
      </c>
      <c r="C743" s="25" t="s">
        <v>3327</v>
      </c>
      <c r="D743" s="23" t="s">
        <v>2819</v>
      </c>
      <c r="E743" s="43">
        <v>46126</v>
      </c>
      <c r="F743" s="26" t="s">
        <v>23</v>
      </c>
      <c r="G743" s="26" t="s">
        <v>24</v>
      </c>
      <c r="H743" s="26" t="s">
        <v>25</v>
      </c>
      <c r="I743" s="26" t="s">
        <v>26</v>
      </c>
      <c r="J743" s="26" t="s">
        <v>24</v>
      </c>
      <c r="K743" s="27"/>
      <c r="L743" s="28" t="s">
        <v>25</v>
      </c>
      <c r="M743" s="29" t="str">
        <f t="shared" si="55"/>
        <v>✓ OK</v>
      </c>
      <c r="N743" s="43">
        <v>46193</v>
      </c>
      <c r="O743" s="26" t="s">
        <v>23</v>
      </c>
      <c r="P743" s="26" t="s">
        <v>24</v>
      </c>
      <c r="Q743" s="26" t="s">
        <v>25</v>
      </c>
      <c r="R743" s="26" t="s">
        <v>26</v>
      </c>
      <c r="S743" s="26" t="s">
        <v>24</v>
      </c>
      <c r="T743" s="27"/>
      <c r="U743" s="28" t="s">
        <v>25</v>
      </c>
      <c r="V743" s="29" t="str">
        <f t="shared" si="56"/>
        <v>✓ OK</v>
      </c>
      <c r="W743" s="45">
        <v>46248</v>
      </c>
      <c r="X743" s="30" t="s">
        <v>23</v>
      </c>
      <c r="Y743" s="30" t="s">
        <v>24</v>
      </c>
      <c r="Z743" s="30" t="s">
        <v>25</v>
      </c>
      <c r="AA743" s="30" t="s">
        <v>26</v>
      </c>
      <c r="AB743" s="30" t="s">
        <v>24</v>
      </c>
      <c r="AC743" s="27"/>
      <c r="AD743" s="31" t="s">
        <v>25</v>
      </c>
      <c r="AE743" s="32" t="str">
        <f t="shared" si="57"/>
        <v>✓ OK</v>
      </c>
      <c r="AF743" s="33" t="s">
        <v>27</v>
      </c>
      <c r="AG743" s="33" t="s">
        <v>23</v>
      </c>
      <c r="AH743" s="33" t="s">
        <v>24</v>
      </c>
      <c r="AI743" s="33" t="s">
        <v>25</v>
      </c>
      <c r="AJ743" s="33" t="s">
        <v>26</v>
      </c>
      <c r="AK743" s="33" t="s">
        <v>24</v>
      </c>
      <c r="AL743" s="27"/>
      <c r="AM743" s="34" t="s">
        <v>25</v>
      </c>
      <c r="AN743" s="35" t="str">
        <f t="shared" si="58"/>
        <v>✓ OK</v>
      </c>
      <c r="AO743" s="36"/>
      <c r="AP743" s="36"/>
      <c r="AQ743" s="36"/>
      <c r="AR743" s="36"/>
      <c r="AS743" s="36"/>
      <c r="AT743" s="36"/>
      <c r="AU743" s="27"/>
      <c r="AV743" s="37"/>
      <c r="AW743" s="38" t="str">
        <f t="shared" si="59"/>
        <v/>
      </c>
    </row>
    <row r="744" spans="1:49" ht="18" customHeight="1" x14ac:dyDescent="0.3">
      <c r="A744" s="39">
        <v>740</v>
      </c>
      <c r="B744" s="40" t="s">
        <v>3328</v>
      </c>
      <c r="C744" s="41" t="s">
        <v>3329</v>
      </c>
      <c r="D744" s="39" t="s">
        <v>2819</v>
      </c>
      <c r="E744" s="43">
        <v>46126</v>
      </c>
      <c r="F744" s="26" t="s">
        <v>23</v>
      </c>
      <c r="G744" s="26" t="s">
        <v>24</v>
      </c>
      <c r="H744" s="26" t="s">
        <v>25</v>
      </c>
      <c r="I744" s="26" t="s">
        <v>26</v>
      </c>
      <c r="J744" s="26" t="s">
        <v>24</v>
      </c>
      <c r="K744" s="27"/>
      <c r="L744" s="28" t="s">
        <v>25</v>
      </c>
      <c r="M744" s="29" t="str">
        <f t="shared" si="55"/>
        <v>✓ OK</v>
      </c>
      <c r="N744" s="43">
        <v>46193</v>
      </c>
      <c r="O744" s="26" t="s">
        <v>23</v>
      </c>
      <c r="P744" s="26" t="s">
        <v>24</v>
      </c>
      <c r="Q744" s="26" t="s">
        <v>25</v>
      </c>
      <c r="R744" s="26" t="s">
        <v>26</v>
      </c>
      <c r="S744" s="26" t="s">
        <v>24</v>
      </c>
      <c r="T744" s="27"/>
      <c r="U744" s="28" t="s">
        <v>25</v>
      </c>
      <c r="V744" s="29" t="str">
        <f t="shared" si="56"/>
        <v>✓ OK</v>
      </c>
      <c r="W744" s="45">
        <v>46248</v>
      </c>
      <c r="X744" s="30" t="s">
        <v>23</v>
      </c>
      <c r="Y744" s="30" t="s">
        <v>24</v>
      </c>
      <c r="Z744" s="30" t="s">
        <v>25</v>
      </c>
      <c r="AA744" s="30" t="s">
        <v>26</v>
      </c>
      <c r="AB744" s="30" t="s">
        <v>24</v>
      </c>
      <c r="AC744" s="27"/>
      <c r="AD744" s="31" t="s">
        <v>25</v>
      </c>
      <c r="AE744" s="32" t="str">
        <f t="shared" si="57"/>
        <v>✓ OK</v>
      </c>
      <c r="AF744" s="33" t="s">
        <v>27</v>
      </c>
      <c r="AG744" s="33" t="s">
        <v>23</v>
      </c>
      <c r="AH744" s="33" t="s">
        <v>24</v>
      </c>
      <c r="AI744" s="33" t="s">
        <v>25</v>
      </c>
      <c r="AJ744" s="33" t="s">
        <v>26</v>
      </c>
      <c r="AK744" s="33" t="s">
        <v>24</v>
      </c>
      <c r="AL744" s="27"/>
      <c r="AM744" s="34" t="s">
        <v>25</v>
      </c>
      <c r="AN744" s="35" t="str">
        <f t="shared" si="58"/>
        <v>✓ OK</v>
      </c>
      <c r="AO744" s="36"/>
      <c r="AP744" s="36"/>
      <c r="AQ744" s="36"/>
      <c r="AR744" s="36"/>
      <c r="AS744" s="36"/>
      <c r="AT744" s="36"/>
      <c r="AU744" s="27"/>
      <c r="AV744" s="37"/>
      <c r="AW744" s="38" t="str">
        <f t="shared" si="59"/>
        <v/>
      </c>
    </row>
    <row r="745" spans="1:49" ht="18" customHeight="1" x14ac:dyDescent="0.3">
      <c r="A745" s="23">
        <v>741</v>
      </c>
      <c r="B745" s="24" t="s">
        <v>3330</v>
      </c>
      <c r="C745" s="25" t="s">
        <v>3331</v>
      </c>
      <c r="D745" s="23" t="s">
        <v>2819</v>
      </c>
      <c r="E745" s="43">
        <v>46126</v>
      </c>
      <c r="F745" s="26" t="s">
        <v>23</v>
      </c>
      <c r="G745" s="26" t="s">
        <v>24</v>
      </c>
      <c r="H745" s="26" t="s">
        <v>25</v>
      </c>
      <c r="I745" s="26" t="s">
        <v>26</v>
      </c>
      <c r="J745" s="26" t="s">
        <v>24</v>
      </c>
      <c r="K745" s="27"/>
      <c r="L745" s="28" t="s">
        <v>25</v>
      </c>
      <c r="M745" s="29" t="str">
        <f t="shared" si="55"/>
        <v>✓ OK</v>
      </c>
      <c r="N745" s="43">
        <v>46193</v>
      </c>
      <c r="O745" s="26" t="s">
        <v>23</v>
      </c>
      <c r="P745" s="26" t="s">
        <v>24</v>
      </c>
      <c r="Q745" s="26" t="s">
        <v>25</v>
      </c>
      <c r="R745" s="26" t="s">
        <v>26</v>
      </c>
      <c r="S745" s="26" t="s">
        <v>24</v>
      </c>
      <c r="T745" s="27"/>
      <c r="U745" s="28" t="s">
        <v>25</v>
      </c>
      <c r="V745" s="29" t="str">
        <f t="shared" si="56"/>
        <v>✓ OK</v>
      </c>
      <c r="W745" s="45">
        <v>46248</v>
      </c>
      <c r="X745" s="30" t="s">
        <v>23</v>
      </c>
      <c r="Y745" s="30" t="s">
        <v>24</v>
      </c>
      <c r="Z745" s="30" t="s">
        <v>25</v>
      </c>
      <c r="AA745" s="30" t="s">
        <v>26</v>
      </c>
      <c r="AB745" s="30" t="s">
        <v>24</v>
      </c>
      <c r="AC745" s="27"/>
      <c r="AD745" s="31" t="s">
        <v>25</v>
      </c>
      <c r="AE745" s="32" t="str">
        <f t="shared" si="57"/>
        <v>✓ OK</v>
      </c>
      <c r="AF745" s="33" t="s">
        <v>27</v>
      </c>
      <c r="AG745" s="33" t="s">
        <v>23</v>
      </c>
      <c r="AH745" s="33" t="s">
        <v>24</v>
      </c>
      <c r="AI745" s="33" t="s">
        <v>25</v>
      </c>
      <c r="AJ745" s="33" t="s">
        <v>26</v>
      </c>
      <c r="AK745" s="33" t="s">
        <v>24</v>
      </c>
      <c r="AL745" s="27"/>
      <c r="AM745" s="34" t="s">
        <v>25</v>
      </c>
      <c r="AN745" s="35" t="str">
        <f t="shared" si="58"/>
        <v>✓ OK</v>
      </c>
      <c r="AO745" s="36"/>
      <c r="AP745" s="36"/>
      <c r="AQ745" s="36"/>
      <c r="AR745" s="36"/>
      <c r="AS745" s="36"/>
      <c r="AT745" s="36"/>
      <c r="AU745" s="27"/>
      <c r="AV745" s="37"/>
      <c r="AW745" s="38" t="str">
        <f t="shared" si="59"/>
        <v/>
      </c>
    </row>
    <row r="746" spans="1:49" ht="18" customHeight="1" x14ac:dyDescent="0.3">
      <c r="A746" s="39">
        <v>742</v>
      </c>
      <c r="B746" s="40" t="s">
        <v>3332</v>
      </c>
      <c r="C746" s="41" t="s">
        <v>3333</v>
      </c>
      <c r="D746" s="39" t="s">
        <v>2819</v>
      </c>
      <c r="E746" s="43">
        <v>46126</v>
      </c>
      <c r="F746" s="26" t="s">
        <v>23</v>
      </c>
      <c r="G746" s="26" t="s">
        <v>24</v>
      </c>
      <c r="H746" s="26" t="s">
        <v>25</v>
      </c>
      <c r="I746" s="26" t="s">
        <v>26</v>
      </c>
      <c r="J746" s="26" t="s">
        <v>24</v>
      </c>
      <c r="K746" s="27"/>
      <c r="L746" s="28" t="s">
        <v>25</v>
      </c>
      <c r="M746" s="29" t="str">
        <f t="shared" si="55"/>
        <v>✓ OK</v>
      </c>
      <c r="N746" s="43">
        <v>46193</v>
      </c>
      <c r="O746" s="26" t="s">
        <v>23</v>
      </c>
      <c r="P746" s="26" t="s">
        <v>24</v>
      </c>
      <c r="Q746" s="26" t="s">
        <v>25</v>
      </c>
      <c r="R746" s="26" t="s">
        <v>26</v>
      </c>
      <c r="S746" s="26" t="s">
        <v>24</v>
      </c>
      <c r="T746" s="27"/>
      <c r="U746" s="28" t="s">
        <v>25</v>
      </c>
      <c r="V746" s="29" t="str">
        <f t="shared" si="56"/>
        <v>✓ OK</v>
      </c>
      <c r="W746" s="45">
        <v>46248</v>
      </c>
      <c r="X746" s="30" t="s">
        <v>23</v>
      </c>
      <c r="Y746" s="30" t="s">
        <v>24</v>
      </c>
      <c r="Z746" s="30" t="s">
        <v>25</v>
      </c>
      <c r="AA746" s="30" t="s">
        <v>26</v>
      </c>
      <c r="AB746" s="30" t="s">
        <v>24</v>
      </c>
      <c r="AC746" s="27"/>
      <c r="AD746" s="31" t="s">
        <v>25</v>
      </c>
      <c r="AE746" s="32" t="str">
        <f t="shared" si="57"/>
        <v>✓ OK</v>
      </c>
      <c r="AF746" s="33" t="s">
        <v>27</v>
      </c>
      <c r="AG746" s="33" t="s">
        <v>23</v>
      </c>
      <c r="AH746" s="33" t="s">
        <v>24</v>
      </c>
      <c r="AI746" s="33" t="s">
        <v>25</v>
      </c>
      <c r="AJ746" s="33" t="s">
        <v>26</v>
      </c>
      <c r="AK746" s="33" t="s">
        <v>24</v>
      </c>
      <c r="AL746" s="27"/>
      <c r="AM746" s="34" t="s">
        <v>25</v>
      </c>
      <c r="AN746" s="35" t="str">
        <f t="shared" si="58"/>
        <v>✓ OK</v>
      </c>
      <c r="AO746" s="36"/>
      <c r="AP746" s="36"/>
      <c r="AQ746" s="36"/>
      <c r="AR746" s="36"/>
      <c r="AS746" s="36"/>
      <c r="AT746" s="36"/>
      <c r="AU746" s="27"/>
      <c r="AV746" s="37"/>
      <c r="AW746" s="38" t="str">
        <f t="shared" si="59"/>
        <v/>
      </c>
    </row>
    <row r="747" spans="1:49" ht="18" customHeight="1" x14ac:dyDescent="0.3">
      <c r="A747" s="23">
        <v>743</v>
      </c>
      <c r="B747" s="24" t="s">
        <v>3334</v>
      </c>
      <c r="C747" s="25" t="s">
        <v>3335</v>
      </c>
      <c r="D747" s="23" t="s">
        <v>2819</v>
      </c>
      <c r="E747" s="43">
        <v>46126</v>
      </c>
      <c r="F747" s="26" t="s">
        <v>23</v>
      </c>
      <c r="G747" s="26" t="s">
        <v>24</v>
      </c>
      <c r="H747" s="26" t="s">
        <v>25</v>
      </c>
      <c r="I747" s="26" t="s">
        <v>26</v>
      </c>
      <c r="J747" s="26" t="s">
        <v>24</v>
      </c>
      <c r="K747" s="27"/>
      <c r="L747" s="28" t="s">
        <v>25</v>
      </c>
      <c r="M747" s="29" t="str">
        <f t="shared" si="55"/>
        <v>✓ OK</v>
      </c>
      <c r="N747" s="43">
        <v>46193</v>
      </c>
      <c r="O747" s="26" t="s">
        <v>23</v>
      </c>
      <c r="P747" s="26" t="s">
        <v>24</v>
      </c>
      <c r="Q747" s="26" t="s">
        <v>25</v>
      </c>
      <c r="R747" s="26" t="s">
        <v>26</v>
      </c>
      <c r="S747" s="26" t="s">
        <v>24</v>
      </c>
      <c r="T747" s="27"/>
      <c r="U747" s="28" t="s">
        <v>25</v>
      </c>
      <c r="V747" s="29" t="str">
        <f t="shared" si="56"/>
        <v>✓ OK</v>
      </c>
      <c r="W747" s="45">
        <v>46248</v>
      </c>
      <c r="X747" s="30" t="s">
        <v>23</v>
      </c>
      <c r="Y747" s="30" t="s">
        <v>24</v>
      </c>
      <c r="Z747" s="30" t="s">
        <v>25</v>
      </c>
      <c r="AA747" s="30" t="s">
        <v>26</v>
      </c>
      <c r="AB747" s="30" t="s">
        <v>24</v>
      </c>
      <c r="AC747" s="27"/>
      <c r="AD747" s="31" t="s">
        <v>25</v>
      </c>
      <c r="AE747" s="32" t="str">
        <f t="shared" si="57"/>
        <v>✓ OK</v>
      </c>
      <c r="AF747" s="33" t="s">
        <v>27</v>
      </c>
      <c r="AG747" s="33" t="s">
        <v>23</v>
      </c>
      <c r="AH747" s="33" t="s">
        <v>24</v>
      </c>
      <c r="AI747" s="33" t="s">
        <v>25</v>
      </c>
      <c r="AJ747" s="33" t="s">
        <v>26</v>
      </c>
      <c r="AK747" s="33" t="s">
        <v>24</v>
      </c>
      <c r="AL747" s="27"/>
      <c r="AM747" s="34" t="s">
        <v>25</v>
      </c>
      <c r="AN747" s="35" t="str">
        <f t="shared" si="58"/>
        <v>✓ OK</v>
      </c>
      <c r="AO747" s="36"/>
      <c r="AP747" s="36"/>
      <c r="AQ747" s="36"/>
      <c r="AR747" s="36"/>
      <c r="AS747" s="36"/>
      <c r="AT747" s="36"/>
      <c r="AU747" s="27"/>
      <c r="AV747" s="37"/>
      <c r="AW747" s="38" t="str">
        <f t="shared" si="59"/>
        <v/>
      </c>
    </row>
    <row r="748" spans="1:49" ht="18" customHeight="1" x14ac:dyDescent="0.3">
      <c r="A748" s="39">
        <v>744</v>
      </c>
      <c r="B748" s="40" t="s">
        <v>3336</v>
      </c>
      <c r="C748" s="41" t="s">
        <v>3337</v>
      </c>
      <c r="D748" s="39" t="s">
        <v>2819</v>
      </c>
      <c r="E748" s="43">
        <v>46126</v>
      </c>
      <c r="F748" s="26" t="s">
        <v>23</v>
      </c>
      <c r="G748" s="26" t="s">
        <v>24</v>
      </c>
      <c r="H748" s="26" t="s">
        <v>25</v>
      </c>
      <c r="I748" s="26" t="s">
        <v>26</v>
      </c>
      <c r="J748" s="26" t="s">
        <v>24</v>
      </c>
      <c r="K748" s="27"/>
      <c r="L748" s="28" t="s">
        <v>25</v>
      </c>
      <c r="M748" s="29" t="str">
        <f t="shared" si="55"/>
        <v>✓ OK</v>
      </c>
      <c r="N748" s="43">
        <v>46193</v>
      </c>
      <c r="O748" s="26" t="s">
        <v>23</v>
      </c>
      <c r="P748" s="26" t="s">
        <v>24</v>
      </c>
      <c r="Q748" s="26" t="s">
        <v>25</v>
      </c>
      <c r="R748" s="26" t="s">
        <v>26</v>
      </c>
      <c r="S748" s="26" t="s">
        <v>24</v>
      </c>
      <c r="T748" s="27"/>
      <c r="U748" s="28" t="s">
        <v>25</v>
      </c>
      <c r="V748" s="29" t="str">
        <f t="shared" si="56"/>
        <v>✓ OK</v>
      </c>
      <c r="W748" s="45">
        <v>46248</v>
      </c>
      <c r="X748" s="30" t="s">
        <v>23</v>
      </c>
      <c r="Y748" s="30" t="s">
        <v>24</v>
      </c>
      <c r="Z748" s="30" t="s">
        <v>25</v>
      </c>
      <c r="AA748" s="30" t="s">
        <v>26</v>
      </c>
      <c r="AB748" s="30" t="s">
        <v>24</v>
      </c>
      <c r="AC748" s="27"/>
      <c r="AD748" s="31" t="s">
        <v>25</v>
      </c>
      <c r="AE748" s="32" t="str">
        <f t="shared" si="57"/>
        <v>✓ OK</v>
      </c>
      <c r="AF748" s="33" t="s">
        <v>27</v>
      </c>
      <c r="AG748" s="33" t="s">
        <v>23</v>
      </c>
      <c r="AH748" s="33" t="s">
        <v>24</v>
      </c>
      <c r="AI748" s="33" t="s">
        <v>25</v>
      </c>
      <c r="AJ748" s="33" t="s">
        <v>26</v>
      </c>
      <c r="AK748" s="33" t="s">
        <v>24</v>
      </c>
      <c r="AL748" s="27"/>
      <c r="AM748" s="34" t="s">
        <v>25</v>
      </c>
      <c r="AN748" s="35" t="str">
        <f t="shared" si="58"/>
        <v>✓ OK</v>
      </c>
      <c r="AO748" s="36"/>
      <c r="AP748" s="36"/>
      <c r="AQ748" s="36"/>
      <c r="AR748" s="36"/>
      <c r="AS748" s="36"/>
      <c r="AT748" s="36"/>
      <c r="AU748" s="27"/>
      <c r="AV748" s="37"/>
      <c r="AW748" s="38" t="str">
        <f t="shared" si="59"/>
        <v/>
      </c>
    </row>
    <row r="749" spans="1:49" ht="18" customHeight="1" x14ac:dyDescent="0.3">
      <c r="A749" s="23">
        <v>745</v>
      </c>
      <c r="B749" s="24" t="s">
        <v>3338</v>
      </c>
      <c r="C749" s="25" t="s">
        <v>3339</v>
      </c>
      <c r="D749" s="23" t="s">
        <v>2819</v>
      </c>
      <c r="E749" s="43">
        <v>46126</v>
      </c>
      <c r="F749" s="26" t="s">
        <v>23</v>
      </c>
      <c r="G749" s="26" t="s">
        <v>24</v>
      </c>
      <c r="H749" s="26" t="s">
        <v>25</v>
      </c>
      <c r="I749" s="26" t="s">
        <v>26</v>
      </c>
      <c r="J749" s="26" t="s">
        <v>24</v>
      </c>
      <c r="K749" s="27"/>
      <c r="L749" s="28" t="s">
        <v>25</v>
      </c>
      <c r="M749" s="29" t="str">
        <f t="shared" si="55"/>
        <v>✓ OK</v>
      </c>
      <c r="N749" s="43">
        <v>46193</v>
      </c>
      <c r="O749" s="26" t="s">
        <v>23</v>
      </c>
      <c r="P749" s="26" t="s">
        <v>24</v>
      </c>
      <c r="Q749" s="26" t="s">
        <v>25</v>
      </c>
      <c r="R749" s="26" t="s">
        <v>26</v>
      </c>
      <c r="S749" s="26" t="s">
        <v>24</v>
      </c>
      <c r="T749" s="27"/>
      <c r="U749" s="28" t="s">
        <v>25</v>
      </c>
      <c r="V749" s="29" t="str">
        <f t="shared" si="56"/>
        <v>✓ OK</v>
      </c>
      <c r="W749" s="45">
        <v>46248</v>
      </c>
      <c r="X749" s="30" t="s">
        <v>23</v>
      </c>
      <c r="Y749" s="30" t="s">
        <v>24</v>
      </c>
      <c r="Z749" s="30" t="s">
        <v>25</v>
      </c>
      <c r="AA749" s="30" t="s">
        <v>26</v>
      </c>
      <c r="AB749" s="30" t="s">
        <v>24</v>
      </c>
      <c r="AC749" s="27"/>
      <c r="AD749" s="31" t="s">
        <v>25</v>
      </c>
      <c r="AE749" s="32" t="str">
        <f t="shared" si="57"/>
        <v>✓ OK</v>
      </c>
      <c r="AF749" s="33" t="s">
        <v>27</v>
      </c>
      <c r="AG749" s="33" t="s">
        <v>23</v>
      </c>
      <c r="AH749" s="33" t="s">
        <v>24</v>
      </c>
      <c r="AI749" s="33" t="s">
        <v>25</v>
      </c>
      <c r="AJ749" s="33" t="s">
        <v>26</v>
      </c>
      <c r="AK749" s="33" t="s">
        <v>24</v>
      </c>
      <c r="AL749" s="27"/>
      <c r="AM749" s="34" t="s">
        <v>25</v>
      </c>
      <c r="AN749" s="35" t="str">
        <f t="shared" si="58"/>
        <v>✓ OK</v>
      </c>
      <c r="AO749" s="36"/>
      <c r="AP749" s="36"/>
      <c r="AQ749" s="36"/>
      <c r="AR749" s="36"/>
      <c r="AS749" s="36"/>
      <c r="AT749" s="36"/>
      <c r="AU749" s="27"/>
      <c r="AV749" s="37"/>
      <c r="AW749" s="38" t="str">
        <f t="shared" si="59"/>
        <v/>
      </c>
    </row>
    <row r="750" spans="1:49" ht="18" customHeight="1" x14ac:dyDescent="0.3">
      <c r="A750" s="39">
        <v>746</v>
      </c>
      <c r="B750" s="40" t="s">
        <v>3340</v>
      </c>
      <c r="C750" s="41" t="s">
        <v>3341</v>
      </c>
      <c r="D750" s="39" t="s">
        <v>2819</v>
      </c>
      <c r="E750" s="43">
        <v>46126</v>
      </c>
      <c r="F750" s="26" t="s">
        <v>23</v>
      </c>
      <c r="G750" s="26" t="s">
        <v>24</v>
      </c>
      <c r="H750" s="26" t="s">
        <v>25</v>
      </c>
      <c r="I750" s="26" t="s">
        <v>26</v>
      </c>
      <c r="J750" s="26" t="s">
        <v>24</v>
      </c>
      <c r="K750" s="27"/>
      <c r="L750" s="28" t="s">
        <v>25</v>
      </c>
      <c r="M750" s="29" t="str">
        <f t="shared" si="55"/>
        <v>✓ OK</v>
      </c>
      <c r="N750" s="43">
        <v>46193</v>
      </c>
      <c r="O750" s="26" t="s">
        <v>23</v>
      </c>
      <c r="P750" s="26" t="s">
        <v>24</v>
      </c>
      <c r="Q750" s="26" t="s">
        <v>25</v>
      </c>
      <c r="R750" s="26" t="s">
        <v>26</v>
      </c>
      <c r="S750" s="26" t="s">
        <v>24</v>
      </c>
      <c r="T750" s="27"/>
      <c r="U750" s="28" t="s">
        <v>25</v>
      </c>
      <c r="V750" s="29" t="str">
        <f t="shared" si="56"/>
        <v>✓ OK</v>
      </c>
      <c r="W750" s="45">
        <v>46248</v>
      </c>
      <c r="X750" s="30" t="s">
        <v>23</v>
      </c>
      <c r="Y750" s="30" t="s">
        <v>24</v>
      </c>
      <c r="Z750" s="30" t="s">
        <v>25</v>
      </c>
      <c r="AA750" s="30" t="s">
        <v>26</v>
      </c>
      <c r="AB750" s="30" t="s">
        <v>24</v>
      </c>
      <c r="AC750" s="27"/>
      <c r="AD750" s="31" t="s">
        <v>25</v>
      </c>
      <c r="AE750" s="32" t="str">
        <f t="shared" si="57"/>
        <v>✓ OK</v>
      </c>
      <c r="AF750" s="33" t="s">
        <v>27</v>
      </c>
      <c r="AG750" s="33" t="s">
        <v>23</v>
      </c>
      <c r="AH750" s="33" t="s">
        <v>24</v>
      </c>
      <c r="AI750" s="33" t="s">
        <v>25</v>
      </c>
      <c r="AJ750" s="33" t="s">
        <v>26</v>
      </c>
      <c r="AK750" s="33" t="s">
        <v>24</v>
      </c>
      <c r="AL750" s="27"/>
      <c r="AM750" s="34" t="s">
        <v>25</v>
      </c>
      <c r="AN750" s="35" t="str">
        <f t="shared" si="58"/>
        <v>✓ OK</v>
      </c>
      <c r="AO750" s="36"/>
      <c r="AP750" s="36"/>
      <c r="AQ750" s="36"/>
      <c r="AR750" s="36"/>
      <c r="AS750" s="36"/>
      <c r="AT750" s="36"/>
      <c r="AU750" s="27"/>
      <c r="AV750" s="37"/>
      <c r="AW750" s="38" t="str">
        <f t="shared" si="59"/>
        <v/>
      </c>
    </row>
    <row r="751" spans="1:49" ht="18" customHeight="1" x14ac:dyDescent="0.3">
      <c r="A751" s="23">
        <v>747</v>
      </c>
      <c r="B751" s="24" t="s">
        <v>3342</v>
      </c>
      <c r="C751" s="25" t="s">
        <v>3343</v>
      </c>
      <c r="D751" s="23" t="s">
        <v>2819</v>
      </c>
      <c r="E751" s="43">
        <v>46126</v>
      </c>
      <c r="F751" s="26" t="s">
        <v>23</v>
      </c>
      <c r="G751" s="26" t="s">
        <v>24</v>
      </c>
      <c r="H751" s="26" t="s">
        <v>25</v>
      </c>
      <c r="I751" s="26" t="s">
        <v>26</v>
      </c>
      <c r="J751" s="26" t="s">
        <v>24</v>
      </c>
      <c r="K751" s="27"/>
      <c r="L751" s="28" t="s">
        <v>25</v>
      </c>
      <c r="M751" s="29" t="str">
        <f t="shared" si="55"/>
        <v>✓ OK</v>
      </c>
      <c r="N751" s="43">
        <v>46193</v>
      </c>
      <c r="O751" s="26" t="s">
        <v>23</v>
      </c>
      <c r="P751" s="26" t="s">
        <v>24</v>
      </c>
      <c r="Q751" s="26" t="s">
        <v>25</v>
      </c>
      <c r="R751" s="26" t="s">
        <v>26</v>
      </c>
      <c r="S751" s="26" t="s">
        <v>24</v>
      </c>
      <c r="T751" s="27"/>
      <c r="U751" s="28" t="s">
        <v>25</v>
      </c>
      <c r="V751" s="29" t="str">
        <f t="shared" si="56"/>
        <v>✓ OK</v>
      </c>
      <c r="W751" s="45">
        <v>46248</v>
      </c>
      <c r="X751" s="30" t="s">
        <v>23</v>
      </c>
      <c r="Y751" s="30" t="s">
        <v>24</v>
      </c>
      <c r="Z751" s="30" t="s">
        <v>25</v>
      </c>
      <c r="AA751" s="30" t="s">
        <v>26</v>
      </c>
      <c r="AB751" s="30" t="s">
        <v>24</v>
      </c>
      <c r="AC751" s="27"/>
      <c r="AD751" s="31" t="s">
        <v>25</v>
      </c>
      <c r="AE751" s="32" t="str">
        <f t="shared" si="57"/>
        <v>✓ OK</v>
      </c>
      <c r="AF751" s="33" t="s">
        <v>27</v>
      </c>
      <c r="AG751" s="33" t="s">
        <v>23</v>
      </c>
      <c r="AH751" s="33" t="s">
        <v>24</v>
      </c>
      <c r="AI751" s="33" t="s">
        <v>25</v>
      </c>
      <c r="AJ751" s="33" t="s">
        <v>26</v>
      </c>
      <c r="AK751" s="33" t="s">
        <v>24</v>
      </c>
      <c r="AL751" s="27"/>
      <c r="AM751" s="34" t="s">
        <v>25</v>
      </c>
      <c r="AN751" s="35" t="str">
        <f t="shared" si="58"/>
        <v>✓ OK</v>
      </c>
      <c r="AO751" s="36"/>
      <c r="AP751" s="36"/>
      <c r="AQ751" s="36"/>
      <c r="AR751" s="36"/>
      <c r="AS751" s="36"/>
      <c r="AT751" s="36"/>
      <c r="AU751" s="27"/>
      <c r="AV751" s="37"/>
      <c r="AW751" s="38" t="str">
        <f t="shared" si="59"/>
        <v/>
      </c>
    </row>
    <row r="752" spans="1:49" ht="18" customHeight="1" x14ac:dyDescent="0.3">
      <c r="A752" s="39">
        <v>748</v>
      </c>
      <c r="B752" s="40" t="s">
        <v>3344</v>
      </c>
      <c r="C752" s="41" t="s">
        <v>3345</v>
      </c>
      <c r="D752" s="39" t="s">
        <v>2819</v>
      </c>
      <c r="E752" s="43">
        <v>46126</v>
      </c>
      <c r="F752" s="26" t="s">
        <v>23</v>
      </c>
      <c r="G752" s="26" t="s">
        <v>24</v>
      </c>
      <c r="H752" s="26" t="s">
        <v>25</v>
      </c>
      <c r="I752" s="26" t="s">
        <v>26</v>
      </c>
      <c r="J752" s="26" t="s">
        <v>24</v>
      </c>
      <c r="K752" s="27"/>
      <c r="L752" s="28" t="s">
        <v>25</v>
      </c>
      <c r="M752" s="29" t="str">
        <f t="shared" si="55"/>
        <v>✓ OK</v>
      </c>
      <c r="N752" s="43">
        <v>46193</v>
      </c>
      <c r="O752" s="26" t="s">
        <v>23</v>
      </c>
      <c r="P752" s="26" t="s">
        <v>24</v>
      </c>
      <c r="Q752" s="26" t="s">
        <v>25</v>
      </c>
      <c r="R752" s="26" t="s">
        <v>26</v>
      </c>
      <c r="S752" s="26" t="s">
        <v>24</v>
      </c>
      <c r="T752" s="27"/>
      <c r="U752" s="28" t="s">
        <v>25</v>
      </c>
      <c r="V752" s="29" t="str">
        <f t="shared" si="56"/>
        <v>✓ OK</v>
      </c>
      <c r="W752" s="45">
        <v>46248</v>
      </c>
      <c r="X752" s="30" t="s">
        <v>23</v>
      </c>
      <c r="Y752" s="30" t="s">
        <v>24</v>
      </c>
      <c r="Z752" s="30" t="s">
        <v>25</v>
      </c>
      <c r="AA752" s="30" t="s">
        <v>26</v>
      </c>
      <c r="AB752" s="30" t="s">
        <v>24</v>
      </c>
      <c r="AC752" s="27"/>
      <c r="AD752" s="31" t="s">
        <v>25</v>
      </c>
      <c r="AE752" s="32" t="str">
        <f t="shared" si="57"/>
        <v>✓ OK</v>
      </c>
      <c r="AF752" s="33" t="s">
        <v>27</v>
      </c>
      <c r="AG752" s="33" t="s">
        <v>23</v>
      </c>
      <c r="AH752" s="33" t="s">
        <v>24</v>
      </c>
      <c r="AI752" s="33" t="s">
        <v>25</v>
      </c>
      <c r="AJ752" s="33" t="s">
        <v>26</v>
      </c>
      <c r="AK752" s="33" t="s">
        <v>24</v>
      </c>
      <c r="AL752" s="27"/>
      <c r="AM752" s="34" t="s">
        <v>25</v>
      </c>
      <c r="AN752" s="35" t="str">
        <f t="shared" si="58"/>
        <v>✓ OK</v>
      </c>
      <c r="AO752" s="36"/>
      <c r="AP752" s="36"/>
      <c r="AQ752" s="36"/>
      <c r="AR752" s="36"/>
      <c r="AS752" s="36"/>
      <c r="AT752" s="36"/>
      <c r="AU752" s="27"/>
      <c r="AV752" s="37"/>
      <c r="AW752" s="38" t="str">
        <f t="shared" si="59"/>
        <v/>
      </c>
    </row>
    <row r="753" spans="1:49" ht="18" customHeight="1" x14ac:dyDescent="0.3">
      <c r="A753" s="23">
        <v>749</v>
      </c>
      <c r="B753" s="24" t="s">
        <v>3346</v>
      </c>
      <c r="C753" s="25" t="s">
        <v>3347</v>
      </c>
      <c r="D753" s="23" t="s">
        <v>2819</v>
      </c>
      <c r="E753" s="43">
        <v>46126</v>
      </c>
      <c r="F753" s="26" t="s">
        <v>23</v>
      </c>
      <c r="G753" s="26" t="s">
        <v>24</v>
      </c>
      <c r="H753" s="26" t="s">
        <v>25</v>
      </c>
      <c r="I753" s="26" t="s">
        <v>26</v>
      </c>
      <c r="J753" s="26" t="s">
        <v>24</v>
      </c>
      <c r="K753" s="27"/>
      <c r="L753" s="28" t="s">
        <v>25</v>
      </c>
      <c r="M753" s="29" t="str">
        <f t="shared" si="55"/>
        <v>✓ OK</v>
      </c>
      <c r="N753" s="43">
        <v>46193</v>
      </c>
      <c r="O753" s="26" t="s">
        <v>23</v>
      </c>
      <c r="P753" s="26" t="s">
        <v>24</v>
      </c>
      <c r="Q753" s="26" t="s">
        <v>25</v>
      </c>
      <c r="R753" s="26" t="s">
        <v>26</v>
      </c>
      <c r="S753" s="26" t="s">
        <v>24</v>
      </c>
      <c r="T753" s="27"/>
      <c r="U753" s="28" t="s">
        <v>25</v>
      </c>
      <c r="V753" s="29" t="str">
        <f t="shared" si="56"/>
        <v>✓ OK</v>
      </c>
      <c r="W753" s="45">
        <v>46248</v>
      </c>
      <c r="X753" s="30" t="s">
        <v>23</v>
      </c>
      <c r="Y753" s="30" t="s">
        <v>24</v>
      </c>
      <c r="Z753" s="30" t="s">
        <v>25</v>
      </c>
      <c r="AA753" s="30" t="s">
        <v>26</v>
      </c>
      <c r="AB753" s="30" t="s">
        <v>24</v>
      </c>
      <c r="AC753" s="27"/>
      <c r="AD753" s="31" t="s">
        <v>25</v>
      </c>
      <c r="AE753" s="32" t="str">
        <f t="shared" si="57"/>
        <v>✓ OK</v>
      </c>
      <c r="AF753" s="33" t="s">
        <v>27</v>
      </c>
      <c r="AG753" s="33" t="s">
        <v>23</v>
      </c>
      <c r="AH753" s="33" t="s">
        <v>24</v>
      </c>
      <c r="AI753" s="33" t="s">
        <v>25</v>
      </c>
      <c r="AJ753" s="33" t="s">
        <v>26</v>
      </c>
      <c r="AK753" s="33" t="s">
        <v>24</v>
      </c>
      <c r="AL753" s="27"/>
      <c r="AM753" s="34" t="s">
        <v>25</v>
      </c>
      <c r="AN753" s="35" t="str">
        <f t="shared" si="58"/>
        <v>✓ OK</v>
      </c>
      <c r="AO753" s="36"/>
      <c r="AP753" s="36"/>
      <c r="AQ753" s="36"/>
      <c r="AR753" s="36"/>
      <c r="AS753" s="36"/>
      <c r="AT753" s="36"/>
      <c r="AU753" s="27"/>
      <c r="AV753" s="37"/>
      <c r="AW753" s="38" t="str">
        <f t="shared" si="59"/>
        <v/>
      </c>
    </row>
    <row r="754" spans="1:49" ht="18" customHeight="1" x14ac:dyDescent="0.3">
      <c r="A754" s="39">
        <v>750</v>
      </c>
      <c r="B754" s="40" t="s">
        <v>3348</v>
      </c>
      <c r="C754" s="41" t="s">
        <v>3349</v>
      </c>
      <c r="D754" s="39" t="s">
        <v>2819</v>
      </c>
      <c r="E754" s="43">
        <v>46126</v>
      </c>
      <c r="F754" s="26" t="s">
        <v>23</v>
      </c>
      <c r="G754" s="26" t="s">
        <v>24</v>
      </c>
      <c r="H754" s="26" t="s">
        <v>25</v>
      </c>
      <c r="I754" s="26" t="s">
        <v>26</v>
      </c>
      <c r="J754" s="26" t="s">
        <v>24</v>
      </c>
      <c r="K754" s="27"/>
      <c r="L754" s="28" t="s">
        <v>25</v>
      </c>
      <c r="M754" s="29" t="str">
        <f t="shared" si="55"/>
        <v>✓ OK</v>
      </c>
      <c r="N754" s="43">
        <v>46193</v>
      </c>
      <c r="O754" s="26" t="s">
        <v>23</v>
      </c>
      <c r="P754" s="26" t="s">
        <v>24</v>
      </c>
      <c r="Q754" s="26" t="s">
        <v>25</v>
      </c>
      <c r="R754" s="26" t="s">
        <v>26</v>
      </c>
      <c r="S754" s="26" t="s">
        <v>24</v>
      </c>
      <c r="T754" s="27"/>
      <c r="U754" s="28" t="s">
        <v>25</v>
      </c>
      <c r="V754" s="29" t="str">
        <f t="shared" si="56"/>
        <v>✓ OK</v>
      </c>
      <c r="W754" s="45">
        <v>46248</v>
      </c>
      <c r="X754" s="30" t="s">
        <v>23</v>
      </c>
      <c r="Y754" s="30" t="s">
        <v>24</v>
      </c>
      <c r="Z754" s="30" t="s">
        <v>25</v>
      </c>
      <c r="AA754" s="30" t="s">
        <v>26</v>
      </c>
      <c r="AB754" s="30" t="s">
        <v>24</v>
      </c>
      <c r="AC754" s="27"/>
      <c r="AD754" s="31" t="s">
        <v>25</v>
      </c>
      <c r="AE754" s="32" t="str">
        <f t="shared" si="57"/>
        <v>✓ OK</v>
      </c>
      <c r="AF754" s="33" t="s">
        <v>27</v>
      </c>
      <c r="AG754" s="33" t="s">
        <v>23</v>
      </c>
      <c r="AH754" s="33" t="s">
        <v>24</v>
      </c>
      <c r="AI754" s="33" t="s">
        <v>25</v>
      </c>
      <c r="AJ754" s="33" t="s">
        <v>26</v>
      </c>
      <c r="AK754" s="33" t="s">
        <v>24</v>
      </c>
      <c r="AL754" s="27"/>
      <c r="AM754" s="34" t="s">
        <v>25</v>
      </c>
      <c r="AN754" s="35" t="str">
        <f t="shared" si="58"/>
        <v>✓ OK</v>
      </c>
      <c r="AO754" s="36"/>
      <c r="AP754" s="36"/>
      <c r="AQ754" s="36"/>
      <c r="AR754" s="36"/>
      <c r="AS754" s="36"/>
      <c r="AT754" s="36"/>
      <c r="AU754" s="27"/>
      <c r="AV754" s="37"/>
      <c r="AW754" s="38" t="str">
        <f t="shared" si="59"/>
        <v/>
      </c>
    </row>
    <row r="755" spans="1:49" ht="18" customHeight="1" x14ac:dyDescent="0.3">
      <c r="A755" s="23">
        <v>751</v>
      </c>
      <c r="B755" s="24" t="s">
        <v>3350</v>
      </c>
      <c r="C755" s="25" t="s">
        <v>3351</v>
      </c>
      <c r="D755" s="23" t="s">
        <v>2819</v>
      </c>
      <c r="E755" s="43">
        <v>46126</v>
      </c>
      <c r="F755" s="26" t="s">
        <v>23</v>
      </c>
      <c r="G755" s="26" t="s">
        <v>24</v>
      </c>
      <c r="H755" s="26" t="s">
        <v>25</v>
      </c>
      <c r="I755" s="26" t="s">
        <v>26</v>
      </c>
      <c r="J755" s="26" t="s">
        <v>24</v>
      </c>
      <c r="K755" s="27"/>
      <c r="L755" s="28" t="s">
        <v>25</v>
      </c>
      <c r="M755" s="29" t="str">
        <f t="shared" si="55"/>
        <v>✓ OK</v>
      </c>
      <c r="N755" s="43">
        <v>46193</v>
      </c>
      <c r="O755" s="26" t="s">
        <v>23</v>
      </c>
      <c r="P755" s="26" t="s">
        <v>24</v>
      </c>
      <c r="Q755" s="26" t="s">
        <v>25</v>
      </c>
      <c r="R755" s="26" t="s">
        <v>26</v>
      </c>
      <c r="S755" s="26" t="s">
        <v>24</v>
      </c>
      <c r="T755" s="27"/>
      <c r="U755" s="28" t="s">
        <v>25</v>
      </c>
      <c r="V755" s="29" t="str">
        <f t="shared" si="56"/>
        <v>✓ OK</v>
      </c>
      <c r="W755" s="45">
        <v>46248</v>
      </c>
      <c r="X755" s="30" t="s">
        <v>23</v>
      </c>
      <c r="Y755" s="30" t="s">
        <v>24</v>
      </c>
      <c r="Z755" s="30" t="s">
        <v>25</v>
      </c>
      <c r="AA755" s="30" t="s">
        <v>26</v>
      </c>
      <c r="AB755" s="30" t="s">
        <v>24</v>
      </c>
      <c r="AC755" s="27"/>
      <c r="AD755" s="31" t="s">
        <v>25</v>
      </c>
      <c r="AE755" s="32" t="str">
        <f t="shared" si="57"/>
        <v>✓ OK</v>
      </c>
      <c r="AF755" s="33" t="s">
        <v>27</v>
      </c>
      <c r="AG755" s="33" t="s">
        <v>23</v>
      </c>
      <c r="AH755" s="33" t="s">
        <v>24</v>
      </c>
      <c r="AI755" s="33" t="s">
        <v>25</v>
      </c>
      <c r="AJ755" s="33" t="s">
        <v>26</v>
      </c>
      <c r="AK755" s="33" t="s">
        <v>24</v>
      </c>
      <c r="AL755" s="27"/>
      <c r="AM755" s="34" t="s">
        <v>25</v>
      </c>
      <c r="AN755" s="35" t="str">
        <f t="shared" si="58"/>
        <v>✓ OK</v>
      </c>
      <c r="AO755" s="36"/>
      <c r="AP755" s="36"/>
      <c r="AQ755" s="36"/>
      <c r="AR755" s="36"/>
      <c r="AS755" s="36"/>
      <c r="AT755" s="36"/>
      <c r="AU755" s="27"/>
      <c r="AV755" s="37"/>
      <c r="AW755" s="38" t="str">
        <f t="shared" si="59"/>
        <v/>
      </c>
    </row>
    <row r="756" spans="1:49" ht="18" customHeight="1" x14ac:dyDescent="0.3">
      <c r="A756" s="39">
        <v>752</v>
      </c>
      <c r="B756" s="40" t="s">
        <v>3352</v>
      </c>
      <c r="C756" s="41" t="s">
        <v>3353</v>
      </c>
      <c r="D756" s="39" t="s">
        <v>2819</v>
      </c>
      <c r="E756" s="43">
        <v>46126</v>
      </c>
      <c r="F756" s="26" t="s">
        <v>23</v>
      </c>
      <c r="G756" s="26" t="s">
        <v>24</v>
      </c>
      <c r="H756" s="26" t="s">
        <v>25</v>
      </c>
      <c r="I756" s="26" t="s">
        <v>26</v>
      </c>
      <c r="J756" s="26" t="s">
        <v>24</v>
      </c>
      <c r="K756" s="27"/>
      <c r="L756" s="28" t="s">
        <v>25</v>
      </c>
      <c r="M756" s="29" t="str">
        <f t="shared" si="55"/>
        <v>✓ OK</v>
      </c>
      <c r="N756" s="43">
        <v>46193</v>
      </c>
      <c r="O756" s="26" t="s">
        <v>23</v>
      </c>
      <c r="P756" s="26" t="s">
        <v>24</v>
      </c>
      <c r="Q756" s="26" t="s">
        <v>25</v>
      </c>
      <c r="R756" s="26" t="s">
        <v>26</v>
      </c>
      <c r="S756" s="26" t="s">
        <v>24</v>
      </c>
      <c r="T756" s="27"/>
      <c r="U756" s="28" t="s">
        <v>25</v>
      </c>
      <c r="V756" s="29" t="str">
        <f t="shared" si="56"/>
        <v>✓ OK</v>
      </c>
      <c r="W756" s="45">
        <v>46248</v>
      </c>
      <c r="X756" s="30" t="s">
        <v>23</v>
      </c>
      <c r="Y756" s="30" t="s">
        <v>24</v>
      </c>
      <c r="Z756" s="30" t="s">
        <v>25</v>
      </c>
      <c r="AA756" s="30" t="s">
        <v>26</v>
      </c>
      <c r="AB756" s="30" t="s">
        <v>24</v>
      </c>
      <c r="AC756" s="27"/>
      <c r="AD756" s="31" t="s">
        <v>25</v>
      </c>
      <c r="AE756" s="32" t="str">
        <f t="shared" si="57"/>
        <v>✓ OK</v>
      </c>
      <c r="AF756" s="33" t="s">
        <v>27</v>
      </c>
      <c r="AG756" s="33" t="s">
        <v>23</v>
      </c>
      <c r="AH756" s="33" t="s">
        <v>24</v>
      </c>
      <c r="AI756" s="33" t="s">
        <v>25</v>
      </c>
      <c r="AJ756" s="33" t="s">
        <v>26</v>
      </c>
      <c r="AK756" s="33" t="s">
        <v>24</v>
      </c>
      <c r="AL756" s="27"/>
      <c r="AM756" s="34" t="s">
        <v>25</v>
      </c>
      <c r="AN756" s="35" t="str">
        <f t="shared" si="58"/>
        <v>✓ OK</v>
      </c>
      <c r="AO756" s="36"/>
      <c r="AP756" s="36"/>
      <c r="AQ756" s="36"/>
      <c r="AR756" s="36"/>
      <c r="AS756" s="36"/>
      <c r="AT756" s="36"/>
      <c r="AU756" s="27"/>
      <c r="AV756" s="37"/>
      <c r="AW756" s="38" t="str">
        <f t="shared" si="59"/>
        <v/>
      </c>
    </row>
    <row r="757" spans="1:49" ht="18" customHeight="1" x14ac:dyDescent="0.3">
      <c r="A757" s="23">
        <v>753</v>
      </c>
      <c r="B757" s="24" t="s">
        <v>3354</v>
      </c>
      <c r="C757" s="25" t="s">
        <v>3355</v>
      </c>
      <c r="D757" s="23" t="s">
        <v>2819</v>
      </c>
      <c r="E757" s="43">
        <v>46126</v>
      </c>
      <c r="F757" s="26" t="s">
        <v>23</v>
      </c>
      <c r="G757" s="26" t="s">
        <v>24</v>
      </c>
      <c r="H757" s="26" t="s">
        <v>25</v>
      </c>
      <c r="I757" s="26" t="s">
        <v>26</v>
      </c>
      <c r="J757" s="26" t="s">
        <v>24</v>
      </c>
      <c r="K757" s="27"/>
      <c r="L757" s="28" t="s">
        <v>25</v>
      </c>
      <c r="M757" s="29" t="str">
        <f t="shared" si="55"/>
        <v>✓ OK</v>
      </c>
      <c r="N757" s="43">
        <v>46193</v>
      </c>
      <c r="O757" s="26" t="s">
        <v>23</v>
      </c>
      <c r="P757" s="26" t="s">
        <v>24</v>
      </c>
      <c r="Q757" s="26" t="s">
        <v>25</v>
      </c>
      <c r="R757" s="26" t="s">
        <v>26</v>
      </c>
      <c r="S757" s="26" t="s">
        <v>24</v>
      </c>
      <c r="T757" s="27"/>
      <c r="U757" s="28" t="s">
        <v>25</v>
      </c>
      <c r="V757" s="29" t="str">
        <f t="shared" si="56"/>
        <v>✓ OK</v>
      </c>
      <c r="W757" s="45">
        <v>46248</v>
      </c>
      <c r="X757" s="30" t="s">
        <v>23</v>
      </c>
      <c r="Y757" s="30" t="s">
        <v>24</v>
      </c>
      <c r="Z757" s="30" t="s">
        <v>25</v>
      </c>
      <c r="AA757" s="30" t="s">
        <v>26</v>
      </c>
      <c r="AB757" s="30" t="s">
        <v>24</v>
      </c>
      <c r="AC757" s="27"/>
      <c r="AD757" s="31" t="s">
        <v>25</v>
      </c>
      <c r="AE757" s="32" t="str">
        <f t="shared" si="57"/>
        <v>✓ OK</v>
      </c>
      <c r="AF757" s="33" t="s">
        <v>27</v>
      </c>
      <c r="AG757" s="33" t="s">
        <v>23</v>
      </c>
      <c r="AH757" s="33" t="s">
        <v>24</v>
      </c>
      <c r="AI757" s="33" t="s">
        <v>25</v>
      </c>
      <c r="AJ757" s="33" t="s">
        <v>26</v>
      </c>
      <c r="AK757" s="33" t="s">
        <v>24</v>
      </c>
      <c r="AL757" s="27"/>
      <c r="AM757" s="34" t="s">
        <v>25</v>
      </c>
      <c r="AN757" s="35" t="str">
        <f t="shared" si="58"/>
        <v>✓ OK</v>
      </c>
      <c r="AO757" s="36"/>
      <c r="AP757" s="36"/>
      <c r="AQ757" s="36"/>
      <c r="AR757" s="36"/>
      <c r="AS757" s="36"/>
      <c r="AT757" s="36"/>
      <c r="AU757" s="27"/>
      <c r="AV757" s="37"/>
      <c r="AW757" s="38" t="str">
        <f t="shared" si="59"/>
        <v/>
      </c>
    </row>
    <row r="758" spans="1:49" ht="18" customHeight="1" x14ac:dyDescent="0.3">
      <c r="A758" s="39">
        <v>754</v>
      </c>
      <c r="B758" s="40" t="s">
        <v>3356</v>
      </c>
      <c r="C758" s="41" t="s">
        <v>3357</v>
      </c>
      <c r="D758" s="39" t="s">
        <v>2819</v>
      </c>
      <c r="E758" s="43">
        <v>46126</v>
      </c>
      <c r="F758" s="26" t="s">
        <v>23</v>
      </c>
      <c r="G758" s="26" t="s">
        <v>24</v>
      </c>
      <c r="H758" s="26" t="s">
        <v>25</v>
      </c>
      <c r="I758" s="26" t="s">
        <v>26</v>
      </c>
      <c r="J758" s="26" t="s">
        <v>24</v>
      </c>
      <c r="K758" s="27"/>
      <c r="L758" s="28" t="s">
        <v>25</v>
      </c>
      <c r="M758" s="29" t="str">
        <f t="shared" si="55"/>
        <v>✓ OK</v>
      </c>
      <c r="N758" s="43">
        <v>46193</v>
      </c>
      <c r="O758" s="26" t="s">
        <v>23</v>
      </c>
      <c r="P758" s="26" t="s">
        <v>24</v>
      </c>
      <c r="Q758" s="26" t="s">
        <v>25</v>
      </c>
      <c r="R758" s="26" t="s">
        <v>26</v>
      </c>
      <c r="S758" s="26" t="s">
        <v>24</v>
      </c>
      <c r="T758" s="27"/>
      <c r="U758" s="28" t="s">
        <v>25</v>
      </c>
      <c r="V758" s="29" t="str">
        <f t="shared" si="56"/>
        <v>✓ OK</v>
      </c>
      <c r="W758" s="45">
        <v>46248</v>
      </c>
      <c r="X758" s="30" t="s">
        <v>23</v>
      </c>
      <c r="Y758" s="30" t="s">
        <v>24</v>
      </c>
      <c r="Z758" s="30" t="s">
        <v>25</v>
      </c>
      <c r="AA758" s="30" t="s">
        <v>26</v>
      </c>
      <c r="AB758" s="30" t="s">
        <v>24</v>
      </c>
      <c r="AC758" s="27"/>
      <c r="AD758" s="31" t="s">
        <v>25</v>
      </c>
      <c r="AE758" s="32" t="str">
        <f t="shared" si="57"/>
        <v>✓ OK</v>
      </c>
      <c r="AF758" s="33" t="s">
        <v>27</v>
      </c>
      <c r="AG758" s="33" t="s">
        <v>23</v>
      </c>
      <c r="AH758" s="33" t="s">
        <v>24</v>
      </c>
      <c r="AI758" s="33" t="s">
        <v>25</v>
      </c>
      <c r="AJ758" s="33" t="s">
        <v>26</v>
      </c>
      <c r="AK758" s="33" t="s">
        <v>24</v>
      </c>
      <c r="AL758" s="27"/>
      <c r="AM758" s="34" t="s">
        <v>25</v>
      </c>
      <c r="AN758" s="35" t="str">
        <f t="shared" si="58"/>
        <v>✓ OK</v>
      </c>
      <c r="AO758" s="36"/>
      <c r="AP758" s="36"/>
      <c r="AQ758" s="36"/>
      <c r="AR758" s="36"/>
      <c r="AS758" s="36"/>
      <c r="AT758" s="36"/>
      <c r="AU758" s="27"/>
      <c r="AV758" s="37"/>
      <c r="AW758" s="38" t="str">
        <f t="shared" si="59"/>
        <v/>
      </c>
    </row>
    <row r="759" spans="1:49" ht="18" customHeight="1" x14ac:dyDescent="0.3">
      <c r="A759" s="23">
        <v>755</v>
      </c>
      <c r="B759" s="24" t="s">
        <v>3358</v>
      </c>
      <c r="C759" s="25" t="s">
        <v>3359</v>
      </c>
      <c r="D759" s="23" t="s">
        <v>2819</v>
      </c>
      <c r="E759" s="43">
        <v>46126</v>
      </c>
      <c r="F759" s="26" t="s">
        <v>23</v>
      </c>
      <c r="G759" s="26" t="s">
        <v>24</v>
      </c>
      <c r="H759" s="26" t="s">
        <v>25</v>
      </c>
      <c r="I759" s="26" t="s">
        <v>26</v>
      </c>
      <c r="J759" s="26" t="s">
        <v>24</v>
      </c>
      <c r="K759" s="27"/>
      <c r="L759" s="28" t="s">
        <v>25</v>
      </c>
      <c r="M759" s="29" t="str">
        <f t="shared" si="55"/>
        <v>✓ OK</v>
      </c>
      <c r="N759" s="43">
        <v>46193</v>
      </c>
      <c r="O759" s="26" t="s">
        <v>23</v>
      </c>
      <c r="P759" s="26" t="s">
        <v>24</v>
      </c>
      <c r="Q759" s="26" t="s">
        <v>25</v>
      </c>
      <c r="R759" s="26" t="s">
        <v>26</v>
      </c>
      <c r="S759" s="26" t="s">
        <v>24</v>
      </c>
      <c r="T759" s="27"/>
      <c r="U759" s="28" t="s">
        <v>25</v>
      </c>
      <c r="V759" s="29" t="str">
        <f t="shared" si="56"/>
        <v>✓ OK</v>
      </c>
      <c r="W759" s="45">
        <v>46248</v>
      </c>
      <c r="X759" s="30" t="s">
        <v>23</v>
      </c>
      <c r="Y759" s="30" t="s">
        <v>24</v>
      </c>
      <c r="Z759" s="30" t="s">
        <v>25</v>
      </c>
      <c r="AA759" s="30" t="s">
        <v>26</v>
      </c>
      <c r="AB759" s="30" t="s">
        <v>24</v>
      </c>
      <c r="AC759" s="27"/>
      <c r="AD759" s="31" t="s">
        <v>25</v>
      </c>
      <c r="AE759" s="32" t="str">
        <f t="shared" si="57"/>
        <v>✓ OK</v>
      </c>
      <c r="AF759" s="33" t="s">
        <v>27</v>
      </c>
      <c r="AG759" s="33" t="s">
        <v>23</v>
      </c>
      <c r="AH759" s="33" t="s">
        <v>24</v>
      </c>
      <c r="AI759" s="33" t="s">
        <v>25</v>
      </c>
      <c r="AJ759" s="33" t="s">
        <v>26</v>
      </c>
      <c r="AK759" s="33" t="s">
        <v>24</v>
      </c>
      <c r="AL759" s="27"/>
      <c r="AM759" s="34" t="s">
        <v>25</v>
      </c>
      <c r="AN759" s="35" t="str">
        <f t="shared" si="58"/>
        <v>✓ OK</v>
      </c>
      <c r="AO759" s="36"/>
      <c r="AP759" s="36"/>
      <c r="AQ759" s="36"/>
      <c r="AR759" s="36"/>
      <c r="AS759" s="36"/>
      <c r="AT759" s="36"/>
      <c r="AU759" s="27"/>
      <c r="AV759" s="37"/>
      <c r="AW759" s="38" t="str">
        <f t="shared" si="59"/>
        <v/>
      </c>
    </row>
    <row r="760" spans="1:49" ht="18" customHeight="1" x14ac:dyDescent="0.3">
      <c r="A760" s="39">
        <v>756</v>
      </c>
      <c r="B760" s="40" t="s">
        <v>3360</v>
      </c>
      <c r="C760" s="41" t="s">
        <v>3361</v>
      </c>
      <c r="D760" s="39" t="s">
        <v>2819</v>
      </c>
      <c r="E760" s="43">
        <v>46126</v>
      </c>
      <c r="F760" s="26" t="s">
        <v>23</v>
      </c>
      <c r="G760" s="26" t="s">
        <v>24</v>
      </c>
      <c r="H760" s="26" t="s">
        <v>25</v>
      </c>
      <c r="I760" s="26" t="s">
        <v>26</v>
      </c>
      <c r="J760" s="26" t="s">
        <v>24</v>
      </c>
      <c r="K760" s="27"/>
      <c r="L760" s="28" t="s">
        <v>25</v>
      </c>
      <c r="M760" s="29" t="str">
        <f t="shared" si="55"/>
        <v>✓ OK</v>
      </c>
      <c r="N760" s="43">
        <v>46193</v>
      </c>
      <c r="O760" s="26" t="s">
        <v>23</v>
      </c>
      <c r="P760" s="26" t="s">
        <v>24</v>
      </c>
      <c r="Q760" s="26" t="s">
        <v>25</v>
      </c>
      <c r="R760" s="26" t="s">
        <v>26</v>
      </c>
      <c r="S760" s="26" t="s">
        <v>24</v>
      </c>
      <c r="T760" s="27"/>
      <c r="U760" s="28" t="s">
        <v>25</v>
      </c>
      <c r="V760" s="29" t="str">
        <f t="shared" si="56"/>
        <v>✓ OK</v>
      </c>
      <c r="W760" s="45">
        <v>46248</v>
      </c>
      <c r="X760" s="30" t="s">
        <v>23</v>
      </c>
      <c r="Y760" s="30" t="s">
        <v>24</v>
      </c>
      <c r="Z760" s="30" t="s">
        <v>25</v>
      </c>
      <c r="AA760" s="30" t="s">
        <v>26</v>
      </c>
      <c r="AB760" s="30" t="s">
        <v>24</v>
      </c>
      <c r="AC760" s="27"/>
      <c r="AD760" s="31" t="s">
        <v>25</v>
      </c>
      <c r="AE760" s="32" t="str">
        <f t="shared" si="57"/>
        <v>✓ OK</v>
      </c>
      <c r="AF760" s="33" t="s">
        <v>27</v>
      </c>
      <c r="AG760" s="33" t="s">
        <v>23</v>
      </c>
      <c r="AH760" s="33" t="s">
        <v>24</v>
      </c>
      <c r="AI760" s="33" t="s">
        <v>25</v>
      </c>
      <c r="AJ760" s="33" t="s">
        <v>26</v>
      </c>
      <c r="AK760" s="33" t="s">
        <v>24</v>
      </c>
      <c r="AL760" s="27"/>
      <c r="AM760" s="34" t="s">
        <v>25</v>
      </c>
      <c r="AN760" s="35" t="str">
        <f t="shared" si="58"/>
        <v>✓ OK</v>
      </c>
      <c r="AO760" s="36"/>
      <c r="AP760" s="36"/>
      <c r="AQ760" s="36"/>
      <c r="AR760" s="36"/>
      <c r="AS760" s="36"/>
      <c r="AT760" s="36"/>
      <c r="AU760" s="27"/>
      <c r="AV760" s="37"/>
      <c r="AW760" s="38" t="str">
        <f t="shared" si="59"/>
        <v/>
      </c>
    </row>
    <row r="761" spans="1:49" ht="18" customHeight="1" x14ac:dyDescent="0.3">
      <c r="A761" s="23">
        <v>757</v>
      </c>
      <c r="B761" s="24" t="s">
        <v>3362</v>
      </c>
      <c r="C761" s="25" t="s">
        <v>3363</v>
      </c>
      <c r="D761" s="23" t="s">
        <v>2819</v>
      </c>
      <c r="E761" s="43">
        <v>46126</v>
      </c>
      <c r="F761" s="26" t="s">
        <v>23</v>
      </c>
      <c r="G761" s="26" t="s">
        <v>24</v>
      </c>
      <c r="H761" s="26" t="s">
        <v>25</v>
      </c>
      <c r="I761" s="26" t="s">
        <v>26</v>
      </c>
      <c r="J761" s="26" t="s">
        <v>24</v>
      </c>
      <c r="K761" s="27"/>
      <c r="L761" s="28" t="s">
        <v>25</v>
      </c>
      <c r="M761" s="29" t="str">
        <f t="shared" si="55"/>
        <v>✓ OK</v>
      </c>
      <c r="N761" s="43">
        <v>46193</v>
      </c>
      <c r="O761" s="26" t="s">
        <v>23</v>
      </c>
      <c r="P761" s="26" t="s">
        <v>24</v>
      </c>
      <c r="Q761" s="26" t="s">
        <v>25</v>
      </c>
      <c r="R761" s="26" t="s">
        <v>26</v>
      </c>
      <c r="S761" s="26" t="s">
        <v>24</v>
      </c>
      <c r="T761" s="27"/>
      <c r="U761" s="28" t="s">
        <v>25</v>
      </c>
      <c r="V761" s="29" t="str">
        <f t="shared" si="56"/>
        <v>✓ OK</v>
      </c>
      <c r="W761" s="45">
        <v>46248</v>
      </c>
      <c r="X761" s="30" t="s">
        <v>23</v>
      </c>
      <c r="Y761" s="30" t="s">
        <v>24</v>
      </c>
      <c r="Z761" s="30" t="s">
        <v>25</v>
      </c>
      <c r="AA761" s="30" t="s">
        <v>26</v>
      </c>
      <c r="AB761" s="30" t="s">
        <v>24</v>
      </c>
      <c r="AC761" s="27"/>
      <c r="AD761" s="31" t="s">
        <v>25</v>
      </c>
      <c r="AE761" s="32" t="str">
        <f t="shared" si="57"/>
        <v>✓ OK</v>
      </c>
      <c r="AF761" s="33" t="s">
        <v>27</v>
      </c>
      <c r="AG761" s="33" t="s">
        <v>23</v>
      </c>
      <c r="AH761" s="33" t="s">
        <v>24</v>
      </c>
      <c r="AI761" s="33" t="s">
        <v>25</v>
      </c>
      <c r="AJ761" s="33" t="s">
        <v>26</v>
      </c>
      <c r="AK761" s="33" t="s">
        <v>24</v>
      </c>
      <c r="AL761" s="27"/>
      <c r="AM761" s="34" t="s">
        <v>25</v>
      </c>
      <c r="AN761" s="35" t="str">
        <f t="shared" si="58"/>
        <v>✓ OK</v>
      </c>
      <c r="AO761" s="36"/>
      <c r="AP761" s="36"/>
      <c r="AQ761" s="36"/>
      <c r="AR761" s="36"/>
      <c r="AS761" s="36"/>
      <c r="AT761" s="36"/>
      <c r="AU761" s="27"/>
      <c r="AV761" s="37"/>
      <c r="AW761" s="38" t="str">
        <f t="shared" si="59"/>
        <v/>
      </c>
    </row>
    <row r="762" spans="1:49" ht="18" customHeight="1" x14ac:dyDescent="0.3">
      <c r="A762" s="39">
        <v>758</v>
      </c>
      <c r="B762" s="40" t="s">
        <v>3364</v>
      </c>
      <c r="C762" s="41" t="s">
        <v>3365</v>
      </c>
      <c r="D762" s="39" t="s">
        <v>2819</v>
      </c>
      <c r="E762" s="43">
        <v>46126</v>
      </c>
      <c r="F762" s="26" t="s">
        <v>23</v>
      </c>
      <c r="G762" s="26" t="s">
        <v>24</v>
      </c>
      <c r="H762" s="26" t="s">
        <v>25</v>
      </c>
      <c r="I762" s="26" t="s">
        <v>26</v>
      </c>
      <c r="J762" s="26" t="s">
        <v>24</v>
      </c>
      <c r="K762" s="27"/>
      <c r="L762" s="28" t="s">
        <v>25</v>
      </c>
      <c r="M762" s="29" t="str">
        <f t="shared" si="55"/>
        <v>✓ OK</v>
      </c>
      <c r="N762" s="43">
        <v>46193</v>
      </c>
      <c r="O762" s="26" t="s">
        <v>23</v>
      </c>
      <c r="P762" s="26" t="s">
        <v>24</v>
      </c>
      <c r="Q762" s="26" t="s">
        <v>25</v>
      </c>
      <c r="R762" s="26" t="s">
        <v>26</v>
      </c>
      <c r="S762" s="26" t="s">
        <v>24</v>
      </c>
      <c r="T762" s="27"/>
      <c r="U762" s="28" t="s">
        <v>25</v>
      </c>
      <c r="V762" s="29" t="str">
        <f t="shared" si="56"/>
        <v>✓ OK</v>
      </c>
      <c r="W762" s="45">
        <v>46248</v>
      </c>
      <c r="X762" s="30" t="s">
        <v>23</v>
      </c>
      <c r="Y762" s="30" t="s">
        <v>24</v>
      </c>
      <c r="Z762" s="30" t="s">
        <v>25</v>
      </c>
      <c r="AA762" s="30" t="s">
        <v>26</v>
      </c>
      <c r="AB762" s="30" t="s">
        <v>24</v>
      </c>
      <c r="AC762" s="27"/>
      <c r="AD762" s="31" t="s">
        <v>25</v>
      </c>
      <c r="AE762" s="32" t="str">
        <f t="shared" si="57"/>
        <v>✓ OK</v>
      </c>
      <c r="AF762" s="33" t="s">
        <v>27</v>
      </c>
      <c r="AG762" s="33" t="s">
        <v>23</v>
      </c>
      <c r="AH762" s="33" t="s">
        <v>24</v>
      </c>
      <c r="AI762" s="33" t="s">
        <v>25</v>
      </c>
      <c r="AJ762" s="33" t="s">
        <v>26</v>
      </c>
      <c r="AK762" s="33" t="s">
        <v>24</v>
      </c>
      <c r="AL762" s="27"/>
      <c r="AM762" s="34" t="s">
        <v>25</v>
      </c>
      <c r="AN762" s="35" t="str">
        <f t="shared" si="58"/>
        <v>✓ OK</v>
      </c>
      <c r="AO762" s="36"/>
      <c r="AP762" s="36"/>
      <c r="AQ762" s="36"/>
      <c r="AR762" s="36"/>
      <c r="AS762" s="36"/>
      <c r="AT762" s="36"/>
      <c r="AU762" s="27"/>
      <c r="AV762" s="37"/>
      <c r="AW762" s="38" t="str">
        <f t="shared" si="59"/>
        <v/>
      </c>
    </row>
    <row r="763" spans="1:49" ht="18" customHeight="1" x14ac:dyDescent="0.3">
      <c r="A763" s="23">
        <v>759</v>
      </c>
      <c r="B763" s="24" t="s">
        <v>3366</v>
      </c>
      <c r="C763" s="25" t="s">
        <v>3367</v>
      </c>
      <c r="D763" s="23" t="s">
        <v>2819</v>
      </c>
      <c r="E763" s="43">
        <v>46126</v>
      </c>
      <c r="F763" s="26" t="s">
        <v>23</v>
      </c>
      <c r="G763" s="26" t="s">
        <v>24</v>
      </c>
      <c r="H763" s="26" t="s">
        <v>25</v>
      </c>
      <c r="I763" s="26" t="s">
        <v>26</v>
      </c>
      <c r="J763" s="26" t="s">
        <v>24</v>
      </c>
      <c r="K763" s="27"/>
      <c r="L763" s="28" t="s">
        <v>25</v>
      </c>
      <c r="M763" s="29" t="str">
        <f t="shared" si="55"/>
        <v>✓ OK</v>
      </c>
      <c r="N763" s="43">
        <v>46193</v>
      </c>
      <c r="O763" s="26" t="s">
        <v>23</v>
      </c>
      <c r="P763" s="26" t="s">
        <v>24</v>
      </c>
      <c r="Q763" s="26" t="s">
        <v>25</v>
      </c>
      <c r="R763" s="26" t="s">
        <v>26</v>
      </c>
      <c r="S763" s="26" t="s">
        <v>24</v>
      </c>
      <c r="T763" s="27"/>
      <c r="U763" s="28" t="s">
        <v>25</v>
      </c>
      <c r="V763" s="29" t="str">
        <f t="shared" si="56"/>
        <v>✓ OK</v>
      </c>
      <c r="W763" s="45">
        <v>46248</v>
      </c>
      <c r="X763" s="30" t="s">
        <v>23</v>
      </c>
      <c r="Y763" s="30" t="s">
        <v>24</v>
      </c>
      <c r="Z763" s="30" t="s">
        <v>25</v>
      </c>
      <c r="AA763" s="30" t="s">
        <v>26</v>
      </c>
      <c r="AB763" s="30" t="s">
        <v>24</v>
      </c>
      <c r="AC763" s="27"/>
      <c r="AD763" s="31" t="s">
        <v>25</v>
      </c>
      <c r="AE763" s="32" t="str">
        <f t="shared" si="57"/>
        <v>✓ OK</v>
      </c>
      <c r="AF763" s="33" t="s">
        <v>27</v>
      </c>
      <c r="AG763" s="33" t="s">
        <v>23</v>
      </c>
      <c r="AH763" s="33" t="s">
        <v>24</v>
      </c>
      <c r="AI763" s="33" t="s">
        <v>25</v>
      </c>
      <c r="AJ763" s="33" t="s">
        <v>26</v>
      </c>
      <c r="AK763" s="33" t="s">
        <v>24</v>
      </c>
      <c r="AL763" s="27"/>
      <c r="AM763" s="34" t="s">
        <v>25</v>
      </c>
      <c r="AN763" s="35" t="str">
        <f t="shared" si="58"/>
        <v>✓ OK</v>
      </c>
      <c r="AO763" s="36"/>
      <c r="AP763" s="36"/>
      <c r="AQ763" s="36"/>
      <c r="AR763" s="36"/>
      <c r="AS763" s="36"/>
      <c r="AT763" s="36"/>
      <c r="AU763" s="27"/>
      <c r="AV763" s="37"/>
      <c r="AW763" s="38" t="str">
        <f t="shared" si="59"/>
        <v/>
      </c>
    </row>
    <row r="764" spans="1:49" ht="18" customHeight="1" x14ac:dyDescent="0.3">
      <c r="A764" s="39">
        <v>760</v>
      </c>
      <c r="B764" s="40" t="s">
        <v>3368</v>
      </c>
      <c r="C764" s="41" t="s">
        <v>3369</v>
      </c>
      <c r="D764" s="39" t="s">
        <v>2819</v>
      </c>
      <c r="E764" s="43">
        <v>46126</v>
      </c>
      <c r="F764" s="26" t="s">
        <v>23</v>
      </c>
      <c r="G764" s="26" t="s">
        <v>24</v>
      </c>
      <c r="H764" s="26" t="s">
        <v>25</v>
      </c>
      <c r="I764" s="26" t="s">
        <v>26</v>
      </c>
      <c r="J764" s="26" t="s">
        <v>24</v>
      </c>
      <c r="K764" s="27"/>
      <c r="L764" s="28" t="s">
        <v>25</v>
      </c>
      <c r="M764" s="29" t="str">
        <f t="shared" si="55"/>
        <v>✓ OK</v>
      </c>
      <c r="N764" s="43">
        <v>46193</v>
      </c>
      <c r="O764" s="26" t="s">
        <v>23</v>
      </c>
      <c r="P764" s="26" t="s">
        <v>24</v>
      </c>
      <c r="Q764" s="26" t="s">
        <v>25</v>
      </c>
      <c r="R764" s="26" t="s">
        <v>26</v>
      </c>
      <c r="S764" s="26" t="s">
        <v>24</v>
      </c>
      <c r="T764" s="27"/>
      <c r="U764" s="28" t="s">
        <v>25</v>
      </c>
      <c r="V764" s="29" t="str">
        <f t="shared" si="56"/>
        <v>✓ OK</v>
      </c>
      <c r="W764" s="45">
        <v>46248</v>
      </c>
      <c r="X764" s="30" t="s">
        <v>23</v>
      </c>
      <c r="Y764" s="30" t="s">
        <v>24</v>
      </c>
      <c r="Z764" s="30" t="s">
        <v>25</v>
      </c>
      <c r="AA764" s="30" t="s">
        <v>26</v>
      </c>
      <c r="AB764" s="30" t="s">
        <v>24</v>
      </c>
      <c r="AC764" s="27"/>
      <c r="AD764" s="31" t="s">
        <v>25</v>
      </c>
      <c r="AE764" s="32" t="str">
        <f t="shared" si="57"/>
        <v>✓ OK</v>
      </c>
      <c r="AF764" s="33" t="s">
        <v>27</v>
      </c>
      <c r="AG764" s="33" t="s">
        <v>23</v>
      </c>
      <c r="AH764" s="33" t="s">
        <v>24</v>
      </c>
      <c r="AI764" s="33" t="s">
        <v>25</v>
      </c>
      <c r="AJ764" s="33" t="s">
        <v>26</v>
      </c>
      <c r="AK764" s="33" t="s">
        <v>24</v>
      </c>
      <c r="AL764" s="27"/>
      <c r="AM764" s="34" t="s">
        <v>25</v>
      </c>
      <c r="AN764" s="35" t="str">
        <f t="shared" si="58"/>
        <v>✓ OK</v>
      </c>
      <c r="AO764" s="36"/>
      <c r="AP764" s="36"/>
      <c r="AQ764" s="36"/>
      <c r="AR764" s="36"/>
      <c r="AS764" s="36"/>
      <c r="AT764" s="36"/>
      <c r="AU764" s="27"/>
      <c r="AV764" s="37"/>
      <c r="AW764" s="38" t="str">
        <f t="shared" si="59"/>
        <v/>
      </c>
    </row>
    <row r="765" spans="1:49" ht="18" customHeight="1" x14ac:dyDescent="0.3">
      <c r="A765" s="23">
        <v>761</v>
      </c>
      <c r="B765" s="24" t="s">
        <v>3370</v>
      </c>
      <c r="C765" s="25" t="s">
        <v>3371</v>
      </c>
      <c r="D765" s="23" t="s">
        <v>2819</v>
      </c>
      <c r="E765" s="43">
        <v>46126</v>
      </c>
      <c r="F765" s="26" t="s">
        <v>23</v>
      </c>
      <c r="G765" s="26" t="s">
        <v>24</v>
      </c>
      <c r="H765" s="26" t="s">
        <v>25</v>
      </c>
      <c r="I765" s="26" t="s">
        <v>26</v>
      </c>
      <c r="J765" s="26" t="s">
        <v>24</v>
      </c>
      <c r="K765" s="27"/>
      <c r="L765" s="28" t="s">
        <v>25</v>
      </c>
      <c r="M765" s="29" t="str">
        <f t="shared" si="55"/>
        <v>✓ OK</v>
      </c>
      <c r="N765" s="43">
        <v>46193</v>
      </c>
      <c r="O765" s="26" t="s">
        <v>23</v>
      </c>
      <c r="P765" s="26" t="s">
        <v>24</v>
      </c>
      <c r="Q765" s="26" t="s">
        <v>25</v>
      </c>
      <c r="R765" s="26" t="s">
        <v>26</v>
      </c>
      <c r="S765" s="26" t="s">
        <v>24</v>
      </c>
      <c r="T765" s="27"/>
      <c r="U765" s="28" t="s">
        <v>25</v>
      </c>
      <c r="V765" s="29" t="str">
        <f t="shared" si="56"/>
        <v>✓ OK</v>
      </c>
      <c r="W765" s="45">
        <v>46248</v>
      </c>
      <c r="X765" s="30" t="s">
        <v>23</v>
      </c>
      <c r="Y765" s="30" t="s">
        <v>24</v>
      </c>
      <c r="Z765" s="30" t="s">
        <v>25</v>
      </c>
      <c r="AA765" s="30" t="s">
        <v>26</v>
      </c>
      <c r="AB765" s="30" t="s">
        <v>24</v>
      </c>
      <c r="AC765" s="27"/>
      <c r="AD765" s="31" t="s">
        <v>25</v>
      </c>
      <c r="AE765" s="32" t="str">
        <f t="shared" si="57"/>
        <v>✓ OK</v>
      </c>
      <c r="AF765" s="33" t="s">
        <v>27</v>
      </c>
      <c r="AG765" s="33" t="s">
        <v>23</v>
      </c>
      <c r="AH765" s="33" t="s">
        <v>24</v>
      </c>
      <c r="AI765" s="33" t="s">
        <v>25</v>
      </c>
      <c r="AJ765" s="33" t="s">
        <v>26</v>
      </c>
      <c r="AK765" s="33" t="s">
        <v>24</v>
      </c>
      <c r="AL765" s="27"/>
      <c r="AM765" s="34" t="s">
        <v>25</v>
      </c>
      <c r="AN765" s="35" t="str">
        <f t="shared" si="58"/>
        <v>✓ OK</v>
      </c>
      <c r="AO765" s="36"/>
      <c r="AP765" s="36"/>
      <c r="AQ765" s="36"/>
      <c r="AR765" s="36"/>
      <c r="AS765" s="36"/>
      <c r="AT765" s="36"/>
      <c r="AU765" s="27"/>
      <c r="AV765" s="37"/>
      <c r="AW765" s="38" t="str">
        <f t="shared" si="59"/>
        <v/>
      </c>
    </row>
    <row r="766" spans="1:49" ht="18" customHeight="1" x14ac:dyDescent="0.3">
      <c r="A766" s="39">
        <v>762</v>
      </c>
      <c r="B766" s="40" t="s">
        <v>3372</v>
      </c>
      <c r="C766" s="41" t="s">
        <v>3373</v>
      </c>
      <c r="D766" s="39" t="s">
        <v>2819</v>
      </c>
      <c r="E766" s="43">
        <v>46126</v>
      </c>
      <c r="F766" s="26" t="s">
        <v>23</v>
      </c>
      <c r="G766" s="26" t="s">
        <v>24</v>
      </c>
      <c r="H766" s="26" t="s">
        <v>25</v>
      </c>
      <c r="I766" s="26" t="s">
        <v>26</v>
      </c>
      <c r="J766" s="26" t="s">
        <v>24</v>
      </c>
      <c r="K766" s="27"/>
      <c r="L766" s="28" t="s">
        <v>25</v>
      </c>
      <c r="M766" s="29" t="str">
        <f t="shared" si="55"/>
        <v>✓ OK</v>
      </c>
      <c r="N766" s="43">
        <v>46193</v>
      </c>
      <c r="O766" s="26" t="s">
        <v>23</v>
      </c>
      <c r="P766" s="26" t="s">
        <v>24</v>
      </c>
      <c r="Q766" s="26" t="s">
        <v>25</v>
      </c>
      <c r="R766" s="26" t="s">
        <v>26</v>
      </c>
      <c r="S766" s="26" t="s">
        <v>24</v>
      </c>
      <c r="T766" s="27"/>
      <c r="U766" s="28" t="s">
        <v>25</v>
      </c>
      <c r="V766" s="29" t="str">
        <f t="shared" si="56"/>
        <v>✓ OK</v>
      </c>
      <c r="W766" s="45">
        <v>46248</v>
      </c>
      <c r="X766" s="30" t="s">
        <v>23</v>
      </c>
      <c r="Y766" s="30" t="s">
        <v>24</v>
      </c>
      <c r="Z766" s="30" t="s">
        <v>25</v>
      </c>
      <c r="AA766" s="30" t="s">
        <v>26</v>
      </c>
      <c r="AB766" s="30" t="s">
        <v>24</v>
      </c>
      <c r="AC766" s="27"/>
      <c r="AD766" s="31" t="s">
        <v>25</v>
      </c>
      <c r="AE766" s="32" t="str">
        <f t="shared" si="57"/>
        <v>✓ OK</v>
      </c>
      <c r="AF766" s="33" t="s">
        <v>27</v>
      </c>
      <c r="AG766" s="33" t="s">
        <v>23</v>
      </c>
      <c r="AH766" s="33" t="s">
        <v>24</v>
      </c>
      <c r="AI766" s="33" t="s">
        <v>25</v>
      </c>
      <c r="AJ766" s="33" t="s">
        <v>26</v>
      </c>
      <c r="AK766" s="33" t="s">
        <v>24</v>
      </c>
      <c r="AL766" s="27"/>
      <c r="AM766" s="34" t="s">
        <v>25</v>
      </c>
      <c r="AN766" s="35" t="str">
        <f t="shared" si="58"/>
        <v>✓ OK</v>
      </c>
      <c r="AO766" s="36"/>
      <c r="AP766" s="36"/>
      <c r="AQ766" s="36"/>
      <c r="AR766" s="36"/>
      <c r="AS766" s="36"/>
      <c r="AT766" s="36"/>
      <c r="AU766" s="27"/>
      <c r="AV766" s="37"/>
      <c r="AW766" s="38" t="str">
        <f t="shared" si="59"/>
        <v/>
      </c>
    </row>
    <row r="767" spans="1:49" ht="18" customHeight="1" x14ac:dyDescent="0.3">
      <c r="A767" s="23">
        <v>763</v>
      </c>
      <c r="B767" s="24" t="s">
        <v>3374</v>
      </c>
      <c r="C767" s="25" t="s">
        <v>3375</v>
      </c>
      <c r="D767" s="23" t="s">
        <v>2819</v>
      </c>
      <c r="E767" s="43">
        <v>46126</v>
      </c>
      <c r="F767" s="26" t="s">
        <v>23</v>
      </c>
      <c r="G767" s="26" t="s">
        <v>24</v>
      </c>
      <c r="H767" s="26" t="s">
        <v>25</v>
      </c>
      <c r="I767" s="26" t="s">
        <v>26</v>
      </c>
      <c r="J767" s="26" t="s">
        <v>24</v>
      </c>
      <c r="K767" s="27"/>
      <c r="L767" s="28" t="s">
        <v>25</v>
      </c>
      <c r="M767" s="29" t="str">
        <f t="shared" si="55"/>
        <v>✓ OK</v>
      </c>
      <c r="N767" s="43">
        <v>46193</v>
      </c>
      <c r="O767" s="26" t="s">
        <v>23</v>
      </c>
      <c r="P767" s="26" t="s">
        <v>24</v>
      </c>
      <c r="Q767" s="26" t="s">
        <v>25</v>
      </c>
      <c r="R767" s="26" t="s">
        <v>26</v>
      </c>
      <c r="S767" s="26" t="s">
        <v>24</v>
      </c>
      <c r="T767" s="27"/>
      <c r="U767" s="28" t="s">
        <v>25</v>
      </c>
      <c r="V767" s="29" t="str">
        <f t="shared" si="56"/>
        <v>✓ OK</v>
      </c>
      <c r="W767" s="45">
        <v>46248</v>
      </c>
      <c r="X767" s="30" t="s">
        <v>23</v>
      </c>
      <c r="Y767" s="30" t="s">
        <v>24</v>
      </c>
      <c r="Z767" s="30" t="s">
        <v>25</v>
      </c>
      <c r="AA767" s="30" t="s">
        <v>26</v>
      </c>
      <c r="AB767" s="30" t="s">
        <v>24</v>
      </c>
      <c r="AC767" s="27"/>
      <c r="AD767" s="31" t="s">
        <v>25</v>
      </c>
      <c r="AE767" s="32" t="str">
        <f t="shared" si="57"/>
        <v>✓ OK</v>
      </c>
      <c r="AF767" s="33" t="s">
        <v>27</v>
      </c>
      <c r="AG767" s="33" t="s">
        <v>23</v>
      </c>
      <c r="AH767" s="33" t="s">
        <v>24</v>
      </c>
      <c r="AI767" s="33" t="s">
        <v>25</v>
      </c>
      <c r="AJ767" s="33" t="s">
        <v>26</v>
      </c>
      <c r="AK767" s="33" t="s">
        <v>24</v>
      </c>
      <c r="AL767" s="27"/>
      <c r="AM767" s="34" t="s">
        <v>25</v>
      </c>
      <c r="AN767" s="35" t="str">
        <f t="shared" si="58"/>
        <v>✓ OK</v>
      </c>
      <c r="AO767" s="36"/>
      <c r="AP767" s="36"/>
      <c r="AQ767" s="36"/>
      <c r="AR767" s="36"/>
      <c r="AS767" s="36"/>
      <c r="AT767" s="36"/>
      <c r="AU767" s="27"/>
      <c r="AV767" s="37"/>
      <c r="AW767" s="38" t="str">
        <f t="shared" si="59"/>
        <v/>
      </c>
    </row>
    <row r="768" spans="1:49" ht="18" customHeight="1" x14ac:dyDescent="0.3">
      <c r="A768" s="39">
        <v>764</v>
      </c>
      <c r="B768" s="40" t="s">
        <v>3376</v>
      </c>
      <c r="C768" s="41" t="s">
        <v>3377</v>
      </c>
      <c r="D768" s="39" t="s">
        <v>2819</v>
      </c>
      <c r="E768" s="43">
        <v>46126</v>
      </c>
      <c r="F768" s="26" t="s">
        <v>23</v>
      </c>
      <c r="G768" s="26" t="s">
        <v>24</v>
      </c>
      <c r="H768" s="26" t="s">
        <v>25</v>
      </c>
      <c r="I768" s="26" t="s">
        <v>26</v>
      </c>
      <c r="J768" s="26" t="s">
        <v>24</v>
      </c>
      <c r="K768" s="27"/>
      <c r="L768" s="28" t="s">
        <v>25</v>
      </c>
      <c r="M768" s="29" t="str">
        <f t="shared" si="55"/>
        <v>✓ OK</v>
      </c>
      <c r="N768" s="43">
        <v>46193</v>
      </c>
      <c r="O768" s="26" t="s">
        <v>23</v>
      </c>
      <c r="P768" s="26" t="s">
        <v>24</v>
      </c>
      <c r="Q768" s="26" t="s">
        <v>25</v>
      </c>
      <c r="R768" s="26" t="s">
        <v>26</v>
      </c>
      <c r="S768" s="26" t="s">
        <v>24</v>
      </c>
      <c r="T768" s="27"/>
      <c r="U768" s="28" t="s">
        <v>25</v>
      </c>
      <c r="V768" s="29" t="str">
        <f t="shared" si="56"/>
        <v>✓ OK</v>
      </c>
      <c r="W768" s="45">
        <v>46248</v>
      </c>
      <c r="X768" s="30" t="s">
        <v>23</v>
      </c>
      <c r="Y768" s="30" t="s">
        <v>24</v>
      </c>
      <c r="Z768" s="30" t="s">
        <v>25</v>
      </c>
      <c r="AA768" s="30" t="s">
        <v>26</v>
      </c>
      <c r="AB768" s="30" t="s">
        <v>24</v>
      </c>
      <c r="AC768" s="27"/>
      <c r="AD768" s="31" t="s">
        <v>25</v>
      </c>
      <c r="AE768" s="32" t="str">
        <f t="shared" si="57"/>
        <v>✓ OK</v>
      </c>
      <c r="AF768" s="33" t="s">
        <v>27</v>
      </c>
      <c r="AG768" s="33" t="s">
        <v>23</v>
      </c>
      <c r="AH768" s="33" t="s">
        <v>24</v>
      </c>
      <c r="AI768" s="33" t="s">
        <v>25</v>
      </c>
      <c r="AJ768" s="33" t="s">
        <v>26</v>
      </c>
      <c r="AK768" s="33" t="s">
        <v>24</v>
      </c>
      <c r="AL768" s="27"/>
      <c r="AM768" s="34" t="s">
        <v>25</v>
      </c>
      <c r="AN768" s="35" t="str">
        <f t="shared" si="58"/>
        <v>✓ OK</v>
      </c>
      <c r="AO768" s="36"/>
      <c r="AP768" s="36"/>
      <c r="AQ768" s="36"/>
      <c r="AR768" s="36"/>
      <c r="AS768" s="36"/>
      <c r="AT768" s="36"/>
      <c r="AU768" s="27"/>
      <c r="AV768" s="37"/>
      <c r="AW768" s="38" t="str">
        <f t="shared" si="59"/>
        <v/>
      </c>
    </row>
    <row r="769" spans="1:49" ht="18" customHeight="1" x14ac:dyDescent="0.3">
      <c r="A769" s="23">
        <v>765</v>
      </c>
      <c r="B769" s="24" t="s">
        <v>3378</v>
      </c>
      <c r="C769" s="25" t="s">
        <v>3379</v>
      </c>
      <c r="D769" s="23" t="s">
        <v>2819</v>
      </c>
      <c r="E769" s="43">
        <v>46126</v>
      </c>
      <c r="F769" s="26" t="s">
        <v>23</v>
      </c>
      <c r="G769" s="26" t="s">
        <v>24</v>
      </c>
      <c r="H769" s="26" t="s">
        <v>25</v>
      </c>
      <c r="I769" s="26" t="s">
        <v>26</v>
      </c>
      <c r="J769" s="26" t="s">
        <v>24</v>
      </c>
      <c r="K769" s="27"/>
      <c r="L769" s="28" t="s">
        <v>25</v>
      </c>
      <c r="M769" s="29" t="str">
        <f t="shared" si="55"/>
        <v>✓ OK</v>
      </c>
      <c r="N769" s="43">
        <v>46193</v>
      </c>
      <c r="O769" s="26" t="s">
        <v>23</v>
      </c>
      <c r="P769" s="26" t="s">
        <v>24</v>
      </c>
      <c r="Q769" s="26" t="s">
        <v>25</v>
      </c>
      <c r="R769" s="26" t="s">
        <v>26</v>
      </c>
      <c r="S769" s="26" t="s">
        <v>24</v>
      </c>
      <c r="T769" s="27"/>
      <c r="U769" s="28" t="s">
        <v>25</v>
      </c>
      <c r="V769" s="29" t="str">
        <f t="shared" si="56"/>
        <v>✓ OK</v>
      </c>
      <c r="W769" s="45">
        <v>46248</v>
      </c>
      <c r="X769" s="30" t="s">
        <v>23</v>
      </c>
      <c r="Y769" s="30" t="s">
        <v>24</v>
      </c>
      <c r="Z769" s="30" t="s">
        <v>25</v>
      </c>
      <c r="AA769" s="30" t="s">
        <v>26</v>
      </c>
      <c r="AB769" s="30" t="s">
        <v>24</v>
      </c>
      <c r="AC769" s="27"/>
      <c r="AD769" s="31" t="s">
        <v>25</v>
      </c>
      <c r="AE769" s="32" t="str">
        <f t="shared" si="57"/>
        <v>✓ OK</v>
      </c>
      <c r="AF769" s="33" t="s">
        <v>27</v>
      </c>
      <c r="AG769" s="33" t="s">
        <v>23</v>
      </c>
      <c r="AH769" s="33" t="s">
        <v>24</v>
      </c>
      <c r="AI769" s="33" t="s">
        <v>25</v>
      </c>
      <c r="AJ769" s="33" t="s">
        <v>26</v>
      </c>
      <c r="AK769" s="33" t="s">
        <v>24</v>
      </c>
      <c r="AL769" s="27"/>
      <c r="AM769" s="34" t="s">
        <v>25</v>
      </c>
      <c r="AN769" s="35" t="str">
        <f t="shared" si="58"/>
        <v>✓ OK</v>
      </c>
      <c r="AO769" s="36"/>
      <c r="AP769" s="36"/>
      <c r="AQ769" s="36"/>
      <c r="AR769" s="36"/>
      <c r="AS769" s="36"/>
      <c r="AT769" s="36"/>
      <c r="AU769" s="27"/>
      <c r="AV769" s="37"/>
      <c r="AW769" s="38" t="str">
        <f t="shared" si="59"/>
        <v/>
      </c>
    </row>
    <row r="770" spans="1:49" ht="18" customHeight="1" x14ac:dyDescent="0.3">
      <c r="A770" s="39">
        <v>766</v>
      </c>
      <c r="B770" s="40" t="s">
        <v>3380</v>
      </c>
      <c r="C770" s="41" t="s">
        <v>3381</v>
      </c>
      <c r="D770" s="39" t="s">
        <v>2819</v>
      </c>
      <c r="E770" s="43">
        <v>46126</v>
      </c>
      <c r="F770" s="26" t="s">
        <v>23</v>
      </c>
      <c r="G770" s="26" t="s">
        <v>24</v>
      </c>
      <c r="H770" s="26" t="s">
        <v>25</v>
      </c>
      <c r="I770" s="26" t="s">
        <v>26</v>
      </c>
      <c r="J770" s="26" t="s">
        <v>24</v>
      </c>
      <c r="K770" s="27"/>
      <c r="L770" s="28" t="s">
        <v>25</v>
      </c>
      <c r="M770" s="29" t="str">
        <f t="shared" si="55"/>
        <v>✓ OK</v>
      </c>
      <c r="N770" s="43">
        <v>46193</v>
      </c>
      <c r="O770" s="26" t="s">
        <v>23</v>
      </c>
      <c r="P770" s="26" t="s">
        <v>24</v>
      </c>
      <c r="Q770" s="26" t="s">
        <v>25</v>
      </c>
      <c r="R770" s="26" t="s">
        <v>26</v>
      </c>
      <c r="S770" s="26" t="s">
        <v>24</v>
      </c>
      <c r="T770" s="27"/>
      <c r="U770" s="28" t="s">
        <v>25</v>
      </c>
      <c r="V770" s="29" t="str">
        <f t="shared" si="56"/>
        <v>✓ OK</v>
      </c>
      <c r="W770" s="45">
        <v>46248</v>
      </c>
      <c r="X770" s="30" t="s">
        <v>23</v>
      </c>
      <c r="Y770" s="30" t="s">
        <v>24</v>
      </c>
      <c r="Z770" s="30" t="s">
        <v>25</v>
      </c>
      <c r="AA770" s="30" t="s">
        <v>26</v>
      </c>
      <c r="AB770" s="30" t="s">
        <v>24</v>
      </c>
      <c r="AC770" s="27"/>
      <c r="AD770" s="31" t="s">
        <v>25</v>
      </c>
      <c r="AE770" s="32" t="str">
        <f t="shared" si="57"/>
        <v>✓ OK</v>
      </c>
      <c r="AF770" s="33" t="s">
        <v>27</v>
      </c>
      <c r="AG770" s="33" t="s">
        <v>23</v>
      </c>
      <c r="AH770" s="33" t="s">
        <v>24</v>
      </c>
      <c r="AI770" s="33" t="s">
        <v>25</v>
      </c>
      <c r="AJ770" s="33" t="s">
        <v>26</v>
      </c>
      <c r="AK770" s="33" t="s">
        <v>24</v>
      </c>
      <c r="AL770" s="27"/>
      <c r="AM770" s="34" t="s">
        <v>25</v>
      </c>
      <c r="AN770" s="35" t="str">
        <f t="shared" si="58"/>
        <v>✓ OK</v>
      </c>
      <c r="AO770" s="36"/>
      <c r="AP770" s="36"/>
      <c r="AQ770" s="36"/>
      <c r="AR770" s="36"/>
      <c r="AS770" s="36"/>
      <c r="AT770" s="36"/>
      <c r="AU770" s="27"/>
      <c r="AV770" s="37"/>
      <c r="AW770" s="38" t="str">
        <f t="shared" si="59"/>
        <v/>
      </c>
    </row>
    <row r="771" spans="1:49" ht="18" customHeight="1" x14ac:dyDescent="0.3">
      <c r="A771" s="23">
        <v>767</v>
      </c>
      <c r="B771" s="24" t="s">
        <v>3382</v>
      </c>
      <c r="C771" s="25" t="s">
        <v>3383</v>
      </c>
      <c r="D771" s="23" t="s">
        <v>2819</v>
      </c>
      <c r="E771" s="43">
        <v>46126</v>
      </c>
      <c r="F771" s="26" t="s">
        <v>23</v>
      </c>
      <c r="G771" s="26" t="s">
        <v>24</v>
      </c>
      <c r="H771" s="26" t="s">
        <v>25</v>
      </c>
      <c r="I771" s="26" t="s">
        <v>26</v>
      </c>
      <c r="J771" s="26" t="s">
        <v>24</v>
      </c>
      <c r="K771" s="27"/>
      <c r="L771" s="28" t="s">
        <v>25</v>
      </c>
      <c r="M771" s="29" t="str">
        <f t="shared" si="55"/>
        <v>✓ OK</v>
      </c>
      <c r="N771" s="43">
        <v>46193</v>
      </c>
      <c r="O771" s="26" t="s">
        <v>23</v>
      </c>
      <c r="P771" s="26" t="s">
        <v>24</v>
      </c>
      <c r="Q771" s="26" t="s">
        <v>25</v>
      </c>
      <c r="R771" s="26" t="s">
        <v>26</v>
      </c>
      <c r="S771" s="26" t="s">
        <v>24</v>
      </c>
      <c r="T771" s="27"/>
      <c r="U771" s="28" t="s">
        <v>25</v>
      </c>
      <c r="V771" s="29" t="str">
        <f t="shared" si="56"/>
        <v>✓ OK</v>
      </c>
      <c r="W771" s="45">
        <v>46248</v>
      </c>
      <c r="X771" s="30" t="s">
        <v>23</v>
      </c>
      <c r="Y771" s="30" t="s">
        <v>24</v>
      </c>
      <c r="Z771" s="30" t="s">
        <v>25</v>
      </c>
      <c r="AA771" s="30" t="s">
        <v>26</v>
      </c>
      <c r="AB771" s="30" t="s">
        <v>24</v>
      </c>
      <c r="AC771" s="27"/>
      <c r="AD771" s="31" t="s">
        <v>25</v>
      </c>
      <c r="AE771" s="32" t="str">
        <f t="shared" si="57"/>
        <v>✓ OK</v>
      </c>
      <c r="AF771" s="33" t="s">
        <v>27</v>
      </c>
      <c r="AG771" s="33" t="s">
        <v>23</v>
      </c>
      <c r="AH771" s="33" t="s">
        <v>24</v>
      </c>
      <c r="AI771" s="33" t="s">
        <v>25</v>
      </c>
      <c r="AJ771" s="33" t="s">
        <v>26</v>
      </c>
      <c r="AK771" s="33" t="s">
        <v>24</v>
      </c>
      <c r="AL771" s="27"/>
      <c r="AM771" s="34" t="s">
        <v>25</v>
      </c>
      <c r="AN771" s="35" t="str">
        <f t="shared" si="58"/>
        <v>✓ OK</v>
      </c>
      <c r="AO771" s="36"/>
      <c r="AP771" s="36"/>
      <c r="AQ771" s="36"/>
      <c r="AR771" s="36"/>
      <c r="AS771" s="36"/>
      <c r="AT771" s="36"/>
      <c r="AU771" s="27"/>
      <c r="AV771" s="37"/>
      <c r="AW771" s="38" t="str">
        <f t="shared" si="59"/>
        <v/>
      </c>
    </row>
    <row r="772" spans="1:49" ht="18" customHeight="1" x14ac:dyDescent="0.3">
      <c r="A772" s="39">
        <v>768</v>
      </c>
      <c r="B772" s="40" t="s">
        <v>3384</v>
      </c>
      <c r="C772" s="41" t="s">
        <v>3385</v>
      </c>
      <c r="D772" s="39" t="s">
        <v>2819</v>
      </c>
      <c r="E772" s="43">
        <v>46126</v>
      </c>
      <c r="F772" s="26" t="s">
        <v>23</v>
      </c>
      <c r="G772" s="26" t="s">
        <v>24</v>
      </c>
      <c r="H772" s="26" t="s">
        <v>25</v>
      </c>
      <c r="I772" s="26" t="s">
        <v>26</v>
      </c>
      <c r="J772" s="26" t="s">
        <v>24</v>
      </c>
      <c r="K772" s="27"/>
      <c r="L772" s="28" t="s">
        <v>25</v>
      </c>
      <c r="M772" s="29" t="str">
        <f t="shared" si="55"/>
        <v>✓ OK</v>
      </c>
      <c r="N772" s="43">
        <v>46193</v>
      </c>
      <c r="O772" s="26" t="s">
        <v>23</v>
      </c>
      <c r="P772" s="26" t="s">
        <v>24</v>
      </c>
      <c r="Q772" s="26" t="s">
        <v>25</v>
      </c>
      <c r="R772" s="26" t="s">
        <v>26</v>
      </c>
      <c r="S772" s="26" t="s">
        <v>24</v>
      </c>
      <c r="T772" s="27"/>
      <c r="U772" s="28" t="s">
        <v>25</v>
      </c>
      <c r="V772" s="29" t="str">
        <f t="shared" si="56"/>
        <v>✓ OK</v>
      </c>
      <c r="W772" s="45">
        <v>46248</v>
      </c>
      <c r="X772" s="30" t="s">
        <v>23</v>
      </c>
      <c r="Y772" s="30" t="s">
        <v>24</v>
      </c>
      <c r="Z772" s="30" t="s">
        <v>25</v>
      </c>
      <c r="AA772" s="30" t="s">
        <v>26</v>
      </c>
      <c r="AB772" s="30" t="s">
        <v>24</v>
      </c>
      <c r="AC772" s="27"/>
      <c r="AD772" s="31" t="s">
        <v>25</v>
      </c>
      <c r="AE772" s="32" t="str">
        <f t="shared" si="57"/>
        <v>✓ OK</v>
      </c>
      <c r="AF772" s="33" t="s">
        <v>27</v>
      </c>
      <c r="AG772" s="33" t="s">
        <v>23</v>
      </c>
      <c r="AH772" s="33" t="s">
        <v>24</v>
      </c>
      <c r="AI772" s="33" t="s">
        <v>25</v>
      </c>
      <c r="AJ772" s="33" t="s">
        <v>26</v>
      </c>
      <c r="AK772" s="33" t="s">
        <v>24</v>
      </c>
      <c r="AL772" s="27"/>
      <c r="AM772" s="34" t="s">
        <v>25</v>
      </c>
      <c r="AN772" s="35" t="str">
        <f t="shared" si="58"/>
        <v>✓ OK</v>
      </c>
      <c r="AO772" s="36"/>
      <c r="AP772" s="36"/>
      <c r="AQ772" s="36"/>
      <c r="AR772" s="36"/>
      <c r="AS772" s="36"/>
      <c r="AT772" s="36"/>
      <c r="AU772" s="27"/>
      <c r="AV772" s="37"/>
      <c r="AW772" s="38" t="str">
        <f t="shared" si="59"/>
        <v/>
      </c>
    </row>
    <row r="773" spans="1:49" ht="18" customHeight="1" x14ac:dyDescent="0.3">
      <c r="A773" s="23">
        <v>769</v>
      </c>
      <c r="B773" s="24" t="s">
        <v>3386</v>
      </c>
      <c r="C773" s="25" t="s">
        <v>3387</v>
      </c>
      <c r="D773" s="23" t="s">
        <v>2819</v>
      </c>
      <c r="E773" s="43">
        <v>46126</v>
      </c>
      <c r="F773" s="26" t="s">
        <v>23</v>
      </c>
      <c r="G773" s="26" t="s">
        <v>24</v>
      </c>
      <c r="H773" s="26" t="s">
        <v>25</v>
      </c>
      <c r="I773" s="26" t="s">
        <v>26</v>
      </c>
      <c r="J773" s="26" t="s">
        <v>24</v>
      </c>
      <c r="K773" s="27"/>
      <c r="L773" s="28" t="s">
        <v>25</v>
      </c>
      <c r="M773" s="29" t="str">
        <f t="shared" ref="M773:M836" si="60">IF(E773="","",IF(H773="Yes","❌ Disc",IF(G773="No","⚠ Missing",IF(J773="Yes","✓ OK","⚠ Check"))))</f>
        <v>✓ OK</v>
      </c>
      <c r="N773" s="43">
        <v>46193</v>
      </c>
      <c r="O773" s="26" t="s">
        <v>23</v>
      </c>
      <c r="P773" s="26" t="s">
        <v>24</v>
      </c>
      <c r="Q773" s="26" t="s">
        <v>25</v>
      </c>
      <c r="R773" s="26" t="s">
        <v>26</v>
      </c>
      <c r="S773" s="26" t="s">
        <v>24</v>
      </c>
      <c r="T773" s="27"/>
      <c r="U773" s="28" t="s">
        <v>25</v>
      </c>
      <c r="V773" s="29" t="str">
        <f t="shared" ref="V773:V836" si="61">IF(N773="","",IF(Q773="Yes","❌ Disc",IF(P773="No","⚠ Missing",IF(S773="Yes","✓ OK","⚠ Check"))))</f>
        <v>✓ OK</v>
      </c>
      <c r="W773" s="45">
        <v>46248</v>
      </c>
      <c r="X773" s="30" t="s">
        <v>23</v>
      </c>
      <c r="Y773" s="30" t="s">
        <v>24</v>
      </c>
      <c r="Z773" s="30" t="s">
        <v>25</v>
      </c>
      <c r="AA773" s="30" t="s">
        <v>26</v>
      </c>
      <c r="AB773" s="30" t="s">
        <v>24</v>
      </c>
      <c r="AC773" s="27"/>
      <c r="AD773" s="31" t="s">
        <v>25</v>
      </c>
      <c r="AE773" s="32" t="str">
        <f t="shared" ref="AE773:AE836" si="62">IF(W773="","",IF(Z773="Yes","❌ Disc",IF(Y773="No","⚠ Missing",IF(AB773="Yes","✓ OK","⚠ Check"))))</f>
        <v>✓ OK</v>
      </c>
      <c r="AF773" s="33" t="s">
        <v>27</v>
      </c>
      <c r="AG773" s="33" t="s">
        <v>23</v>
      </c>
      <c r="AH773" s="33" t="s">
        <v>24</v>
      </c>
      <c r="AI773" s="33" t="s">
        <v>25</v>
      </c>
      <c r="AJ773" s="33" t="s">
        <v>26</v>
      </c>
      <c r="AK773" s="33" t="s">
        <v>24</v>
      </c>
      <c r="AL773" s="27"/>
      <c r="AM773" s="34" t="s">
        <v>25</v>
      </c>
      <c r="AN773" s="35" t="str">
        <f t="shared" ref="AN773:AN836" si="63">IF(AF773="","",IF(AI773="Yes","❌ Disc",IF(AH773="No","⚠ Missing",IF(AK773="Yes","✓ OK","⚠ Check"))))</f>
        <v>✓ OK</v>
      </c>
      <c r="AO773" s="36"/>
      <c r="AP773" s="36"/>
      <c r="AQ773" s="36"/>
      <c r="AR773" s="36"/>
      <c r="AS773" s="36"/>
      <c r="AT773" s="36"/>
      <c r="AU773" s="27"/>
      <c r="AV773" s="37"/>
      <c r="AW773" s="38" t="str">
        <f t="shared" ref="AW773:AW836" si="64">IF(AO773="","",IF(AR773="Yes","❌ Disc",IF(AQ773="No","⚠ Missing",IF(AT773="Yes","✓ OK","⚠ Check"))))</f>
        <v/>
      </c>
    </row>
    <row r="774" spans="1:49" ht="18" customHeight="1" x14ac:dyDescent="0.3">
      <c r="A774" s="39">
        <v>770</v>
      </c>
      <c r="B774" s="40" t="s">
        <v>3388</v>
      </c>
      <c r="C774" s="41" t="s">
        <v>3389</v>
      </c>
      <c r="D774" s="39" t="s">
        <v>2819</v>
      </c>
      <c r="E774" s="43">
        <v>46126</v>
      </c>
      <c r="F774" s="26" t="s">
        <v>23</v>
      </c>
      <c r="G774" s="26" t="s">
        <v>24</v>
      </c>
      <c r="H774" s="26" t="s">
        <v>25</v>
      </c>
      <c r="I774" s="26" t="s">
        <v>26</v>
      </c>
      <c r="J774" s="26" t="s">
        <v>24</v>
      </c>
      <c r="K774" s="27"/>
      <c r="L774" s="28" t="s">
        <v>25</v>
      </c>
      <c r="M774" s="29" t="str">
        <f t="shared" si="60"/>
        <v>✓ OK</v>
      </c>
      <c r="N774" s="43">
        <v>46193</v>
      </c>
      <c r="O774" s="26" t="s">
        <v>23</v>
      </c>
      <c r="P774" s="26" t="s">
        <v>24</v>
      </c>
      <c r="Q774" s="26" t="s">
        <v>25</v>
      </c>
      <c r="R774" s="26" t="s">
        <v>26</v>
      </c>
      <c r="S774" s="26" t="s">
        <v>24</v>
      </c>
      <c r="T774" s="27"/>
      <c r="U774" s="28" t="s">
        <v>25</v>
      </c>
      <c r="V774" s="29" t="str">
        <f t="shared" si="61"/>
        <v>✓ OK</v>
      </c>
      <c r="W774" s="45">
        <v>46248</v>
      </c>
      <c r="X774" s="30" t="s">
        <v>23</v>
      </c>
      <c r="Y774" s="30" t="s">
        <v>24</v>
      </c>
      <c r="Z774" s="30" t="s">
        <v>25</v>
      </c>
      <c r="AA774" s="30" t="s">
        <v>26</v>
      </c>
      <c r="AB774" s="30" t="s">
        <v>24</v>
      </c>
      <c r="AC774" s="27"/>
      <c r="AD774" s="31" t="s">
        <v>25</v>
      </c>
      <c r="AE774" s="32" t="str">
        <f t="shared" si="62"/>
        <v>✓ OK</v>
      </c>
      <c r="AF774" s="33" t="s">
        <v>27</v>
      </c>
      <c r="AG774" s="33" t="s">
        <v>23</v>
      </c>
      <c r="AH774" s="33" t="s">
        <v>24</v>
      </c>
      <c r="AI774" s="33" t="s">
        <v>25</v>
      </c>
      <c r="AJ774" s="33" t="s">
        <v>26</v>
      </c>
      <c r="AK774" s="33" t="s">
        <v>24</v>
      </c>
      <c r="AL774" s="27"/>
      <c r="AM774" s="34" t="s">
        <v>25</v>
      </c>
      <c r="AN774" s="35" t="str">
        <f t="shared" si="63"/>
        <v>✓ OK</v>
      </c>
      <c r="AO774" s="36"/>
      <c r="AP774" s="36"/>
      <c r="AQ774" s="36"/>
      <c r="AR774" s="36"/>
      <c r="AS774" s="36"/>
      <c r="AT774" s="36"/>
      <c r="AU774" s="27"/>
      <c r="AV774" s="37"/>
      <c r="AW774" s="38" t="str">
        <f t="shared" si="64"/>
        <v/>
      </c>
    </row>
    <row r="775" spans="1:49" ht="18" customHeight="1" x14ac:dyDescent="0.3">
      <c r="A775" s="23">
        <v>771</v>
      </c>
      <c r="B775" s="24" t="s">
        <v>3390</v>
      </c>
      <c r="C775" s="25" t="s">
        <v>3391</v>
      </c>
      <c r="D775" s="23" t="s">
        <v>2819</v>
      </c>
      <c r="E775" s="43">
        <v>46126</v>
      </c>
      <c r="F775" s="26" t="s">
        <v>23</v>
      </c>
      <c r="G775" s="26" t="s">
        <v>24</v>
      </c>
      <c r="H775" s="26" t="s">
        <v>25</v>
      </c>
      <c r="I775" s="26" t="s">
        <v>26</v>
      </c>
      <c r="J775" s="26" t="s">
        <v>24</v>
      </c>
      <c r="K775" s="27"/>
      <c r="L775" s="28" t="s">
        <v>25</v>
      </c>
      <c r="M775" s="29" t="str">
        <f t="shared" si="60"/>
        <v>✓ OK</v>
      </c>
      <c r="N775" s="43">
        <v>46193</v>
      </c>
      <c r="O775" s="26" t="s">
        <v>23</v>
      </c>
      <c r="P775" s="26" t="s">
        <v>24</v>
      </c>
      <c r="Q775" s="26" t="s">
        <v>25</v>
      </c>
      <c r="R775" s="26" t="s">
        <v>26</v>
      </c>
      <c r="S775" s="26" t="s">
        <v>24</v>
      </c>
      <c r="T775" s="27"/>
      <c r="U775" s="28" t="s">
        <v>25</v>
      </c>
      <c r="V775" s="29" t="str">
        <f t="shared" si="61"/>
        <v>✓ OK</v>
      </c>
      <c r="W775" s="45">
        <v>46248</v>
      </c>
      <c r="X775" s="30" t="s">
        <v>23</v>
      </c>
      <c r="Y775" s="30" t="s">
        <v>24</v>
      </c>
      <c r="Z775" s="30" t="s">
        <v>25</v>
      </c>
      <c r="AA775" s="30" t="s">
        <v>26</v>
      </c>
      <c r="AB775" s="30" t="s">
        <v>24</v>
      </c>
      <c r="AC775" s="27"/>
      <c r="AD775" s="31" t="s">
        <v>25</v>
      </c>
      <c r="AE775" s="32" t="str">
        <f t="shared" si="62"/>
        <v>✓ OK</v>
      </c>
      <c r="AF775" s="33" t="s">
        <v>27</v>
      </c>
      <c r="AG775" s="33" t="s">
        <v>23</v>
      </c>
      <c r="AH775" s="33" t="s">
        <v>24</v>
      </c>
      <c r="AI775" s="33" t="s">
        <v>25</v>
      </c>
      <c r="AJ775" s="33" t="s">
        <v>26</v>
      </c>
      <c r="AK775" s="33" t="s">
        <v>24</v>
      </c>
      <c r="AL775" s="27"/>
      <c r="AM775" s="34" t="s">
        <v>25</v>
      </c>
      <c r="AN775" s="35" t="str">
        <f t="shared" si="63"/>
        <v>✓ OK</v>
      </c>
      <c r="AO775" s="36"/>
      <c r="AP775" s="36"/>
      <c r="AQ775" s="36"/>
      <c r="AR775" s="36"/>
      <c r="AS775" s="36"/>
      <c r="AT775" s="36"/>
      <c r="AU775" s="27"/>
      <c r="AV775" s="37"/>
      <c r="AW775" s="38" t="str">
        <f t="shared" si="64"/>
        <v/>
      </c>
    </row>
    <row r="776" spans="1:49" ht="18" customHeight="1" x14ac:dyDescent="0.3">
      <c r="A776" s="39">
        <v>772</v>
      </c>
      <c r="B776" s="40" t="s">
        <v>3392</v>
      </c>
      <c r="C776" s="41" t="s">
        <v>3393</v>
      </c>
      <c r="D776" s="39" t="s">
        <v>2819</v>
      </c>
      <c r="E776" s="43">
        <v>46126</v>
      </c>
      <c r="F776" s="26" t="s">
        <v>23</v>
      </c>
      <c r="G776" s="26" t="s">
        <v>24</v>
      </c>
      <c r="H776" s="26" t="s">
        <v>25</v>
      </c>
      <c r="I776" s="26" t="s">
        <v>26</v>
      </c>
      <c r="J776" s="26" t="s">
        <v>24</v>
      </c>
      <c r="K776" s="27"/>
      <c r="L776" s="28" t="s">
        <v>25</v>
      </c>
      <c r="M776" s="29" t="str">
        <f t="shared" si="60"/>
        <v>✓ OK</v>
      </c>
      <c r="N776" s="43">
        <v>46193</v>
      </c>
      <c r="O776" s="26" t="s">
        <v>23</v>
      </c>
      <c r="P776" s="26" t="s">
        <v>24</v>
      </c>
      <c r="Q776" s="26" t="s">
        <v>25</v>
      </c>
      <c r="R776" s="26" t="s">
        <v>26</v>
      </c>
      <c r="S776" s="26" t="s">
        <v>24</v>
      </c>
      <c r="T776" s="27"/>
      <c r="U776" s="28" t="s">
        <v>25</v>
      </c>
      <c r="V776" s="29" t="str">
        <f t="shared" si="61"/>
        <v>✓ OK</v>
      </c>
      <c r="W776" s="45">
        <v>46248</v>
      </c>
      <c r="X776" s="30" t="s">
        <v>23</v>
      </c>
      <c r="Y776" s="30" t="s">
        <v>24</v>
      </c>
      <c r="Z776" s="30" t="s">
        <v>25</v>
      </c>
      <c r="AA776" s="30" t="s">
        <v>26</v>
      </c>
      <c r="AB776" s="30" t="s">
        <v>24</v>
      </c>
      <c r="AC776" s="27"/>
      <c r="AD776" s="31" t="s">
        <v>25</v>
      </c>
      <c r="AE776" s="32" t="str">
        <f t="shared" si="62"/>
        <v>✓ OK</v>
      </c>
      <c r="AF776" s="33" t="s">
        <v>27</v>
      </c>
      <c r="AG776" s="33" t="s">
        <v>23</v>
      </c>
      <c r="AH776" s="33" t="s">
        <v>24</v>
      </c>
      <c r="AI776" s="33" t="s">
        <v>25</v>
      </c>
      <c r="AJ776" s="33" t="s">
        <v>26</v>
      </c>
      <c r="AK776" s="33" t="s">
        <v>24</v>
      </c>
      <c r="AL776" s="27"/>
      <c r="AM776" s="34" t="s">
        <v>25</v>
      </c>
      <c r="AN776" s="35" t="str">
        <f t="shared" si="63"/>
        <v>✓ OK</v>
      </c>
      <c r="AO776" s="36"/>
      <c r="AP776" s="36"/>
      <c r="AQ776" s="36"/>
      <c r="AR776" s="36"/>
      <c r="AS776" s="36"/>
      <c r="AT776" s="36"/>
      <c r="AU776" s="27"/>
      <c r="AV776" s="37"/>
      <c r="AW776" s="38" t="str">
        <f t="shared" si="64"/>
        <v/>
      </c>
    </row>
    <row r="777" spans="1:49" ht="18" customHeight="1" x14ac:dyDescent="0.3">
      <c r="A777" s="23">
        <v>773</v>
      </c>
      <c r="B777" s="24" t="s">
        <v>3394</v>
      </c>
      <c r="C777" s="25" t="s">
        <v>3395</v>
      </c>
      <c r="D777" s="23" t="s">
        <v>2819</v>
      </c>
      <c r="E777" s="43">
        <v>46126</v>
      </c>
      <c r="F777" s="26" t="s">
        <v>23</v>
      </c>
      <c r="G777" s="26" t="s">
        <v>24</v>
      </c>
      <c r="H777" s="26" t="s">
        <v>25</v>
      </c>
      <c r="I777" s="26" t="s">
        <v>26</v>
      </c>
      <c r="J777" s="26" t="s">
        <v>24</v>
      </c>
      <c r="K777" s="27"/>
      <c r="L777" s="28" t="s">
        <v>25</v>
      </c>
      <c r="M777" s="29" t="str">
        <f t="shared" si="60"/>
        <v>✓ OK</v>
      </c>
      <c r="N777" s="43">
        <v>46193</v>
      </c>
      <c r="O777" s="26" t="s">
        <v>23</v>
      </c>
      <c r="P777" s="26" t="s">
        <v>24</v>
      </c>
      <c r="Q777" s="26" t="s">
        <v>25</v>
      </c>
      <c r="R777" s="26" t="s">
        <v>26</v>
      </c>
      <c r="S777" s="26" t="s">
        <v>24</v>
      </c>
      <c r="T777" s="27"/>
      <c r="U777" s="28" t="s">
        <v>25</v>
      </c>
      <c r="V777" s="29" t="str">
        <f t="shared" si="61"/>
        <v>✓ OK</v>
      </c>
      <c r="W777" s="45">
        <v>46248</v>
      </c>
      <c r="X777" s="30" t="s">
        <v>23</v>
      </c>
      <c r="Y777" s="30" t="s">
        <v>24</v>
      </c>
      <c r="Z777" s="30" t="s">
        <v>25</v>
      </c>
      <c r="AA777" s="30" t="s">
        <v>26</v>
      </c>
      <c r="AB777" s="30" t="s">
        <v>24</v>
      </c>
      <c r="AC777" s="27"/>
      <c r="AD777" s="31" t="s">
        <v>25</v>
      </c>
      <c r="AE777" s="32" t="str">
        <f t="shared" si="62"/>
        <v>✓ OK</v>
      </c>
      <c r="AF777" s="33" t="s">
        <v>27</v>
      </c>
      <c r="AG777" s="33" t="s">
        <v>23</v>
      </c>
      <c r="AH777" s="33" t="s">
        <v>24</v>
      </c>
      <c r="AI777" s="33" t="s">
        <v>25</v>
      </c>
      <c r="AJ777" s="33" t="s">
        <v>26</v>
      </c>
      <c r="AK777" s="33" t="s">
        <v>24</v>
      </c>
      <c r="AL777" s="27"/>
      <c r="AM777" s="34" t="s">
        <v>25</v>
      </c>
      <c r="AN777" s="35" t="str">
        <f t="shared" si="63"/>
        <v>✓ OK</v>
      </c>
      <c r="AO777" s="36"/>
      <c r="AP777" s="36"/>
      <c r="AQ777" s="36"/>
      <c r="AR777" s="36"/>
      <c r="AS777" s="36"/>
      <c r="AT777" s="36"/>
      <c r="AU777" s="27"/>
      <c r="AV777" s="37"/>
      <c r="AW777" s="38" t="str">
        <f t="shared" si="64"/>
        <v/>
      </c>
    </row>
    <row r="778" spans="1:49" ht="18" customHeight="1" x14ac:dyDescent="0.3">
      <c r="A778" s="39">
        <v>774</v>
      </c>
      <c r="B778" s="40" t="s">
        <v>3396</v>
      </c>
      <c r="C778" s="41" t="s">
        <v>3397</v>
      </c>
      <c r="D778" s="39" t="s">
        <v>2819</v>
      </c>
      <c r="E778" s="43">
        <v>46126</v>
      </c>
      <c r="F778" s="26" t="s">
        <v>23</v>
      </c>
      <c r="G778" s="26" t="s">
        <v>24</v>
      </c>
      <c r="H778" s="26" t="s">
        <v>25</v>
      </c>
      <c r="I778" s="26" t="s">
        <v>26</v>
      </c>
      <c r="J778" s="26" t="s">
        <v>24</v>
      </c>
      <c r="K778" s="27"/>
      <c r="L778" s="28" t="s">
        <v>25</v>
      </c>
      <c r="M778" s="29" t="str">
        <f t="shared" si="60"/>
        <v>✓ OK</v>
      </c>
      <c r="N778" s="43">
        <v>46193</v>
      </c>
      <c r="O778" s="26" t="s">
        <v>23</v>
      </c>
      <c r="P778" s="26" t="s">
        <v>24</v>
      </c>
      <c r="Q778" s="26" t="s">
        <v>25</v>
      </c>
      <c r="R778" s="26" t="s">
        <v>26</v>
      </c>
      <c r="S778" s="26" t="s">
        <v>24</v>
      </c>
      <c r="T778" s="27"/>
      <c r="U778" s="28" t="s">
        <v>25</v>
      </c>
      <c r="V778" s="29" t="str">
        <f t="shared" si="61"/>
        <v>✓ OK</v>
      </c>
      <c r="W778" s="45">
        <v>46248</v>
      </c>
      <c r="X778" s="30" t="s">
        <v>23</v>
      </c>
      <c r="Y778" s="30" t="s">
        <v>24</v>
      </c>
      <c r="Z778" s="30" t="s">
        <v>25</v>
      </c>
      <c r="AA778" s="30" t="s">
        <v>26</v>
      </c>
      <c r="AB778" s="30" t="s">
        <v>24</v>
      </c>
      <c r="AC778" s="27"/>
      <c r="AD778" s="31" t="s">
        <v>25</v>
      </c>
      <c r="AE778" s="32" t="str">
        <f t="shared" si="62"/>
        <v>✓ OK</v>
      </c>
      <c r="AF778" s="33" t="s">
        <v>27</v>
      </c>
      <c r="AG778" s="33" t="s">
        <v>23</v>
      </c>
      <c r="AH778" s="33" t="s">
        <v>24</v>
      </c>
      <c r="AI778" s="33" t="s">
        <v>25</v>
      </c>
      <c r="AJ778" s="33" t="s">
        <v>26</v>
      </c>
      <c r="AK778" s="33" t="s">
        <v>24</v>
      </c>
      <c r="AL778" s="27"/>
      <c r="AM778" s="34" t="s">
        <v>25</v>
      </c>
      <c r="AN778" s="35" t="str">
        <f t="shared" si="63"/>
        <v>✓ OK</v>
      </c>
      <c r="AO778" s="36"/>
      <c r="AP778" s="36"/>
      <c r="AQ778" s="36"/>
      <c r="AR778" s="36"/>
      <c r="AS778" s="36"/>
      <c r="AT778" s="36"/>
      <c r="AU778" s="27"/>
      <c r="AV778" s="37"/>
      <c r="AW778" s="38" t="str">
        <f t="shared" si="64"/>
        <v/>
      </c>
    </row>
    <row r="779" spans="1:49" ht="18" customHeight="1" x14ac:dyDescent="0.3">
      <c r="A779" s="23">
        <v>775</v>
      </c>
      <c r="B779" s="24" t="s">
        <v>3398</v>
      </c>
      <c r="C779" s="25" t="s">
        <v>3399</v>
      </c>
      <c r="D779" s="23" t="s">
        <v>2819</v>
      </c>
      <c r="E779" s="43">
        <v>46126</v>
      </c>
      <c r="F779" s="26" t="s">
        <v>23</v>
      </c>
      <c r="G779" s="26" t="s">
        <v>24</v>
      </c>
      <c r="H779" s="26" t="s">
        <v>25</v>
      </c>
      <c r="I779" s="26" t="s">
        <v>26</v>
      </c>
      <c r="J779" s="26" t="s">
        <v>24</v>
      </c>
      <c r="K779" s="27"/>
      <c r="L779" s="28" t="s">
        <v>25</v>
      </c>
      <c r="M779" s="29" t="str">
        <f t="shared" si="60"/>
        <v>✓ OK</v>
      </c>
      <c r="N779" s="43">
        <v>46193</v>
      </c>
      <c r="O779" s="26" t="s">
        <v>23</v>
      </c>
      <c r="P779" s="26" t="s">
        <v>24</v>
      </c>
      <c r="Q779" s="26" t="s">
        <v>25</v>
      </c>
      <c r="R779" s="26" t="s">
        <v>26</v>
      </c>
      <c r="S779" s="26" t="s">
        <v>24</v>
      </c>
      <c r="T779" s="27"/>
      <c r="U779" s="28" t="s">
        <v>25</v>
      </c>
      <c r="V779" s="29" t="str">
        <f t="shared" si="61"/>
        <v>✓ OK</v>
      </c>
      <c r="W779" s="45">
        <v>46248</v>
      </c>
      <c r="X779" s="30" t="s">
        <v>23</v>
      </c>
      <c r="Y779" s="30" t="s">
        <v>24</v>
      </c>
      <c r="Z779" s="30" t="s">
        <v>25</v>
      </c>
      <c r="AA779" s="30" t="s">
        <v>26</v>
      </c>
      <c r="AB779" s="30" t="s">
        <v>24</v>
      </c>
      <c r="AC779" s="27"/>
      <c r="AD779" s="31" t="s">
        <v>25</v>
      </c>
      <c r="AE779" s="32" t="str">
        <f t="shared" si="62"/>
        <v>✓ OK</v>
      </c>
      <c r="AF779" s="33" t="s">
        <v>27</v>
      </c>
      <c r="AG779" s="33" t="s">
        <v>23</v>
      </c>
      <c r="AH779" s="33" t="s">
        <v>24</v>
      </c>
      <c r="AI779" s="33" t="s">
        <v>25</v>
      </c>
      <c r="AJ779" s="33" t="s">
        <v>26</v>
      </c>
      <c r="AK779" s="33" t="s">
        <v>24</v>
      </c>
      <c r="AL779" s="27"/>
      <c r="AM779" s="34" t="s">
        <v>25</v>
      </c>
      <c r="AN779" s="35" t="str">
        <f t="shared" si="63"/>
        <v>✓ OK</v>
      </c>
      <c r="AO779" s="36"/>
      <c r="AP779" s="36"/>
      <c r="AQ779" s="36"/>
      <c r="AR779" s="36"/>
      <c r="AS779" s="36"/>
      <c r="AT779" s="36"/>
      <c r="AU779" s="27"/>
      <c r="AV779" s="37"/>
      <c r="AW779" s="38" t="str">
        <f t="shared" si="64"/>
        <v/>
      </c>
    </row>
    <row r="780" spans="1:49" ht="18" customHeight="1" x14ac:dyDescent="0.3">
      <c r="A780" s="39">
        <v>776</v>
      </c>
      <c r="B780" s="40" t="s">
        <v>3400</v>
      </c>
      <c r="C780" s="41" t="s">
        <v>3401</v>
      </c>
      <c r="D780" s="39" t="s">
        <v>2819</v>
      </c>
      <c r="E780" s="43">
        <v>46126</v>
      </c>
      <c r="F780" s="26" t="s">
        <v>23</v>
      </c>
      <c r="G780" s="26" t="s">
        <v>24</v>
      </c>
      <c r="H780" s="26" t="s">
        <v>25</v>
      </c>
      <c r="I780" s="26" t="s">
        <v>26</v>
      </c>
      <c r="J780" s="26" t="s">
        <v>24</v>
      </c>
      <c r="K780" s="27"/>
      <c r="L780" s="28" t="s">
        <v>25</v>
      </c>
      <c r="M780" s="29" t="str">
        <f t="shared" si="60"/>
        <v>✓ OK</v>
      </c>
      <c r="N780" s="43">
        <v>46193</v>
      </c>
      <c r="O780" s="26" t="s">
        <v>23</v>
      </c>
      <c r="P780" s="26" t="s">
        <v>24</v>
      </c>
      <c r="Q780" s="26" t="s">
        <v>25</v>
      </c>
      <c r="R780" s="26" t="s">
        <v>26</v>
      </c>
      <c r="S780" s="26" t="s">
        <v>24</v>
      </c>
      <c r="T780" s="27"/>
      <c r="U780" s="28" t="s">
        <v>25</v>
      </c>
      <c r="V780" s="29" t="str">
        <f t="shared" si="61"/>
        <v>✓ OK</v>
      </c>
      <c r="W780" s="45">
        <v>46248</v>
      </c>
      <c r="X780" s="30" t="s">
        <v>23</v>
      </c>
      <c r="Y780" s="30" t="s">
        <v>24</v>
      </c>
      <c r="Z780" s="30" t="s">
        <v>25</v>
      </c>
      <c r="AA780" s="30" t="s">
        <v>26</v>
      </c>
      <c r="AB780" s="30" t="s">
        <v>24</v>
      </c>
      <c r="AC780" s="27"/>
      <c r="AD780" s="31" t="s">
        <v>25</v>
      </c>
      <c r="AE780" s="32" t="str">
        <f t="shared" si="62"/>
        <v>✓ OK</v>
      </c>
      <c r="AF780" s="33" t="s">
        <v>27</v>
      </c>
      <c r="AG780" s="33" t="s">
        <v>23</v>
      </c>
      <c r="AH780" s="33" t="s">
        <v>24</v>
      </c>
      <c r="AI780" s="33" t="s">
        <v>25</v>
      </c>
      <c r="AJ780" s="33" t="s">
        <v>26</v>
      </c>
      <c r="AK780" s="33" t="s">
        <v>24</v>
      </c>
      <c r="AL780" s="27"/>
      <c r="AM780" s="34" t="s">
        <v>25</v>
      </c>
      <c r="AN780" s="35" t="str">
        <f t="shared" si="63"/>
        <v>✓ OK</v>
      </c>
      <c r="AO780" s="36"/>
      <c r="AP780" s="36"/>
      <c r="AQ780" s="36"/>
      <c r="AR780" s="36"/>
      <c r="AS780" s="36"/>
      <c r="AT780" s="36"/>
      <c r="AU780" s="27"/>
      <c r="AV780" s="37"/>
      <c r="AW780" s="38" t="str">
        <f t="shared" si="64"/>
        <v/>
      </c>
    </row>
    <row r="781" spans="1:49" ht="18" customHeight="1" x14ac:dyDescent="0.3">
      <c r="A781" s="23">
        <v>777</v>
      </c>
      <c r="B781" s="24" t="s">
        <v>3402</v>
      </c>
      <c r="C781" s="25" t="s">
        <v>3403</v>
      </c>
      <c r="D781" s="23" t="s">
        <v>2819</v>
      </c>
      <c r="E781" s="43">
        <v>46126</v>
      </c>
      <c r="F781" s="26" t="s">
        <v>23</v>
      </c>
      <c r="G781" s="26" t="s">
        <v>24</v>
      </c>
      <c r="H781" s="26" t="s">
        <v>25</v>
      </c>
      <c r="I781" s="26" t="s">
        <v>26</v>
      </c>
      <c r="J781" s="26" t="s">
        <v>24</v>
      </c>
      <c r="K781" s="27"/>
      <c r="L781" s="28" t="s">
        <v>25</v>
      </c>
      <c r="M781" s="29" t="str">
        <f t="shared" si="60"/>
        <v>✓ OK</v>
      </c>
      <c r="N781" s="43">
        <v>46193</v>
      </c>
      <c r="O781" s="26" t="s">
        <v>23</v>
      </c>
      <c r="P781" s="26" t="s">
        <v>24</v>
      </c>
      <c r="Q781" s="26" t="s">
        <v>25</v>
      </c>
      <c r="R781" s="26" t="s">
        <v>26</v>
      </c>
      <c r="S781" s="26" t="s">
        <v>24</v>
      </c>
      <c r="T781" s="27"/>
      <c r="U781" s="28" t="s">
        <v>25</v>
      </c>
      <c r="V781" s="29" t="str">
        <f t="shared" si="61"/>
        <v>✓ OK</v>
      </c>
      <c r="W781" s="45">
        <v>46248</v>
      </c>
      <c r="X781" s="30" t="s">
        <v>23</v>
      </c>
      <c r="Y781" s="30" t="s">
        <v>24</v>
      </c>
      <c r="Z781" s="30" t="s">
        <v>25</v>
      </c>
      <c r="AA781" s="30" t="s">
        <v>26</v>
      </c>
      <c r="AB781" s="30" t="s">
        <v>24</v>
      </c>
      <c r="AC781" s="27"/>
      <c r="AD781" s="31" t="s">
        <v>25</v>
      </c>
      <c r="AE781" s="32" t="str">
        <f t="shared" si="62"/>
        <v>✓ OK</v>
      </c>
      <c r="AF781" s="33" t="s">
        <v>27</v>
      </c>
      <c r="AG781" s="33" t="s">
        <v>23</v>
      </c>
      <c r="AH781" s="33" t="s">
        <v>24</v>
      </c>
      <c r="AI781" s="33" t="s">
        <v>25</v>
      </c>
      <c r="AJ781" s="33" t="s">
        <v>26</v>
      </c>
      <c r="AK781" s="33" t="s">
        <v>24</v>
      </c>
      <c r="AL781" s="27"/>
      <c r="AM781" s="34" t="s">
        <v>25</v>
      </c>
      <c r="AN781" s="35" t="str">
        <f t="shared" si="63"/>
        <v>✓ OK</v>
      </c>
      <c r="AO781" s="36"/>
      <c r="AP781" s="36"/>
      <c r="AQ781" s="36"/>
      <c r="AR781" s="36"/>
      <c r="AS781" s="36"/>
      <c r="AT781" s="36"/>
      <c r="AU781" s="27"/>
      <c r="AV781" s="37"/>
      <c r="AW781" s="38" t="str">
        <f t="shared" si="64"/>
        <v/>
      </c>
    </row>
    <row r="782" spans="1:49" ht="18" customHeight="1" x14ac:dyDescent="0.3">
      <c r="A782" s="39">
        <v>778</v>
      </c>
      <c r="B782" s="40" t="s">
        <v>3404</v>
      </c>
      <c r="C782" s="41" t="s">
        <v>3405</v>
      </c>
      <c r="D782" s="39" t="s">
        <v>2819</v>
      </c>
      <c r="E782" s="43">
        <v>46126</v>
      </c>
      <c r="F782" s="26" t="s">
        <v>23</v>
      </c>
      <c r="G782" s="26" t="s">
        <v>24</v>
      </c>
      <c r="H782" s="26" t="s">
        <v>25</v>
      </c>
      <c r="I782" s="26" t="s">
        <v>26</v>
      </c>
      <c r="J782" s="26" t="s">
        <v>24</v>
      </c>
      <c r="K782" s="27"/>
      <c r="L782" s="28" t="s">
        <v>25</v>
      </c>
      <c r="M782" s="29" t="str">
        <f t="shared" si="60"/>
        <v>✓ OK</v>
      </c>
      <c r="N782" s="43">
        <v>46193</v>
      </c>
      <c r="O782" s="26" t="s">
        <v>23</v>
      </c>
      <c r="P782" s="26" t="s">
        <v>24</v>
      </c>
      <c r="Q782" s="26" t="s">
        <v>25</v>
      </c>
      <c r="R782" s="26" t="s">
        <v>26</v>
      </c>
      <c r="S782" s="26" t="s">
        <v>24</v>
      </c>
      <c r="T782" s="27"/>
      <c r="U782" s="28" t="s">
        <v>25</v>
      </c>
      <c r="V782" s="29" t="str">
        <f t="shared" si="61"/>
        <v>✓ OK</v>
      </c>
      <c r="W782" s="45">
        <v>46248</v>
      </c>
      <c r="X782" s="30" t="s">
        <v>23</v>
      </c>
      <c r="Y782" s="30" t="s">
        <v>24</v>
      </c>
      <c r="Z782" s="30" t="s">
        <v>25</v>
      </c>
      <c r="AA782" s="30" t="s">
        <v>26</v>
      </c>
      <c r="AB782" s="30" t="s">
        <v>24</v>
      </c>
      <c r="AC782" s="27"/>
      <c r="AD782" s="31" t="s">
        <v>25</v>
      </c>
      <c r="AE782" s="32" t="str">
        <f t="shared" si="62"/>
        <v>✓ OK</v>
      </c>
      <c r="AF782" s="33" t="s">
        <v>27</v>
      </c>
      <c r="AG782" s="33" t="s">
        <v>23</v>
      </c>
      <c r="AH782" s="33" t="s">
        <v>24</v>
      </c>
      <c r="AI782" s="33" t="s">
        <v>25</v>
      </c>
      <c r="AJ782" s="33" t="s">
        <v>26</v>
      </c>
      <c r="AK782" s="33" t="s">
        <v>24</v>
      </c>
      <c r="AL782" s="27"/>
      <c r="AM782" s="34" t="s">
        <v>25</v>
      </c>
      <c r="AN782" s="35" t="str">
        <f t="shared" si="63"/>
        <v>✓ OK</v>
      </c>
      <c r="AO782" s="36"/>
      <c r="AP782" s="36"/>
      <c r="AQ782" s="36"/>
      <c r="AR782" s="36"/>
      <c r="AS782" s="36"/>
      <c r="AT782" s="36"/>
      <c r="AU782" s="27"/>
      <c r="AV782" s="37"/>
      <c r="AW782" s="38" t="str">
        <f t="shared" si="64"/>
        <v/>
      </c>
    </row>
    <row r="783" spans="1:49" ht="18" customHeight="1" x14ac:dyDescent="0.3">
      <c r="A783" s="23">
        <v>779</v>
      </c>
      <c r="B783" s="24" t="s">
        <v>3406</v>
      </c>
      <c r="C783" s="25" t="s">
        <v>3407</v>
      </c>
      <c r="D783" s="23" t="s">
        <v>2819</v>
      </c>
      <c r="E783" s="43">
        <v>46126</v>
      </c>
      <c r="F783" s="26" t="s">
        <v>23</v>
      </c>
      <c r="G783" s="26" t="s">
        <v>24</v>
      </c>
      <c r="H783" s="26" t="s">
        <v>25</v>
      </c>
      <c r="I783" s="26" t="s">
        <v>26</v>
      </c>
      <c r="J783" s="26" t="s">
        <v>24</v>
      </c>
      <c r="K783" s="27"/>
      <c r="L783" s="28" t="s">
        <v>25</v>
      </c>
      <c r="M783" s="29" t="str">
        <f t="shared" si="60"/>
        <v>✓ OK</v>
      </c>
      <c r="N783" s="43">
        <v>46193</v>
      </c>
      <c r="O783" s="26" t="s">
        <v>23</v>
      </c>
      <c r="P783" s="26" t="s">
        <v>24</v>
      </c>
      <c r="Q783" s="26" t="s">
        <v>25</v>
      </c>
      <c r="R783" s="26" t="s">
        <v>26</v>
      </c>
      <c r="S783" s="26" t="s">
        <v>24</v>
      </c>
      <c r="T783" s="27"/>
      <c r="U783" s="28" t="s">
        <v>25</v>
      </c>
      <c r="V783" s="29" t="str">
        <f t="shared" si="61"/>
        <v>✓ OK</v>
      </c>
      <c r="W783" s="45">
        <v>46248</v>
      </c>
      <c r="X783" s="30" t="s">
        <v>23</v>
      </c>
      <c r="Y783" s="30" t="s">
        <v>24</v>
      </c>
      <c r="Z783" s="30" t="s">
        <v>25</v>
      </c>
      <c r="AA783" s="30" t="s">
        <v>26</v>
      </c>
      <c r="AB783" s="30" t="s">
        <v>24</v>
      </c>
      <c r="AC783" s="27"/>
      <c r="AD783" s="31" t="s">
        <v>25</v>
      </c>
      <c r="AE783" s="32" t="str">
        <f t="shared" si="62"/>
        <v>✓ OK</v>
      </c>
      <c r="AF783" s="33" t="s">
        <v>27</v>
      </c>
      <c r="AG783" s="33" t="s">
        <v>23</v>
      </c>
      <c r="AH783" s="33" t="s">
        <v>24</v>
      </c>
      <c r="AI783" s="33" t="s">
        <v>25</v>
      </c>
      <c r="AJ783" s="33" t="s">
        <v>26</v>
      </c>
      <c r="AK783" s="33" t="s">
        <v>24</v>
      </c>
      <c r="AL783" s="27"/>
      <c r="AM783" s="34" t="s">
        <v>25</v>
      </c>
      <c r="AN783" s="35" t="str">
        <f t="shared" si="63"/>
        <v>✓ OK</v>
      </c>
      <c r="AO783" s="36"/>
      <c r="AP783" s="36"/>
      <c r="AQ783" s="36"/>
      <c r="AR783" s="36"/>
      <c r="AS783" s="36"/>
      <c r="AT783" s="36"/>
      <c r="AU783" s="27"/>
      <c r="AV783" s="37"/>
      <c r="AW783" s="38" t="str">
        <f t="shared" si="64"/>
        <v/>
      </c>
    </row>
    <row r="784" spans="1:49" ht="18" customHeight="1" x14ac:dyDescent="0.3">
      <c r="A784" s="39">
        <v>780</v>
      </c>
      <c r="B784" s="40" t="s">
        <v>3408</v>
      </c>
      <c r="C784" s="41" t="s">
        <v>3409</v>
      </c>
      <c r="D784" s="39" t="s">
        <v>2819</v>
      </c>
      <c r="E784" s="43">
        <v>46126</v>
      </c>
      <c r="F784" s="26" t="s">
        <v>23</v>
      </c>
      <c r="G784" s="26" t="s">
        <v>24</v>
      </c>
      <c r="H784" s="26" t="s">
        <v>25</v>
      </c>
      <c r="I784" s="26" t="s">
        <v>26</v>
      </c>
      <c r="J784" s="26" t="s">
        <v>24</v>
      </c>
      <c r="K784" s="27"/>
      <c r="L784" s="28" t="s">
        <v>25</v>
      </c>
      <c r="M784" s="29" t="str">
        <f t="shared" si="60"/>
        <v>✓ OK</v>
      </c>
      <c r="N784" s="43">
        <v>46193</v>
      </c>
      <c r="O784" s="26" t="s">
        <v>23</v>
      </c>
      <c r="P784" s="26" t="s">
        <v>24</v>
      </c>
      <c r="Q784" s="26" t="s">
        <v>25</v>
      </c>
      <c r="R784" s="26" t="s">
        <v>26</v>
      </c>
      <c r="S784" s="26" t="s">
        <v>24</v>
      </c>
      <c r="T784" s="27"/>
      <c r="U784" s="28" t="s">
        <v>25</v>
      </c>
      <c r="V784" s="29" t="str">
        <f t="shared" si="61"/>
        <v>✓ OK</v>
      </c>
      <c r="W784" s="45">
        <v>46248</v>
      </c>
      <c r="X784" s="30" t="s">
        <v>23</v>
      </c>
      <c r="Y784" s="30" t="s">
        <v>24</v>
      </c>
      <c r="Z784" s="30" t="s">
        <v>25</v>
      </c>
      <c r="AA784" s="30" t="s">
        <v>26</v>
      </c>
      <c r="AB784" s="30" t="s">
        <v>24</v>
      </c>
      <c r="AC784" s="27"/>
      <c r="AD784" s="31" t="s">
        <v>25</v>
      </c>
      <c r="AE784" s="32" t="str">
        <f t="shared" si="62"/>
        <v>✓ OK</v>
      </c>
      <c r="AF784" s="33" t="s">
        <v>27</v>
      </c>
      <c r="AG784" s="33" t="s">
        <v>23</v>
      </c>
      <c r="AH784" s="33" t="s">
        <v>24</v>
      </c>
      <c r="AI784" s="33" t="s">
        <v>25</v>
      </c>
      <c r="AJ784" s="33" t="s">
        <v>26</v>
      </c>
      <c r="AK784" s="33" t="s">
        <v>24</v>
      </c>
      <c r="AL784" s="27"/>
      <c r="AM784" s="34" t="s">
        <v>25</v>
      </c>
      <c r="AN784" s="35" t="str">
        <f t="shared" si="63"/>
        <v>✓ OK</v>
      </c>
      <c r="AO784" s="36"/>
      <c r="AP784" s="36"/>
      <c r="AQ784" s="36"/>
      <c r="AR784" s="36"/>
      <c r="AS784" s="36"/>
      <c r="AT784" s="36"/>
      <c r="AU784" s="27"/>
      <c r="AV784" s="37"/>
      <c r="AW784" s="38" t="str">
        <f t="shared" si="64"/>
        <v/>
      </c>
    </row>
    <row r="785" spans="1:49" ht="18" customHeight="1" x14ac:dyDescent="0.3">
      <c r="A785" s="23">
        <v>781</v>
      </c>
      <c r="B785" s="24" t="s">
        <v>3410</v>
      </c>
      <c r="C785" s="25" t="s">
        <v>3411</v>
      </c>
      <c r="D785" s="23" t="s">
        <v>2819</v>
      </c>
      <c r="E785" s="43">
        <v>46126</v>
      </c>
      <c r="F785" s="26" t="s">
        <v>23</v>
      </c>
      <c r="G785" s="26" t="s">
        <v>24</v>
      </c>
      <c r="H785" s="26" t="s">
        <v>25</v>
      </c>
      <c r="I785" s="26" t="s">
        <v>26</v>
      </c>
      <c r="J785" s="26" t="s">
        <v>24</v>
      </c>
      <c r="K785" s="27"/>
      <c r="L785" s="28" t="s">
        <v>25</v>
      </c>
      <c r="M785" s="29" t="str">
        <f t="shared" si="60"/>
        <v>✓ OK</v>
      </c>
      <c r="N785" s="43">
        <v>46193</v>
      </c>
      <c r="O785" s="26" t="s">
        <v>23</v>
      </c>
      <c r="P785" s="26" t="s">
        <v>24</v>
      </c>
      <c r="Q785" s="26" t="s">
        <v>25</v>
      </c>
      <c r="R785" s="26" t="s">
        <v>26</v>
      </c>
      <c r="S785" s="26" t="s">
        <v>24</v>
      </c>
      <c r="T785" s="27"/>
      <c r="U785" s="28" t="s">
        <v>25</v>
      </c>
      <c r="V785" s="29" t="str">
        <f t="shared" si="61"/>
        <v>✓ OK</v>
      </c>
      <c r="W785" s="45">
        <v>46248</v>
      </c>
      <c r="X785" s="30" t="s">
        <v>23</v>
      </c>
      <c r="Y785" s="30" t="s">
        <v>24</v>
      </c>
      <c r="Z785" s="30" t="s">
        <v>25</v>
      </c>
      <c r="AA785" s="30" t="s">
        <v>26</v>
      </c>
      <c r="AB785" s="30" t="s">
        <v>24</v>
      </c>
      <c r="AC785" s="27"/>
      <c r="AD785" s="31" t="s">
        <v>25</v>
      </c>
      <c r="AE785" s="32" t="str">
        <f t="shared" si="62"/>
        <v>✓ OK</v>
      </c>
      <c r="AF785" s="33" t="s">
        <v>27</v>
      </c>
      <c r="AG785" s="33" t="s">
        <v>23</v>
      </c>
      <c r="AH785" s="33" t="s">
        <v>24</v>
      </c>
      <c r="AI785" s="33" t="s">
        <v>25</v>
      </c>
      <c r="AJ785" s="33" t="s">
        <v>26</v>
      </c>
      <c r="AK785" s="33" t="s">
        <v>24</v>
      </c>
      <c r="AL785" s="27"/>
      <c r="AM785" s="34" t="s">
        <v>25</v>
      </c>
      <c r="AN785" s="35" t="str">
        <f t="shared" si="63"/>
        <v>✓ OK</v>
      </c>
      <c r="AO785" s="36"/>
      <c r="AP785" s="36"/>
      <c r="AQ785" s="36"/>
      <c r="AR785" s="36"/>
      <c r="AS785" s="36"/>
      <c r="AT785" s="36"/>
      <c r="AU785" s="27"/>
      <c r="AV785" s="37"/>
      <c r="AW785" s="38" t="str">
        <f t="shared" si="64"/>
        <v/>
      </c>
    </row>
    <row r="786" spans="1:49" ht="18" customHeight="1" x14ac:dyDescent="0.3">
      <c r="A786" s="39">
        <v>782</v>
      </c>
      <c r="B786" s="40" t="s">
        <v>3412</v>
      </c>
      <c r="C786" s="41" t="s">
        <v>3413</v>
      </c>
      <c r="D786" s="39" t="s">
        <v>2819</v>
      </c>
      <c r="E786" s="43">
        <v>46126</v>
      </c>
      <c r="F786" s="26" t="s">
        <v>23</v>
      </c>
      <c r="G786" s="26" t="s">
        <v>24</v>
      </c>
      <c r="H786" s="26" t="s">
        <v>25</v>
      </c>
      <c r="I786" s="26" t="s">
        <v>26</v>
      </c>
      <c r="J786" s="26" t="s">
        <v>24</v>
      </c>
      <c r="K786" s="27"/>
      <c r="L786" s="28" t="s">
        <v>25</v>
      </c>
      <c r="M786" s="29" t="str">
        <f t="shared" si="60"/>
        <v>✓ OK</v>
      </c>
      <c r="N786" s="43">
        <v>46193</v>
      </c>
      <c r="O786" s="26" t="s">
        <v>23</v>
      </c>
      <c r="P786" s="26" t="s">
        <v>24</v>
      </c>
      <c r="Q786" s="26" t="s">
        <v>25</v>
      </c>
      <c r="R786" s="26" t="s">
        <v>26</v>
      </c>
      <c r="S786" s="26" t="s">
        <v>24</v>
      </c>
      <c r="T786" s="27"/>
      <c r="U786" s="28" t="s">
        <v>25</v>
      </c>
      <c r="V786" s="29" t="str">
        <f t="shared" si="61"/>
        <v>✓ OK</v>
      </c>
      <c r="W786" s="45">
        <v>46248</v>
      </c>
      <c r="X786" s="30" t="s">
        <v>23</v>
      </c>
      <c r="Y786" s="30" t="s">
        <v>24</v>
      </c>
      <c r="Z786" s="30" t="s">
        <v>25</v>
      </c>
      <c r="AA786" s="30" t="s">
        <v>26</v>
      </c>
      <c r="AB786" s="30" t="s">
        <v>24</v>
      </c>
      <c r="AC786" s="27"/>
      <c r="AD786" s="31" t="s">
        <v>25</v>
      </c>
      <c r="AE786" s="32" t="str">
        <f t="shared" si="62"/>
        <v>✓ OK</v>
      </c>
      <c r="AF786" s="33" t="s">
        <v>27</v>
      </c>
      <c r="AG786" s="33" t="s">
        <v>23</v>
      </c>
      <c r="AH786" s="33" t="s">
        <v>24</v>
      </c>
      <c r="AI786" s="33" t="s">
        <v>25</v>
      </c>
      <c r="AJ786" s="33" t="s">
        <v>26</v>
      </c>
      <c r="AK786" s="33" t="s">
        <v>24</v>
      </c>
      <c r="AL786" s="27"/>
      <c r="AM786" s="34" t="s">
        <v>25</v>
      </c>
      <c r="AN786" s="35" t="str">
        <f t="shared" si="63"/>
        <v>✓ OK</v>
      </c>
      <c r="AO786" s="36"/>
      <c r="AP786" s="36"/>
      <c r="AQ786" s="36"/>
      <c r="AR786" s="36"/>
      <c r="AS786" s="36"/>
      <c r="AT786" s="36"/>
      <c r="AU786" s="27"/>
      <c r="AV786" s="37"/>
      <c r="AW786" s="38" t="str">
        <f t="shared" si="64"/>
        <v/>
      </c>
    </row>
    <row r="787" spans="1:49" ht="18" customHeight="1" x14ac:dyDescent="0.3">
      <c r="A787" s="23">
        <v>783</v>
      </c>
      <c r="B787" s="24" t="s">
        <v>3414</v>
      </c>
      <c r="C787" s="25" t="s">
        <v>3415</v>
      </c>
      <c r="D787" s="23" t="s">
        <v>2819</v>
      </c>
      <c r="E787" s="43">
        <v>46126</v>
      </c>
      <c r="F787" s="26" t="s">
        <v>23</v>
      </c>
      <c r="G787" s="26" t="s">
        <v>24</v>
      </c>
      <c r="H787" s="26" t="s">
        <v>25</v>
      </c>
      <c r="I787" s="26" t="s">
        <v>26</v>
      </c>
      <c r="J787" s="26" t="s">
        <v>24</v>
      </c>
      <c r="K787" s="27"/>
      <c r="L787" s="28" t="s">
        <v>25</v>
      </c>
      <c r="M787" s="29" t="str">
        <f t="shared" si="60"/>
        <v>✓ OK</v>
      </c>
      <c r="N787" s="43">
        <v>46193</v>
      </c>
      <c r="O787" s="26" t="s">
        <v>23</v>
      </c>
      <c r="P787" s="26" t="s">
        <v>24</v>
      </c>
      <c r="Q787" s="26" t="s">
        <v>25</v>
      </c>
      <c r="R787" s="26" t="s">
        <v>26</v>
      </c>
      <c r="S787" s="26" t="s">
        <v>24</v>
      </c>
      <c r="T787" s="27"/>
      <c r="U787" s="28" t="s">
        <v>25</v>
      </c>
      <c r="V787" s="29" t="str">
        <f t="shared" si="61"/>
        <v>✓ OK</v>
      </c>
      <c r="W787" s="45">
        <v>46248</v>
      </c>
      <c r="X787" s="30" t="s">
        <v>23</v>
      </c>
      <c r="Y787" s="30" t="s">
        <v>24</v>
      </c>
      <c r="Z787" s="30" t="s">
        <v>25</v>
      </c>
      <c r="AA787" s="30" t="s">
        <v>26</v>
      </c>
      <c r="AB787" s="30" t="s">
        <v>24</v>
      </c>
      <c r="AC787" s="27"/>
      <c r="AD787" s="31" t="s">
        <v>25</v>
      </c>
      <c r="AE787" s="32" t="str">
        <f t="shared" si="62"/>
        <v>✓ OK</v>
      </c>
      <c r="AF787" s="33" t="s">
        <v>27</v>
      </c>
      <c r="AG787" s="33" t="s">
        <v>23</v>
      </c>
      <c r="AH787" s="33" t="s">
        <v>24</v>
      </c>
      <c r="AI787" s="33" t="s">
        <v>25</v>
      </c>
      <c r="AJ787" s="33" t="s">
        <v>26</v>
      </c>
      <c r="AK787" s="33" t="s">
        <v>24</v>
      </c>
      <c r="AL787" s="27"/>
      <c r="AM787" s="34" t="s">
        <v>25</v>
      </c>
      <c r="AN787" s="35" t="str">
        <f t="shared" si="63"/>
        <v>✓ OK</v>
      </c>
      <c r="AO787" s="36"/>
      <c r="AP787" s="36"/>
      <c r="AQ787" s="36"/>
      <c r="AR787" s="36"/>
      <c r="AS787" s="36"/>
      <c r="AT787" s="36"/>
      <c r="AU787" s="27"/>
      <c r="AV787" s="37"/>
      <c r="AW787" s="38" t="str">
        <f t="shared" si="64"/>
        <v/>
      </c>
    </row>
    <row r="788" spans="1:49" ht="18" customHeight="1" x14ac:dyDescent="0.3">
      <c r="A788" s="39">
        <v>784</v>
      </c>
      <c r="B788" s="40" t="s">
        <v>3416</v>
      </c>
      <c r="C788" s="41" t="s">
        <v>3417</v>
      </c>
      <c r="D788" s="39" t="s">
        <v>2819</v>
      </c>
      <c r="E788" s="43">
        <v>46126</v>
      </c>
      <c r="F788" s="26" t="s">
        <v>23</v>
      </c>
      <c r="G788" s="26" t="s">
        <v>24</v>
      </c>
      <c r="H788" s="26" t="s">
        <v>25</v>
      </c>
      <c r="I788" s="26" t="s">
        <v>26</v>
      </c>
      <c r="J788" s="26" t="s">
        <v>24</v>
      </c>
      <c r="K788" s="27"/>
      <c r="L788" s="28" t="s">
        <v>25</v>
      </c>
      <c r="M788" s="29" t="str">
        <f t="shared" si="60"/>
        <v>✓ OK</v>
      </c>
      <c r="N788" s="43">
        <v>46193</v>
      </c>
      <c r="O788" s="26" t="s">
        <v>23</v>
      </c>
      <c r="P788" s="26" t="s">
        <v>24</v>
      </c>
      <c r="Q788" s="26" t="s">
        <v>25</v>
      </c>
      <c r="R788" s="26" t="s">
        <v>26</v>
      </c>
      <c r="S788" s="26" t="s">
        <v>24</v>
      </c>
      <c r="T788" s="27"/>
      <c r="U788" s="28" t="s">
        <v>25</v>
      </c>
      <c r="V788" s="29" t="str">
        <f t="shared" si="61"/>
        <v>✓ OK</v>
      </c>
      <c r="W788" s="45">
        <v>46248</v>
      </c>
      <c r="X788" s="30" t="s">
        <v>23</v>
      </c>
      <c r="Y788" s="30" t="s">
        <v>24</v>
      </c>
      <c r="Z788" s="30" t="s">
        <v>25</v>
      </c>
      <c r="AA788" s="30" t="s">
        <v>26</v>
      </c>
      <c r="AB788" s="30" t="s">
        <v>24</v>
      </c>
      <c r="AC788" s="27"/>
      <c r="AD788" s="31" t="s">
        <v>25</v>
      </c>
      <c r="AE788" s="32" t="str">
        <f t="shared" si="62"/>
        <v>✓ OK</v>
      </c>
      <c r="AF788" s="33" t="s">
        <v>27</v>
      </c>
      <c r="AG788" s="33" t="s">
        <v>23</v>
      </c>
      <c r="AH788" s="33" t="s">
        <v>24</v>
      </c>
      <c r="AI788" s="33" t="s">
        <v>25</v>
      </c>
      <c r="AJ788" s="33" t="s">
        <v>26</v>
      </c>
      <c r="AK788" s="33" t="s">
        <v>24</v>
      </c>
      <c r="AL788" s="27"/>
      <c r="AM788" s="34" t="s">
        <v>25</v>
      </c>
      <c r="AN788" s="35" t="str">
        <f t="shared" si="63"/>
        <v>✓ OK</v>
      </c>
      <c r="AO788" s="36"/>
      <c r="AP788" s="36"/>
      <c r="AQ788" s="36"/>
      <c r="AR788" s="36"/>
      <c r="AS788" s="36"/>
      <c r="AT788" s="36"/>
      <c r="AU788" s="27"/>
      <c r="AV788" s="37"/>
      <c r="AW788" s="38" t="str">
        <f t="shared" si="64"/>
        <v/>
      </c>
    </row>
    <row r="789" spans="1:49" ht="18" customHeight="1" x14ac:dyDescent="0.3">
      <c r="A789" s="23">
        <v>785</v>
      </c>
      <c r="B789" s="24" t="s">
        <v>3418</v>
      </c>
      <c r="C789" s="25" t="s">
        <v>3419</v>
      </c>
      <c r="D789" s="23" t="s">
        <v>2819</v>
      </c>
      <c r="E789" s="43">
        <v>46126</v>
      </c>
      <c r="F789" s="26" t="s">
        <v>23</v>
      </c>
      <c r="G789" s="26" t="s">
        <v>24</v>
      </c>
      <c r="H789" s="26" t="s">
        <v>25</v>
      </c>
      <c r="I789" s="26" t="s">
        <v>26</v>
      </c>
      <c r="J789" s="26" t="s">
        <v>24</v>
      </c>
      <c r="K789" s="27"/>
      <c r="L789" s="28" t="s">
        <v>25</v>
      </c>
      <c r="M789" s="29" t="str">
        <f t="shared" si="60"/>
        <v>✓ OK</v>
      </c>
      <c r="N789" s="43">
        <v>46193</v>
      </c>
      <c r="O789" s="26" t="s">
        <v>23</v>
      </c>
      <c r="P789" s="26" t="s">
        <v>24</v>
      </c>
      <c r="Q789" s="26" t="s">
        <v>25</v>
      </c>
      <c r="R789" s="26" t="s">
        <v>26</v>
      </c>
      <c r="S789" s="26" t="s">
        <v>24</v>
      </c>
      <c r="T789" s="27"/>
      <c r="U789" s="28" t="s">
        <v>25</v>
      </c>
      <c r="V789" s="29" t="str">
        <f t="shared" si="61"/>
        <v>✓ OK</v>
      </c>
      <c r="W789" s="45">
        <v>46248</v>
      </c>
      <c r="X789" s="30" t="s">
        <v>23</v>
      </c>
      <c r="Y789" s="30" t="s">
        <v>24</v>
      </c>
      <c r="Z789" s="30" t="s">
        <v>25</v>
      </c>
      <c r="AA789" s="30" t="s">
        <v>26</v>
      </c>
      <c r="AB789" s="30" t="s">
        <v>24</v>
      </c>
      <c r="AC789" s="27"/>
      <c r="AD789" s="31" t="s">
        <v>25</v>
      </c>
      <c r="AE789" s="32" t="str">
        <f t="shared" si="62"/>
        <v>✓ OK</v>
      </c>
      <c r="AF789" s="33" t="s">
        <v>27</v>
      </c>
      <c r="AG789" s="33" t="s">
        <v>23</v>
      </c>
      <c r="AH789" s="33" t="s">
        <v>24</v>
      </c>
      <c r="AI789" s="33" t="s">
        <v>25</v>
      </c>
      <c r="AJ789" s="33" t="s">
        <v>26</v>
      </c>
      <c r="AK789" s="33" t="s">
        <v>24</v>
      </c>
      <c r="AL789" s="27"/>
      <c r="AM789" s="34" t="s">
        <v>25</v>
      </c>
      <c r="AN789" s="35" t="str">
        <f t="shared" si="63"/>
        <v>✓ OK</v>
      </c>
      <c r="AO789" s="36"/>
      <c r="AP789" s="36"/>
      <c r="AQ789" s="36"/>
      <c r="AR789" s="36"/>
      <c r="AS789" s="36"/>
      <c r="AT789" s="36"/>
      <c r="AU789" s="27"/>
      <c r="AV789" s="37"/>
      <c r="AW789" s="38" t="str">
        <f t="shared" si="64"/>
        <v/>
      </c>
    </row>
    <row r="790" spans="1:49" ht="18" customHeight="1" x14ac:dyDescent="0.3">
      <c r="A790" s="39">
        <v>786</v>
      </c>
      <c r="B790" s="40" t="s">
        <v>3420</v>
      </c>
      <c r="C790" s="41" t="s">
        <v>3421</v>
      </c>
      <c r="D790" s="39" t="s">
        <v>2819</v>
      </c>
      <c r="E790" s="43">
        <v>46126</v>
      </c>
      <c r="F790" s="26" t="s">
        <v>23</v>
      </c>
      <c r="G790" s="26" t="s">
        <v>24</v>
      </c>
      <c r="H790" s="26" t="s">
        <v>25</v>
      </c>
      <c r="I790" s="26" t="s">
        <v>26</v>
      </c>
      <c r="J790" s="26" t="s">
        <v>24</v>
      </c>
      <c r="K790" s="27"/>
      <c r="L790" s="28" t="s">
        <v>25</v>
      </c>
      <c r="M790" s="29" t="str">
        <f t="shared" si="60"/>
        <v>✓ OK</v>
      </c>
      <c r="N790" s="43">
        <v>46193</v>
      </c>
      <c r="O790" s="26" t="s">
        <v>23</v>
      </c>
      <c r="P790" s="26" t="s">
        <v>24</v>
      </c>
      <c r="Q790" s="26" t="s">
        <v>25</v>
      </c>
      <c r="R790" s="26" t="s">
        <v>26</v>
      </c>
      <c r="S790" s="26" t="s">
        <v>24</v>
      </c>
      <c r="T790" s="27"/>
      <c r="U790" s="28" t="s">
        <v>25</v>
      </c>
      <c r="V790" s="29" t="str">
        <f t="shared" si="61"/>
        <v>✓ OK</v>
      </c>
      <c r="W790" s="45">
        <v>46248</v>
      </c>
      <c r="X790" s="30" t="s">
        <v>23</v>
      </c>
      <c r="Y790" s="30" t="s">
        <v>24</v>
      </c>
      <c r="Z790" s="30" t="s">
        <v>25</v>
      </c>
      <c r="AA790" s="30" t="s">
        <v>26</v>
      </c>
      <c r="AB790" s="30" t="s">
        <v>24</v>
      </c>
      <c r="AC790" s="27"/>
      <c r="AD790" s="31" t="s">
        <v>25</v>
      </c>
      <c r="AE790" s="32" t="str">
        <f t="shared" si="62"/>
        <v>✓ OK</v>
      </c>
      <c r="AF790" s="33" t="s">
        <v>27</v>
      </c>
      <c r="AG790" s="33" t="s">
        <v>23</v>
      </c>
      <c r="AH790" s="33" t="s">
        <v>24</v>
      </c>
      <c r="AI790" s="33" t="s">
        <v>25</v>
      </c>
      <c r="AJ790" s="33" t="s">
        <v>26</v>
      </c>
      <c r="AK790" s="33" t="s">
        <v>24</v>
      </c>
      <c r="AL790" s="27"/>
      <c r="AM790" s="34" t="s">
        <v>25</v>
      </c>
      <c r="AN790" s="35" t="str">
        <f t="shared" si="63"/>
        <v>✓ OK</v>
      </c>
      <c r="AO790" s="36"/>
      <c r="AP790" s="36"/>
      <c r="AQ790" s="36"/>
      <c r="AR790" s="36"/>
      <c r="AS790" s="36"/>
      <c r="AT790" s="36"/>
      <c r="AU790" s="27"/>
      <c r="AV790" s="37"/>
      <c r="AW790" s="38" t="str">
        <f t="shared" si="64"/>
        <v/>
      </c>
    </row>
    <row r="791" spans="1:49" ht="18" customHeight="1" x14ac:dyDescent="0.3">
      <c r="A791" s="23">
        <v>787</v>
      </c>
      <c r="B791" s="24" t="s">
        <v>3422</v>
      </c>
      <c r="C791" s="25" t="s">
        <v>3423</v>
      </c>
      <c r="D791" s="23" t="s">
        <v>2819</v>
      </c>
      <c r="E791" s="43">
        <v>46126</v>
      </c>
      <c r="F791" s="26" t="s">
        <v>23</v>
      </c>
      <c r="G791" s="26" t="s">
        <v>24</v>
      </c>
      <c r="H791" s="26" t="s">
        <v>25</v>
      </c>
      <c r="I791" s="26" t="s">
        <v>26</v>
      </c>
      <c r="J791" s="26" t="s">
        <v>24</v>
      </c>
      <c r="K791" s="27"/>
      <c r="L791" s="28" t="s">
        <v>25</v>
      </c>
      <c r="M791" s="29" t="str">
        <f t="shared" si="60"/>
        <v>✓ OK</v>
      </c>
      <c r="N791" s="43">
        <v>46193</v>
      </c>
      <c r="O791" s="26" t="s">
        <v>23</v>
      </c>
      <c r="P791" s="26" t="s">
        <v>24</v>
      </c>
      <c r="Q791" s="26" t="s">
        <v>25</v>
      </c>
      <c r="R791" s="26" t="s">
        <v>26</v>
      </c>
      <c r="S791" s="26" t="s">
        <v>24</v>
      </c>
      <c r="T791" s="27"/>
      <c r="U791" s="28" t="s">
        <v>25</v>
      </c>
      <c r="V791" s="29" t="str">
        <f t="shared" si="61"/>
        <v>✓ OK</v>
      </c>
      <c r="W791" s="45">
        <v>46248</v>
      </c>
      <c r="X791" s="30" t="s">
        <v>23</v>
      </c>
      <c r="Y791" s="30" t="s">
        <v>24</v>
      </c>
      <c r="Z791" s="30" t="s">
        <v>25</v>
      </c>
      <c r="AA791" s="30" t="s">
        <v>26</v>
      </c>
      <c r="AB791" s="30" t="s">
        <v>24</v>
      </c>
      <c r="AC791" s="27"/>
      <c r="AD791" s="31" t="s">
        <v>25</v>
      </c>
      <c r="AE791" s="32" t="str">
        <f t="shared" si="62"/>
        <v>✓ OK</v>
      </c>
      <c r="AF791" s="33" t="s">
        <v>27</v>
      </c>
      <c r="AG791" s="33" t="s">
        <v>23</v>
      </c>
      <c r="AH791" s="33" t="s">
        <v>24</v>
      </c>
      <c r="AI791" s="33" t="s">
        <v>25</v>
      </c>
      <c r="AJ791" s="33" t="s">
        <v>26</v>
      </c>
      <c r="AK791" s="33" t="s">
        <v>24</v>
      </c>
      <c r="AL791" s="27"/>
      <c r="AM791" s="34" t="s">
        <v>25</v>
      </c>
      <c r="AN791" s="35" t="str">
        <f t="shared" si="63"/>
        <v>✓ OK</v>
      </c>
      <c r="AO791" s="36"/>
      <c r="AP791" s="36"/>
      <c r="AQ791" s="36"/>
      <c r="AR791" s="36"/>
      <c r="AS791" s="36"/>
      <c r="AT791" s="36"/>
      <c r="AU791" s="27"/>
      <c r="AV791" s="37"/>
      <c r="AW791" s="38" t="str">
        <f t="shared" si="64"/>
        <v/>
      </c>
    </row>
    <row r="792" spans="1:49" ht="18" customHeight="1" x14ac:dyDescent="0.3">
      <c r="A792" s="39">
        <v>788</v>
      </c>
      <c r="B792" s="40" t="s">
        <v>3424</v>
      </c>
      <c r="C792" s="41" t="s">
        <v>3425</v>
      </c>
      <c r="D792" s="39" t="s">
        <v>2819</v>
      </c>
      <c r="E792" s="43">
        <v>46126</v>
      </c>
      <c r="F792" s="26" t="s">
        <v>23</v>
      </c>
      <c r="G792" s="26" t="s">
        <v>24</v>
      </c>
      <c r="H792" s="26" t="s">
        <v>25</v>
      </c>
      <c r="I792" s="26" t="s">
        <v>26</v>
      </c>
      <c r="J792" s="26" t="s">
        <v>24</v>
      </c>
      <c r="K792" s="27"/>
      <c r="L792" s="28" t="s">
        <v>25</v>
      </c>
      <c r="M792" s="29" t="str">
        <f t="shared" si="60"/>
        <v>✓ OK</v>
      </c>
      <c r="N792" s="43">
        <v>46193</v>
      </c>
      <c r="O792" s="26" t="s">
        <v>23</v>
      </c>
      <c r="P792" s="26" t="s">
        <v>24</v>
      </c>
      <c r="Q792" s="26" t="s">
        <v>25</v>
      </c>
      <c r="R792" s="26" t="s">
        <v>26</v>
      </c>
      <c r="S792" s="26" t="s">
        <v>24</v>
      </c>
      <c r="T792" s="27"/>
      <c r="U792" s="28" t="s">
        <v>25</v>
      </c>
      <c r="V792" s="29" t="str">
        <f t="shared" si="61"/>
        <v>✓ OK</v>
      </c>
      <c r="W792" s="45">
        <v>46248</v>
      </c>
      <c r="X792" s="30" t="s">
        <v>23</v>
      </c>
      <c r="Y792" s="30" t="s">
        <v>24</v>
      </c>
      <c r="Z792" s="30" t="s">
        <v>25</v>
      </c>
      <c r="AA792" s="30" t="s">
        <v>26</v>
      </c>
      <c r="AB792" s="30" t="s">
        <v>24</v>
      </c>
      <c r="AC792" s="27"/>
      <c r="AD792" s="31" t="s">
        <v>25</v>
      </c>
      <c r="AE792" s="32" t="str">
        <f t="shared" si="62"/>
        <v>✓ OK</v>
      </c>
      <c r="AF792" s="33" t="s">
        <v>27</v>
      </c>
      <c r="AG792" s="33" t="s">
        <v>23</v>
      </c>
      <c r="AH792" s="33" t="s">
        <v>24</v>
      </c>
      <c r="AI792" s="33" t="s">
        <v>25</v>
      </c>
      <c r="AJ792" s="33" t="s">
        <v>26</v>
      </c>
      <c r="AK792" s="33" t="s">
        <v>24</v>
      </c>
      <c r="AL792" s="27"/>
      <c r="AM792" s="34" t="s">
        <v>25</v>
      </c>
      <c r="AN792" s="35" t="str">
        <f t="shared" si="63"/>
        <v>✓ OK</v>
      </c>
      <c r="AO792" s="36"/>
      <c r="AP792" s="36"/>
      <c r="AQ792" s="36"/>
      <c r="AR792" s="36"/>
      <c r="AS792" s="36"/>
      <c r="AT792" s="36"/>
      <c r="AU792" s="27"/>
      <c r="AV792" s="37"/>
      <c r="AW792" s="38" t="str">
        <f t="shared" si="64"/>
        <v/>
      </c>
    </row>
    <row r="793" spans="1:49" ht="18" customHeight="1" x14ac:dyDescent="0.3">
      <c r="A793" s="23">
        <v>789</v>
      </c>
      <c r="B793" s="24" t="s">
        <v>3426</v>
      </c>
      <c r="C793" s="25" t="s">
        <v>3427</v>
      </c>
      <c r="D793" s="23" t="s">
        <v>2819</v>
      </c>
      <c r="E793" s="43">
        <v>46126</v>
      </c>
      <c r="F793" s="26" t="s">
        <v>23</v>
      </c>
      <c r="G793" s="26" t="s">
        <v>24</v>
      </c>
      <c r="H793" s="26" t="s">
        <v>25</v>
      </c>
      <c r="I793" s="26" t="s">
        <v>26</v>
      </c>
      <c r="J793" s="26" t="s">
        <v>24</v>
      </c>
      <c r="K793" s="27"/>
      <c r="L793" s="28" t="s">
        <v>25</v>
      </c>
      <c r="M793" s="29" t="str">
        <f t="shared" si="60"/>
        <v>✓ OK</v>
      </c>
      <c r="N793" s="43">
        <v>46193</v>
      </c>
      <c r="O793" s="26" t="s">
        <v>23</v>
      </c>
      <c r="P793" s="26" t="s">
        <v>24</v>
      </c>
      <c r="Q793" s="26" t="s">
        <v>25</v>
      </c>
      <c r="R793" s="26" t="s">
        <v>26</v>
      </c>
      <c r="S793" s="26" t="s">
        <v>24</v>
      </c>
      <c r="T793" s="27"/>
      <c r="U793" s="28" t="s">
        <v>25</v>
      </c>
      <c r="V793" s="29" t="str">
        <f t="shared" si="61"/>
        <v>✓ OK</v>
      </c>
      <c r="W793" s="45">
        <v>46248</v>
      </c>
      <c r="X793" s="30" t="s">
        <v>23</v>
      </c>
      <c r="Y793" s="30" t="s">
        <v>24</v>
      </c>
      <c r="Z793" s="30" t="s">
        <v>25</v>
      </c>
      <c r="AA793" s="30" t="s">
        <v>26</v>
      </c>
      <c r="AB793" s="30" t="s">
        <v>24</v>
      </c>
      <c r="AC793" s="27"/>
      <c r="AD793" s="31" t="s">
        <v>25</v>
      </c>
      <c r="AE793" s="32" t="str">
        <f t="shared" si="62"/>
        <v>✓ OK</v>
      </c>
      <c r="AF793" s="33" t="s">
        <v>27</v>
      </c>
      <c r="AG793" s="33" t="s">
        <v>23</v>
      </c>
      <c r="AH793" s="33" t="s">
        <v>24</v>
      </c>
      <c r="AI793" s="33" t="s">
        <v>25</v>
      </c>
      <c r="AJ793" s="33" t="s">
        <v>26</v>
      </c>
      <c r="AK793" s="33" t="s">
        <v>24</v>
      </c>
      <c r="AL793" s="27"/>
      <c r="AM793" s="34" t="s">
        <v>25</v>
      </c>
      <c r="AN793" s="35" t="str">
        <f t="shared" si="63"/>
        <v>✓ OK</v>
      </c>
      <c r="AO793" s="36"/>
      <c r="AP793" s="36"/>
      <c r="AQ793" s="36"/>
      <c r="AR793" s="36"/>
      <c r="AS793" s="36"/>
      <c r="AT793" s="36"/>
      <c r="AU793" s="27"/>
      <c r="AV793" s="37"/>
      <c r="AW793" s="38" t="str">
        <f t="shared" si="64"/>
        <v/>
      </c>
    </row>
    <row r="794" spans="1:49" ht="18" customHeight="1" x14ac:dyDescent="0.3">
      <c r="A794" s="39">
        <v>790</v>
      </c>
      <c r="B794" s="40" t="s">
        <v>3428</v>
      </c>
      <c r="C794" s="41" t="s">
        <v>3429</v>
      </c>
      <c r="D794" s="39" t="s">
        <v>2819</v>
      </c>
      <c r="E794" s="43">
        <v>46126</v>
      </c>
      <c r="F794" s="26" t="s">
        <v>23</v>
      </c>
      <c r="G794" s="26" t="s">
        <v>24</v>
      </c>
      <c r="H794" s="26" t="s">
        <v>25</v>
      </c>
      <c r="I794" s="26" t="s">
        <v>26</v>
      </c>
      <c r="J794" s="26" t="s">
        <v>24</v>
      </c>
      <c r="K794" s="27"/>
      <c r="L794" s="28" t="s">
        <v>25</v>
      </c>
      <c r="M794" s="29" t="str">
        <f t="shared" si="60"/>
        <v>✓ OK</v>
      </c>
      <c r="N794" s="43">
        <v>46193</v>
      </c>
      <c r="O794" s="26" t="s">
        <v>23</v>
      </c>
      <c r="P794" s="26" t="s">
        <v>24</v>
      </c>
      <c r="Q794" s="26" t="s">
        <v>25</v>
      </c>
      <c r="R794" s="26" t="s">
        <v>26</v>
      </c>
      <c r="S794" s="26" t="s">
        <v>24</v>
      </c>
      <c r="T794" s="27"/>
      <c r="U794" s="28" t="s">
        <v>25</v>
      </c>
      <c r="V794" s="29" t="str">
        <f t="shared" si="61"/>
        <v>✓ OK</v>
      </c>
      <c r="W794" s="45">
        <v>46248</v>
      </c>
      <c r="X794" s="30" t="s">
        <v>23</v>
      </c>
      <c r="Y794" s="30" t="s">
        <v>24</v>
      </c>
      <c r="Z794" s="30" t="s">
        <v>25</v>
      </c>
      <c r="AA794" s="30" t="s">
        <v>26</v>
      </c>
      <c r="AB794" s="30" t="s">
        <v>24</v>
      </c>
      <c r="AC794" s="27"/>
      <c r="AD794" s="31" t="s">
        <v>25</v>
      </c>
      <c r="AE794" s="32" t="str">
        <f t="shared" si="62"/>
        <v>✓ OK</v>
      </c>
      <c r="AF794" s="33" t="s">
        <v>27</v>
      </c>
      <c r="AG794" s="33" t="s">
        <v>23</v>
      </c>
      <c r="AH794" s="33" t="s">
        <v>24</v>
      </c>
      <c r="AI794" s="33" t="s">
        <v>25</v>
      </c>
      <c r="AJ794" s="33" t="s">
        <v>26</v>
      </c>
      <c r="AK794" s="33" t="s">
        <v>24</v>
      </c>
      <c r="AL794" s="27"/>
      <c r="AM794" s="34" t="s">
        <v>25</v>
      </c>
      <c r="AN794" s="35" t="str">
        <f t="shared" si="63"/>
        <v>✓ OK</v>
      </c>
      <c r="AO794" s="36"/>
      <c r="AP794" s="36"/>
      <c r="AQ794" s="36"/>
      <c r="AR794" s="36"/>
      <c r="AS794" s="36"/>
      <c r="AT794" s="36"/>
      <c r="AU794" s="27"/>
      <c r="AV794" s="37"/>
      <c r="AW794" s="38" t="str">
        <f t="shared" si="64"/>
        <v/>
      </c>
    </row>
    <row r="795" spans="1:49" ht="18" customHeight="1" x14ac:dyDescent="0.3">
      <c r="A795" s="23">
        <v>791</v>
      </c>
      <c r="B795" s="24" t="s">
        <v>3430</v>
      </c>
      <c r="C795" s="25" t="s">
        <v>3431</v>
      </c>
      <c r="D795" s="23" t="s">
        <v>2819</v>
      </c>
      <c r="E795" s="43">
        <v>46126</v>
      </c>
      <c r="F795" s="26" t="s">
        <v>23</v>
      </c>
      <c r="G795" s="26" t="s">
        <v>24</v>
      </c>
      <c r="H795" s="26" t="s">
        <v>25</v>
      </c>
      <c r="I795" s="26" t="s">
        <v>26</v>
      </c>
      <c r="J795" s="26" t="s">
        <v>24</v>
      </c>
      <c r="K795" s="27"/>
      <c r="L795" s="28" t="s">
        <v>25</v>
      </c>
      <c r="M795" s="29" t="str">
        <f t="shared" si="60"/>
        <v>✓ OK</v>
      </c>
      <c r="N795" s="43">
        <v>46193</v>
      </c>
      <c r="O795" s="26" t="s">
        <v>23</v>
      </c>
      <c r="P795" s="26" t="s">
        <v>24</v>
      </c>
      <c r="Q795" s="26" t="s">
        <v>25</v>
      </c>
      <c r="R795" s="26" t="s">
        <v>26</v>
      </c>
      <c r="S795" s="26" t="s">
        <v>24</v>
      </c>
      <c r="T795" s="27"/>
      <c r="U795" s="28" t="s">
        <v>25</v>
      </c>
      <c r="V795" s="29" t="str">
        <f t="shared" si="61"/>
        <v>✓ OK</v>
      </c>
      <c r="W795" s="45">
        <v>46248</v>
      </c>
      <c r="X795" s="30" t="s">
        <v>23</v>
      </c>
      <c r="Y795" s="30" t="s">
        <v>24</v>
      </c>
      <c r="Z795" s="30" t="s">
        <v>25</v>
      </c>
      <c r="AA795" s="30" t="s">
        <v>26</v>
      </c>
      <c r="AB795" s="30" t="s">
        <v>24</v>
      </c>
      <c r="AC795" s="27"/>
      <c r="AD795" s="31" t="s">
        <v>25</v>
      </c>
      <c r="AE795" s="32" t="str">
        <f t="shared" si="62"/>
        <v>✓ OK</v>
      </c>
      <c r="AF795" s="33" t="s">
        <v>27</v>
      </c>
      <c r="AG795" s="33" t="s">
        <v>23</v>
      </c>
      <c r="AH795" s="33" t="s">
        <v>24</v>
      </c>
      <c r="AI795" s="33" t="s">
        <v>25</v>
      </c>
      <c r="AJ795" s="33" t="s">
        <v>26</v>
      </c>
      <c r="AK795" s="33" t="s">
        <v>24</v>
      </c>
      <c r="AL795" s="27"/>
      <c r="AM795" s="34" t="s">
        <v>25</v>
      </c>
      <c r="AN795" s="35" t="str">
        <f t="shared" si="63"/>
        <v>✓ OK</v>
      </c>
      <c r="AO795" s="36"/>
      <c r="AP795" s="36"/>
      <c r="AQ795" s="36"/>
      <c r="AR795" s="36"/>
      <c r="AS795" s="36"/>
      <c r="AT795" s="36"/>
      <c r="AU795" s="27"/>
      <c r="AV795" s="37"/>
      <c r="AW795" s="38" t="str">
        <f t="shared" si="64"/>
        <v/>
      </c>
    </row>
    <row r="796" spans="1:49" ht="18" customHeight="1" x14ac:dyDescent="0.3">
      <c r="A796" s="39">
        <v>792</v>
      </c>
      <c r="B796" s="40" t="s">
        <v>3432</v>
      </c>
      <c r="C796" s="41" t="s">
        <v>3433</v>
      </c>
      <c r="D796" s="39" t="s">
        <v>2819</v>
      </c>
      <c r="E796" s="43">
        <v>46126</v>
      </c>
      <c r="F796" s="26" t="s">
        <v>23</v>
      </c>
      <c r="G796" s="26" t="s">
        <v>24</v>
      </c>
      <c r="H796" s="26" t="s">
        <v>25</v>
      </c>
      <c r="I796" s="26" t="s">
        <v>26</v>
      </c>
      <c r="J796" s="26" t="s">
        <v>24</v>
      </c>
      <c r="K796" s="27"/>
      <c r="L796" s="28" t="s">
        <v>25</v>
      </c>
      <c r="M796" s="29" t="str">
        <f t="shared" si="60"/>
        <v>✓ OK</v>
      </c>
      <c r="N796" s="43">
        <v>46193</v>
      </c>
      <c r="O796" s="26" t="s">
        <v>23</v>
      </c>
      <c r="P796" s="26" t="s">
        <v>24</v>
      </c>
      <c r="Q796" s="26" t="s">
        <v>25</v>
      </c>
      <c r="R796" s="26" t="s">
        <v>26</v>
      </c>
      <c r="S796" s="26" t="s">
        <v>24</v>
      </c>
      <c r="T796" s="27"/>
      <c r="U796" s="28" t="s">
        <v>25</v>
      </c>
      <c r="V796" s="29" t="str">
        <f t="shared" si="61"/>
        <v>✓ OK</v>
      </c>
      <c r="W796" s="45">
        <v>46248</v>
      </c>
      <c r="X796" s="30" t="s">
        <v>23</v>
      </c>
      <c r="Y796" s="30" t="s">
        <v>24</v>
      </c>
      <c r="Z796" s="30" t="s">
        <v>25</v>
      </c>
      <c r="AA796" s="30" t="s">
        <v>26</v>
      </c>
      <c r="AB796" s="30" t="s">
        <v>24</v>
      </c>
      <c r="AC796" s="27"/>
      <c r="AD796" s="31" t="s">
        <v>25</v>
      </c>
      <c r="AE796" s="32" t="str">
        <f t="shared" si="62"/>
        <v>✓ OK</v>
      </c>
      <c r="AF796" s="33" t="s">
        <v>27</v>
      </c>
      <c r="AG796" s="33" t="s">
        <v>23</v>
      </c>
      <c r="AH796" s="33" t="s">
        <v>24</v>
      </c>
      <c r="AI796" s="33" t="s">
        <v>25</v>
      </c>
      <c r="AJ796" s="33" t="s">
        <v>26</v>
      </c>
      <c r="AK796" s="33" t="s">
        <v>24</v>
      </c>
      <c r="AL796" s="27"/>
      <c r="AM796" s="34" t="s">
        <v>25</v>
      </c>
      <c r="AN796" s="35" t="str">
        <f t="shared" si="63"/>
        <v>✓ OK</v>
      </c>
      <c r="AO796" s="36"/>
      <c r="AP796" s="36"/>
      <c r="AQ796" s="36"/>
      <c r="AR796" s="36"/>
      <c r="AS796" s="36"/>
      <c r="AT796" s="36"/>
      <c r="AU796" s="27"/>
      <c r="AV796" s="37"/>
      <c r="AW796" s="38" t="str">
        <f t="shared" si="64"/>
        <v/>
      </c>
    </row>
    <row r="797" spans="1:49" ht="18" customHeight="1" x14ac:dyDescent="0.3">
      <c r="A797" s="23">
        <v>793</v>
      </c>
      <c r="B797" s="24" t="s">
        <v>3434</v>
      </c>
      <c r="C797" s="25" t="s">
        <v>3435</v>
      </c>
      <c r="D797" s="23" t="s">
        <v>2819</v>
      </c>
      <c r="E797" s="43">
        <v>46126</v>
      </c>
      <c r="F797" s="26" t="s">
        <v>23</v>
      </c>
      <c r="G797" s="26" t="s">
        <v>24</v>
      </c>
      <c r="H797" s="26" t="s">
        <v>25</v>
      </c>
      <c r="I797" s="26" t="s">
        <v>26</v>
      </c>
      <c r="J797" s="26" t="s">
        <v>24</v>
      </c>
      <c r="K797" s="27"/>
      <c r="L797" s="28" t="s">
        <v>25</v>
      </c>
      <c r="M797" s="29" t="str">
        <f t="shared" si="60"/>
        <v>✓ OK</v>
      </c>
      <c r="N797" s="43">
        <v>46193</v>
      </c>
      <c r="O797" s="26" t="s">
        <v>23</v>
      </c>
      <c r="P797" s="26" t="s">
        <v>24</v>
      </c>
      <c r="Q797" s="26" t="s">
        <v>25</v>
      </c>
      <c r="R797" s="26" t="s">
        <v>26</v>
      </c>
      <c r="S797" s="26" t="s">
        <v>24</v>
      </c>
      <c r="T797" s="27"/>
      <c r="U797" s="28" t="s">
        <v>25</v>
      </c>
      <c r="V797" s="29" t="str">
        <f t="shared" si="61"/>
        <v>✓ OK</v>
      </c>
      <c r="W797" s="45">
        <v>46248</v>
      </c>
      <c r="X797" s="30" t="s">
        <v>23</v>
      </c>
      <c r="Y797" s="30" t="s">
        <v>24</v>
      </c>
      <c r="Z797" s="30" t="s">
        <v>25</v>
      </c>
      <c r="AA797" s="30" t="s">
        <v>26</v>
      </c>
      <c r="AB797" s="30" t="s">
        <v>24</v>
      </c>
      <c r="AC797" s="27"/>
      <c r="AD797" s="31" t="s">
        <v>25</v>
      </c>
      <c r="AE797" s="32" t="str">
        <f t="shared" si="62"/>
        <v>✓ OK</v>
      </c>
      <c r="AF797" s="33" t="s">
        <v>27</v>
      </c>
      <c r="AG797" s="33" t="s">
        <v>23</v>
      </c>
      <c r="AH797" s="33" t="s">
        <v>24</v>
      </c>
      <c r="AI797" s="33" t="s">
        <v>25</v>
      </c>
      <c r="AJ797" s="33" t="s">
        <v>26</v>
      </c>
      <c r="AK797" s="33" t="s">
        <v>24</v>
      </c>
      <c r="AL797" s="27"/>
      <c r="AM797" s="34" t="s">
        <v>25</v>
      </c>
      <c r="AN797" s="35" t="str">
        <f t="shared" si="63"/>
        <v>✓ OK</v>
      </c>
      <c r="AO797" s="36"/>
      <c r="AP797" s="36"/>
      <c r="AQ797" s="36"/>
      <c r="AR797" s="36"/>
      <c r="AS797" s="36"/>
      <c r="AT797" s="36"/>
      <c r="AU797" s="27"/>
      <c r="AV797" s="37"/>
      <c r="AW797" s="38" t="str">
        <f t="shared" si="64"/>
        <v/>
      </c>
    </row>
    <row r="798" spans="1:49" ht="18" customHeight="1" x14ac:dyDescent="0.3">
      <c r="A798" s="39">
        <v>794</v>
      </c>
      <c r="B798" s="40" t="s">
        <v>3436</v>
      </c>
      <c r="C798" s="41" t="s">
        <v>3437</v>
      </c>
      <c r="D798" s="39" t="s">
        <v>2819</v>
      </c>
      <c r="E798" s="43">
        <v>46126</v>
      </c>
      <c r="F798" s="26" t="s">
        <v>23</v>
      </c>
      <c r="G798" s="26" t="s">
        <v>24</v>
      </c>
      <c r="H798" s="26" t="s">
        <v>25</v>
      </c>
      <c r="I798" s="26" t="s">
        <v>26</v>
      </c>
      <c r="J798" s="26" t="s">
        <v>24</v>
      </c>
      <c r="K798" s="27"/>
      <c r="L798" s="28" t="s">
        <v>25</v>
      </c>
      <c r="M798" s="29" t="str">
        <f t="shared" si="60"/>
        <v>✓ OK</v>
      </c>
      <c r="N798" s="43">
        <v>46193</v>
      </c>
      <c r="O798" s="26" t="s">
        <v>23</v>
      </c>
      <c r="P798" s="26" t="s">
        <v>24</v>
      </c>
      <c r="Q798" s="26" t="s">
        <v>25</v>
      </c>
      <c r="R798" s="26" t="s">
        <v>26</v>
      </c>
      <c r="S798" s="26" t="s">
        <v>24</v>
      </c>
      <c r="T798" s="27"/>
      <c r="U798" s="28" t="s">
        <v>25</v>
      </c>
      <c r="V798" s="29" t="str">
        <f t="shared" si="61"/>
        <v>✓ OK</v>
      </c>
      <c r="W798" s="45">
        <v>46248</v>
      </c>
      <c r="X798" s="30" t="s">
        <v>23</v>
      </c>
      <c r="Y798" s="30" t="s">
        <v>24</v>
      </c>
      <c r="Z798" s="30" t="s">
        <v>25</v>
      </c>
      <c r="AA798" s="30" t="s">
        <v>26</v>
      </c>
      <c r="AB798" s="30" t="s">
        <v>24</v>
      </c>
      <c r="AC798" s="27"/>
      <c r="AD798" s="31" t="s">
        <v>25</v>
      </c>
      <c r="AE798" s="32" t="str">
        <f t="shared" si="62"/>
        <v>✓ OK</v>
      </c>
      <c r="AF798" s="33" t="s">
        <v>27</v>
      </c>
      <c r="AG798" s="33" t="s">
        <v>23</v>
      </c>
      <c r="AH798" s="33" t="s">
        <v>24</v>
      </c>
      <c r="AI798" s="33" t="s">
        <v>25</v>
      </c>
      <c r="AJ798" s="33" t="s">
        <v>26</v>
      </c>
      <c r="AK798" s="33" t="s">
        <v>24</v>
      </c>
      <c r="AL798" s="27"/>
      <c r="AM798" s="34" t="s">
        <v>25</v>
      </c>
      <c r="AN798" s="35" t="str">
        <f t="shared" si="63"/>
        <v>✓ OK</v>
      </c>
      <c r="AO798" s="36"/>
      <c r="AP798" s="36"/>
      <c r="AQ798" s="36"/>
      <c r="AR798" s="36"/>
      <c r="AS798" s="36"/>
      <c r="AT798" s="36"/>
      <c r="AU798" s="27"/>
      <c r="AV798" s="37"/>
      <c r="AW798" s="38" t="str">
        <f t="shared" si="64"/>
        <v/>
      </c>
    </row>
    <row r="799" spans="1:49" ht="18" customHeight="1" x14ac:dyDescent="0.3">
      <c r="A799" s="23">
        <v>795</v>
      </c>
      <c r="B799" s="24" t="s">
        <v>3438</v>
      </c>
      <c r="C799" s="25" t="s">
        <v>3439</v>
      </c>
      <c r="D799" s="23" t="s">
        <v>2819</v>
      </c>
      <c r="E799" s="43">
        <v>46126</v>
      </c>
      <c r="F799" s="26" t="s">
        <v>23</v>
      </c>
      <c r="G799" s="26" t="s">
        <v>24</v>
      </c>
      <c r="H799" s="26" t="s">
        <v>25</v>
      </c>
      <c r="I799" s="26" t="s">
        <v>26</v>
      </c>
      <c r="J799" s="26" t="s">
        <v>24</v>
      </c>
      <c r="K799" s="27"/>
      <c r="L799" s="28" t="s">
        <v>25</v>
      </c>
      <c r="M799" s="29" t="str">
        <f t="shared" si="60"/>
        <v>✓ OK</v>
      </c>
      <c r="N799" s="43">
        <v>46193</v>
      </c>
      <c r="O799" s="26" t="s">
        <v>23</v>
      </c>
      <c r="P799" s="26" t="s">
        <v>24</v>
      </c>
      <c r="Q799" s="26" t="s">
        <v>25</v>
      </c>
      <c r="R799" s="26" t="s">
        <v>26</v>
      </c>
      <c r="S799" s="26" t="s">
        <v>24</v>
      </c>
      <c r="T799" s="27"/>
      <c r="U799" s="28" t="s">
        <v>25</v>
      </c>
      <c r="V799" s="29" t="str">
        <f t="shared" si="61"/>
        <v>✓ OK</v>
      </c>
      <c r="W799" s="45">
        <v>46248</v>
      </c>
      <c r="X799" s="30" t="s">
        <v>23</v>
      </c>
      <c r="Y799" s="30" t="s">
        <v>24</v>
      </c>
      <c r="Z799" s="30" t="s">
        <v>25</v>
      </c>
      <c r="AA799" s="30" t="s">
        <v>26</v>
      </c>
      <c r="AB799" s="30" t="s">
        <v>24</v>
      </c>
      <c r="AC799" s="27"/>
      <c r="AD799" s="31" t="s">
        <v>25</v>
      </c>
      <c r="AE799" s="32" t="str">
        <f t="shared" si="62"/>
        <v>✓ OK</v>
      </c>
      <c r="AF799" s="33" t="s">
        <v>27</v>
      </c>
      <c r="AG799" s="33" t="s">
        <v>23</v>
      </c>
      <c r="AH799" s="33" t="s">
        <v>24</v>
      </c>
      <c r="AI799" s="33" t="s">
        <v>25</v>
      </c>
      <c r="AJ799" s="33" t="s">
        <v>26</v>
      </c>
      <c r="AK799" s="33" t="s">
        <v>24</v>
      </c>
      <c r="AL799" s="27"/>
      <c r="AM799" s="34" t="s">
        <v>25</v>
      </c>
      <c r="AN799" s="35" t="str">
        <f t="shared" si="63"/>
        <v>✓ OK</v>
      </c>
      <c r="AO799" s="36"/>
      <c r="AP799" s="36"/>
      <c r="AQ799" s="36"/>
      <c r="AR799" s="36"/>
      <c r="AS799" s="36"/>
      <c r="AT799" s="36"/>
      <c r="AU799" s="27"/>
      <c r="AV799" s="37"/>
      <c r="AW799" s="38" t="str">
        <f t="shared" si="64"/>
        <v/>
      </c>
    </row>
    <row r="800" spans="1:49" ht="18" customHeight="1" x14ac:dyDescent="0.3">
      <c r="A800" s="39">
        <v>796</v>
      </c>
      <c r="B800" s="40" t="s">
        <v>3440</v>
      </c>
      <c r="C800" s="41" t="s">
        <v>3441</v>
      </c>
      <c r="D800" s="39" t="s">
        <v>2819</v>
      </c>
      <c r="E800" s="43">
        <v>46126</v>
      </c>
      <c r="F800" s="26" t="s">
        <v>23</v>
      </c>
      <c r="G800" s="26" t="s">
        <v>24</v>
      </c>
      <c r="H800" s="26" t="s">
        <v>25</v>
      </c>
      <c r="I800" s="26" t="s">
        <v>26</v>
      </c>
      <c r="J800" s="26" t="s">
        <v>24</v>
      </c>
      <c r="K800" s="27"/>
      <c r="L800" s="28" t="s">
        <v>25</v>
      </c>
      <c r="M800" s="29" t="str">
        <f t="shared" si="60"/>
        <v>✓ OK</v>
      </c>
      <c r="N800" s="43">
        <v>46193</v>
      </c>
      <c r="O800" s="26" t="s">
        <v>23</v>
      </c>
      <c r="P800" s="26" t="s">
        <v>24</v>
      </c>
      <c r="Q800" s="26" t="s">
        <v>25</v>
      </c>
      <c r="R800" s="26" t="s">
        <v>26</v>
      </c>
      <c r="S800" s="26" t="s">
        <v>24</v>
      </c>
      <c r="T800" s="27"/>
      <c r="U800" s="28" t="s">
        <v>25</v>
      </c>
      <c r="V800" s="29" t="str">
        <f t="shared" si="61"/>
        <v>✓ OK</v>
      </c>
      <c r="W800" s="45">
        <v>46248</v>
      </c>
      <c r="X800" s="30" t="s">
        <v>23</v>
      </c>
      <c r="Y800" s="30" t="s">
        <v>24</v>
      </c>
      <c r="Z800" s="30" t="s">
        <v>25</v>
      </c>
      <c r="AA800" s="30" t="s">
        <v>26</v>
      </c>
      <c r="AB800" s="30" t="s">
        <v>24</v>
      </c>
      <c r="AC800" s="27"/>
      <c r="AD800" s="31" t="s">
        <v>25</v>
      </c>
      <c r="AE800" s="32" t="str">
        <f t="shared" si="62"/>
        <v>✓ OK</v>
      </c>
      <c r="AF800" s="33" t="s">
        <v>27</v>
      </c>
      <c r="AG800" s="33" t="s">
        <v>23</v>
      </c>
      <c r="AH800" s="33" t="s">
        <v>24</v>
      </c>
      <c r="AI800" s="33" t="s">
        <v>25</v>
      </c>
      <c r="AJ800" s="33" t="s">
        <v>26</v>
      </c>
      <c r="AK800" s="33" t="s">
        <v>24</v>
      </c>
      <c r="AL800" s="27"/>
      <c r="AM800" s="34" t="s">
        <v>25</v>
      </c>
      <c r="AN800" s="35" t="str">
        <f t="shared" si="63"/>
        <v>✓ OK</v>
      </c>
      <c r="AO800" s="36"/>
      <c r="AP800" s="36"/>
      <c r="AQ800" s="36"/>
      <c r="AR800" s="36"/>
      <c r="AS800" s="36"/>
      <c r="AT800" s="36"/>
      <c r="AU800" s="27"/>
      <c r="AV800" s="37"/>
      <c r="AW800" s="38" t="str">
        <f t="shared" si="64"/>
        <v/>
      </c>
    </row>
    <row r="801" spans="1:49" ht="18" customHeight="1" x14ac:dyDescent="0.3">
      <c r="A801" s="23">
        <v>797</v>
      </c>
      <c r="B801" s="24" t="s">
        <v>3442</v>
      </c>
      <c r="C801" s="25" t="s">
        <v>3443</v>
      </c>
      <c r="D801" s="23" t="s">
        <v>2819</v>
      </c>
      <c r="E801" s="43">
        <v>46126</v>
      </c>
      <c r="F801" s="26" t="s">
        <v>23</v>
      </c>
      <c r="G801" s="26" t="s">
        <v>24</v>
      </c>
      <c r="H801" s="26" t="s">
        <v>25</v>
      </c>
      <c r="I801" s="26" t="s">
        <v>26</v>
      </c>
      <c r="J801" s="26" t="s">
        <v>24</v>
      </c>
      <c r="K801" s="27"/>
      <c r="L801" s="28" t="s">
        <v>25</v>
      </c>
      <c r="M801" s="29" t="str">
        <f t="shared" si="60"/>
        <v>✓ OK</v>
      </c>
      <c r="N801" s="43">
        <v>46193</v>
      </c>
      <c r="O801" s="26" t="s">
        <v>23</v>
      </c>
      <c r="P801" s="26" t="s">
        <v>24</v>
      </c>
      <c r="Q801" s="26" t="s">
        <v>25</v>
      </c>
      <c r="R801" s="26" t="s">
        <v>26</v>
      </c>
      <c r="S801" s="26" t="s">
        <v>24</v>
      </c>
      <c r="T801" s="27"/>
      <c r="U801" s="28" t="s">
        <v>25</v>
      </c>
      <c r="V801" s="29" t="str">
        <f t="shared" si="61"/>
        <v>✓ OK</v>
      </c>
      <c r="W801" s="45">
        <v>46248</v>
      </c>
      <c r="X801" s="30" t="s">
        <v>23</v>
      </c>
      <c r="Y801" s="30" t="s">
        <v>24</v>
      </c>
      <c r="Z801" s="30" t="s">
        <v>25</v>
      </c>
      <c r="AA801" s="30" t="s">
        <v>26</v>
      </c>
      <c r="AB801" s="30" t="s">
        <v>24</v>
      </c>
      <c r="AC801" s="27"/>
      <c r="AD801" s="31" t="s">
        <v>25</v>
      </c>
      <c r="AE801" s="32" t="str">
        <f t="shared" si="62"/>
        <v>✓ OK</v>
      </c>
      <c r="AF801" s="33" t="s">
        <v>27</v>
      </c>
      <c r="AG801" s="33" t="s">
        <v>23</v>
      </c>
      <c r="AH801" s="33" t="s">
        <v>24</v>
      </c>
      <c r="AI801" s="33" t="s">
        <v>25</v>
      </c>
      <c r="AJ801" s="33" t="s">
        <v>26</v>
      </c>
      <c r="AK801" s="33" t="s">
        <v>24</v>
      </c>
      <c r="AL801" s="27"/>
      <c r="AM801" s="34" t="s">
        <v>25</v>
      </c>
      <c r="AN801" s="35" t="str">
        <f t="shared" si="63"/>
        <v>✓ OK</v>
      </c>
      <c r="AO801" s="36"/>
      <c r="AP801" s="36"/>
      <c r="AQ801" s="36"/>
      <c r="AR801" s="36"/>
      <c r="AS801" s="36"/>
      <c r="AT801" s="36"/>
      <c r="AU801" s="27"/>
      <c r="AV801" s="37"/>
      <c r="AW801" s="38" t="str">
        <f t="shared" si="64"/>
        <v/>
      </c>
    </row>
    <row r="802" spans="1:49" ht="18" customHeight="1" x14ac:dyDescent="0.3">
      <c r="A802" s="39">
        <v>798</v>
      </c>
      <c r="B802" s="40" t="s">
        <v>3444</v>
      </c>
      <c r="C802" s="41" t="s">
        <v>3445</v>
      </c>
      <c r="D802" s="39" t="s">
        <v>2819</v>
      </c>
      <c r="E802" s="43">
        <v>46126</v>
      </c>
      <c r="F802" s="26" t="s">
        <v>23</v>
      </c>
      <c r="G802" s="26" t="s">
        <v>24</v>
      </c>
      <c r="H802" s="26" t="s">
        <v>25</v>
      </c>
      <c r="I802" s="26" t="s">
        <v>26</v>
      </c>
      <c r="J802" s="26" t="s">
        <v>24</v>
      </c>
      <c r="K802" s="27"/>
      <c r="L802" s="28" t="s">
        <v>25</v>
      </c>
      <c r="M802" s="29" t="str">
        <f t="shared" si="60"/>
        <v>✓ OK</v>
      </c>
      <c r="N802" s="43">
        <v>46193</v>
      </c>
      <c r="O802" s="26" t="s">
        <v>23</v>
      </c>
      <c r="P802" s="26" t="s">
        <v>24</v>
      </c>
      <c r="Q802" s="26" t="s">
        <v>25</v>
      </c>
      <c r="R802" s="26" t="s">
        <v>26</v>
      </c>
      <c r="S802" s="26" t="s">
        <v>24</v>
      </c>
      <c r="T802" s="27"/>
      <c r="U802" s="28" t="s">
        <v>25</v>
      </c>
      <c r="V802" s="29" t="str">
        <f t="shared" si="61"/>
        <v>✓ OK</v>
      </c>
      <c r="W802" s="45">
        <v>46248</v>
      </c>
      <c r="X802" s="30" t="s">
        <v>23</v>
      </c>
      <c r="Y802" s="30" t="s">
        <v>24</v>
      </c>
      <c r="Z802" s="30" t="s">
        <v>25</v>
      </c>
      <c r="AA802" s="30" t="s">
        <v>26</v>
      </c>
      <c r="AB802" s="30" t="s">
        <v>24</v>
      </c>
      <c r="AC802" s="27"/>
      <c r="AD802" s="31" t="s">
        <v>25</v>
      </c>
      <c r="AE802" s="32" t="str">
        <f t="shared" si="62"/>
        <v>✓ OK</v>
      </c>
      <c r="AF802" s="33" t="s">
        <v>27</v>
      </c>
      <c r="AG802" s="33" t="s">
        <v>23</v>
      </c>
      <c r="AH802" s="33" t="s">
        <v>24</v>
      </c>
      <c r="AI802" s="33" t="s">
        <v>25</v>
      </c>
      <c r="AJ802" s="33" t="s">
        <v>26</v>
      </c>
      <c r="AK802" s="33" t="s">
        <v>24</v>
      </c>
      <c r="AL802" s="27"/>
      <c r="AM802" s="34" t="s">
        <v>25</v>
      </c>
      <c r="AN802" s="35" t="str">
        <f t="shared" si="63"/>
        <v>✓ OK</v>
      </c>
      <c r="AO802" s="36"/>
      <c r="AP802" s="36"/>
      <c r="AQ802" s="36"/>
      <c r="AR802" s="36"/>
      <c r="AS802" s="36"/>
      <c r="AT802" s="36"/>
      <c r="AU802" s="27"/>
      <c r="AV802" s="37"/>
      <c r="AW802" s="38" t="str">
        <f t="shared" si="64"/>
        <v/>
      </c>
    </row>
    <row r="803" spans="1:49" ht="18" customHeight="1" x14ac:dyDescent="0.3">
      <c r="A803" s="23">
        <v>799</v>
      </c>
      <c r="B803" s="24" t="s">
        <v>3446</v>
      </c>
      <c r="C803" s="25" t="s">
        <v>3447</v>
      </c>
      <c r="D803" s="23" t="s">
        <v>2819</v>
      </c>
      <c r="E803" s="43">
        <v>46126</v>
      </c>
      <c r="F803" s="26" t="s">
        <v>23</v>
      </c>
      <c r="G803" s="26" t="s">
        <v>24</v>
      </c>
      <c r="H803" s="26" t="s">
        <v>25</v>
      </c>
      <c r="I803" s="26" t="s">
        <v>26</v>
      </c>
      <c r="J803" s="26" t="s">
        <v>24</v>
      </c>
      <c r="K803" s="27"/>
      <c r="L803" s="28" t="s">
        <v>25</v>
      </c>
      <c r="M803" s="29" t="str">
        <f t="shared" si="60"/>
        <v>✓ OK</v>
      </c>
      <c r="N803" s="43">
        <v>46193</v>
      </c>
      <c r="O803" s="26" t="s">
        <v>23</v>
      </c>
      <c r="P803" s="26" t="s">
        <v>24</v>
      </c>
      <c r="Q803" s="26" t="s">
        <v>25</v>
      </c>
      <c r="R803" s="26" t="s">
        <v>26</v>
      </c>
      <c r="S803" s="26" t="s">
        <v>24</v>
      </c>
      <c r="T803" s="27"/>
      <c r="U803" s="28" t="s">
        <v>25</v>
      </c>
      <c r="V803" s="29" t="str">
        <f t="shared" si="61"/>
        <v>✓ OK</v>
      </c>
      <c r="W803" s="45">
        <v>46248</v>
      </c>
      <c r="X803" s="30" t="s">
        <v>23</v>
      </c>
      <c r="Y803" s="30" t="s">
        <v>24</v>
      </c>
      <c r="Z803" s="30" t="s">
        <v>25</v>
      </c>
      <c r="AA803" s="30" t="s">
        <v>26</v>
      </c>
      <c r="AB803" s="30" t="s">
        <v>24</v>
      </c>
      <c r="AC803" s="27"/>
      <c r="AD803" s="31" t="s">
        <v>25</v>
      </c>
      <c r="AE803" s="32" t="str">
        <f t="shared" si="62"/>
        <v>✓ OK</v>
      </c>
      <c r="AF803" s="33" t="s">
        <v>27</v>
      </c>
      <c r="AG803" s="33" t="s">
        <v>23</v>
      </c>
      <c r="AH803" s="33" t="s">
        <v>24</v>
      </c>
      <c r="AI803" s="33" t="s">
        <v>25</v>
      </c>
      <c r="AJ803" s="33" t="s">
        <v>26</v>
      </c>
      <c r="AK803" s="33" t="s">
        <v>24</v>
      </c>
      <c r="AL803" s="27"/>
      <c r="AM803" s="34" t="s">
        <v>25</v>
      </c>
      <c r="AN803" s="35" t="str">
        <f t="shared" si="63"/>
        <v>✓ OK</v>
      </c>
      <c r="AO803" s="36"/>
      <c r="AP803" s="36"/>
      <c r="AQ803" s="36"/>
      <c r="AR803" s="36"/>
      <c r="AS803" s="36"/>
      <c r="AT803" s="36"/>
      <c r="AU803" s="27"/>
      <c r="AV803" s="37"/>
      <c r="AW803" s="38" t="str">
        <f t="shared" si="64"/>
        <v/>
      </c>
    </row>
    <row r="804" spans="1:49" ht="18" customHeight="1" x14ac:dyDescent="0.3">
      <c r="A804" s="39">
        <v>800</v>
      </c>
      <c r="B804" s="40" t="s">
        <v>3448</v>
      </c>
      <c r="C804" s="41" t="s">
        <v>3449</v>
      </c>
      <c r="D804" s="39" t="s">
        <v>2819</v>
      </c>
      <c r="E804" s="43">
        <v>46126</v>
      </c>
      <c r="F804" s="26" t="s">
        <v>23</v>
      </c>
      <c r="G804" s="26" t="s">
        <v>24</v>
      </c>
      <c r="H804" s="26" t="s">
        <v>25</v>
      </c>
      <c r="I804" s="26" t="s">
        <v>26</v>
      </c>
      <c r="J804" s="26" t="s">
        <v>24</v>
      </c>
      <c r="K804" s="27"/>
      <c r="L804" s="28" t="s">
        <v>25</v>
      </c>
      <c r="M804" s="29" t="str">
        <f t="shared" si="60"/>
        <v>✓ OK</v>
      </c>
      <c r="N804" s="43">
        <v>46193</v>
      </c>
      <c r="O804" s="26" t="s">
        <v>23</v>
      </c>
      <c r="P804" s="26" t="s">
        <v>24</v>
      </c>
      <c r="Q804" s="26" t="s">
        <v>25</v>
      </c>
      <c r="R804" s="26" t="s">
        <v>26</v>
      </c>
      <c r="S804" s="26" t="s">
        <v>24</v>
      </c>
      <c r="T804" s="27"/>
      <c r="U804" s="28" t="s">
        <v>25</v>
      </c>
      <c r="V804" s="29" t="str">
        <f t="shared" si="61"/>
        <v>✓ OK</v>
      </c>
      <c r="W804" s="45">
        <v>46248</v>
      </c>
      <c r="X804" s="30" t="s">
        <v>23</v>
      </c>
      <c r="Y804" s="30" t="s">
        <v>24</v>
      </c>
      <c r="Z804" s="30" t="s">
        <v>25</v>
      </c>
      <c r="AA804" s="30" t="s">
        <v>26</v>
      </c>
      <c r="AB804" s="30" t="s">
        <v>24</v>
      </c>
      <c r="AC804" s="27"/>
      <c r="AD804" s="31" t="s">
        <v>25</v>
      </c>
      <c r="AE804" s="32" t="str">
        <f t="shared" si="62"/>
        <v>✓ OK</v>
      </c>
      <c r="AF804" s="33" t="s">
        <v>27</v>
      </c>
      <c r="AG804" s="33" t="s">
        <v>23</v>
      </c>
      <c r="AH804" s="33" t="s">
        <v>24</v>
      </c>
      <c r="AI804" s="33" t="s">
        <v>25</v>
      </c>
      <c r="AJ804" s="33" t="s">
        <v>26</v>
      </c>
      <c r="AK804" s="33" t="s">
        <v>24</v>
      </c>
      <c r="AL804" s="27"/>
      <c r="AM804" s="34" t="s">
        <v>25</v>
      </c>
      <c r="AN804" s="35" t="str">
        <f t="shared" si="63"/>
        <v>✓ OK</v>
      </c>
      <c r="AO804" s="36"/>
      <c r="AP804" s="36"/>
      <c r="AQ804" s="36"/>
      <c r="AR804" s="36"/>
      <c r="AS804" s="36"/>
      <c r="AT804" s="36"/>
      <c r="AU804" s="27"/>
      <c r="AV804" s="37"/>
      <c r="AW804" s="38" t="str">
        <f t="shared" si="64"/>
        <v/>
      </c>
    </row>
    <row r="805" spans="1:49" ht="18" customHeight="1" x14ac:dyDescent="0.3">
      <c r="A805" s="23">
        <v>801</v>
      </c>
      <c r="B805" s="24" t="s">
        <v>3450</v>
      </c>
      <c r="C805" s="25" t="s">
        <v>3451</v>
      </c>
      <c r="D805" s="23" t="s">
        <v>2819</v>
      </c>
      <c r="E805" s="43">
        <v>46126</v>
      </c>
      <c r="F805" s="26" t="s">
        <v>23</v>
      </c>
      <c r="G805" s="26" t="s">
        <v>24</v>
      </c>
      <c r="H805" s="26" t="s">
        <v>25</v>
      </c>
      <c r="I805" s="26" t="s">
        <v>26</v>
      </c>
      <c r="J805" s="26" t="s">
        <v>24</v>
      </c>
      <c r="K805" s="27"/>
      <c r="L805" s="28" t="s">
        <v>25</v>
      </c>
      <c r="M805" s="29" t="str">
        <f t="shared" si="60"/>
        <v>✓ OK</v>
      </c>
      <c r="N805" s="43">
        <v>46193</v>
      </c>
      <c r="O805" s="26" t="s">
        <v>23</v>
      </c>
      <c r="P805" s="26" t="s">
        <v>24</v>
      </c>
      <c r="Q805" s="26" t="s">
        <v>25</v>
      </c>
      <c r="R805" s="26" t="s">
        <v>26</v>
      </c>
      <c r="S805" s="26" t="s">
        <v>24</v>
      </c>
      <c r="T805" s="27"/>
      <c r="U805" s="28" t="s">
        <v>25</v>
      </c>
      <c r="V805" s="29" t="str">
        <f t="shared" si="61"/>
        <v>✓ OK</v>
      </c>
      <c r="W805" s="45">
        <v>46248</v>
      </c>
      <c r="X805" s="30" t="s">
        <v>23</v>
      </c>
      <c r="Y805" s="30" t="s">
        <v>24</v>
      </c>
      <c r="Z805" s="30" t="s">
        <v>25</v>
      </c>
      <c r="AA805" s="30" t="s">
        <v>26</v>
      </c>
      <c r="AB805" s="30" t="s">
        <v>24</v>
      </c>
      <c r="AC805" s="27"/>
      <c r="AD805" s="31" t="s">
        <v>25</v>
      </c>
      <c r="AE805" s="32" t="str">
        <f t="shared" si="62"/>
        <v>✓ OK</v>
      </c>
      <c r="AF805" s="33" t="s">
        <v>27</v>
      </c>
      <c r="AG805" s="33" t="s">
        <v>23</v>
      </c>
      <c r="AH805" s="33" t="s">
        <v>24</v>
      </c>
      <c r="AI805" s="33" t="s">
        <v>25</v>
      </c>
      <c r="AJ805" s="33" t="s">
        <v>26</v>
      </c>
      <c r="AK805" s="33" t="s">
        <v>24</v>
      </c>
      <c r="AL805" s="27"/>
      <c r="AM805" s="34" t="s">
        <v>25</v>
      </c>
      <c r="AN805" s="35" t="str">
        <f t="shared" si="63"/>
        <v>✓ OK</v>
      </c>
      <c r="AO805" s="36"/>
      <c r="AP805" s="36"/>
      <c r="AQ805" s="36"/>
      <c r="AR805" s="36"/>
      <c r="AS805" s="36"/>
      <c r="AT805" s="36"/>
      <c r="AU805" s="27"/>
      <c r="AV805" s="37"/>
      <c r="AW805" s="38" t="str">
        <f t="shared" si="64"/>
        <v/>
      </c>
    </row>
    <row r="806" spans="1:49" ht="18" customHeight="1" x14ac:dyDescent="0.3">
      <c r="A806" s="39">
        <v>802</v>
      </c>
      <c r="B806" s="40" t="s">
        <v>3452</v>
      </c>
      <c r="C806" s="41" t="s">
        <v>3453</v>
      </c>
      <c r="D806" s="39" t="s">
        <v>2819</v>
      </c>
      <c r="E806" s="43">
        <v>46126</v>
      </c>
      <c r="F806" s="26" t="s">
        <v>23</v>
      </c>
      <c r="G806" s="26" t="s">
        <v>24</v>
      </c>
      <c r="H806" s="26" t="s">
        <v>25</v>
      </c>
      <c r="I806" s="26" t="s">
        <v>26</v>
      </c>
      <c r="J806" s="26" t="s">
        <v>24</v>
      </c>
      <c r="K806" s="27"/>
      <c r="L806" s="28" t="s">
        <v>25</v>
      </c>
      <c r="M806" s="29" t="str">
        <f t="shared" si="60"/>
        <v>✓ OK</v>
      </c>
      <c r="N806" s="43">
        <v>46193</v>
      </c>
      <c r="O806" s="26" t="s">
        <v>23</v>
      </c>
      <c r="P806" s="26" t="s">
        <v>24</v>
      </c>
      <c r="Q806" s="26" t="s">
        <v>25</v>
      </c>
      <c r="R806" s="26" t="s">
        <v>26</v>
      </c>
      <c r="S806" s="26" t="s">
        <v>24</v>
      </c>
      <c r="T806" s="27"/>
      <c r="U806" s="28" t="s">
        <v>25</v>
      </c>
      <c r="V806" s="29" t="str">
        <f t="shared" si="61"/>
        <v>✓ OK</v>
      </c>
      <c r="W806" s="45">
        <v>46248</v>
      </c>
      <c r="X806" s="30" t="s">
        <v>23</v>
      </c>
      <c r="Y806" s="30" t="s">
        <v>24</v>
      </c>
      <c r="Z806" s="30" t="s">
        <v>25</v>
      </c>
      <c r="AA806" s="30" t="s">
        <v>26</v>
      </c>
      <c r="AB806" s="30" t="s">
        <v>24</v>
      </c>
      <c r="AC806" s="27"/>
      <c r="AD806" s="31" t="s">
        <v>25</v>
      </c>
      <c r="AE806" s="32" t="str">
        <f t="shared" si="62"/>
        <v>✓ OK</v>
      </c>
      <c r="AF806" s="33" t="s">
        <v>27</v>
      </c>
      <c r="AG806" s="33" t="s">
        <v>23</v>
      </c>
      <c r="AH806" s="33" t="s">
        <v>24</v>
      </c>
      <c r="AI806" s="33" t="s">
        <v>25</v>
      </c>
      <c r="AJ806" s="33" t="s">
        <v>26</v>
      </c>
      <c r="AK806" s="33" t="s">
        <v>24</v>
      </c>
      <c r="AL806" s="27"/>
      <c r="AM806" s="34" t="s">
        <v>25</v>
      </c>
      <c r="AN806" s="35" t="str">
        <f t="shared" si="63"/>
        <v>✓ OK</v>
      </c>
      <c r="AO806" s="36"/>
      <c r="AP806" s="36"/>
      <c r="AQ806" s="36"/>
      <c r="AR806" s="36"/>
      <c r="AS806" s="36"/>
      <c r="AT806" s="36"/>
      <c r="AU806" s="27"/>
      <c r="AV806" s="37"/>
      <c r="AW806" s="38" t="str">
        <f t="shared" si="64"/>
        <v/>
      </c>
    </row>
    <row r="807" spans="1:49" ht="18" customHeight="1" x14ac:dyDescent="0.3">
      <c r="A807" s="23">
        <v>803</v>
      </c>
      <c r="B807" s="24" t="s">
        <v>3454</v>
      </c>
      <c r="C807" s="25" t="s">
        <v>3455</v>
      </c>
      <c r="D807" s="23" t="s">
        <v>2819</v>
      </c>
      <c r="E807" s="43">
        <v>46126</v>
      </c>
      <c r="F807" s="26" t="s">
        <v>23</v>
      </c>
      <c r="G807" s="26" t="s">
        <v>24</v>
      </c>
      <c r="H807" s="26" t="s">
        <v>25</v>
      </c>
      <c r="I807" s="26" t="s">
        <v>26</v>
      </c>
      <c r="J807" s="26" t="s">
        <v>24</v>
      </c>
      <c r="K807" s="27"/>
      <c r="L807" s="28" t="s">
        <v>25</v>
      </c>
      <c r="M807" s="29" t="str">
        <f t="shared" si="60"/>
        <v>✓ OK</v>
      </c>
      <c r="N807" s="43">
        <v>46193</v>
      </c>
      <c r="O807" s="26" t="s">
        <v>23</v>
      </c>
      <c r="P807" s="26" t="s">
        <v>24</v>
      </c>
      <c r="Q807" s="26" t="s">
        <v>25</v>
      </c>
      <c r="R807" s="26" t="s">
        <v>26</v>
      </c>
      <c r="S807" s="26" t="s">
        <v>24</v>
      </c>
      <c r="T807" s="27"/>
      <c r="U807" s="28" t="s">
        <v>25</v>
      </c>
      <c r="V807" s="29" t="str">
        <f t="shared" si="61"/>
        <v>✓ OK</v>
      </c>
      <c r="W807" s="45">
        <v>46248</v>
      </c>
      <c r="X807" s="30" t="s">
        <v>23</v>
      </c>
      <c r="Y807" s="30" t="s">
        <v>24</v>
      </c>
      <c r="Z807" s="30" t="s">
        <v>25</v>
      </c>
      <c r="AA807" s="30" t="s">
        <v>26</v>
      </c>
      <c r="AB807" s="30" t="s">
        <v>24</v>
      </c>
      <c r="AC807" s="27"/>
      <c r="AD807" s="31" t="s">
        <v>25</v>
      </c>
      <c r="AE807" s="32" t="str">
        <f t="shared" si="62"/>
        <v>✓ OK</v>
      </c>
      <c r="AF807" s="33" t="s">
        <v>27</v>
      </c>
      <c r="AG807" s="33" t="s">
        <v>23</v>
      </c>
      <c r="AH807" s="33" t="s">
        <v>24</v>
      </c>
      <c r="AI807" s="33" t="s">
        <v>25</v>
      </c>
      <c r="AJ807" s="33" t="s">
        <v>26</v>
      </c>
      <c r="AK807" s="33" t="s">
        <v>24</v>
      </c>
      <c r="AL807" s="27"/>
      <c r="AM807" s="34" t="s">
        <v>25</v>
      </c>
      <c r="AN807" s="35" t="str">
        <f t="shared" si="63"/>
        <v>✓ OK</v>
      </c>
      <c r="AO807" s="36"/>
      <c r="AP807" s="36"/>
      <c r="AQ807" s="36"/>
      <c r="AR807" s="36"/>
      <c r="AS807" s="36"/>
      <c r="AT807" s="36"/>
      <c r="AU807" s="27"/>
      <c r="AV807" s="37"/>
      <c r="AW807" s="38" t="str">
        <f t="shared" si="64"/>
        <v/>
      </c>
    </row>
    <row r="808" spans="1:49" ht="18" customHeight="1" x14ac:dyDescent="0.3">
      <c r="A808" s="39">
        <v>804</v>
      </c>
      <c r="B808" s="40" t="s">
        <v>3456</v>
      </c>
      <c r="C808" s="41" t="s">
        <v>3457</v>
      </c>
      <c r="D808" s="39" t="s">
        <v>2819</v>
      </c>
      <c r="E808" s="43">
        <v>46126</v>
      </c>
      <c r="F808" s="26" t="s">
        <v>23</v>
      </c>
      <c r="G808" s="26" t="s">
        <v>24</v>
      </c>
      <c r="H808" s="26" t="s">
        <v>25</v>
      </c>
      <c r="I808" s="26" t="s">
        <v>26</v>
      </c>
      <c r="J808" s="26" t="s">
        <v>24</v>
      </c>
      <c r="K808" s="27"/>
      <c r="L808" s="28" t="s">
        <v>25</v>
      </c>
      <c r="M808" s="29" t="str">
        <f t="shared" si="60"/>
        <v>✓ OK</v>
      </c>
      <c r="N808" s="43">
        <v>46193</v>
      </c>
      <c r="O808" s="26" t="s">
        <v>23</v>
      </c>
      <c r="P808" s="26" t="s">
        <v>24</v>
      </c>
      <c r="Q808" s="26" t="s">
        <v>25</v>
      </c>
      <c r="R808" s="26" t="s">
        <v>26</v>
      </c>
      <c r="S808" s="26" t="s">
        <v>24</v>
      </c>
      <c r="T808" s="27"/>
      <c r="U808" s="28" t="s">
        <v>25</v>
      </c>
      <c r="V808" s="29" t="str">
        <f t="shared" si="61"/>
        <v>✓ OK</v>
      </c>
      <c r="W808" s="45">
        <v>46248</v>
      </c>
      <c r="X808" s="30" t="s">
        <v>23</v>
      </c>
      <c r="Y808" s="30" t="s">
        <v>24</v>
      </c>
      <c r="Z808" s="30" t="s">
        <v>25</v>
      </c>
      <c r="AA808" s="30" t="s">
        <v>26</v>
      </c>
      <c r="AB808" s="30" t="s">
        <v>24</v>
      </c>
      <c r="AC808" s="27"/>
      <c r="AD808" s="31" t="s">
        <v>25</v>
      </c>
      <c r="AE808" s="32" t="str">
        <f t="shared" si="62"/>
        <v>✓ OK</v>
      </c>
      <c r="AF808" s="33" t="s">
        <v>27</v>
      </c>
      <c r="AG808" s="33" t="s">
        <v>23</v>
      </c>
      <c r="AH808" s="33" t="s">
        <v>24</v>
      </c>
      <c r="AI808" s="33" t="s">
        <v>25</v>
      </c>
      <c r="AJ808" s="33" t="s">
        <v>26</v>
      </c>
      <c r="AK808" s="33" t="s">
        <v>24</v>
      </c>
      <c r="AL808" s="27"/>
      <c r="AM808" s="34" t="s">
        <v>25</v>
      </c>
      <c r="AN808" s="35" t="str">
        <f t="shared" si="63"/>
        <v>✓ OK</v>
      </c>
      <c r="AO808" s="36"/>
      <c r="AP808" s="36"/>
      <c r="AQ808" s="36"/>
      <c r="AR808" s="36"/>
      <c r="AS808" s="36"/>
      <c r="AT808" s="36"/>
      <c r="AU808" s="27"/>
      <c r="AV808" s="37"/>
      <c r="AW808" s="38" t="str">
        <f t="shared" si="64"/>
        <v/>
      </c>
    </row>
    <row r="809" spans="1:49" ht="18" customHeight="1" x14ac:dyDescent="0.3">
      <c r="A809" s="23">
        <v>805</v>
      </c>
      <c r="B809" s="24" t="s">
        <v>3458</v>
      </c>
      <c r="C809" s="25" t="s">
        <v>3459</v>
      </c>
      <c r="D809" s="23" t="s">
        <v>2819</v>
      </c>
      <c r="E809" s="43">
        <v>46126</v>
      </c>
      <c r="F809" s="26" t="s">
        <v>23</v>
      </c>
      <c r="G809" s="26" t="s">
        <v>24</v>
      </c>
      <c r="H809" s="26" t="s">
        <v>25</v>
      </c>
      <c r="I809" s="26" t="s">
        <v>26</v>
      </c>
      <c r="J809" s="26" t="s">
        <v>24</v>
      </c>
      <c r="K809" s="27"/>
      <c r="L809" s="28" t="s">
        <v>25</v>
      </c>
      <c r="M809" s="29" t="str">
        <f t="shared" si="60"/>
        <v>✓ OK</v>
      </c>
      <c r="N809" s="43">
        <v>46193</v>
      </c>
      <c r="O809" s="26" t="s">
        <v>23</v>
      </c>
      <c r="P809" s="26" t="s">
        <v>24</v>
      </c>
      <c r="Q809" s="26" t="s">
        <v>25</v>
      </c>
      <c r="R809" s="26" t="s">
        <v>26</v>
      </c>
      <c r="S809" s="26" t="s">
        <v>24</v>
      </c>
      <c r="T809" s="27"/>
      <c r="U809" s="28" t="s">
        <v>25</v>
      </c>
      <c r="V809" s="29" t="str">
        <f t="shared" si="61"/>
        <v>✓ OK</v>
      </c>
      <c r="W809" s="45">
        <v>46248</v>
      </c>
      <c r="X809" s="30" t="s">
        <v>23</v>
      </c>
      <c r="Y809" s="30" t="s">
        <v>24</v>
      </c>
      <c r="Z809" s="30" t="s">
        <v>25</v>
      </c>
      <c r="AA809" s="30" t="s">
        <v>26</v>
      </c>
      <c r="AB809" s="30" t="s">
        <v>24</v>
      </c>
      <c r="AC809" s="27"/>
      <c r="AD809" s="31" t="s">
        <v>25</v>
      </c>
      <c r="AE809" s="32" t="str">
        <f t="shared" si="62"/>
        <v>✓ OK</v>
      </c>
      <c r="AF809" s="33" t="s">
        <v>27</v>
      </c>
      <c r="AG809" s="33" t="s">
        <v>23</v>
      </c>
      <c r="AH809" s="33" t="s">
        <v>24</v>
      </c>
      <c r="AI809" s="33" t="s">
        <v>25</v>
      </c>
      <c r="AJ809" s="33" t="s">
        <v>26</v>
      </c>
      <c r="AK809" s="33" t="s">
        <v>24</v>
      </c>
      <c r="AL809" s="27"/>
      <c r="AM809" s="34" t="s">
        <v>25</v>
      </c>
      <c r="AN809" s="35" t="str">
        <f t="shared" si="63"/>
        <v>✓ OK</v>
      </c>
      <c r="AO809" s="36"/>
      <c r="AP809" s="36"/>
      <c r="AQ809" s="36"/>
      <c r="AR809" s="36"/>
      <c r="AS809" s="36"/>
      <c r="AT809" s="36"/>
      <c r="AU809" s="27"/>
      <c r="AV809" s="37"/>
      <c r="AW809" s="38" t="str">
        <f t="shared" si="64"/>
        <v/>
      </c>
    </row>
    <row r="810" spans="1:49" ht="18" customHeight="1" x14ac:dyDescent="0.3">
      <c r="A810" s="39">
        <v>806</v>
      </c>
      <c r="B810" s="40" t="s">
        <v>3460</v>
      </c>
      <c r="C810" s="41" t="s">
        <v>3461</v>
      </c>
      <c r="D810" s="39" t="s">
        <v>2819</v>
      </c>
      <c r="E810" s="43">
        <v>46126</v>
      </c>
      <c r="F810" s="26" t="s">
        <v>23</v>
      </c>
      <c r="G810" s="26" t="s">
        <v>24</v>
      </c>
      <c r="H810" s="26" t="s">
        <v>25</v>
      </c>
      <c r="I810" s="26" t="s">
        <v>26</v>
      </c>
      <c r="J810" s="26" t="s">
        <v>24</v>
      </c>
      <c r="K810" s="27"/>
      <c r="L810" s="28" t="s">
        <v>25</v>
      </c>
      <c r="M810" s="29" t="str">
        <f t="shared" si="60"/>
        <v>✓ OK</v>
      </c>
      <c r="N810" s="43">
        <v>46193</v>
      </c>
      <c r="O810" s="26" t="s">
        <v>23</v>
      </c>
      <c r="P810" s="26" t="s">
        <v>24</v>
      </c>
      <c r="Q810" s="26" t="s">
        <v>25</v>
      </c>
      <c r="R810" s="26" t="s">
        <v>26</v>
      </c>
      <c r="S810" s="26" t="s">
        <v>24</v>
      </c>
      <c r="T810" s="27"/>
      <c r="U810" s="28" t="s">
        <v>25</v>
      </c>
      <c r="V810" s="29" t="str">
        <f t="shared" si="61"/>
        <v>✓ OK</v>
      </c>
      <c r="W810" s="45">
        <v>46248</v>
      </c>
      <c r="X810" s="30" t="s">
        <v>23</v>
      </c>
      <c r="Y810" s="30" t="s">
        <v>24</v>
      </c>
      <c r="Z810" s="30" t="s">
        <v>25</v>
      </c>
      <c r="AA810" s="30" t="s">
        <v>26</v>
      </c>
      <c r="AB810" s="30" t="s">
        <v>24</v>
      </c>
      <c r="AC810" s="27"/>
      <c r="AD810" s="31" t="s">
        <v>25</v>
      </c>
      <c r="AE810" s="32" t="str">
        <f t="shared" si="62"/>
        <v>✓ OK</v>
      </c>
      <c r="AF810" s="33" t="s">
        <v>27</v>
      </c>
      <c r="AG810" s="33" t="s">
        <v>23</v>
      </c>
      <c r="AH810" s="33" t="s">
        <v>24</v>
      </c>
      <c r="AI810" s="33" t="s">
        <v>25</v>
      </c>
      <c r="AJ810" s="33" t="s">
        <v>26</v>
      </c>
      <c r="AK810" s="33" t="s">
        <v>24</v>
      </c>
      <c r="AL810" s="27"/>
      <c r="AM810" s="34" t="s">
        <v>25</v>
      </c>
      <c r="AN810" s="35" t="str">
        <f t="shared" si="63"/>
        <v>✓ OK</v>
      </c>
      <c r="AO810" s="36"/>
      <c r="AP810" s="36"/>
      <c r="AQ810" s="36"/>
      <c r="AR810" s="36"/>
      <c r="AS810" s="36"/>
      <c r="AT810" s="36"/>
      <c r="AU810" s="27"/>
      <c r="AV810" s="37"/>
      <c r="AW810" s="38" t="str">
        <f t="shared" si="64"/>
        <v/>
      </c>
    </row>
    <row r="811" spans="1:49" ht="18" customHeight="1" x14ac:dyDescent="0.3">
      <c r="A811" s="23">
        <v>807</v>
      </c>
      <c r="B811" s="24" t="s">
        <v>3462</v>
      </c>
      <c r="C811" s="25" t="s">
        <v>3463</v>
      </c>
      <c r="D811" s="23" t="s">
        <v>2819</v>
      </c>
      <c r="E811" s="43">
        <v>46126</v>
      </c>
      <c r="F811" s="26" t="s">
        <v>23</v>
      </c>
      <c r="G811" s="26" t="s">
        <v>24</v>
      </c>
      <c r="H811" s="26" t="s">
        <v>25</v>
      </c>
      <c r="I811" s="26" t="s">
        <v>26</v>
      </c>
      <c r="J811" s="26" t="s">
        <v>24</v>
      </c>
      <c r="K811" s="27"/>
      <c r="L811" s="28" t="s">
        <v>25</v>
      </c>
      <c r="M811" s="29" t="str">
        <f t="shared" si="60"/>
        <v>✓ OK</v>
      </c>
      <c r="N811" s="43">
        <v>46193</v>
      </c>
      <c r="O811" s="26" t="s">
        <v>23</v>
      </c>
      <c r="P811" s="26" t="s">
        <v>24</v>
      </c>
      <c r="Q811" s="26" t="s">
        <v>25</v>
      </c>
      <c r="R811" s="26" t="s">
        <v>26</v>
      </c>
      <c r="S811" s="26" t="s">
        <v>24</v>
      </c>
      <c r="T811" s="27"/>
      <c r="U811" s="28" t="s">
        <v>25</v>
      </c>
      <c r="V811" s="29" t="str">
        <f t="shared" si="61"/>
        <v>✓ OK</v>
      </c>
      <c r="W811" s="45">
        <v>46248</v>
      </c>
      <c r="X811" s="30" t="s">
        <v>23</v>
      </c>
      <c r="Y811" s="30" t="s">
        <v>24</v>
      </c>
      <c r="Z811" s="30" t="s">
        <v>25</v>
      </c>
      <c r="AA811" s="30" t="s">
        <v>26</v>
      </c>
      <c r="AB811" s="30" t="s">
        <v>24</v>
      </c>
      <c r="AC811" s="27"/>
      <c r="AD811" s="31" t="s">
        <v>25</v>
      </c>
      <c r="AE811" s="32" t="str">
        <f t="shared" si="62"/>
        <v>✓ OK</v>
      </c>
      <c r="AF811" s="33" t="s">
        <v>27</v>
      </c>
      <c r="AG811" s="33" t="s">
        <v>23</v>
      </c>
      <c r="AH811" s="33" t="s">
        <v>24</v>
      </c>
      <c r="AI811" s="33" t="s">
        <v>25</v>
      </c>
      <c r="AJ811" s="33" t="s">
        <v>26</v>
      </c>
      <c r="AK811" s="33" t="s">
        <v>24</v>
      </c>
      <c r="AL811" s="27"/>
      <c r="AM811" s="34" t="s">
        <v>25</v>
      </c>
      <c r="AN811" s="35" t="str">
        <f t="shared" si="63"/>
        <v>✓ OK</v>
      </c>
      <c r="AO811" s="36"/>
      <c r="AP811" s="36"/>
      <c r="AQ811" s="36"/>
      <c r="AR811" s="36"/>
      <c r="AS811" s="36"/>
      <c r="AT811" s="36"/>
      <c r="AU811" s="27"/>
      <c r="AV811" s="37"/>
      <c r="AW811" s="38" t="str">
        <f t="shared" si="64"/>
        <v/>
      </c>
    </row>
    <row r="812" spans="1:49" ht="18" customHeight="1" x14ac:dyDescent="0.3">
      <c r="A812" s="39">
        <v>808</v>
      </c>
      <c r="B812" s="40" t="s">
        <v>3464</v>
      </c>
      <c r="C812" s="41" t="s">
        <v>3465</v>
      </c>
      <c r="D812" s="39" t="s">
        <v>2819</v>
      </c>
      <c r="E812" s="43">
        <v>46126</v>
      </c>
      <c r="F812" s="26" t="s">
        <v>23</v>
      </c>
      <c r="G812" s="26" t="s">
        <v>24</v>
      </c>
      <c r="H812" s="26" t="s">
        <v>25</v>
      </c>
      <c r="I812" s="26" t="s">
        <v>26</v>
      </c>
      <c r="J812" s="26" t="s">
        <v>24</v>
      </c>
      <c r="K812" s="27"/>
      <c r="L812" s="28" t="s">
        <v>25</v>
      </c>
      <c r="M812" s="29" t="str">
        <f t="shared" si="60"/>
        <v>✓ OK</v>
      </c>
      <c r="N812" s="43">
        <v>46193</v>
      </c>
      <c r="O812" s="26" t="s">
        <v>23</v>
      </c>
      <c r="P812" s="26" t="s">
        <v>24</v>
      </c>
      <c r="Q812" s="26" t="s">
        <v>25</v>
      </c>
      <c r="R812" s="26" t="s">
        <v>26</v>
      </c>
      <c r="S812" s="26" t="s">
        <v>24</v>
      </c>
      <c r="T812" s="27"/>
      <c r="U812" s="28" t="s">
        <v>25</v>
      </c>
      <c r="V812" s="29" t="str">
        <f t="shared" si="61"/>
        <v>✓ OK</v>
      </c>
      <c r="W812" s="45">
        <v>46248</v>
      </c>
      <c r="X812" s="30" t="s">
        <v>23</v>
      </c>
      <c r="Y812" s="30" t="s">
        <v>24</v>
      </c>
      <c r="Z812" s="30" t="s">
        <v>25</v>
      </c>
      <c r="AA812" s="30" t="s">
        <v>26</v>
      </c>
      <c r="AB812" s="30" t="s">
        <v>24</v>
      </c>
      <c r="AC812" s="27"/>
      <c r="AD812" s="31" t="s">
        <v>25</v>
      </c>
      <c r="AE812" s="32" t="str">
        <f t="shared" si="62"/>
        <v>✓ OK</v>
      </c>
      <c r="AF812" s="33" t="s">
        <v>27</v>
      </c>
      <c r="AG812" s="33" t="s">
        <v>23</v>
      </c>
      <c r="AH812" s="33" t="s">
        <v>24</v>
      </c>
      <c r="AI812" s="33" t="s">
        <v>25</v>
      </c>
      <c r="AJ812" s="33" t="s">
        <v>26</v>
      </c>
      <c r="AK812" s="33" t="s">
        <v>24</v>
      </c>
      <c r="AL812" s="27"/>
      <c r="AM812" s="34" t="s">
        <v>25</v>
      </c>
      <c r="AN812" s="35" t="str">
        <f t="shared" si="63"/>
        <v>✓ OK</v>
      </c>
      <c r="AO812" s="36"/>
      <c r="AP812" s="36"/>
      <c r="AQ812" s="36"/>
      <c r="AR812" s="36"/>
      <c r="AS812" s="36"/>
      <c r="AT812" s="36"/>
      <c r="AU812" s="27"/>
      <c r="AV812" s="37"/>
      <c r="AW812" s="38" t="str">
        <f t="shared" si="64"/>
        <v/>
      </c>
    </row>
    <row r="813" spans="1:49" ht="18" customHeight="1" x14ac:dyDescent="0.3">
      <c r="A813" s="23">
        <v>809</v>
      </c>
      <c r="B813" s="24" t="s">
        <v>3466</v>
      </c>
      <c r="C813" s="25" t="s">
        <v>3467</v>
      </c>
      <c r="D813" s="23" t="s">
        <v>2819</v>
      </c>
      <c r="E813" s="43">
        <v>46126</v>
      </c>
      <c r="F813" s="26" t="s">
        <v>23</v>
      </c>
      <c r="G813" s="26" t="s">
        <v>24</v>
      </c>
      <c r="H813" s="26" t="s">
        <v>25</v>
      </c>
      <c r="I813" s="26" t="s">
        <v>26</v>
      </c>
      <c r="J813" s="26" t="s">
        <v>24</v>
      </c>
      <c r="K813" s="27"/>
      <c r="L813" s="28" t="s">
        <v>25</v>
      </c>
      <c r="M813" s="29" t="str">
        <f t="shared" si="60"/>
        <v>✓ OK</v>
      </c>
      <c r="N813" s="43">
        <v>46193</v>
      </c>
      <c r="O813" s="26" t="s">
        <v>23</v>
      </c>
      <c r="P813" s="26" t="s">
        <v>24</v>
      </c>
      <c r="Q813" s="26" t="s">
        <v>25</v>
      </c>
      <c r="R813" s="26" t="s">
        <v>26</v>
      </c>
      <c r="S813" s="26" t="s">
        <v>24</v>
      </c>
      <c r="T813" s="27"/>
      <c r="U813" s="28" t="s">
        <v>25</v>
      </c>
      <c r="V813" s="29" t="str">
        <f t="shared" si="61"/>
        <v>✓ OK</v>
      </c>
      <c r="W813" s="45">
        <v>46248</v>
      </c>
      <c r="X813" s="30" t="s">
        <v>23</v>
      </c>
      <c r="Y813" s="30" t="s">
        <v>24</v>
      </c>
      <c r="Z813" s="30" t="s">
        <v>25</v>
      </c>
      <c r="AA813" s="30" t="s">
        <v>26</v>
      </c>
      <c r="AB813" s="30" t="s">
        <v>24</v>
      </c>
      <c r="AC813" s="27"/>
      <c r="AD813" s="31" t="s">
        <v>25</v>
      </c>
      <c r="AE813" s="32" t="str">
        <f t="shared" si="62"/>
        <v>✓ OK</v>
      </c>
      <c r="AF813" s="33" t="s">
        <v>27</v>
      </c>
      <c r="AG813" s="33" t="s">
        <v>23</v>
      </c>
      <c r="AH813" s="33" t="s">
        <v>24</v>
      </c>
      <c r="AI813" s="33" t="s">
        <v>25</v>
      </c>
      <c r="AJ813" s="33" t="s">
        <v>26</v>
      </c>
      <c r="AK813" s="33" t="s">
        <v>24</v>
      </c>
      <c r="AL813" s="27"/>
      <c r="AM813" s="34" t="s">
        <v>25</v>
      </c>
      <c r="AN813" s="35" t="str">
        <f t="shared" si="63"/>
        <v>✓ OK</v>
      </c>
      <c r="AO813" s="36"/>
      <c r="AP813" s="36"/>
      <c r="AQ813" s="36"/>
      <c r="AR813" s="36"/>
      <c r="AS813" s="36"/>
      <c r="AT813" s="36"/>
      <c r="AU813" s="27"/>
      <c r="AV813" s="37"/>
      <c r="AW813" s="38" t="str">
        <f t="shared" si="64"/>
        <v/>
      </c>
    </row>
    <row r="814" spans="1:49" ht="18" customHeight="1" x14ac:dyDescent="0.3">
      <c r="A814" s="39">
        <v>810</v>
      </c>
      <c r="B814" s="40" t="s">
        <v>3468</v>
      </c>
      <c r="C814" s="41" t="s">
        <v>3469</v>
      </c>
      <c r="D814" s="39" t="s">
        <v>2819</v>
      </c>
      <c r="E814" s="43">
        <v>46126</v>
      </c>
      <c r="F814" s="26" t="s">
        <v>23</v>
      </c>
      <c r="G814" s="26" t="s">
        <v>24</v>
      </c>
      <c r="H814" s="26" t="s">
        <v>25</v>
      </c>
      <c r="I814" s="26" t="s">
        <v>26</v>
      </c>
      <c r="J814" s="26" t="s">
        <v>24</v>
      </c>
      <c r="K814" s="27"/>
      <c r="L814" s="28" t="s">
        <v>25</v>
      </c>
      <c r="M814" s="29" t="str">
        <f t="shared" si="60"/>
        <v>✓ OK</v>
      </c>
      <c r="N814" s="43">
        <v>46193</v>
      </c>
      <c r="O814" s="26" t="s">
        <v>23</v>
      </c>
      <c r="P814" s="26" t="s">
        <v>24</v>
      </c>
      <c r="Q814" s="26" t="s">
        <v>25</v>
      </c>
      <c r="R814" s="26" t="s">
        <v>26</v>
      </c>
      <c r="S814" s="26" t="s">
        <v>24</v>
      </c>
      <c r="T814" s="27"/>
      <c r="U814" s="28" t="s">
        <v>25</v>
      </c>
      <c r="V814" s="29" t="str">
        <f t="shared" si="61"/>
        <v>✓ OK</v>
      </c>
      <c r="W814" s="45">
        <v>46248</v>
      </c>
      <c r="X814" s="30" t="s">
        <v>23</v>
      </c>
      <c r="Y814" s="30" t="s">
        <v>24</v>
      </c>
      <c r="Z814" s="30" t="s">
        <v>25</v>
      </c>
      <c r="AA814" s="30" t="s">
        <v>26</v>
      </c>
      <c r="AB814" s="30" t="s">
        <v>24</v>
      </c>
      <c r="AC814" s="27"/>
      <c r="AD814" s="31" t="s">
        <v>25</v>
      </c>
      <c r="AE814" s="32" t="str">
        <f t="shared" si="62"/>
        <v>✓ OK</v>
      </c>
      <c r="AF814" s="33" t="s">
        <v>27</v>
      </c>
      <c r="AG814" s="33" t="s">
        <v>23</v>
      </c>
      <c r="AH814" s="33" t="s">
        <v>24</v>
      </c>
      <c r="AI814" s="33" t="s">
        <v>25</v>
      </c>
      <c r="AJ814" s="33" t="s">
        <v>26</v>
      </c>
      <c r="AK814" s="33" t="s">
        <v>24</v>
      </c>
      <c r="AL814" s="27"/>
      <c r="AM814" s="34" t="s">
        <v>25</v>
      </c>
      <c r="AN814" s="35" t="str">
        <f t="shared" si="63"/>
        <v>✓ OK</v>
      </c>
      <c r="AO814" s="36"/>
      <c r="AP814" s="36"/>
      <c r="AQ814" s="36"/>
      <c r="AR814" s="36"/>
      <c r="AS814" s="36"/>
      <c r="AT814" s="36"/>
      <c r="AU814" s="27"/>
      <c r="AV814" s="37"/>
      <c r="AW814" s="38" t="str">
        <f t="shared" si="64"/>
        <v/>
      </c>
    </row>
    <row r="815" spans="1:49" ht="18" customHeight="1" x14ac:dyDescent="0.3">
      <c r="A815" s="23">
        <v>811</v>
      </c>
      <c r="B815" s="24" t="s">
        <v>3470</v>
      </c>
      <c r="C815" s="25" t="s">
        <v>3471</v>
      </c>
      <c r="D815" s="23" t="s">
        <v>2819</v>
      </c>
      <c r="E815" s="43">
        <v>46126</v>
      </c>
      <c r="F815" s="26" t="s">
        <v>23</v>
      </c>
      <c r="G815" s="26" t="s">
        <v>24</v>
      </c>
      <c r="H815" s="26" t="s">
        <v>25</v>
      </c>
      <c r="I815" s="26" t="s">
        <v>26</v>
      </c>
      <c r="J815" s="26" t="s">
        <v>24</v>
      </c>
      <c r="K815" s="27"/>
      <c r="L815" s="28" t="s">
        <v>25</v>
      </c>
      <c r="M815" s="29" t="str">
        <f t="shared" si="60"/>
        <v>✓ OK</v>
      </c>
      <c r="N815" s="43">
        <v>46193</v>
      </c>
      <c r="O815" s="26" t="s">
        <v>23</v>
      </c>
      <c r="P815" s="26" t="s">
        <v>24</v>
      </c>
      <c r="Q815" s="26" t="s">
        <v>25</v>
      </c>
      <c r="R815" s="26" t="s">
        <v>26</v>
      </c>
      <c r="S815" s="26" t="s">
        <v>24</v>
      </c>
      <c r="T815" s="27"/>
      <c r="U815" s="28" t="s">
        <v>25</v>
      </c>
      <c r="V815" s="29" t="str">
        <f t="shared" si="61"/>
        <v>✓ OK</v>
      </c>
      <c r="W815" s="45">
        <v>46248</v>
      </c>
      <c r="X815" s="30" t="s">
        <v>23</v>
      </c>
      <c r="Y815" s="30" t="s">
        <v>24</v>
      </c>
      <c r="Z815" s="30" t="s">
        <v>25</v>
      </c>
      <c r="AA815" s="30" t="s">
        <v>26</v>
      </c>
      <c r="AB815" s="30" t="s">
        <v>24</v>
      </c>
      <c r="AC815" s="27"/>
      <c r="AD815" s="31" t="s">
        <v>25</v>
      </c>
      <c r="AE815" s="32" t="str">
        <f t="shared" si="62"/>
        <v>✓ OK</v>
      </c>
      <c r="AF815" s="33" t="s">
        <v>27</v>
      </c>
      <c r="AG815" s="33" t="s">
        <v>23</v>
      </c>
      <c r="AH815" s="33" t="s">
        <v>24</v>
      </c>
      <c r="AI815" s="33" t="s">
        <v>25</v>
      </c>
      <c r="AJ815" s="33" t="s">
        <v>26</v>
      </c>
      <c r="AK815" s="33" t="s">
        <v>24</v>
      </c>
      <c r="AL815" s="27"/>
      <c r="AM815" s="34" t="s">
        <v>25</v>
      </c>
      <c r="AN815" s="35" t="str">
        <f t="shared" si="63"/>
        <v>✓ OK</v>
      </c>
      <c r="AO815" s="36"/>
      <c r="AP815" s="36"/>
      <c r="AQ815" s="36"/>
      <c r="AR815" s="36"/>
      <c r="AS815" s="36"/>
      <c r="AT815" s="36"/>
      <c r="AU815" s="27"/>
      <c r="AV815" s="37"/>
      <c r="AW815" s="38" t="str">
        <f t="shared" si="64"/>
        <v/>
      </c>
    </row>
    <row r="816" spans="1:49" ht="18" customHeight="1" x14ac:dyDescent="0.3">
      <c r="A816" s="39">
        <v>812</v>
      </c>
      <c r="B816" s="40" t="s">
        <v>3472</v>
      </c>
      <c r="C816" s="41" t="s">
        <v>3473</v>
      </c>
      <c r="D816" s="39" t="s">
        <v>2819</v>
      </c>
      <c r="E816" s="43">
        <v>46126</v>
      </c>
      <c r="F816" s="26" t="s">
        <v>23</v>
      </c>
      <c r="G816" s="26" t="s">
        <v>24</v>
      </c>
      <c r="H816" s="26" t="s">
        <v>25</v>
      </c>
      <c r="I816" s="26" t="s">
        <v>26</v>
      </c>
      <c r="J816" s="26" t="s">
        <v>24</v>
      </c>
      <c r="K816" s="27"/>
      <c r="L816" s="28" t="s">
        <v>25</v>
      </c>
      <c r="M816" s="29" t="str">
        <f t="shared" si="60"/>
        <v>✓ OK</v>
      </c>
      <c r="N816" s="43">
        <v>46193</v>
      </c>
      <c r="O816" s="26" t="s">
        <v>23</v>
      </c>
      <c r="P816" s="26" t="s">
        <v>24</v>
      </c>
      <c r="Q816" s="26" t="s">
        <v>25</v>
      </c>
      <c r="R816" s="26" t="s">
        <v>26</v>
      </c>
      <c r="S816" s="26" t="s">
        <v>24</v>
      </c>
      <c r="T816" s="27"/>
      <c r="U816" s="28" t="s">
        <v>25</v>
      </c>
      <c r="V816" s="29" t="str">
        <f t="shared" si="61"/>
        <v>✓ OK</v>
      </c>
      <c r="W816" s="45">
        <v>46248</v>
      </c>
      <c r="X816" s="30" t="s">
        <v>23</v>
      </c>
      <c r="Y816" s="30" t="s">
        <v>24</v>
      </c>
      <c r="Z816" s="30" t="s">
        <v>25</v>
      </c>
      <c r="AA816" s="30" t="s">
        <v>26</v>
      </c>
      <c r="AB816" s="30" t="s">
        <v>24</v>
      </c>
      <c r="AC816" s="27"/>
      <c r="AD816" s="31" t="s">
        <v>25</v>
      </c>
      <c r="AE816" s="32" t="str">
        <f t="shared" si="62"/>
        <v>✓ OK</v>
      </c>
      <c r="AF816" s="33" t="s">
        <v>27</v>
      </c>
      <c r="AG816" s="33" t="s">
        <v>23</v>
      </c>
      <c r="AH816" s="33" t="s">
        <v>24</v>
      </c>
      <c r="AI816" s="33" t="s">
        <v>25</v>
      </c>
      <c r="AJ816" s="33" t="s">
        <v>26</v>
      </c>
      <c r="AK816" s="33" t="s">
        <v>24</v>
      </c>
      <c r="AL816" s="27"/>
      <c r="AM816" s="34" t="s">
        <v>25</v>
      </c>
      <c r="AN816" s="35" t="str">
        <f t="shared" si="63"/>
        <v>✓ OK</v>
      </c>
      <c r="AO816" s="36"/>
      <c r="AP816" s="36"/>
      <c r="AQ816" s="36"/>
      <c r="AR816" s="36"/>
      <c r="AS816" s="36"/>
      <c r="AT816" s="36"/>
      <c r="AU816" s="27"/>
      <c r="AV816" s="37"/>
      <c r="AW816" s="38" t="str">
        <f t="shared" si="64"/>
        <v/>
      </c>
    </row>
    <row r="817" spans="1:49" ht="18" customHeight="1" x14ac:dyDescent="0.3">
      <c r="A817" s="23">
        <v>813</v>
      </c>
      <c r="B817" s="24" t="s">
        <v>3474</v>
      </c>
      <c r="C817" s="25" t="s">
        <v>3475</v>
      </c>
      <c r="D817" s="23" t="s">
        <v>2819</v>
      </c>
      <c r="E817" s="43">
        <v>46126</v>
      </c>
      <c r="F817" s="26" t="s">
        <v>23</v>
      </c>
      <c r="G817" s="26" t="s">
        <v>24</v>
      </c>
      <c r="H817" s="26" t="s">
        <v>25</v>
      </c>
      <c r="I817" s="26" t="s">
        <v>26</v>
      </c>
      <c r="J817" s="26" t="s">
        <v>24</v>
      </c>
      <c r="K817" s="27"/>
      <c r="L817" s="28" t="s">
        <v>25</v>
      </c>
      <c r="M817" s="29" t="str">
        <f t="shared" si="60"/>
        <v>✓ OK</v>
      </c>
      <c r="N817" s="43">
        <v>46193</v>
      </c>
      <c r="O817" s="26" t="s">
        <v>23</v>
      </c>
      <c r="P817" s="26" t="s">
        <v>24</v>
      </c>
      <c r="Q817" s="26" t="s">
        <v>25</v>
      </c>
      <c r="R817" s="26" t="s">
        <v>26</v>
      </c>
      <c r="S817" s="26" t="s">
        <v>24</v>
      </c>
      <c r="T817" s="27"/>
      <c r="U817" s="28" t="s">
        <v>25</v>
      </c>
      <c r="V817" s="29" t="str">
        <f t="shared" si="61"/>
        <v>✓ OK</v>
      </c>
      <c r="W817" s="45">
        <v>46248</v>
      </c>
      <c r="X817" s="30" t="s">
        <v>23</v>
      </c>
      <c r="Y817" s="30" t="s">
        <v>24</v>
      </c>
      <c r="Z817" s="30" t="s">
        <v>25</v>
      </c>
      <c r="AA817" s="30" t="s">
        <v>26</v>
      </c>
      <c r="AB817" s="30" t="s">
        <v>24</v>
      </c>
      <c r="AC817" s="27"/>
      <c r="AD817" s="31" t="s">
        <v>25</v>
      </c>
      <c r="AE817" s="32" t="str">
        <f t="shared" si="62"/>
        <v>✓ OK</v>
      </c>
      <c r="AF817" s="33" t="s">
        <v>27</v>
      </c>
      <c r="AG817" s="33" t="s">
        <v>23</v>
      </c>
      <c r="AH817" s="33" t="s">
        <v>24</v>
      </c>
      <c r="AI817" s="33" t="s">
        <v>25</v>
      </c>
      <c r="AJ817" s="33" t="s">
        <v>26</v>
      </c>
      <c r="AK817" s="33" t="s">
        <v>24</v>
      </c>
      <c r="AL817" s="27"/>
      <c r="AM817" s="34" t="s">
        <v>25</v>
      </c>
      <c r="AN817" s="35" t="str">
        <f t="shared" si="63"/>
        <v>✓ OK</v>
      </c>
      <c r="AO817" s="36"/>
      <c r="AP817" s="36"/>
      <c r="AQ817" s="36"/>
      <c r="AR817" s="36"/>
      <c r="AS817" s="36"/>
      <c r="AT817" s="36"/>
      <c r="AU817" s="27"/>
      <c r="AV817" s="37"/>
      <c r="AW817" s="38" t="str">
        <f t="shared" si="64"/>
        <v/>
      </c>
    </row>
    <row r="818" spans="1:49" ht="18" customHeight="1" x14ac:dyDescent="0.3">
      <c r="A818" s="39">
        <v>814</v>
      </c>
      <c r="B818" s="40" t="s">
        <v>3476</v>
      </c>
      <c r="C818" s="41" t="s">
        <v>3477</v>
      </c>
      <c r="D818" s="39" t="s">
        <v>2819</v>
      </c>
      <c r="E818" s="43">
        <v>46126</v>
      </c>
      <c r="F818" s="26" t="s">
        <v>23</v>
      </c>
      <c r="G818" s="26" t="s">
        <v>24</v>
      </c>
      <c r="H818" s="26" t="s">
        <v>25</v>
      </c>
      <c r="I818" s="26" t="s">
        <v>26</v>
      </c>
      <c r="J818" s="26" t="s">
        <v>24</v>
      </c>
      <c r="K818" s="27"/>
      <c r="L818" s="28" t="s">
        <v>25</v>
      </c>
      <c r="M818" s="29" t="str">
        <f t="shared" si="60"/>
        <v>✓ OK</v>
      </c>
      <c r="N818" s="43">
        <v>46193</v>
      </c>
      <c r="O818" s="26" t="s">
        <v>23</v>
      </c>
      <c r="P818" s="26" t="s">
        <v>24</v>
      </c>
      <c r="Q818" s="26" t="s">
        <v>25</v>
      </c>
      <c r="R818" s="26" t="s">
        <v>26</v>
      </c>
      <c r="S818" s="26" t="s">
        <v>24</v>
      </c>
      <c r="T818" s="27"/>
      <c r="U818" s="28" t="s">
        <v>25</v>
      </c>
      <c r="V818" s="29" t="str">
        <f t="shared" si="61"/>
        <v>✓ OK</v>
      </c>
      <c r="W818" s="45">
        <v>46248</v>
      </c>
      <c r="X818" s="30" t="s">
        <v>23</v>
      </c>
      <c r="Y818" s="30" t="s">
        <v>24</v>
      </c>
      <c r="Z818" s="30" t="s">
        <v>25</v>
      </c>
      <c r="AA818" s="30" t="s">
        <v>26</v>
      </c>
      <c r="AB818" s="30" t="s">
        <v>24</v>
      </c>
      <c r="AC818" s="27"/>
      <c r="AD818" s="31" t="s">
        <v>25</v>
      </c>
      <c r="AE818" s="32" t="str">
        <f t="shared" si="62"/>
        <v>✓ OK</v>
      </c>
      <c r="AF818" s="33" t="s">
        <v>27</v>
      </c>
      <c r="AG818" s="33" t="s">
        <v>23</v>
      </c>
      <c r="AH818" s="33" t="s">
        <v>24</v>
      </c>
      <c r="AI818" s="33" t="s">
        <v>25</v>
      </c>
      <c r="AJ818" s="33" t="s">
        <v>26</v>
      </c>
      <c r="AK818" s="33" t="s">
        <v>24</v>
      </c>
      <c r="AL818" s="27"/>
      <c r="AM818" s="34" t="s">
        <v>25</v>
      </c>
      <c r="AN818" s="35" t="str">
        <f t="shared" si="63"/>
        <v>✓ OK</v>
      </c>
      <c r="AO818" s="36"/>
      <c r="AP818" s="36"/>
      <c r="AQ818" s="36"/>
      <c r="AR818" s="36"/>
      <c r="AS818" s="36"/>
      <c r="AT818" s="36"/>
      <c r="AU818" s="27"/>
      <c r="AV818" s="37"/>
      <c r="AW818" s="38" t="str">
        <f t="shared" si="64"/>
        <v/>
      </c>
    </row>
    <row r="819" spans="1:49" ht="18" customHeight="1" x14ac:dyDescent="0.3">
      <c r="A819" s="23">
        <v>815</v>
      </c>
      <c r="B819" s="24" t="s">
        <v>3478</v>
      </c>
      <c r="C819" s="25" t="s">
        <v>3479</v>
      </c>
      <c r="D819" s="23" t="s">
        <v>2819</v>
      </c>
      <c r="E819" s="43">
        <v>46126</v>
      </c>
      <c r="F819" s="26" t="s">
        <v>23</v>
      </c>
      <c r="G819" s="26" t="s">
        <v>24</v>
      </c>
      <c r="H819" s="26" t="s">
        <v>25</v>
      </c>
      <c r="I819" s="26" t="s">
        <v>26</v>
      </c>
      <c r="J819" s="26" t="s">
        <v>24</v>
      </c>
      <c r="K819" s="27"/>
      <c r="L819" s="28" t="s">
        <v>25</v>
      </c>
      <c r="M819" s="29" t="str">
        <f t="shared" si="60"/>
        <v>✓ OK</v>
      </c>
      <c r="N819" s="43">
        <v>46193</v>
      </c>
      <c r="O819" s="26" t="s">
        <v>23</v>
      </c>
      <c r="P819" s="26" t="s">
        <v>24</v>
      </c>
      <c r="Q819" s="26" t="s">
        <v>25</v>
      </c>
      <c r="R819" s="26" t="s">
        <v>26</v>
      </c>
      <c r="S819" s="26" t="s">
        <v>24</v>
      </c>
      <c r="T819" s="27"/>
      <c r="U819" s="28" t="s">
        <v>25</v>
      </c>
      <c r="V819" s="29" t="str">
        <f t="shared" si="61"/>
        <v>✓ OK</v>
      </c>
      <c r="W819" s="45">
        <v>46248</v>
      </c>
      <c r="X819" s="30" t="s">
        <v>23</v>
      </c>
      <c r="Y819" s="30" t="s">
        <v>24</v>
      </c>
      <c r="Z819" s="30" t="s">
        <v>25</v>
      </c>
      <c r="AA819" s="30" t="s">
        <v>26</v>
      </c>
      <c r="AB819" s="30" t="s">
        <v>24</v>
      </c>
      <c r="AC819" s="27"/>
      <c r="AD819" s="31" t="s">
        <v>25</v>
      </c>
      <c r="AE819" s="32" t="str">
        <f t="shared" si="62"/>
        <v>✓ OK</v>
      </c>
      <c r="AF819" s="33" t="s">
        <v>27</v>
      </c>
      <c r="AG819" s="33" t="s">
        <v>23</v>
      </c>
      <c r="AH819" s="33" t="s">
        <v>24</v>
      </c>
      <c r="AI819" s="33" t="s">
        <v>25</v>
      </c>
      <c r="AJ819" s="33" t="s">
        <v>26</v>
      </c>
      <c r="AK819" s="33" t="s">
        <v>24</v>
      </c>
      <c r="AL819" s="27"/>
      <c r="AM819" s="34" t="s">
        <v>25</v>
      </c>
      <c r="AN819" s="35" t="str">
        <f t="shared" si="63"/>
        <v>✓ OK</v>
      </c>
      <c r="AO819" s="36"/>
      <c r="AP819" s="36"/>
      <c r="AQ819" s="36"/>
      <c r="AR819" s="36"/>
      <c r="AS819" s="36"/>
      <c r="AT819" s="36"/>
      <c r="AU819" s="27"/>
      <c r="AV819" s="37"/>
      <c r="AW819" s="38" t="str">
        <f t="shared" si="64"/>
        <v/>
      </c>
    </row>
    <row r="820" spans="1:49" ht="18" customHeight="1" x14ac:dyDescent="0.3">
      <c r="A820" s="39">
        <v>816</v>
      </c>
      <c r="B820" s="40" t="s">
        <v>3480</v>
      </c>
      <c r="C820" s="41" t="s">
        <v>3481</v>
      </c>
      <c r="D820" s="39" t="s">
        <v>2819</v>
      </c>
      <c r="E820" s="43">
        <v>46126</v>
      </c>
      <c r="F820" s="26" t="s">
        <v>23</v>
      </c>
      <c r="G820" s="26" t="s">
        <v>24</v>
      </c>
      <c r="H820" s="26" t="s">
        <v>25</v>
      </c>
      <c r="I820" s="26" t="s">
        <v>26</v>
      </c>
      <c r="J820" s="26" t="s">
        <v>24</v>
      </c>
      <c r="K820" s="27"/>
      <c r="L820" s="28" t="s">
        <v>25</v>
      </c>
      <c r="M820" s="29" t="str">
        <f t="shared" si="60"/>
        <v>✓ OK</v>
      </c>
      <c r="N820" s="43">
        <v>46193</v>
      </c>
      <c r="O820" s="26" t="s">
        <v>23</v>
      </c>
      <c r="P820" s="26" t="s">
        <v>24</v>
      </c>
      <c r="Q820" s="26" t="s">
        <v>25</v>
      </c>
      <c r="R820" s="26" t="s">
        <v>26</v>
      </c>
      <c r="S820" s="26" t="s">
        <v>24</v>
      </c>
      <c r="T820" s="27"/>
      <c r="U820" s="28" t="s">
        <v>25</v>
      </c>
      <c r="V820" s="29" t="str">
        <f t="shared" si="61"/>
        <v>✓ OK</v>
      </c>
      <c r="W820" s="45">
        <v>46248</v>
      </c>
      <c r="X820" s="30" t="s">
        <v>23</v>
      </c>
      <c r="Y820" s="30" t="s">
        <v>24</v>
      </c>
      <c r="Z820" s="30" t="s">
        <v>25</v>
      </c>
      <c r="AA820" s="30" t="s">
        <v>26</v>
      </c>
      <c r="AB820" s="30" t="s">
        <v>24</v>
      </c>
      <c r="AC820" s="27"/>
      <c r="AD820" s="31" t="s">
        <v>25</v>
      </c>
      <c r="AE820" s="32" t="str">
        <f t="shared" si="62"/>
        <v>✓ OK</v>
      </c>
      <c r="AF820" s="33" t="s">
        <v>27</v>
      </c>
      <c r="AG820" s="33" t="s">
        <v>23</v>
      </c>
      <c r="AH820" s="33" t="s">
        <v>24</v>
      </c>
      <c r="AI820" s="33" t="s">
        <v>25</v>
      </c>
      <c r="AJ820" s="33" t="s">
        <v>26</v>
      </c>
      <c r="AK820" s="33" t="s">
        <v>24</v>
      </c>
      <c r="AL820" s="27"/>
      <c r="AM820" s="34" t="s">
        <v>25</v>
      </c>
      <c r="AN820" s="35" t="str">
        <f t="shared" si="63"/>
        <v>✓ OK</v>
      </c>
      <c r="AO820" s="36"/>
      <c r="AP820" s="36"/>
      <c r="AQ820" s="36"/>
      <c r="AR820" s="36"/>
      <c r="AS820" s="36"/>
      <c r="AT820" s="36"/>
      <c r="AU820" s="27"/>
      <c r="AV820" s="37"/>
      <c r="AW820" s="38" t="str">
        <f t="shared" si="64"/>
        <v/>
      </c>
    </row>
    <row r="821" spans="1:49" ht="18" customHeight="1" x14ac:dyDescent="0.3">
      <c r="A821" s="23">
        <v>817</v>
      </c>
      <c r="B821" s="24" t="s">
        <v>3482</v>
      </c>
      <c r="C821" s="25" t="s">
        <v>3483</v>
      </c>
      <c r="D821" s="23" t="s">
        <v>2819</v>
      </c>
      <c r="E821" s="43">
        <v>46126</v>
      </c>
      <c r="F821" s="26" t="s">
        <v>23</v>
      </c>
      <c r="G821" s="26" t="s">
        <v>24</v>
      </c>
      <c r="H821" s="26" t="s">
        <v>25</v>
      </c>
      <c r="I821" s="26" t="s">
        <v>26</v>
      </c>
      <c r="J821" s="26" t="s">
        <v>24</v>
      </c>
      <c r="K821" s="27"/>
      <c r="L821" s="28" t="s">
        <v>25</v>
      </c>
      <c r="M821" s="29" t="str">
        <f t="shared" si="60"/>
        <v>✓ OK</v>
      </c>
      <c r="N821" s="43">
        <v>46193</v>
      </c>
      <c r="O821" s="26" t="s">
        <v>23</v>
      </c>
      <c r="P821" s="26" t="s">
        <v>24</v>
      </c>
      <c r="Q821" s="26" t="s">
        <v>25</v>
      </c>
      <c r="R821" s="26" t="s">
        <v>26</v>
      </c>
      <c r="S821" s="26" t="s">
        <v>24</v>
      </c>
      <c r="T821" s="27"/>
      <c r="U821" s="28" t="s">
        <v>25</v>
      </c>
      <c r="V821" s="29" t="str">
        <f t="shared" si="61"/>
        <v>✓ OK</v>
      </c>
      <c r="W821" s="45">
        <v>46248</v>
      </c>
      <c r="X821" s="30" t="s">
        <v>23</v>
      </c>
      <c r="Y821" s="30" t="s">
        <v>24</v>
      </c>
      <c r="Z821" s="30" t="s">
        <v>25</v>
      </c>
      <c r="AA821" s="30" t="s">
        <v>26</v>
      </c>
      <c r="AB821" s="30" t="s">
        <v>24</v>
      </c>
      <c r="AC821" s="27"/>
      <c r="AD821" s="31" t="s">
        <v>25</v>
      </c>
      <c r="AE821" s="32" t="str">
        <f t="shared" si="62"/>
        <v>✓ OK</v>
      </c>
      <c r="AF821" s="33" t="s">
        <v>27</v>
      </c>
      <c r="AG821" s="33" t="s">
        <v>23</v>
      </c>
      <c r="AH821" s="33" t="s">
        <v>24</v>
      </c>
      <c r="AI821" s="33" t="s">
        <v>25</v>
      </c>
      <c r="AJ821" s="33" t="s">
        <v>26</v>
      </c>
      <c r="AK821" s="33" t="s">
        <v>24</v>
      </c>
      <c r="AL821" s="27"/>
      <c r="AM821" s="34" t="s">
        <v>25</v>
      </c>
      <c r="AN821" s="35" t="str">
        <f t="shared" si="63"/>
        <v>✓ OK</v>
      </c>
      <c r="AO821" s="36"/>
      <c r="AP821" s="36"/>
      <c r="AQ821" s="36"/>
      <c r="AR821" s="36"/>
      <c r="AS821" s="36"/>
      <c r="AT821" s="36"/>
      <c r="AU821" s="27"/>
      <c r="AV821" s="37"/>
      <c r="AW821" s="38" t="str">
        <f t="shared" si="64"/>
        <v/>
      </c>
    </row>
    <row r="822" spans="1:49" ht="18" customHeight="1" x14ac:dyDescent="0.3">
      <c r="A822" s="39">
        <v>818</v>
      </c>
      <c r="B822" s="40" t="s">
        <v>3484</v>
      </c>
      <c r="C822" s="41" t="s">
        <v>3485</v>
      </c>
      <c r="D822" s="39" t="s">
        <v>2819</v>
      </c>
      <c r="E822" s="43">
        <v>46126</v>
      </c>
      <c r="F822" s="26" t="s">
        <v>23</v>
      </c>
      <c r="G822" s="26" t="s">
        <v>24</v>
      </c>
      <c r="H822" s="26" t="s">
        <v>25</v>
      </c>
      <c r="I822" s="26" t="s">
        <v>26</v>
      </c>
      <c r="J822" s="26" t="s">
        <v>24</v>
      </c>
      <c r="K822" s="27"/>
      <c r="L822" s="28" t="s">
        <v>25</v>
      </c>
      <c r="M822" s="29" t="str">
        <f t="shared" si="60"/>
        <v>✓ OK</v>
      </c>
      <c r="N822" s="43">
        <v>46193</v>
      </c>
      <c r="O822" s="26" t="s">
        <v>23</v>
      </c>
      <c r="P822" s="26" t="s">
        <v>24</v>
      </c>
      <c r="Q822" s="26" t="s">
        <v>25</v>
      </c>
      <c r="R822" s="26" t="s">
        <v>26</v>
      </c>
      <c r="S822" s="26" t="s">
        <v>24</v>
      </c>
      <c r="T822" s="27"/>
      <c r="U822" s="28" t="s">
        <v>25</v>
      </c>
      <c r="V822" s="29" t="str">
        <f t="shared" si="61"/>
        <v>✓ OK</v>
      </c>
      <c r="W822" s="45">
        <v>46248</v>
      </c>
      <c r="X822" s="30" t="s">
        <v>23</v>
      </c>
      <c r="Y822" s="30" t="s">
        <v>24</v>
      </c>
      <c r="Z822" s="30" t="s">
        <v>25</v>
      </c>
      <c r="AA822" s="30" t="s">
        <v>26</v>
      </c>
      <c r="AB822" s="30" t="s">
        <v>24</v>
      </c>
      <c r="AC822" s="27"/>
      <c r="AD822" s="31" t="s">
        <v>25</v>
      </c>
      <c r="AE822" s="32" t="str">
        <f t="shared" si="62"/>
        <v>✓ OK</v>
      </c>
      <c r="AF822" s="33" t="s">
        <v>27</v>
      </c>
      <c r="AG822" s="33" t="s">
        <v>23</v>
      </c>
      <c r="AH822" s="33" t="s">
        <v>24</v>
      </c>
      <c r="AI822" s="33" t="s">
        <v>25</v>
      </c>
      <c r="AJ822" s="33" t="s">
        <v>26</v>
      </c>
      <c r="AK822" s="33" t="s">
        <v>24</v>
      </c>
      <c r="AL822" s="27"/>
      <c r="AM822" s="34" t="s">
        <v>25</v>
      </c>
      <c r="AN822" s="35" t="str">
        <f t="shared" si="63"/>
        <v>✓ OK</v>
      </c>
      <c r="AO822" s="36"/>
      <c r="AP822" s="36"/>
      <c r="AQ822" s="36"/>
      <c r="AR822" s="36"/>
      <c r="AS822" s="36"/>
      <c r="AT822" s="36"/>
      <c r="AU822" s="27"/>
      <c r="AV822" s="37"/>
      <c r="AW822" s="38" t="str">
        <f t="shared" si="64"/>
        <v/>
      </c>
    </row>
    <row r="823" spans="1:49" ht="18" customHeight="1" x14ac:dyDescent="0.3">
      <c r="A823" s="23">
        <v>819</v>
      </c>
      <c r="B823" s="24" t="s">
        <v>3486</v>
      </c>
      <c r="C823" s="25" t="s">
        <v>3487</v>
      </c>
      <c r="D823" s="23" t="s">
        <v>2819</v>
      </c>
      <c r="E823" s="43">
        <v>46126</v>
      </c>
      <c r="F823" s="26" t="s">
        <v>23</v>
      </c>
      <c r="G823" s="26" t="s">
        <v>24</v>
      </c>
      <c r="H823" s="26" t="s">
        <v>25</v>
      </c>
      <c r="I823" s="26" t="s">
        <v>26</v>
      </c>
      <c r="J823" s="26" t="s">
        <v>24</v>
      </c>
      <c r="K823" s="27"/>
      <c r="L823" s="28" t="s">
        <v>25</v>
      </c>
      <c r="M823" s="29" t="str">
        <f t="shared" si="60"/>
        <v>✓ OK</v>
      </c>
      <c r="N823" s="43">
        <v>46193</v>
      </c>
      <c r="O823" s="26" t="s">
        <v>23</v>
      </c>
      <c r="P823" s="26" t="s">
        <v>24</v>
      </c>
      <c r="Q823" s="26" t="s">
        <v>25</v>
      </c>
      <c r="R823" s="26" t="s">
        <v>26</v>
      </c>
      <c r="S823" s="26" t="s">
        <v>24</v>
      </c>
      <c r="T823" s="27"/>
      <c r="U823" s="28" t="s">
        <v>25</v>
      </c>
      <c r="V823" s="29" t="str">
        <f t="shared" si="61"/>
        <v>✓ OK</v>
      </c>
      <c r="W823" s="45">
        <v>46248</v>
      </c>
      <c r="X823" s="30" t="s">
        <v>23</v>
      </c>
      <c r="Y823" s="30" t="s">
        <v>24</v>
      </c>
      <c r="Z823" s="30" t="s">
        <v>25</v>
      </c>
      <c r="AA823" s="30" t="s">
        <v>26</v>
      </c>
      <c r="AB823" s="30" t="s">
        <v>24</v>
      </c>
      <c r="AC823" s="27"/>
      <c r="AD823" s="31" t="s">
        <v>25</v>
      </c>
      <c r="AE823" s="32" t="str">
        <f t="shared" si="62"/>
        <v>✓ OK</v>
      </c>
      <c r="AF823" s="33" t="s">
        <v>27</v>
      </c>
      <c r="AG823" s="33" t="s">
        <v>23</v>
      </c>
      <c r="AH823" s="33" t="s">
        <v>24</v>
      </c>
      <c r="AI823" s="33" t="s">
        <v>25</v>
      </c>
      <c r="AJ823" s="33" t="s">
        <v>26</v>
      </c>
      <c r="AK823" s="33" t="s">
        <v>24</v>
      </c>
      <c r="AL823" s="27"/>
      <c r="AM823" s="34" t="s">
        <v>25</v>
      </c>
      <c r="AN823" s="35" t="str">
        <f t="shared" si="63"/>
        <v>✓ OK</v>
      </c>
      <c r="AO823" s="36"/>
      <c r="AP823" s="36"/>
      <c r="AQ823" s="36"/>
      <c r="AR823" s="36"/>
      <c r="AS823" s="36"/>
      <c r="AT823" s="36"/>
      <c r="AU823" s="27"/>
      <c r="AV823" s="37"/>
      <c r="AW823" s="38" t="str">
        <f t="shared" si="64"/>
        <v/>
      </c>
    </row>
    <row r="824" spans="1:49" ht="18" customHeight="1" x14ac:dyDescent="0.3">
      <c r="A824" s="39">
        <v>820</v>
      </c>
      <c r="B824" s="40" t="s">
        <v>3488</v>
      </c>
      <c r="C824" s="41" t="s">
        <v>3489</v>
      </c>
      <c r="D824" s="39" t="s">
        <v>2819</v>
      </c>
      <c r="E824" s="43">
        <v>46126</v>
      </c>
      <c r="F824" s="26" t="s">
        <v>23</v>
      </c>
      <c r="G824" s="26" t="s">
        <v>24</v>
      </c>
      <c r="H824" s="26" t="s">
        <v>25</v>
      </c>
      <c r="I824" s="26" t="s">
        <v>26</v>
      </c>
      <c r="J824" s="26" t="s">
        <v>24</v>
      </c>
      <c r="K824" s="27"/>
      <c r="L824" s="28" t="s">
        <v>25</v>
      </c>
      <c r="M824" s="29" t="str">
        <f t="shared" si="60"/>
        <v>✓ OK</v>
      </c>
      <c r="N824" s="43">
        <v>46193</v>
      </c>
      <c r="O824" s="26" t="s">
        <v>23</v>
      </c>
      <c r="P824" s="26" t="s">
        <v>24</v>
      </c>
      <c r="Q824" s="26" t="s">
        <v>25</v>
      </c>
      <c r="R824" s="26" t="s">
        <v>26</v>
      </c>
      <c r="S824" s="26" t="s">
        <v>24</v>
      </c>
      <c r="T824" s="27"/>
      <c r="U824" s="28" t="s">
        <v>25</v>
      </c>
      <c r="V824" s="29" t="str">
        <f t="shared" si="61"/>
        <v>✓ OK</v>
      </c>
      <c r="W824" s="45">
        <v>46248</v>
      </c>
      <c r="X824" s="30" t="s">
        <v>23</v>
      </c>
      <c r="Y824" s="30" t="s">
        <v>24</v>
      </c>
      <c r="Z824" s="30" t="s">
        <v>25</v>
      </c>
      <c r="AA824" s="30" t="s">
        <v>26</v>
      </c>
      <c r="AB824" s="30" t="s">
        <v>24</v>
      </c>
      <c r="AC824" s="27"/>
      <c r="AD824" s="31" t="s">
        <v>25</v>
      </c>
      <c r="AE824" s="32" t="str">
        <f t="shared" si="62"/>
        <v>✓ OK</v>
      </c>
      <c r="AF824" s="33" t="s">
        <v>27</v>
      </c>
      <c r="AG824" s="33" t="s">
        <v>23</v>
      </c>
      <c r="AH824" s="33" t="s">
        <v>24</v>
      </c>
      <c r="AI824" s="33" t="s">
        <v>25</v>
      </c>
      <c r="AJ824" s="33" t="s">
        <v>26</v>
      </c>
      <c r="AK824" s="33" t="s">
        <v>24</v>
      </c>
      <c r="AL824" s="27"/>
      <c r="AM824" s="34" t="s">
        <v>25</v>
      </c>
      <c r="AN824" s="35" t="str">
        <f t="shared" si="63"/>
        <v>✓ OK</v>
      </c>
      <c r="AO824" s="36"/>
      <c r="AP824" s="36"/>
      <c r="AQ824" s="36"/>
      <c r="AR824" s="36"/>
      <c r="AS824" s="36"/>
      <c r="AT824" s="36"/>
      <c r="AU824" s="27"/>
      <c r="AV824" s="37"/>
      <c r="AW824" s="38" t="str">
        <f t="shared" si="64"/>
        <v/>
      </c>
    </row>
    <row r="825" spans="1:49" ht="18" customHeight="1" x14ac:dyDescent="0.3">
      <c r="A825" s="23">
        <v>821</v>
      </c>
      <c r="B825" s="24" t="s">
        <v>3490</v>
      </c>
      <c r="C825" s="25" t="s">
        <v>3491</v>
      </c>
      <c r="D825" s="23" t="s">
        <v>2819</v>
      </c>
      <c r="E825" s="43">
        <v>46126</v>
      </c>
      <c r="F825" s="26" t="s">
        <v>23</v>
      </c>
      <c r="G825" s="26" t="s">
        <v>24</v>
      </c>
      <c r="H825" s="26" t="s">
        <v>25</v>
      </c>
      <c r="I825" s="26" t="s">
        <v>26</v>
      </c>
      <c r="J825" s="26" t="s">
        <v>24</v>
      </c>
      <c r="K825" s="27"/>
      <c r="L825" s="28" t="s">
        <v>25</v>
      </c>
      <c r="M825" s="29" t="str">
        <f t="shared" si="60"/>
        <v>✓ OK</v>
      </c>
      <c r="N825" s="43">
        <v>46193</v>
      </c>
      <c r="O825" s="26" t="s">
        <v>23</v>
      </c>
      <c r="P825" s="26" t="s">
        <v>24</v>
      </c>
      <c r="Q825" s="26" t="s">
        <v>25</v>
      </c>
      <c r="R825" s="26" t="s">
        <v>26</v>
      </c>
      <c r="S825" s="26" t="s">
        <v>24</v>
      </c>
      <c r="T825" s="27"/>
      <c r="U825" s="28" t="s">
        <v>25</v>
      </c>
      <c r="V825" s="29" t="str">
        <f t="shared" si="61"/>
        <v>✓ OK</v>
      </c>
      <c r="W825" s="45">
        <v>46248</v>
      </c>
      <c r="X825" s="30" t="s">
        <v>23</v>
      </c>
      <c r="Y825" s="30" t="s">
        <v>24</v>
      </c>
      <c r="Z825" s="30" t="s">
        <v>25</v>
      </c>
      <c r="AA825" s="30" t="s">
        <v>26</v>
      </c>
      <c r="AB825" s="30" t="s">
        <v>24</v>
      </c>
      <c r="AC825" s="27"/>
      <c r="AD825" s="31" t="s">
        <v>25</v>
      </c>
      <c r="AE825" s="32" t="str">
        <f t="shared" si="62"/>
        <v>✓ OK</v>
      </c>
      <c r="AF825" s="33" t="s">
        <v>27</v>
      </c>
      <c r="AG825" s="33" t="s">
        <v>23</v>
      </c>
      <c r="AH825" s="33" t="s">
        <v>24</v>
      </c>
      <c r="AI825" s="33" t="s">
        <v>25</v>
      </c>
      <c r="AJ825" s="33" t="s">
        <v>26</v>
      </c>
      <c r="AK825" s="33" t="s">
        <v>24</v>
      </c>
      <c r="AL825" s="27"/>
      <c r="AM825" s="34" t="s">
        <v>25</v>
      </c>
      <c r="AN825" s="35" t="str">
        <f t="shared" si="63"/>
        <v>✓ OK</v>
      </c>
      <c r="AO825" s="36"/>
      <c r="AP825" s="36"/>
      <c r="AQ825" s="36"/>
      <c r="AR825" s="36"/>
      <c r="AS825" s="36"/>
      <c r="AT825" s="36"/>
      <c r="AU825" s="27"/>
      <c r="AV825" s="37"/>
      <c r="AW825" s="38" t="str">
        <f t="shared" si="64"/>
        <v/>
      </c>
    </row>
    <row r="826" spans="1:49" ht="18" customHeight="1" x14ac:dyDescent="0.3">
      <c r="A826" s="39">
        <v>822</v>
      </c>
      <c r="B826" s="40" t="s">
        <v>3492</v>
      </c>
      <c r="C826" s="41" t="s">
        <v>3493</v>
      </c>
      <c r="D826" s="39" t="s">
        <v>2819</v>
      </c>
      <c r="E826" s="43">
        <v>46126</v>
      </c>
      <c r="F826" s="26" t="s">
        <v>23</v>
      </c>
      <c r="G826" s="26" t="s">
        <v>24</v>
      </c>
      <c r="H826" s="26" t="s">
        <v>25</v>
      </c>
      <c r="I826" s="26" t="s">
        <v>26</v>
      </c>
      <c r="J826" s="26" t="s">
        <v>24</v>
      </c>
      <c r="K826" s="27"/>
      <c r="L826" s="28" t="s">
        <v>25</v>
      </c>
      <c r="M826" s="29" t="str">
        <f t="shared" si="60"/>
        <v>✓ OK</v>
      </c>
      <c r="N826" s="43">
        <v>46193</v>
      </c>
      <c r="O826" s="26" t="s">
        <v>23</v>
      </c>
      <c r="P826" s="26" t="s">
        <v>24</v>
      </c>
      <c r="Q826" s="26" t="s">
        <v>25</v>
      </c>
      <c r="R826" s="26" t="s">
        <v>26</v>
      </c>
      <c r="S826" s="26" t="s">
        <v>24</v>
      </c>
      <c r="T826" s="27"/>
      <c r="U826" s="28" t="s">
        <v>25</v>
      </c>
      <c r="V826" s="29" t="str">
        <f t="shared" si="61"/>
        <v>✓ OK</v>
      </c>
      <c r="W826" s="45">
        <v>46248</v>
      </c>
      <c r="X826" s="30" t="s">
        <v>23</v>
      </c>
      <c r="Y826" s="30" t="s">
        <v>24</v>
      </c>
      <c r="Z826" s="30" t="s">
        <v>25</v>
      </c>
      <c r="AA826" s="30" t="s">
        <v>26</v>
      </c>
      <c r="AB826" s="30" t="s">
        <v>24</v>
      </c>
      <c r="AC826" s="27"/>
      <c r="AD826" s="31" t="s">
        <v>25</v>
      </c>
      <c r="AE826" s="32" t="str">
        <f t="shared" si="62"/>
        <v>✓ OK</v>
      </c>
      <c r="AF826" s="33" t="s">
        <v>27</v>
      </c>
      <c r="AG826" s="33" t="s">
        <v>23</v>
      </c>
      <c r="AH826" s="33" t="s">
        <v>24</v>
      </c>
      <c r="AI826" s="33" t="s">
        <v>25</v>
      </c>
      <c r="AJ826" s="33" t="s">
        <v>26</v>
      </c>
      <c r="AK826" s="33" t="s">
        <v>24</v>
      </c>
      <c r="AL826" s="27"/>
      <c r="AM826" s="34" t="s">
        <v>25</v>
      </c>
      <c r="AN826" s="35" t="str">
        <f t="shared" si="63"/>
        <v>✓ OK</v>
      </c>
      <c r="AO826" s="36"/>
      <c r="AP826" s="36"/>
      <c r="AQ826" s="36"/>
      <c r="AR826" s="36"/>
      <c r="AS826" s="36"/>
      <c r="AT826" s="36"/>
      <c r="AU826" s="27"/>
      <c r="AV826" s="37"/>
      <c r="AW826" s="38" t="str">
        <f t="shared" si="64"/>
        <v/>
      </c>
    </row>
    <row r="827" spans="1:49" ht="18" customHeight="1" x14ac:dyDescent="0.3">
      <c r="A827" s="23">
        <v>823</v>
      </c>
      <c r="B827" s="24" t="s">
        <v>3494</v>
      </c>
      <c r="C827" s="25" t="s">
        <v>3495</v>
      </c>
      <c r="D827" s="23" t="s">
        <v>2819</v>
      </c>
      <c r="E827" s="43">
        <v>46126</v>
      </c>
      <c r="F827" s="26" t="s">
        <v>23</v>
      </c>
      <c r="G827" s="26" t="s">
        <v>24</v>
      </c>
      <c r="H827" s="26" t="s">
        <v>25</v>
      </c>
      <c r="I827" s="26" t="s">
        <v>26</v>
      </c>
      <c r="J827" s="26" t="s">
        <v>24</v>
      </c>
      <c r="K827" s="27"/>
      <c r="L827" s="28" t="s">
        <v>25</v>
      </c>
      <c r="M827" s="29" t="str">
        <f t="shared" si="60"/>
        <v>✓ OK</v>
      </c>
      <c r="N827" s="43">
        <v>46193</v>
      </c>
      <c r="O827" s="26" t="s">
        <v>23</v>
      </c>
      <c r="P827" s="26" t="s">
        <v>24</v>
      </c>
      <c r="Q827" s="26" t="s">
        <v>25</v>
      </c>
      <c r="R827" s="26" t="s">
        <v>26</v>
      </c>
      <c r="S827" s="26" t="s">
        <v>24</v>
      </c>
      <c r="T827" s="27"/>
      <c r="U827" s="28" t="s">
        <v>25</v>
      </c>
      <c r="V827" s="29" t="str">
        <f t="shared" si="61"/>
        <v>✓ OK</v>
      </c>
      <c r="W827" s="45">
        <v>46248</v>
      </c>
      <c r="X827" s="30" t="s">
        <v>23</v>
      </c>
      <c r="Y827" s="30" t="s">
        <v>24</v>
      </c>
      <c r="Z827" s="30" t="s">
        <v>25</v>
      </c>
      <c r="AA827" s="30" t="s">
        <v>26</v>
      </c>
      <c r="AB827" s="30" t="s">
        <v>24</v>
      </c>
      <c r="AC827" s="27"/>
      <c r="AD827" s="31" t="s">
        <v>25</v>
      </c>
      <c r="AE827" s="32" t="str">
        <f t="shared" si="62"/>
        <v>✓ OK</v>
      </c>
      <c r="AF827" s="33" t="s">
        <v>27</v>
      </c>
      <c r="AG827" s="33" t="s">
        <v>23</v>
      </c>
      <c r="AH827" s="33" t="s">
        <v>24</v>
      </c>
      <c r="AI827" s="33" t="s">
        <v>25</v>
      </c>
      <c r="AJ827" s="33" t="s">
        <v>26</v>
      </c>
      <c r="AK827" s="33" t="s">
        <v>24</v>
      </c>
      <c r="AL827" s="27"/>
      <c r="AM827" s="34" t="s">
        <v>25</v>
      </c>
      <c r="AN827" s="35" t="str">
        <f t="shared" si="63"/>
        <v>✓ OK</v>
      </c>
      <c r="AO827" s="36"/>
      <c r="AP827" s="36"/>
      <c r="AQ827" s="36"/>
      <c r="AR827" s="36"/>
      <c r="AS827" s="36"/>
      <c r="AT827" s="36"/>
      <c r="AU827" s="27"/>
      <c r="AV827" s="37"/>
      <c r="AW827" s="38" t="str">
        <f t="shared" si="64"/>
        <v/>
      </c>
    </row>
    <row r="828" spans="1:49" ht="18" customHeight="1" x14ac:dyDescent="0.3">
      <c r="A828" s="39">
        <v>824</v>
      </c>
      <c r="B828" s="40" t="s">
        <v>3496</v>
      </c>
      <c r="C828" s="41" t="s">
        <v>3497</v>
      </c>
      <c r="D828" s="39" t="s">
        <v>2819</v>
      </c>
      <c r="E828" s="43">
        <v>46126</v>
      </c>
      <c r="F828" s="26" t="s">
        <v>23</v>
      </c>
      <c r="G828" s="26" t="s">
        <v>24</v>
      </c>
      <c r="H828" s="26" t="s">
        <v>25</v>
      </c>
      <c r="I828" s="26" t="s">
        <v>26</v>
      </c>
      <c r="J828" s="26" t="s">
        <v>24</v>
      </c>
      <c r="K828" s="27"/>
      <c r="L828" s="28" t="s">
        <v>25</v>
      </c>
      <c r="M828" s="29" t="str">
        <f t="shared" si="60"/>
        <v>✓ OK</v>
      </c>
      <c r="N828" s="43">
        <v>46193</v>
      </c>
      <c r="O828" s="26" t="s">
        <v>23</v>
      </c>
      <c r="P828" s="26" t="s">
        <v>24</v>
      </c>
      <c r="Q828" s="26" t="s">
        <v>25</v>
      </c>
      <c r="R828" s="26" t="s">
        <v>26</v>
      </c>
      <c r="S828" s="26" t="s">
        <v>24</v>
      </c>
      <c r="T828" s="27"/>
      <c r="U828" s="28" t="s">
        <v>25</v>
      </c>
      <c r="V828" s="29" t="str">
        <f t="shared" si="61"/>
        <v>✓ OK</v>
      </c>
      <c r="W828" s="45">
        <v>46248</v>
      </c>
      <c r="X828" s="30" t="s">
        <v>23</v>
      </c>
      <c r="Y828" s="30" t="s">
        <v>24</v>
      </c>
      <c r="Z828" s="30" t="s">
        <v>25</v>
      </c>
      <c r="AA828" s="30" t="s">
        <v>26</v>
      </c>
      <c r="AB828" s="30" t="s">
        <v>24</v>
      </c>
      <c r="AC828" s="27"/>
      <c r="AD828" s="31" t="s">
        <v>25</v>
      </c>
      <c r="AE828" s="32" t="str">
        <f t="shared" si="62"/>
        <v>✓ OK</v>
      </c>
      <c r="AF828" s="33" t="s">
        <v>27</v>
      </c>
      <c r="AG828" s="33" t="s">
        <v>23</v>
      </c>
      <c r="AH828" s="33" t="s">
        <v>24</v>
      </c>
      <c r="AI828" s="33" t="s">
        <v>25</v>
      </c>
      <c r="AJ828" s="33" t="s">
        <v>26</v>
      </c>
      <c r="AK828" s="33" t="s">
        <v>24</v>
      </c>
      <c r="AL828" s="27"/>
      <c r="AM828" s="34" t="s">
        <v>25</v>
      </c>
      <c r="AN828" s="35" t="str">
        <f t="shared" si="63"/>
        <v>✓ OK</v>
      </c>
      <c r="AO828" s="36"/>
      <c r="AP828" s="36"/>
      <c r="AQ828" s="36"/>
      <c r="AR828" s="36"/>
      <c r="AS828" s="36"/>
      <c r="AT828" s="36"/>
      <c r="AU828" s="27"/>
      <c r="AV828" s="37"/>
      <c r="AW828" s="38" t="str">
        <f t="shared" si="64"/>
        <v/>
      </c>
    </row>
    <row r="829" spans="1:49" ht="18" customHeight="1" x14ac:dyDescent="0.3">
      <c r="A829" s="23">
        <v>825</v>
      </c>
      <c r="B829" s="24" t="s">
        <v>3498</v>
      </c>
      <c r="C829" s="25" t="s">
        <v>3499</v>
      </c>
      <c r="D829" s="23" t="s">
        <v>2819</v>
      </c>
      <c r="E829" s="43">
        <v>46126</v>
      </c>
      <c r="F829" s="26" t="s">
        <v>23</v>
      </c>
      <c r="G829" s="26" t="s">
        <v>24</v>
      </c>
      <c r="H829" s="26" t="s">
        <v>25</v>
      </c>
      <c r="I829" s="26" t="s">
        <v>26</v>
      </c>
      <c r="J829" s="26" t="s">
        <v>24</v>
      </c>
      <c r="K829" s="27"/>
      <c r="L829" s="28" t="s">
        <v>25</v>
      </c>
      <c r="M829" s="29" t="str">
        <f t="shared" si="60"/>
        <v>✓ OK</v>
      </c>
      <c r="N829" s="43">
        <v>46193</v>
      </c>
      <c r="O829" s="26" t="s">
        <v>23</v>
      </c>
      <c r="P829" s="26" t="s">
        <v>24</v>
      </c>
      <c r="Q829" s="26" t="s">
        <v>25</v>
      </c>
      <c r="R829" s="26" t="s">
        <v>26</v>
      </c>
      <c r="S829" s="26" t="s">
        <v>24</v>
      </c>
      <c r="T829" s="27"/>
      <c r="U829" s="28" t="s">
        <v>25</v>
      </c>
      <c r="V829" s="29" t="str">
        <f t="shared" si="61"/>
        <v>✓ OK</v>
      </c>
      <c r="W829" s="45">
        <v>46248</v>
      </c>
      <c r="X829" s="30" t="s">
        <v>23</v>
      </c>
      <c r="Y829" s="30" t="s">
        <v>24</v>
      </c>
      <c r="Z829" s="30" t="s">
        <v>25</v>
      </c>
      <c r="AA829" s="30" t="s">
        <v>26</v>
      </c>
      <c r="AB829" s="30" t="s">
        <v>24</v>
      </c>
      <c r="AC829" s="27"/>
      <c r="AD829" s="31" t="s">
        <v>25</v>
      </c>
      <c r="AE829" s="32" t="str">
        <f t="shared" si="62"/>
        <v>✓ OK</v>
      </c>
      <c r="AF829" s="33" t="s">
        <v>27</v>
      </c>
      <c r="AG829" s="33" t="s">
        <v>23</v>
      </c>
      <c r="AH829" s="33" t="s">
        <v>24</v>
      </c>
      <c r="AI829" s="33" t="s">
        <v>25</v>
      </c>
      <c r="AJ829" s="33" t="s">
        <v>26</v>
      </c>
      <c r="AK829" s="33" t="s">
        <v>24</v>
      </c>
      <c r="AL829" s="27"/>
      <c r="AM829" s="34" t="s">
        <v>25</v>
      </c>
      <c r="AN829" s="35" t="str">
        <f t="shared" si="63"/>
        <v>✓ OK</v>
      </c>
      <c r="AO829" s="36"/>
      <c r="AP829" s="36"/>
      <c r="AQ829" s="36"/>
      <c r="AR829" s="36"/>
      <c r="AS829" s="36"/>
      <c r="AT829" s="36"/>
      <c r="AU829" s="27"/>
      <c r="AV829" s="37"/>
      <c r="AW829" s="38" t="str">
        <f t="shared" si="64"/>
        <v/>
      </c>
    </row>
    <row r="830" spans="1:49" ht="18" customHeight="1" x14ac:dyDescent="0.3">
      <c r="A830" s="39">
        <v>826</v>
      </c>
      <c r="B830" s="40" t="s">
        <v>3500</v>
      </c>
      <c r="C830" s="41" t="s">
        <v>3501</v>
      </c>
      <c r="D830" s="39" t="s">
        <v>2819</v>
      </c>
      <c r="E830" s="43">
        <v>46126</v>
      </c>
      <c r="F830" s="26" t="s">
        <v>23</v>
      </c>
      <c r="G830" s="26" t="s">
        <v>24</v>
      </c>
      <c r="H830" s="26" t="s">
        <v>25</v>
      </c>
      <c r="I830" s="26" t="s">
        <v>26</v>
      </c>
      <c r="J830" s="26" t="s">
        <v>24</v>
      </c>
      <c r="K830" s="27"/>
      <c r="L830" s="28" t="s">
        <v>25</v>
      </c>
      <c r="M830" s="29" t="str">
        <f t="shared" si="60"/>
        <v>✓ OK</v>
      </c>
      <c r="N830" s="43">
        <v>46193</v>
      </c>
      <c r="O830" s="26" t="s">
        <v>23</v>
      </c>
      <c r="P830" s="26" t="s">
        <v>24</v>
      </c>
      <c r="Q830" s="26" t="s">
        <v>25</v>
      </c>
      <c r="R830" s="26" t="s">
        <v>26</v>
      </c>
      <c r="S830" s="26" t="s">
        <v>24</v>
      </c>
      <c r="T830" s="27"/>
      <c r="U830" s="28" t="s">
        <v>25</v>
      </c>
      <c r="V830" s="29" t="str">
        <f t="shared" si="61"/>
        <v>✓ OK</v>
      </c>
      <c r="W830" s="45">
        <v>46248</v>
      </c>
      <c r="X830" s="30" t="s">
        <v>23</v>
      </c>
      <c r="Y830" s="30" t="s">
        <v>24</v>
      </c>
      <c r="Z830" s="30" t="s">
        <v>25</v>
      </c>
      <c r="AA830" s="30" t="s">
        <v>26</v>
      </c>
      <c r="AB830" s="30" t="s">
        <v>24</v>
      </c>
      <c r="AC830" s="27"/>
      <c r="AD830" s="31" t="s">
        <v>25</v>
      </c>
      <c r="AE830" s="32" t="str">
        <f t="shared" si="62"/>
        <v>✓ OK</v>
      </c>
      <c r="AF830" s="33" t="s">
        <v>27</v>
      </c>
      <c r="AG830" s="33" t="s">
        <v>23</v>
      </c>
      <c r="AH830" s="33" t="s">
        <v>24</v>
      </c>
      <c r="AI830" s="33" t="s">
        <v>25</v>
      </c>
      <c r="AJ830" s="33" t="s">
        <v>26</v>
      </c>
      <c r="AK830" s="33" t="s">
        <v>24</v>
      </c>
      <c r="AL830" s="27"/>
      <c r="AM830" s="34" t="s">
        <v>25</v>
      </c>
      <c r="AN830" s="35" t="str">
        <f t="shared" si="63"/>
        <v>✓ OK</v>
      </c>
      <c r="AO830" s="36"/>
      <c r="AP830" s="36"/>
      <c r="AQ830" s="36"/>
      <c r="AR830" s="36"/>
      <c r="AS830" s="36"/>
      <c r="AT830" s="36"/>
      <c r="AU830" s="27"/>
      <c r="AV830" s="37"/>
      <c r="AW830" s="38" t="str">
        <f t="shared" si="64"/>
        <v/>
      </c>
    </row>
    <row r="831" spans="1:49" ht="18" customHeight="1" x14ac:dyDescent="0.3">
      <c r="A831" s="23">
        <v>827</v>
      </c>
      <c r="B831" s="24" t="s">
        <v>3502</v>
      </c>
      <c r="C831" s="25" t="s">
        <v>3503</v>
      </c>
      <c r="D831" s="23" t="s">
        <v>2819</v>
      </c>
      <c r="E831" s="43">
        <v>46126</v>
      </c>
      <c r="F831" s="26" t="s">
        <v>23</v>
      </c>
      <c r="G831" s="26" t="s">
        <v>24</v>
      </c>
      <c r="H831" s="26" t="s">
        <v>25</v>
      </c>
      <c r="I831" s="26" t="s">
        <v>26</v>
      </c>
      <c r="J831" s="26" t="s">
        <v>24</v>
      </c>
      <c r="K831" s="27"/>
      <c r="L831" s="28" t="s">
        <v>25</v>
      </c>
      <c r="M831" s="29" t="str">
        <f t="shared" si="60"/>
        <v>✓ OK</v>
      </c>
      <c r="N831" s="43">
        <v>46193</v>
      </c>
      <c r="O831" s="26" t="s">
        <v>23</v>
      </c>
      <c r="P831" s="26" t="s">
        <v>24</v>
      </c>
      <c r="Q831" s="26" t="s">
        <v>25</v>
      </c>
      <c r="R831" s="26" t="s">
        <v>26</v>
      </c>
      <c r="S831" s="26" t="s">
        <v>24</v>
      </c>
      <c r="T831" s="27"/>
      <c r="U831" s="28" t="s">
        <v>25</v>
      </c>
      <c r="V831" s="29" t="str">
        <f t="shared" si="61"/>
        <v>✓ OK</v>
      </c>
      <c r="W831" s="45">
        <v>46248</v>
      </c>
      <c r="X831" s="30" t="s">
        <v>23</v>
      </c>
      <c r="Y831" s="30" t="s">
        <v>24</v>
      </c>
      <c r="Z831" s="30" t="s">
        <v>25</v>
      </c>
      <c r="AA831" s="30" t="s">
        <v>26</v>
      </c>
      <c r="AB831" s="30" t="s">
        <v>24</v>
      </c>
      <c r="AC831" s="27"/>
      <c r="AD831" s="31" t="s">
        <v>25</v>
      </c>
      <c r="AE831" s="32" t="str">
        <f t="shared" si="62"/>
        <v>✓ OK</v>
      </c>
      <c r="AF831" s="33" t="s">
        <v>27</v>
      </c>
      <c r="AG831" s="33" t="s">
        <v>23</v>
      </c>
      <c r="AH831" s="33" t="s">
        <v>24</v>
      </c>
      <c r="AI831" s="33" t="s">
        <v>25</v>
      </c>
      <c r="AJ831" s="33" t="s">
        <v>26</v>
      </c>
      <c r="AK831" s="33" t="s">
        <v>24</v>
      </c>
      <c r="AL831" s="27"/>
      <c r="AM831" s="34" t="s">
        <v>25</v>
      </c>
      <c r="AN831" s="35" t="str">
        <f t="shared" si="63"/>
        <v>✓ OK</v>
      </c>
      <c r="AO831" s="36"/>
      <c r="AP831" s="36"/>
      <c r="AQ831" s="36"/>
      <c r="AR831" s="36"/>
      <c r="AS831" s="36"/>
      <c r="AT831" s="36"/>
      <c r="AU831" s="27"/>
      <c r="AV831" s="37"/>
      <c r="AW831" s="38" t="str">
        <f t="shared" si="64"/>
        <v/>
      </c>
    </row>
    <row r="832" spans="1:49" ht="18" customHeight="1" x14ac:dyDescent="0.3">
      <c r="A832" s="39">
        <v>828</v>
      </c>
      <c r="B832" s="40" t="s">
        <v>3504</v>
      </c>
      <c r="C832" s="41" t="s">
        <v>3505</v>
      </c>
      <c r="D832" s="39" t="s">
        <v>2819</v>
      </c>
      <c r="E832" s="43">
        <v>46126</v>
      </c>
      <c r="F832" s="26" t="s">
        <v>23</v>
      </c>
      <c r="G832" s="26" t="s">
        <v>24</v>
      </c>
      <c r="H832" s="26" t="s">
        <v>25</v>
      </c>
      <c r="I832" s="26" t="s">
        <v>26</v>
      </c>
      <c r="J832" s="26" t="s">
        <v>24</v>
      </c>
      <c r="K832" s="27"/>
      <c r="L832" s="28" t="s">
        <v>25</v>
      </c>
      <c r="M832" s="29" t="str">
        <f t="shared" si="60"/>
        <v>✓ OK</v>
      </c>
      <c r="N832" s="43">
        <v>46193</v>
      </c>
      <c r="O832" s="26" t="s">
        <v>23</v>
      </c>
      <c r="P832" s="26" t="s">
        <v>24</v>
      </c>
      <c r="Q832" s="26" t="s">
        <v>25</v>
      </c>
      <c r="R832" s="26" t="s">
        <v>26</v>
      </c>
      <c r="S832" s="26" t="s">
        <v>24</v>
      </c>
      <c r="T832" s="27"/>
      <c r="U832" s="28" t="s">
        <v>25</v>
      </c>
      <c r="V832" s="29" t="str">
        <f t="shared" si="61"/>
        <v>✓ OK</v>
      </c>
      <c r="W832" s="45">
        <v>46248</v>
      </c>
      <c r="X832" s="30" t="s">
        <v>23</v>
      </c>
      <c r="Y832" s="30" t="s">
        <v>24</v>
      </c>
      <c r="Z832" s="30" t="s">
        <v>25</v>
      </c>
      <c r="AA832" s="30" t="s">
        <v>26</v>
      </c>
      <c r="AB832" s="30" t="s">
        <v>24</v>
      </c>
      <c r="AC832" s="27"/>
      <c r="AD832" s="31" t="s">
        <v>25</v>
      </c>
      <c r="AE832" s="32" t="str">
        <f t="shared" si="62"/>
        <v>✓ OK</v>
      </c>
      <c r="AF832" s="33" t="s">
        <v>27</v>
      </c>
      <c r="AG832" s="33" t="s">
        <v>23</v>
      </c>
      <c r="AH832" s="33" t="s">
        <v>24</v>
      </c>
      <c r="AI832" s="33" t="s">
        <v>25</v>
      </c>
      <c r="AJ832" s="33" t="s">
        <v>26</v>
      </c>
      <c r="AK832" s="33" t="s">
        <v>24</v>
      </c>
      <c r="AL832" s="27"/>
      <c r="AM832" s="34" t="s">
        <v>25</v>
      </c>
      <c r="AN832" s="35" t="str">
        <f t="shared" si="63"/>
        <v>✓ OK</v>
      </c>
      <c r="AO832" s="36"/>
      <c r="AP832" s="36"/>
      <c r="AQ832" s="36"/>
      <c r="AR832" s="36"/>
      <c r="AS832" s="36"/>
      <c r="AT832" s="36"/>
      <c r="AU832" s="27"/>
      <c r="AV832" s="37"/>
      <c r="AW832" s="38" t="str">
        <f t="shared" si="64"/>
        <v/>
      </c>
    </row>
    <row r="833" spans="1:49" ht="18" customHeight="1" x14ac:dyDescent="0.3">
      <c r="A833" s="23">
        <v>829</v>
      </c>
      <c r="B833" s="24" t="s">
        <v>3506</v>
      </c>
      <c r="C833" s="25" t="s">
        <v>3507</v>
      </c>
      <c r="D833" s="23" t="s">
        <v>2819</v>
      </c>
      <c r="E833" s="43">
        <v>46126</v>
      </c>
      <c r="F833" s="26" t="s">
        <v>23</v>
      </c>
      <c r="G833" s="26" t="s">
        <v>24</v>
      </c>
      <c r="H833" s="26" t="s">
        <v>25</v>
      </c>
      <c r="I833" s="26" t="s">
        <v>26</v>
      </c>
      <c r="J833" s="26" t="s">
        <v>24</v>
      </c>
      <c r="K833" s="27"/>
      <c r="L833" s="28" t="s">
        <v>25</v>
      </c>
      <c r="M833" s="29" t="str">
        <f t="shared" si="60"/>
        <v>✓ OK</v>
      </c>
      <c r="N833" s="43">
        <v>46193</v>
      </c>
      <c r="O833" s="26" t="s">
        <v>23</v>
      </c>
      <c r="P833" s="26" t="s">
        <v>24</v>
      </c>
      <c r="Q833" s="26" t="s">
        <v>25</v>
      </c>
      <c r="R833" s="26" t="s">
        <v>26</v>
      </c>
      <c r="S833" s="26" t="s">
        <v>24</v>
      </c>
      <c r="T833" s="27"/>
      <c r="U833" s="28" t="s">
        <v>25</v>
      </c>
      <c r="V833" s="29" t="str">
        <f t="shared" si="61"/>
        <v>✓ OK</v>
      </c>
      <c r="W833" s="45">
        <v>46248</v>
      </c>
      <c r="X833" s="30" t="s">
        <v>23</v>
      </c>
      <c r="Y833" s="30" t="s">
        <v>24</v>
      </c>
      <c r="Z833" s="30" t="s">
        <v>25</v>
      </c>
      <c r="AA833" s="30" t="s">
        <v>26</v>
      </c>
      <c r="AB833" s="30" t="s">
        <v>24</v>
      </c>
      <c r="AC833" s="27"/>
      <c r="AD833" s="31" t="s">
        <v>25</v>
      </c>
      <c r="AE833" s="32" t="str">
        <f t="shared" si="62"/>
        <v>✓ OK</v>
      </c>
      <c r="AF833" s="33" t="s">
        <v>27</v>
      </c>
      <c r="AG833" s="33" t="s">
        <v>23</v>
      </c>
      <c r="AH833" s="33" t="s">
        <v>24</v>
      </c>
      <c r="AI833" s="33" t="s">
        <v>25</v>
      </c>
      <c r="AJ833" s="33" t="s">
        <v>26</v>
      </c>
      <c r="AK833" s="33" t="s">
        <v>24</v>
      </c>
      <c r="AL833" s="27"/>
      <c r="AM833" s="34" t="s">
        <v>25</v>
      </c>
      <c r="AN833" s="35" t="str">
        <f t="shared" si="63"/>
        <v>✓ OK</v>
      </c>
      <c r="AO833" s="36"/>
      <c r="AP833" s="36"/>
      <c r="AQ833" s="36"/>
      <c r="AR833" s="36"/>
      <c r="AS833" s="36"/>
      <c r="AT833" s="36"/>
      <c r="AU833" s="27"/>
      <c r="AV833" s="37"/>
      <c r="AW833" s="38" t="str">
        <f t="shared" si="64"/>
        <v/>
      </c>
    </row>
    <row r="834" spans="1:49" ht="18" customHeight="1" x14ac:dyDescent="0.3">
      <c r="A834" s="39">
        <v>830</v>
      </c>
      <c r="B834" s="40" t="s">
        <v>3508</v>
      </c>
      <c r="C834" s="41" t="s">
        <v>3509</v>
      </c>
      <c r="D834" s="39" t="s">
        <v>2819</v>
      </c>
      <c r="E834" s="43">
        <v>46126</v>
      </c>
      <c r="F834" s="26" t="s">
        <v>23</v>
      </c>
      <c r="G834" s="26" t="s">
        <v>24</v>
      </c>
      <c r="H834" s="26" t="s">
        <v>25</v>
      </c>
      <c r="I834" s="26" t="s">
        <v>26</v>
      </c>
      <c r="J834" s="26" t="s">
        <v>24</v>
      </c>
      <c r="K834" s="27"/>
      <c r="L834" s="28" t="s">
        <v>25</v>
      </c>
      <c r="M834" s="29" t="str">
        <f t="shared" si="60"/>
        <v>✓ OK</v>
      </c>
      <c r="N834" s="43">
        <v>46193</v>
      </c>
      <c r="O834" s="26" t="s">
        <v>23</v>
      </c>
      <c r="P834" s="26" t="s">
        <v>24</v>
      </c>
      <c r="Q834" s="26" t="s">
        <v>25</v>
      </c>
      <c r="R834" s="26" t="s">
        <v>26</v>
      </c>
      <c r="S834" s="26" t="s">
        <v>24</v>
      </c>
      <c r="T834" s="27"/>
      <c r="U834" s="28" t="s">
        <v>25</v>
      </c>
      <c r="V834" s="29" t="str">
        <f t="shared" si="61"/>
        <v>✓ OK</v>
      </c>
      <c r="W834" s="45">
        <v>46248</v>
      </c>
      <c r="X834" s="30" t="s">
        <v>23</v>
      </c>
      <c r="Y834" s="30" t="s">
        <v>24</v>
      </c>
      <c r="Z834" s="30" t="s">
        <v>25</v>
      </c>
      <c r="AA834" s="30" t="s">
        <v>26</v>
      </c>
      <c r="AB834" s="30" t="s">
        <v>24</v>
      </c>
      <c r="AC834" s="27"/>
      <c r="AD834" s="31" t="s">
        <v>25</v>
      </c>
      <c r="AE834" s="32" t="str">
        <f t="shared" si="62"/>
        <v>✓ OK</v>
      </c>
      <c r="AF834" s="33" t="s">
        <v>27</v>
      </c>
      <c r="AG834" s="33" t="s">
        <v>23</v>
      </c>
      <c r="AH834" s="33" t="s">
        <v>24</v>
      </c>
      <c r="AI834" s="33" t="s">
        <v>25</v>
      </c>
      <c r="AJ834" s="33" t="s">
        <v>26</v>
      </c>
      <c r="AK834" s="33" t="s">
        <v>24</v>
      </c>
      <c r="AL834" s="27"/>
      <c r="AM834" s="34" t="s">
        <v>25</v>
      </c>
      <c r="AN834" s="35" t="str">
        <f t="shared" si="63"/>
        <v>✓ OK</v>
      </c>
      <c r="AO834" s="36"/>
      <c r="AP834" s="36"/>
      <c r="AQ834" s="36"/>
      <c r="AR834" s="36"/>
      <c r="AS834" s="36"/>
      <c r="AT834" s="36"/>
      <c r="AU834" s="27"/>
      <c r="AV834" s="37"/>
      <c r="AW834" s="38" t="str">
        <f t="shared" si="64"/>
        <v/>
      </c>
    </row>
    <row r="835" spans="1:49" ht="18" customHeight="1" x14ac:dyDescent="0.3">
      <c r="A835" s="23">
        <v>831</v>
      </c>
      <c r="B835" s="24" t="s">
        <v>3510</v>
      </c>
      <c r="C835" s="25" t="s">
        <v>3511</v>
      </c>
      <c r="D835" s="23" t="s">
        <v>2819</v>
      </c>
      <c r="E835" s="43">
        <v>46126</v>
      </c>
      <c r="F835" s="26" t="s">
        <v>23</v>
      </c>
      <c r="G835" s="26" t="s">
        <v>24</v>
      </c>
      <c r="H835" s="26" t="s">
        <v>25</v>
      </c>
      <c r="I835" s="26" t="s">
        <v>26</v>
      </c>
      <c r="J835" s="26" t="s">
        <v>24</v>
      </c>
      <c r="K835" s="27"/>
      <c r="L835" s="28" t="s">
        <v>25</v>
      </c>
      <c r="M835" s="29" t="str">
        <f t="shared" si="60"/>
        <v>✓ OK</v>
      </c>
      <c r="N835" s="43">
        <v>46193</v>
      </c>
      <c r="O835" s="26" t="s">
        <v>23</v>
      </c>
      <c r="P835" s="26" t="s">
        <v>24</v>
      </c>
      <c r="Q835" s="26" t="s">
        <v>25</v>
      </c>
      <c r="R835" s="26" t="s">
        <v>26</v>
      </c>
      <c r="S835" s="26" t="s">
        <v>24</v>
      </c>
      <c r="T835" s="27"/>
      <c r="U835" s="28" t="s">
        <v>25</v>
      </c>
      <c r="V835" s="29" t="str">
        <f t="shared" si="61"/>
        <v>✓ OK</v>
      </c>
      <c r="W835" s="45">
        <v>46248</v>
      </c>
      <c r="X835" s="30" t="s">
        <v>23</v>
      </c>
      <c r="Y835" s="30" t="s">
        <v>24</v>
      </c>
      <c r="Z835" s="30" t="s">
        <v>25</v>
      </c>
      <c r="AA835" s="30" t="s">
        <v>26</v>
      </c>
      <c r="AB835" s="30" t="s">
        <v>24</v>
      </c>
      <c r="AC835" s="27"/>
      <c r="AD835" s="31" t="s">
        <v>25</v>
      </c>
      <c r="AE835" s="32" t="str">
        <f t="shared" si="62"/>
        <v>✓ OK</v>
      </c>
      <c r="AF835" s="33" t="s">
        <v>27</v>
      </c>
      <c r="AG835" s="33" t="s">
        <v>23</v>
      </c>
      <c r="AH835" s="33" t="s">
        <v>24</v>
      </c>
      <c r="AI835" s="33" t="s">
        <v>25</v>
      </c>
      <c r="AJ835" s="33" t="s">
        <v>26</v>
      </c>
      <c r="AK835" s="33" t="s">
        <v>24</v>
      </c>
      <c r="AL835" s="27"/>
      <c r="AM835" s="34" t="s">
        <v>25</v>
      </c>
      <c r="AN835" s="35" t="str">
        <f t="shared" si="63"/>
        <v>✓ OK</v>
      </c>
      <c r="AO835" s="36"/>
      <c r="AP835" s="36"/>
      <c r="AQ835" s="36"/>
      <c r="AR835" s="36"/>
      <c r="AS835" s="36"/>
      <c r="AT835" s="36"/>
      <c r="AU835" s="27"/>
      <c r="AV835" s="37"/>
      <c r="AW835" s="38" t="str">
        <f t="shared" si="64"/>
        <v/>
      </c>
    </row>
    <row r="836" spans="1:49" ht="18" customHeight="1" x14ac:dyDescent="0.3">
      <c r="A836" s="39">
        <v>832</v>
      </c>
      <c r="B836" s="40" t="s">
        <v>3512</v>
      </c>
      <c r="C836" s="41" t="s">
        <v>3513</v>
      </c>
      <c r="D836" s="39" t="s">
        <v>2819</v>
      </c>
      <c r="E836" s="43">
        <v>46126</v>
      </c>
      <c r="F836" s="26" t="s">
        <v>23</v>
      </c>
      <c r="G836" s="26" t="s">
        <v>24</v>
      </c>
      <c r="H836" s="26" t="s">
        <v>25</v>
      </c>
      <c r="I836" s="26" t="s">
        <v>26</v>
      </c>
      <c r="J836" s="26" t="s">
        <v>24</v>
      </c>
      <c r="K836" s="27"/>
      <c r="L836" s="28" t="s">
        <v>25</v>
      </c>
      <c r="M836" s="29" t="str">
        <f t="shared" si="60"/>
        <v>✓ OK</v>
      </c>
      <c r="N836" s="43">
        <v>46193</v>
      </c>
      <c r="O836" s="26" t="s">
        <v>23</v>
      </c>
      <c r="P836" s="26" t="s">
        <v>24</v>
      </c>
      <c r="Q836" s="26" t="s">
        <v>25</v>
      </c>
      <c r="R836" s="26" t="s">
        <v>26</v>
      </c>
      <c r="S836" s="26" t="s">
        <v>24</v>
      </c>
      <c r="T836" s="27"/>
      <c r="U836" s="28" t="s">
        <v>25</v>
      </c>
      <c r="V836" s="29" t="str">
        <f t="shared" si="61"/>
        <v>✓ OK</v>
      </c>
      <c r="W836" s="45">
        <v>46248</v>
      </c>
      <c r="X836" s="30" t="s">
        <v>23</v>
      </c>
      <c r="Y836" s="30" t="s">
        <v>24</v>
      </c>
      <c r="Z836" s="30" t="s">
        <v>25</v>
      </c>
      <c r="AA836" s="30" t="s">
        <v>26</v>
      </c>
      <c r="AB836" s="30" t="s">
        <v>24</v>
      </c>
      <c r="AC836" s="27"/>
      <c r="AD836" s="31" t="s">
        <v>25</v>
      </c>
      <c r="AE836" s="32" t="str">
        <f t="shared" si="62"/>
        <v>✓ OK</v>
      </c>
      <c r="AF836" s="33" t="s">
        <v>27</v>
      </c>
      <c r="AG836" s="33" t="s">
        <v>23</v>
      </c>
      <c r="AH836" s="33" t="s">
        <v>24</v>
      </c>
      <c r="AI836" s="33" t="s">
        <v>25</v>
      </c>
      <c r="AJ836" s="33" t="s">
        <v>26</v>
      </c>
      <c r="AK836" s="33" t="s">
        <v>24</v>
      </c>
      <c r="AL836" s="27"/>
      <c r="AM836" s="34" t="s">
        <v>25</v>
      </c>
      <c r="AN836" s="35" t="str">
        <f t="shared" si="63"/>
        <v>✓ OK</v>
      </c>
      <c r="AO836" s="36"/>
      <c r="AP836" s="36"/>
      <c r="AQ836" s="36"/>
      <c r="AR836" s="36"/>
      <c r="AS836" s="36"/>
      <c r="AT836" s="36"/>
      <c r="AU836" s="27"/>
      <c r="AV836" s="37"/>
      <c r="AW836" s="38" t="str">
        <f t="shared" si="64"/>
        <v/>
      </c>
    </row>
    <row r="837" spans="1:49" ht="18" customHeight="1" x14ac:dyDescent="0.3">
      <c r="A837" s="23">
        <v>833</v>
      </c>
      <c r="B837" s="24" t="s">
        <v>3514</v>
      </c>
      <c r="C837" s="25" t="s">
        <v>3515</v>
      </c>
      <c r="D837" s="23" t="s">
        <v>2819</v>
      </c>
      <c r="E837" s="43">
        <v>46126</v>
      </c>
      <c r="F837" s="26" t="s">
        <v>23</v>
      </c>
      <c r="G837" s="26" t="s">
        <v>24</v>
      </c>
      <c r="H837" s="26" t="s">
        <v>25</v>
      </c>
      <c r="I837" s="26" t="s">
        <v>26</v>
      </c>
      <c r="J837" s="26" t="s">
        <v>24</v>
      </c>
      <c r="K837" s="27"/>
      <c r="L837" s="28" t="s">
        <v>25</v>
      </c>
      <c r="M837" s="29" t="str">
        <f t="shared" ref="M837:M900" si="65">IF(E837="","",IF(H837="Yes","❌ Disc",IF(G837="No","⚠ Missing",IF(J837="Yes","✓ OK","⚠ Check"))))</f>
        <v>✓ OK</v>
      </c>
      <c r="N837" s="43">
        <v>46193</v>
      </c>
      <c r="O837" s="26" t="s">
        <v>23</v>
      </c>
      <c r="P837" s="26" t="s">
        <v>24</v>
      </c>
      <c r="Q837" s="26" t="s">
        <v>25</v>
      </c>
      <c r="R837" s="26" t="s">
        <v>26</v>
      </c>
      <c r="S837" s="26" t="s">
        <v>24</v>
      </c>
      <c r="T837" s="27"/>
      <c r="U837" s="28" t="s">
        <v>25</v>
      </c>
      <c r="V837" s="29" t="str">
        <f t="shared" ref="V837:V900" si="66">IF(N837="","",IF(Q837="Yes","❌ Disc",IF(P837="No","⚠ Missing",IF(S837="Yes","✓ OK","⚠ Check"))))</f>
        <v>✓ OK</v>
      </c>
      <c r="W837" s="45">
        <v>46248</v>
      </c>
      <c r="X837" s="30" t="s">
        <v>23</v>
      </c>
      <c r="Y837" s="30" t="s">
        <v>24</v>
      </c>
      <c r="Z837" s="30" t="s">
        <v>25</v>
      </c>
      <c r="AA837" s="30" t="s">
        <v>26</v>
      </c>
      <c r="AB837" s="30" t="s">
        <v>24</v>
      </c>
      <c r="AC837" s="27"/>
      <c r="AD837" s="31" t="s">
        <v>25</v>
      </c>
      <c r="AE837" s="32" t="str">
        <f t="shared" ref="AE837:AE900" si="67">IF(W837="","",IF(Z837="Yes","❌ Disc",IF(Y837="No","⚠ Missing",IF(AB837="Yes","✓ OK","⚠ Check"))))</f>
        <v>✓ OK</v>
      </c>
      <c r="AF837" s="33" t="s">
        <v>27</v>
      </c>
      <c r="AG837" s="33" t="s">
        <v>23</v>
      </c>
      <c r="AH837" s="33" t="s">
        <v>24</v>
      </c>
      <c r="AI837" s="33" t="s">
        <v>25</v>
      </c>
      <c r="AJ837" s="33" t="s">
        <v>26</v>
      </c>
      <c r="AK837" s="33" t="s">
        <v>24</v>
      </c>
      <c r="AL837" s="27"/>
      <c r="AM837" s="34" t="s">
        <v>25</v>
      </c>
      <c r="AN837" s="35" t="str">
        <f t="shared" ref="AN837:AN900" si="68">IF(AF837="","",IF(AI837="Yes","❌ Disc",IF(AH837="No","⚠ Missing",IF(AK837="Yes","✓ OK","⚠ Check"))))</f>
        <v>✓ OK</v>
      </c>
      <c r="AO837" s="36"/>
      <c r="AP837" s="36"/>
      <c r="AQ837" s="36"/>
      <c r="AR837" s="36"/>
      <c r="AS837" s="36"/>
      <c r="AT837" s="36"/>
      <c r="AU837" s="27"/>
      <c r="AV837" s="37"/>
      <c r="AW837" s="38" t="str">
        <f t="shared" ref="AW837:AW900" si="69">IF(AO837="","",IF(AR837="Yes","❌ Disc",IF(AQ837="No","⚠ Missing",IF(AT837="Yes","✓ OK","⚠ Check"))))</f>
        <v/>
      </c>
    </row>
    <row r="838" spans="1:49" ht="18" customHeight="1" x14ac:dyDescent="0.3">
      <c r="A838" s="39">
        <v>834</v>
      </c>
      <c r="B838" s="40" t="s">
        <v>3516</v>
      </c>
      <c r="C838" s="41" t="s">
        <v>3517</v>
      </c>
      <c r="D838" s="39" t="s">
        <v>2819</v>
      </c>
      <c r="E838" s="43">
        <v>46126</v>
      </c>
      <c r="F838" s="26" t="s">
        <v>23</v>
      </c>
      <c r="G838" s="26" t="s">
        <v>24</v>
      </c>
      <c r="H838" s="26" t="s">
        <v>25</v>
      </c>
      <c r="I838" s="26" t="s">
        <v>26</v>
      </c>
      <c r="J838" s="26" t="s">
        <v>24</v>
      </c>
      <c r="K838" s="27"/>
      <c r="L838" s="28" t="s">
        <v>25</v>
      </c>
      <c r="M838" s="29" t="str">
        <f t="shared" si="65"/>
        <v>✓ OK</v>
      </c>
      <c r="N838" s="43">
        <v>46193</v>
      </c>
      <c r="O838" s="26" t="s">
        <v>23</v>
      </c>
      <c r="P838" s="26" t="s">
        <v>24</v>
      </c>
      <c r="Q838" s="26" t="s">
        <v>25</v>
      </c>
      <c r="R838" s="26" t="s">
        <v>26</v>
      </c>
      <c r="S838" s="26" t="s">
        <v>24</v>
      </c>
      <c r="T838" s="27"/>
      <c r="U838" s="28" t="s">
        <v>25</v>
      </c>
      <c r="V838" s="29" t="str">
        <f t="shared" si="66"/>
        <v>✓ OK</v>
      </c>
      <c r="W838" s="45">
        <v>46248</v>
      </c>
      <c r="X838" s="30" t="s">
        <v>23</v>
      </c>
      <c r="Y838" s="30" t="s">
        <v>24</v>
      </c>
      <c r="Z838" s="30" t="s">
        <v>25</v>
      </c>
      <c r="AA838" s="30" t="s">
        <v>26</v>
      </c>
      <c r="AB838" s="30" t="s">
        <v>24</v>
      </c>
      <c r="AC838" s="27"/>
      <c r="AD838" s="31" t="s">
        <v>25</v>
      </c>
      <c r="AE838" s="32" t="str">
        <f t="shared" si="67"/>
        <v>✓ OK</v>
      </c>
      <c r="AF838" s="33" t="s">
        <v>27</v>
      </c>
      <c r="AG838" s="33" t="s">
        <v>23</v>
      </c>
      <c r="AH838" s="33" t="s">
        <v>24</v>
      </c>
      <c r="AI838" s="33" t="s">
        <v>25</v>
      </c>
      <c r="AJ838" s="33" t="s">
        <v>26</v>
      </c>
      <c r="AK838" s="33" t="s">
        <v>24</v>
      </c>
      <c r="AL838" s="27"/>
      <c r="AM838" s="34" t="s">
        <v>25</v>
      </c>
      <c r="AN838" s="35" t="str">
        <f t="shared" si="68"/>
        <v>✓ OK</v>
      </c>
      <c r="AO838" s="36"/>
      <c r="AP838" s="36"/>
      <c r="AQ838" s="36"/>
      <c r="AR838" s="36"/>
      <c r="AS838" s="36"/>
      <c r="AT838" s="36"/>
      <c r="AU838" s="27"/>
      <c r="AV838" s="37"/>
      <c r="AW838" s="38" t="str">
        <f t="shared" si="69"/>
        <v/>
      </c>
    </row>
    <row r="839" spans="1:49" ht="18" customHeight="1" x14ac:dyDescent="0.3">
      <c r="A839" s="23">
        <v>835</v>
      </c>
      <c r="B839" s="24" t="s">
        <v>3518</v>
      </c>
      <c r="C839" s="25" t="s">
        <v>3519</v>
      </c>
      <c r="D839" s="23" t="s">
        <v>2819</v>
      </c>
      <c r="E839" s="43">
        <v>46126</v>
      </c>
      <c r="F839" s="26" t="s">
        <v>23</v>
      </c>
      <c r="G839" s="26" t="s">
        <v>24</v>
      </c>
      <c r="H839" s="26" t="s">
        <v>25</v>
      </c>
      <c r="I839" s="26" t="s">
        <v>26</v>
      </c>
      <c r="J839" s="26" t="s">
        <v>24</v>
      </c>
      <c r="K839" s="27"/>
      <c r="L839" s="28" t="s">
        <v>25</v>
      </c>
      <c r="M839" s="29" t="str">
        <f t="shared" si="65"/>
        <v>✓ OK</v>
      </c>
      <c r="N839" s="43">
        <v>46193</v>
      </c>
      <c r="O839" s="26" t="s">
        <v>23</v>
      </c>
      <c r="P839" s="26" t="s">
        <v>24</v>
      </c>
      <c r="Q839" s="26" t="s">
        <v>25</v>
      </c>
      <c r="R839" s="26" t="s">
        <v>26</v>
      </c>
      <c r="S839" s="26" t="s">
        <v>24</v>
      </c>
      <c r="T839" s="27"/>
      <c r="U839" s="28" t="s">
        <v>25</v>
      </c>
      <c r="V839" s="29" t="str">
        <f t="shared" si="66"/>
        <v>✓ OK</v>
      </c>
      <c r="W839" s="45">
        <v>46248</v>
      </c>
      <c r="X839" s="30" t="s">
        <v>23</v>
      </c>
      <c r="Y839" s="30" t="s">
        <v>24</v>
      </c>
      <c r="Z839" s="30" t="s">
        <v>25</v>
      </c>
      <c r="AA839" s="30" t="s">
        <v>26</v>
      </c>
      <c r="AB839" s="30" t="s">
        <v>24</v>
      </c>
      <c r="AC839" s="27"/>
      <c r="AD839" s="31" t="s">
        <v>25</v>
      </c>
      <c r="AE839" s="32" t="str">
        <f t="shared" si="67"/>
        <v>✓ OK</v>
      </c>
      <c r="AF839" s="33" t="s">
        <v>27</v>
      </c>
      <c r="AG839" s="33" t="s">
        <v>23</v>
      </c>
      <c r="AH839" s="33" t="s">
        <v>24</v>
      </c>
      <c r="AI839" s="33" t="s">
        <v>25</v>
      </c>
      <c r="AJ839" s="33" t="s">
        <v>26</v>
      </c>
      <c r="AK839" s="33" t="s">
        <v>24</v>
      </c>
      <c r="AL839" s="27"/>
      <c r="AM839" s="34" t="s">
        <v>25</v>
      </c>
      <c r="AN839" s="35" t="str">
        <f t="shared" si="68"/>
        <v>✓ OK</v>
      </c>
      <c r="AO839" s="36"/>
      <c r="AP839" s="36"/>
      <c r="AQ839" s="36"/>
      <c r="AR839" s="36"/>
      <c r="AS839" s="36"/>
      <c r="AT839" s="36"/>
      <c r="AU839" s="27"/>
      <c r="AV839" s="37"/>
      <c r="AW839" s="38" t="str">
        <f t="shared" si="69"/>
        <v/>
      </c>
    </row>
    <row r="840" spans="1:49" ht="18" customHeight="1" x14ac:dyDescent="0.3">
      <c r="A840" s="39">
        <v>836</v>
      </c>
      <c r="B840" s="40" t="s">
        <v>3520</v>
      </c>
      <c r="C840" s="41" t="s">
        <v>3521</v>
      </c>
      <c r="D840" s="39" t="s">
        <v>2819</v>
      </c>
      <c r="E840" s="43">
        <v>46126</v>
      </c>
      <c r="F840" s="26" t="s">
        <v>23</v>
      </c>
      <c r="G840" s="26" t="s">
        <v>24</v>
      </c>
      <c r="H840" s="26" t="s">
        <v>25</v>
      </c>
      <c r="I840" s="26" t="s">
        <v>26</v>
      </c>
      <c r="J840" s="26" t="s">
        <v>24</v>
      </c>
      <c r="K840" s="27"/>
      <c r="L840" s="28" t="s">
        <v>25</v>
      </c>
      <c r="M840" s="29" t="str">
        <f t="shared" si="65"/>
        <v>✓ OK</v>
      </c>
      <c r="N840" s="43">
        <v>46193</v>
      </c>
      <c r="O840" s="26" t="s">
        <v>23</v>
      </c>
      <c r="P840" s="26" t="s">
        <v>24</v>
      </c>
      <c r="Q840" s="26" t="s">
        <v>25</v>
      </c>
      <c r="R840" s="26" t="s">
        <v>26</v>
      </c>
      <c r="S840" s="26" t="s">
        <v>24</v>
      </c>
      <c r="T840" s="27"/>
      <c r="U840" s="28" t="s">
        <v>25</v>
      </c>
      <c r="V840" s="29" t="str">
        <f t="shared" si="66"/>
        <v>✓ OK</v>
      </c>
      <c r="W840" s="45">
        <v>46248</v>
      </c>
      <c r="X840" s="30" t="s">
        <v>23</v>
      </c>
      <c r="Y840" s="30" t="s">
        <v>24</v>
      </c>
      <c r="Z840" s="30" t="s">
        <v>25</v>
      </c>
      <c r="AA840" s="30" t="s">
        <v>26</v>
      </c>
      <c r="AB840" s="30" t="s">
        <v>24</v>
      </c>
      <c r="AC840" s="27"/>
      <c r="AD840" s="31" t="s">
        <v>25</v>
      </c>
      <c r="AE840" s="32" t="str">
        <f t="shared" si="67"/>
        <v>✓ OK</v>
      </c>
      <c r="AF840" s="33" t="s">
        <v>27</v>
      </c>
      <c r="AG840" s="33" t="s">
        <v>23</v>
      </c>
      <c r="AH840" s="33" t="s">
        <v>24</v>
      </c>
      <c r="AI840" s="33" t="s">
        <v>25</v>
      </c>
      <c r="AJ840" s="33" t="s">
        <v>26</v>
      </c>
      <c r="AK840" s="33" t="s">
        <v>24</v>
      </c>
      <c r="AL840" s="27"/>
      <c r="AM840" s="34" t="s">
        <v>25</v>
      </c>
      <c r="AN840" s="35" t="str">
        <f t="shared" si="68"/>
        <v>✓ OK</v>
      </c>
      <c r="AO840" s="36"/>
      <c r="AP840" s="36"/>
      <c r="AQ840" s="36"/>
      <c r="AR840" s="36"/>
      <c r="AS840" s="36"/>
      <c r="AT840" s="36"/>
      <c r="AU840" s="27"/>
      <c r="AV840" s="37"/>
      <c r="AW840" s="38" t="str">
        <f t="shared" si="69"/>
        <v/>
      </c>
    </row>
    <row r="841" spans="1:49" ht="18" customHeight="1" x14ac:dyDescent="0.3">
      <c r="A841" s="23">
        <v>837</v>
      </c>
      <c r="B841" s="24" t="s">
        <v>3522</v>
      </c>
      <c r="C841" s="25" t="s">
        <v>3523</v>
      </c>
      <c r="D841" s="23" t="s">
        <v>2819</v>
      </c>
      <c r="E841" s="43">
        <v>46126</v>
      </c>
      <c r="F841" s="26" t="s">
        <v>23</v>
      </c>
      <c r="G841" s="26" t="s">
        <v>24</v>
      </c>
      <c r="H841" s="26" t="s">
        <v>25</v>
      </c>
      <c r="I841" s="26" t="s">
        <v>26</v>
      </c>
      <c r="J841" s="26" t="s">
        <v>24</v>
      </c>
      <c r="K841" s="27"/>
      <c r="L841" s="28" t="s">
        <v>25</v>
      </c>
      <c r="M841" s="29" t="str">
        <f t="shared" si="65"/>
        <v>✓ OK</v>
      </c>
      <c r="N841" s="43">
        <v>46193</v>
      </c>
      <c r="O841" s="26" t="s">
        <v>23</v>
      </c>
      <c r="P841" s="26" t="s">
        <v>24</v>
      </c>
      <c r="Q841" s="26" t="s">
        <v>25</v>
      </c>
      <c r="R841" s="26" t="s">
        <v>26</v>
      </c>
      <c r="S841" s="26" t="s">
        <v>24</v>
      </c>
      <c r="T841" s="27"/>
      <c r="U841" s="28" t="s">
        <v>25</v>
      </c>
      <c r="V841" s="29" t="str">
        <f t="shared" si="66"/>
        <v>✓ OK</v>
      </c>
      <c r="W841" s="45">
        <v>46248</v>
      </c>
      <c r="X841" s="30" t="s">
        <v>23</v>
      </c>
      <c r="Y841" s="30" t="s">
        <v>24</v>
      </c>
      <c r="Z841" s="30" t="s">
        <v>25</v>
      </c>
      <c r="AA841" s="30" t="s">
        <v>26</v>
      </c>
      <c r="AB841" s="30" t="s">
        <v>24</v>
      </c>
      <c r="AC841" s="27"/>
      <c r="AD841" s="31" t="s">
        <v>25</v>
      </c>
      <c r="AE841" s="32" t="str">
        <f t="shared" si="67"/>
        <v>✓ OK</v>
      </c>
      <c r="AF841" s="33" t="s">
        <v>27</v>
      </c>
      <c r="AG841" s="33" t="s">
        <v>23</v>
      </c>
      <c r="AH841" s="33" t="s">
        <v>24</v>
      </c>
      <c r="AI841" s="33" t="s">
        <v>25</v>
      </c>
      <c r="AJ841" s="33" t="s">
        <v>26</v>
      </c>
      <c r="AK841" s="33" t="s">
        <v>24</v>
      </c>
      <c r="AL841" s="27"/>
      <c r="AM841" s="34" t="s">
        <v>25</v>
      </c>
      <c r="AN841" s="35" t="str">
        <f t="shared" si="68"/>
        <v>✓ OK</v>
      </c>
      <c r="AO841" s="36"/>
      <c r="AP841" s="36"/>
      <c r="AQ841" s="36"/>
      <c r="AR841" s="36"/>
      <c r="AS841" s="36"/>
      <c r="AT841" s="36"/>
      <c r="AU841" s="27"/>
      <c r="AV841" s="37"/>
      <c r="AW841" s="38" t="str">
        <f t="shared" si="69"/>
        <v/>
      </c>
    </row>
    <row r="842" spans="1:49" ht="18" customHeight="1" x14ac:dyDescent="0.3">
      <c r="A842" s="39">
        <v>838</v>
      </c>
      <c r="B842" s="40" t="s">
        <v>3524</v>
      </c>
      <c r="C842" s="41" t="s">
        <v>3525</v>
      </c>
      <c r="D842" s="39" t="s">
        <v>2819</v>
      </c>
      <c r="E842" s="43">
        <v>46126</v>
      </c>
      <c r="F842" s="26" t="s">
        <v>23</v>
      </c>
      <c r="G842" s="26" t="s">
        <v>24</v>
      </c>
      <c r="H842" s="26" t="s">
        <v>25</v>
      </c>
      <c r="I842" s="26" t="s">
        <v>26</v>
      </c>
      <c r="J842" s="26" t="s">
        <v>24</v>
      </c>
      <c r="K842" s="27"/>
      <c r="L842" s="28" t="s">
        <v>25</v>
      </c>
      <c r="M842" s="29" t="str">
        <f t="shared" si="65"/>
        <v>✓ OK</v>
      </c>
      <c r="N842" s="43">
        <v>46193</v>
      </c>
      <c r="O842" s="26" t="s">
        <v>23</v>
      </c>
      <c r="P842" s="26" t="s">
        <v>24</v>
      </c>
      <c r="Q842" s="26" t="s">
        <v>25</v>
      </c>
      <c r="R842" s="26" t="s">
        <v>26</v>
      </c>
      <c r="S842" s="26" t="s">
        <v>24</v>
      </c>
      <c r="T842" s="27"/>
      <c r="U842" s="28" t="s">
        <v>25</v>
      </c>
      <c r="V842" s="29" t="str">
        <f t="shared" si="66"/>
        <v>✓ OK</v>
      </c>
      <c r="W842" s="45">
        <v>46248</v>
      </c>
      <c r="X842" s="30" t="s">
        <v>23</v>
      </c>
      <c r="Y842" s="30" t="s">
        <v>24</v>
      </c>
      <c r="Z842" s="30" t="s">
        <v>25</v>
      </c>
      <c r="AA842" s="30" t="s">
        <v>26</v>
      </c>
      <c r="AB842" s="30" t="s">
        <v>24</v>
      </c>
      <c r="AC842" s="27"/>
      <c r="AD842" s="31" t="s">
        <v>25</v>
      </c>
      <c r="AE842" s="32" t="str">
        <f t="shared" si="67"/>
        <v>✓ OK</v>
      </c>
      <c r="AF842" s="33" t="s">
        <v>27</v>
      </c>
      <c r="AG842" s="33" t="s">
        <v>23</v>
      </c>
      <c r="AH842" s="33" t="s">
        <v>24</v>
      </c>
      <c r="AI842" s="33" t="s">
        <v>25</v>
      </c>
      <c r="AJ842" s="33" t="s">
        <v>26</v>
      </c>
      <c r="AK842" s="33" t="s">
        <v>24</v>
      </c>
      <c r="AL842" s="27"/>
      <c r="AM842" s="34" t="s">
        <v>25</v>
      </c>
      <c r="AN842" s="35" t="str">
        <f t="shared" si="68"/>
        <v>✓ OK</v>
      </c>
      <c r="AO842" s="36"/>
      <c r="AP842" s="36"/>
      <c r="AQ842" s="36"/>
      <c r="AR842" s="36"/>
      <c r="AS842" s="36"/>
      <c r="AT842" s="36"/>
      <c r="AU842" s="27"/>
      <c r="AV842" s="37"/>
      <c r="AW842" s="38" t="str">
        <f t="shared" si="69"/>
        <v/>
      </c>
    </row>
    <row r="843" spans="1:49" ht="18" customHeight="1" x14ac:dyDescent="0.3">
      <c r="A843" s="23">
        <v>839</v>
      </c>
      <c r="B843" s="24" t="s">
        <v>3526</v>
      </c>
      <c r="C843" s="25" t="s">
        <v>3527</v>
      </c>
      <c r="D843" s="23" t="s">
        <v>2819</v>
      </c>
      <c r="E843" s="43">
        <v>46126</v>
      </c>
      <c r="F843" s="26" t="s">
        <v>23</v>
      </c>
      <c r="G843" s="26" t="s">
        <v>24</v>
      </c>
      <c r="H843" s="26" t="s">
        <v>25</v>
      </c>
      <c r="I843" s="26" t="s">
        <v>26</v>
      </c>
      <c r="J843" s="26" t="s">
        <v>24</v>
      </c>
      <c r="K843" s="27"/>
      <c r="L843" s="28" t="s">
        <v>25</v>
      </c>
      <c r="M843" s="29" t="str">
        <f t="shared" si="65"/>
        <v>✓ OK</v>
      </c>
      <c r="N843" s="43">
        <v>46193</v>
      </c>
      <c r="O843" s="26" t="s">
        <v>23</v>
      </c>
      <c r="P843" s="26" t="s">
        <v>24</v>
      </c>
      <c r="Q843" s="26" t="s">
        <v>25</v>
      </c>
      <c r="R843" s="26" t="s">
        <v>26</v>
      </c>
      <c r="S843" s="26" t="s">
        <v>24</v>
      </c>
      <c r="T843" s="27"/>
      <c r="U843" s="28" t="s">
        <v>25</v>
      </c>
      <c r="V843" s="29" t="str">
        <f t="shared" si="66"/>
        <v>✓ OK</v>
      </c>
      <c r="W843" s="45">
        <v>46248</v>
      </c>
      <c r="X843" s="30" t="s">
        <v>23</v>
      </c>
      <c r="Y843" s="30" t="s">
        <v>24</v>
      </c>
      <c r="Z843" s="30" t="s">
        <v>25</v>
      </c>
      <c r="AA843" s="30" t="s">
        <v>26</v>
      </c>
      <c r="AB843" s="30" t="s">
        <v>24</v>
      </c>
      <c r="AC843" s="27"/>
      <c r="AD843" s="31" t="s">
        <v>25</v>
      </c>
      <c r="AE843" s="32" t="str">
        <f t="shared" si="67"/>
        <v>✓ OK</v>
      </c>
      <c r="AF843" s="33" t="s">
        <v>27</v>
      </c>
      <c r="AG843" s="33" t="s">
        <v>23</v>
      </c>
      <c r="AH843" s="33" t="s">
        <v>24</v>
      </c>
      <c r="AI843" s="33" t="s">
        <v>25</v>
      </c>
      <c r="AJ843" s="33" t="s">
        <v>26</v>
      </c>
      <c r="AK843" s="33" t="s">
        <v>24</v>
      </c>
      <c r="AL843" s="27"/>
      <c r="AM843" s="34" t="s">
        <v>25</v>
      </c>
      <c r="AN843" s="35" t="str">
        <f t="shared" si="68"/>
        <v>✓ OK</v>
      </c>
      <c r="AO843" s="36"/>
      <c r="AP843" s="36"/>
      <c r="AQ843" s="36"/>
      <c r="AR843" s="36"/>
      <c r="AS843" s="36"/>
      <c r="AT843" s="36"/>
      <c r="AU843" s="27"/>
      <c r="AV843" s="37"/>
      <c r="AW843" s="38" t="str">
        <f t="shared" si="69"/>
        <v/>
      </c>
    </row>
    <row r="844" spans="1:49" ht="18" customHeight="1" x14ac:dyDescent="0.3">
      <c r="A844" s="39">
        <v>840</v>
      </c>
      <c r="B844" s="40" t="s">
        <v>3528</v>
      </c>
      <c r="C844" s="41" t="s">
        <v>3529</v>
      </c>
      <c r="D844" s="39" t="s">
        <v>2819</v>
      </c>
      <c r="E844" s="43">
        <v>46126</v>
      </c>
      <c r="F844" s="26" t="s">
        <v>23</v>
      </c>
      <c r="G844" s="26" t="s">
        <v>24</v>
      </c>
      <c r="H844" s="26" t="s">
        <v>25</v>
      </c>
      <c r="I844" s="26" t="s">
        <v>26</v>
      </c>
      <c r="J844" s="26" t="s">
        <v>24</v>
      </c>
      <c r="K844" s="27"/>
      <c r="L844" s="28" t="s">
        <v>25</v>
      </c>
      <c r="M844" s="29" t="str">
        <f t="shared" si="65"/>
        <v>✓ OK</v>
      </c>
      <c r="N844" s="43">
        <v>46193</v>
      </c>
      <c r="O844" s="26" t="s">
        <v>23</v>
      </c>
      <c r="P844" s="26" t="s">
        <v>24</v>
      </c>
      <c r="Q844" s="26" t="s">
        <v>25</v>
      </c>
      <c r="R844" s="26" t="s">
        <v>26</v>
      </c>
      <c r="S844" s="26" t="s">
        <v>24</v>
      </c>
      <c r="T844" s="27"/>
      <c r="U844" s="28" t="s">
        <v>25</v>
      </c>
      <c r="V844" s="29" t="str">
        <f t="shared" si="66"/>
        <v>✓ OK</v>
      </c>
      <c r="W844" s="45">
        <v>46248</v>
      </c>
      <c r="X844" s="30" t="s">
        <v>23</v>
      </c>
      <c r="Y844" s="30" t="s">
        <v>24</v>
      </c>
      <c r="Z844" s="30" t="s">
        <v>25</v>
      </c>
      <c r="AA844" s="30" t="s">
        <v>26</v>
      </c>
      <c r="AB844" s="30" t="s">
        <v>24</v>
      </c>
      <c r="AC844" s="27"/>
      <c r="AD844" s="31" t="s">
        <v>25</v>
      </c>
      <c r="AE844" s="32" t="str">
        <f t="shared" si="67"/>
        <v>✓ OK</v>
      </c>
      <c r="AF844" s="33" t="s">
        <v>27</v>
      </c>
      <c r="AG844" s="33" t="s">
        <v>23</v>
      </c>
      <c r="AH844" s="33" t="s">
        <v>24</v>
      </c>
      <c r="AI844" s="33" t="s">
        <v>25</v>
      </c>
      <c r="AJ844" s="33" t="s">
        <v>26</v>
      </c>
      <c r="AK844" s="33" t="s">
        <v>24</v>
      </c>
      <c r="AL844" s="27"/>
      <c r="AM844" s="34" t="s">
        <v>25</v>
      </c>
      <c r="AN844" s="35" t="str">
        <f t="shared" si="68"/>
        <v>✓ OK</v>
      </c>
      <c r="AO844" s="36"/>
      <c r="AP844" s="36"/>
      <c r="AQ844" s="36"/>
      <c r="AR844" s="36"/>
      <c r="AS844" s="36"/>
      <c r="AT844" s="36"/>
      <c r="AU844" s="27"/>
      <c r="AV844" s="37"/>
      <c r="AW844" s="38" t="str">
        <f t="shared" si="69"/>
        <v/>
      </c>
    </row>
    <row r="845" spans="1:49" ht="18" customHeight="1" x14ac:dyDescent="0.3">
      <c r="A845" s="23">
        <v>841</v>
      </c>
      <c r="B845" s="24" t="s">
        <v>3530</v>
      </c>
      <c r="C845" s="25" t="s">
        <v>3531</v>
      </c>
      <c r="D845" s="23" t="s">
        <v>2819</v>
      </c>
      <c r="E845" s="43">
        <v>46126</v>
      </c>
      <c r="F845" s="26" t="s">
        <v>23</v>
      </c>
      <c r="G845" s="26" t="s">
        <v>24</v>
      </c>
      <c r="H845" s="26" t="s">
        <v>25</v>
      </c>
      <c r="I845" s="26" t="s">
        <v>26</v>
      </c>
      <c r="J845" s="26" t="s">
        <v>24</v>
      </c>
      <c r="K845" s="27"/>
      <c r="L845" s="28" t="s">
        <v>25</v>
      </c>
      <c r="M845" s="29" t="str">
        <f t="shared" si="65"/>
        <v>✓ OK</v>
      </c>
      <c r="N845" s="43">
        <v>46193</v>
      </c>
      <c r="O845" s="26" t="s">
        <v>23</v>
      </c>
      <c r="P845" s="26" t="s">
        <v>24</v>
      </c>
      <c r="Q845" s="26" t="s">
        <v>25</v>
      </c>
      <c r="R845" s="26" t="s">
        <v>26</v>
      </c>
      <c r="S845" s="26" t="s">
        <v>24</v>
      </c>
      <c r="T845" s="27"/>
      <c r="U845" s="28" t="s">
        <v>25</v>
      </c>
      <c r="V845" s="29" t="str">
        <f t="shared" si="66"/>
        <v>✓ OK</v>
      </c>
      <c r="W845" s="45">
        <v>46248</v>
      </c>
      <c r="X845" s="30" t="s">
        <v>23</v>
      </c>
      <c r="Y845" s="30" t="s">
        <v>24</v>
      </c>
      <c r="Z845" s="30" t="s">
        <v>25</v>
      </c>
      <c r="AA845" s="30" t="s">
        <v>26</v>
      </c>
      <c r="AB845" s="30" t="s">
        <v>24</v>
      </c>
      <c r="AC845" s="27"/>
      <c r="AD845" s="31" t="s">
        <v>25</v>
      </c>
      <c r="AE845" s="32" t="str">
        <f t="shared" si="67"/>
        <v>✓ OK</v>
      </c>
      <c r="AF845" s="33" t="s">
        <v>27</v>
      </c>
      <c r="AG845" s="33" t="s">
        <v>23</v>
      </c>
      <c r="AH845" s="33" t="s">
        <v>24</v>
      </c>
      <c r="AI845" s="33" t="s">
        <v>25</v>
      </c>
      <c r="AJ845" s="33" t="s">
        <v>26</v>
      </c>
      <c r="AK845" s="33" t="s">
        <v>24</v>
      </c>
      <c r="AL845" s="27"/>
      <c r="AM845" s="34" t="s">
        <v>25</v>
      </c>
      <c r="AN845" s="35" t="str">
        <f t="shared" si="68"/>
        <v>✓ OK</v>
      </c>
      <c r="AO845" s="36"/>
      <c r="AP845" s="36"/>
      <c r="AQ845" s="36"/>
      <c r="AR845" s="36"/>
      <c r="AS845" s="36"/>
      <c r="AT845" s="36"/>
      <c r="AU845" s="27"/>
      <c r="AV845" s="37"/>
      <c r="AW845" s="38" t="str">
        <f t="shared" si="69"/>
        <v/>
      </c>
    </row>
    <row r="846" spans="1:49" ht="18" customHeight="1" x14ac:dyDescent="0.3">
      <c r="A846" s="39">
        <v>842</v>
      </c>
      <c r="B846" s="40" t="s">
        <v>3532</v>
      </c>
      <c r="C846" s="41" t="s">
        <v>3533</v>
      </c>
      <c r="D846" s="39" t="s">
        <v>2819</v>
      </c>
      <c r="E846" s="43">
        <v>46126</v>
      </c>
      <c r="F846" s="26" t="s">
        <v>23</v>
      </c>
      <c r="G846" s="26" t="s">
        <v>24</v>
      </c>
      <c r="H846" s="26" t="s">
        <v>25</v>
      </c>
      <c r="I846" s="26" t="s">
        <v>26</v>
      </c>
      <c r="J846" s="26" t="s">
        <v>24</v>
      </c>
      <c r="K846" s="27"/>
      <c r="L846" s="28" t="s">
        <v>25</v>
      </c>
      <c r="M846" s="29" t="str">
        <f t="shared" si="65"/>
        <v>✓ OK</v>
      </c>
      <c r="N846" s="43">
        <v>46193</v>
      </c>
      <c r="O846" s="26" t="s">
        <v>23</v>
      </c>
      <c r="P846" s="26" t="s">
        <v>24</v>
      </c>
      <c r="Q846" s="26" t="s">
        <v>25</v>
      </c>
      <c r="R846" s="26" t="s">
        <v>26</v>
      </c>
      <c r="S846" s="26" t="s">
        <v>24</v>
      </c>
      <c r="T846" s="27"/>
      <c r="U846" s="28" t="s">
        <v>25</v>
      </c>
      <c r="V846" s="29" t="str">
        <f t="shared" si="66"/>
        <v>✓ OK</v>
      </c>
      <c r="W846" s="45">
        <v>46248</v>
      </c>
      <c r="X846" s="30" t="s">
        <v>23</v>
      </c>
      <c r="Y846" s="30" t="s">
        <v>24</v>
      </c>
      <c r="Z846" s="30" t="s">
        <v>25</v>
      </c>
      <c r="AA846" s="30" t="s">
        <v>26</v>
      </c>
      <c r="AB846" s="30" t="s">
        <v>24</v>
      </c>
      <c r="AC846" s="27"/>
      <c r="AD846" s="31" t="s">
        <v>25</v>
      </c>
      <c r="AE846" s="32" t="str">
        <f t="shared" si="67"/>
        <v>✓ OK</v>
      </c>
      <c r="AF846" s="33" t="s">
        <v>27</v>
      </c>
      <c r="AG846" s="33" t="s">
        <v>23</v>
      </c>
      <c r="AH846" s="33" t="s">
        <v>24</v>
      </c>
      <c r="AI846" s="33" t="s">
        <v>25</v>
      </c>
      <c r="AJ846" s="33" t="s">
        <v>26</v>
      </c>
      <c r="AK846" s="33" t="s">
        <v>24</v>
      </c>
      <c r="AL846" s="27"/>
      <c r="AM846" s="34" t="s">
        <v>25</v>
      </c>
      <c r="AN846" s="35" t="str">
        <f t="shared" si="68"/>
        <v>✓ OK</v>
      </c>
      <c r="AO846" s="36"/>
      <c r="AP846" s="36"/>
      <c r="AQ846" s="36"/>
      <c r="AR846" s="36"/>
      <c r="AS846" s="36"/>
      <c r="AT846" s="36"/>
      <c r="AU846" s="27"/>
      <c r="AV846" s="37"/>
      <c r="AW846" s="38" t="str">
        <f t="shared" si="69"/>
        <v/>
      </c>
    </row>
    <row r="847" spans="1:49" ht="18" customHeight="1" x14ac:dyDescent="0.3">
      <c r="A847" s="23">
        <v>843</v>
      </c>
      <c r="B847" s="24" t="s">
        <v>3534</v>
      </c>
      <c r="C847" s="25" t="s">
        <v>3535</v>
      </c>
      <c r="D847" s="23" t="s">
        <v>2819</v>
      </c>
      <c r="E847" s="43">
        <v>46126</v>
      </c>
      <c r="F847" s="26" t="s">
        <v>23</v>
      </c>
      <c r="G847" s="26" t="s">
        <v>24</v>
      </c>
      <c r="H847" s="26" t="s">
        <v>25</v>
      </c>
      <c r="I847" s="26" t="s">
        <v>26</v>
      </c>
      <c r="J847" s="26" t="s">
        <v>24</v>
      </c>
      <c r="K847" s="27"/>
      <c r="L847" s="28" t="s">
        <v>25</v>
      </c>
      <c r="M847" s="29" t="str">
        <f t="shared" si="65"/>
        <v>✓ OK</v>
      </c>
      <c r="N847" s="43">
        <v>46193</v>
      </c>
      <c r="O847" s="26" t="s">
        <v>23</v>
      </c>
      <c r="P847" s="26" t="s">
        <v>24</v>
      </c>
      <c r="Q847" s="26" t="s">
        <v>25</v>
      </c>
      <c r="R847" s="26" t="s">
        <v>26</v>
      </c>
      <c r="S847" s="26" t="s">
        <v>24</v>
      </c>
      <c r="T847" s="27"/>
      <c r="U847" s="28" t="s">
        <v>25</v>
      </c>
      <c r="V847" s="29" t="str">
        <f t="shared" si="66"/>
        <v>✓ OK</v>
      </c>
      <c r="W847" s="45">
        <v>46248</v>
      </c>
      <c r="X847" s="30" t="s">
        <v>23</v>
      </c>
      <c r="Y847" s="30" t="s">
        <v>24</v>
      </c>
      <c r="Z847" s="30" t="s">
        <v>25</v>
      </c>
      <c r="AA847" s="30" t="s">
        <v>26</v>
      </c>
      <c r="AB847" s="30" t="s">
        <v>24</v>
      </c>
      <c r="AC847" s="27"/>
      <c r="AD847" s="31" t="s">
        <v>25</v>
      </c>
      <c r="AE847" s="32" t="str">
        <f t="shared" si="67"/>
        <v>✓ OK</v>
      </c>
      <c r="AF847" s="33" t="s">
        <v>27</v>
      </c>
      <c r="AG847" s="33" t="s">
        <v>23</v>
      </c>
      <c r="AH847" s="33" t="s">
        <v>24</v>
      </c>
      <c r="AI847" s="33" t="s">
        <v>25</v>
      </c>
      <c r="AJ847" s="33" t="s">
        <v>26</v>
      </c>
      <c r="AK847" s="33" t="s">
        <v>24</v>
      </c>
      <c r="AL847" s="27"/>
      <c r="AM847" s="34" t="s">
        <v>25</v>
      </c>
      <c r="AN847" s="35" t="str">
        <f t="shared" si="68"/>
        <v>✓ OK</v>
      </c>
      <c r="AO847" s="36"/>
      <c r="AP847" s="36"/>
      <c r="AQ847" s="36"/>
      <c r="AR847" s="36"/>
      <c r="AS847" s="36"/>
      <c r="AT847" s="36"/>
      <c r="AU847" s="27"/>
      <c r="AV847" s="37"/>
      <c r="AW847" s="38" t="str">
        <f t="shared" si="69"/>
        <v/>
      </c>
    </row>
    <row r="848" spans="1:49" ht="18" customHeight="1" x14ac:dyDescent="0.3">
      <c r="A848" s="39">
        <v>844</v>
      </c>
      <c r="B848" s="40" t="s">
        <v>3536</v>
      </c>
      <c r="C848" s="41" t="s">
        <v>3537</v>
      </c>
      <c r="D848" s="39" t="s">
        <v>2819</v>
      </c>
      <c r="E848" s="43">
        <v>46126</v>
      </c>
      <c r="F848" s="26" t="s">
        <v>23</v>
      </c>
      <c r="G848" s="26" t="s">
        <v>24</v>
      </c>
      <c r="H848" s="26" t="s">
        <v>25</v>
      </c>
      <c r="I848" s="26" t="s">
        <v>26</v>
      </c>
      <c r="J848" s="26" t="s">
        <v>24</v>
      </c>
      <c r="K848" s="27"/>
      <c r="L848" s="28" t="s">
        <v>25</v>
      </c>
      <c r="M848" s="29" t="str">
        <f t="shared" si="65"/>
        <v>✓ OK</v>
      </c>
      <c r="N848" s="43">
        <v>46193</v>
      </c>
      <c r="O848" s="26" t="s">
        <v>23</v>
      </c>
      <c r="P848" s="26" t="s">
        <v>24</v>
      </c>
      <c r="Q848" s="26" t="s">
        <v>25</v>
      </c>
      <c r="R848" s="26" t="s">
        <v>26</v>
      </c>
      <c r="S848" s="26" t="s">
        <v>24</v>
      </c>
      <c r="T848" s="27"/>
      <c r="U848" s="28" t="s">
        <v>25</v>
      </c>
      <c r="V848" s="29" t="str">
        <f t="shared" si="66"/>
        <v>✓ OK</v>
      </c>
      <c r="W848" s="45">
        <v>46248</v>
      </c>
      <c r="X848" s="30" t="s">
        <v>23</v>
      </c>
      <c r="Y848" s="30" t="s">
        <v>24</v>
      </c>
      <c r="Z848" s="30" t="s">
        <v>25</v>
      </c>
      <c r="AA848" s="30" t="s">
        <v>26</v>
      </c>
      <c r="AB848" s="30" t="s">
        <v>24</v>
      </c>
      <c r="AC848" s="27"/>
      <c r="AD848" s="31" t="s">
        <v>25</v>
      </c>
      <c r="AE848" s="32" t="str">
        <f t="shared" si="67"/>
        <v>✓ OK</v>
      </c>
      <c r="AF848" s="33" t="s">
        <v>27</v>
      </c>
      <c r="AG848" s="33" t="s">
        <v>23</v>
      </c>
      <c r="AH848" s="33" t="s">
        <v>24</v>
      </c>
      <c r="AI848" s="33" t="s">
        <v>25</v>
      </c>
      <c r="AJ848" s="33" t="s">
        <v>26</v>
      </c>
      <c r="AK848" s="33" t="s">
        <v>24</v>
      </c>
      <c r="AL848" s="27"/>
      <c r="AM848" s="34" t="s">
        <v>25</v>
      </c>
      <c r="AN848" s="35" t="str">
        <f t="shared" si="68"/>
        <v>✓ OK</v>
      </c>
      <c r="AO848" s="36"/>
      <c r="AP848" s="36"/>
      <c r="AQ848" s="36"/>
      <c r="AR848" s="36"/>
      <c r="AS848" s="36"/>
      <c r="AT848" s="36"/>
      <c r="AU848" s="27"/>
      <c r="AV848" s="37"/>
      <c r="AW848" s="38" t="str">
        <f t="shared" si="69"/>
        <v/>
      </c>
    </row>
    <row r="849" spans="1:49" ht="18" customHeight="1" x14ac:dyDescent="0.3">
      <c r="A849" s="23">
        <v>845</v>
      </c>
      <c r="B849" s="24" t="s">
        <v>3538</v>
      </c>
      <c r="C849" s="25" t="s">
        <v>3539</v>
      </c>
      <c r="D849" s="23" t="s">
        <v>2819</v>
      </c>
      <c r="E849" s="43">
        <v>46126</v>
      </c>
      <c r="F849" s="26" t="s">
        <v>23</v>
      </c>
      <c r="G849" s="26" t="s">
        <v>24</v>
      </c>
      <c r="H849" s="26" t="s">
        <v>25</v>
      </c>
      <c r="I849" s="26" t="s">
        <v>26</v>
      </c>
      <c r="J849" s="26" t="s">
        <v>24</v>
      </c>
      <c r="K849" s="27"/>
      <c r="L849" s="28" t="s">
        <v>25</v>
      </c>
      <c r="M849" s="29" t="str">
        <f t="shared" si="65"/>
        <v>✓ OK</v>
      </c>
      <c r="N849" s="43">
        <v>46193</v>
      </c>
      <c r="O849" s="26" t="s">
        <v>23</v>
      </c>
      <c r="P849" s="26" t="s">
        <v>24</v>
      </c>
      <c r="Q849" s="26" t="s">
        <v>25</v>
      </c>
      <c r="R849" s="26" t="s">
        <v>26</v>
      </c>
      <c r="S849" s="26" t="s">
        <v>24</v>
      </c>
      <c r="T849" s="27"/>
      <c r="U849" s="28" t="s">
        <v>25</v>
      </c>
      <c r="V849" s="29" t="str">
        <f t="shared" si="66"/>
        <v>✓ OK</v>
      </c>
      <c r="W849" s="45">
        <v>46248</v>
      </c>
      <c r="X849" s="30" t="s">
        <v>23</v>
      </c>
      <c r="Y849" s="30" t="s">
        <v>24</v>
      </c>
      <c r="Z849" s="30" t="s">
        <v>25</v>
      </c>
      <c r="AA849" s="30" t="s">
        <v>26</v>
      </c>
      <c r="AB849" s="30" t="s">
        <v>24</v>
      </c>
      <c r="AC849" s="27"/>
      <c r="AD849" s="31" t="s">
        <v>25</v>
      </c>
      <c r="AE849" s="32" t="str">
        <f t="shared" si="67"/>
        <v>✓ OK</v>
      </c>
      <c r="AF849" s="33" t="s">
        <v>27</v>
      </c>
      <c r="AG849" s="33" t="s">
        <v>23</v>
      </c>
      <c r="AH849" s="33" t="s">
        <v>24</v>
      </c>
      <c r="AI849" s="33" t="s">
        <v>25</v>
      </c>
      <c r="AJ849" s="33" t="s">
        <v>26</v>
      </c>
      <c r="AK849" s="33" t="s">
        <v>24</v>
      </c>
      <c r="AL849" s="27"/>
      <c r="AM849" s="34" t="s">
        <v>25</v>
      </c>
      <c r="AN849" s="35" t="str">
        <f t="shared" si="68"/>
        <v>✓ OK</v>
      </c>
      <c r="AO849" s="36"/>
      <c r="AP849" s="36"/>
      <c r="AQ849" s="36"/>
      <c r="AR849" s="36"/>
      <c r="AS849" s="36"/>
      <c r="AT849" s="36"/>
      <c r="AU849" s="27"/>
      <c r="AV849" s="37"/>
      <c r="AW849" s="38" t="str">
        <f t="shared" si="69"/>
        <v/>
      </c>
    </row>
    <row r="850" spans="1:49" ht="18" customHeight="1" x14ac:dyDescent="0.3">
      <c r="A850" s="39">
        <v>846</v>
      </c>
      <c r="B850" s="40" t="s">
        <v>3540</v>
      </c>
      <c r="C850" s="41" t="s">
        <v>3541</v>
      </c>
      <c r="D850" s="39" t="s">
        <v>2819</v>
      </c>
      <c r="E850" s="43">
        <v>46126</v>
      </c>
      <c r="F850" s="26" t="s">
        <v>23</v>
      </c>
      <c r="G850" s="26" t="s">
        <v>24</v>
      </c>
      <c r="H850" s="26" t="s">
        <v>25</v>
      </c>
      <c r="I850" s="26" t="s">
        <v>26</v>
      </c>
      <c r="J850" s="26" t="s">
        <v>24</v>
      </c>
      <c r="K850" s="27"/>
      <c r="L850" s="28" t="s">
        <v>25</v>
      </c>
      <c r="M850" s="29" t="str">
        <f t="shared" si="65"/>
        <v>✓ OK</v>
      </c>
      <c r="N850" s="43">
        <v>46193</v>
      </c>
      <c r="O850" s="26" t="s">
        <v>23</v>
      </c>
      <c r="P850" s="26" t="s">
        <v>24</v>
      </c>
      <c r="Q850" s="26" t="s">
        <v>25</v>
      </c>
      <c r="R850" s="26" t="s">
        <v>26</v>
      </c>
      <c r="S850" s="26" t="s">
        <v>24</v>
      </c>
      <c r="T850" s="27"/>
      <c r="U850" s="28" t="s">
        <v>25</v>
      </c>
      <c r="V850" s="29" t="str">
        <f t="shared" si="66"/>
        <v>✓ OK</v>
      </c>
      <c r="W850" s="45">
        <v>46248</v>
      </c>
      <c r="X850" s="30" t="s">
        <v>23</v>
      </c>
      <c r="Y850" s="30" t="s">
        <v>24</v>
      </c>
      <c r="Z850" s="30" t="s">
        <v>25</v>
      </c>
      <c r="AA850" s="30" t="s">
        <v>26</v>
      </c>
      <c r="AB850" s="30" t="s">
        <v>24</v>
      </c>
      <c r="AC850" s="27"/>
      <c r="AD850" s="31" t="s">
        <v>25</v>
      </c>
      <c r="AE850" s="32" t="str">
        <f t="shared" si="67"/>
        <v>✓ OK</v>
      </c>
      <c r="AF850" s="33" t="s">
        <v>27</v>
      </c>
      <c r="AG850" s="33" t="s">
        <v>23</v>
      </c>
      <c r="AH850" s="33" t="s">
        <v>24</v>
      </c>
      <c r="AI850" s="33" t="s">
        <v>25</v>
      </c>
      <c r="AJ850" s="33" t="s">
        <v>26</v>
      </c>
      <c r="AK850" s="33" t="s">
        <v>24</v>
      </c>
      <c r="AL850" s="27"/>
      <c r="AM850" s="34" t="s">
        <v>25</v>
      </c>
      <c r="AN850" s="35" t="str">
        <f t="shared" si="68"/>
        <v>✓ OK</v>
      </c>
      <c r="AO850" s="36"/>
      <c r="AP850" s="36"/>
      <c r="AQ850" s="36"/>
      <c r="AR850" s="36"/>
      <c r="AS850" s="36"/>
      <c r="AT850" s="36"/>
      <c r="AU850" s="27"/>
      <c r="AV850" s="37"/>
      <c r="AW850" s="38" t="str">
        <f t="shared" si="69"/>
        <v/>
      </c>
    </row>
    <row r="851" spans="1:49" ht="18" customHeight="1" x14ac:dyDescent="0.3">
      <c r="A851" s="23">
        <v>847</v>
      </c>
      <c r="B851" s="24" t="s">
        <v>3542</v>
      </c>
      <c r="C851" s="25" t="s">
        <v>3543</v>
      </c>
      <c r="D851" s="23" t="s">
        <v>2819</v>
      </c>
      <c r="E851" s="43">
        <v>46126</v>
      </c>
      <c r="F851" s="26" t="s">
        <v>23</v>
      </c>
      <c r="G851" s="26" t="s">
        <v>24</v>
      </c>
      <c r="H851" s="26" t="s">
        <v>25</v>
      </c>
      <c r="I851" s="26" t="s">
        <v>26</v>
      </c>
      <c r="J851" s="26" t="s">
        <v>24</v>
      </c>
      <c r="K851" s="27"/>
      <c r="L851" s="28" t="s">
        <v>25</v>
      </c>
      <c r="M851" s="29" t="str">
        <f t="shared" si="65"/>
        <v>✓ OK</v>
      </c>
      <c r="N851" s="43">
        <v>46193</v>
      </c>
      <c r="O851" s="26" t="s">
        <v>23</v>
      </c>
      <c r="P851" s="26" t="s">
        <v>24</v>
      </c>
      <c r="Q851" s="26" t="s">
        <v>25</v>
      </c>
      <c r="R851" s="26" t="s">
        <v>26</v>
      </c>
      <c r="S851" s="26" t="s">
        <v>24</v>
      </c>
      <c r="T851" s="27"/>
      <c r="U851" s="28" t="s">
        <v>25</v>
      </c>
      <c r="V851" s="29" t="str">
        <f t="shared" si="66"/>
        <v>✓ OK</v>
      </c>
      <c r="W851" s="45">
        <v>46248</v>
      </c>
      <c r="X851" s="30" t="s">
        <v>23</v>
      </c>
      <c r="Y851" s="30" t="s">
        <v>24</v>
      </c>
      <c r="Z851" s="30" t="s">
        <v>25</v>
      </c>
      <c r="AA851" s="30" t="s">
        <v>26</v>
      </c>
      <c r="AB851" s="30" t="s">
        <v>24</v>
      </c>
      <c r="AC851" s="27"/>
      <c r="AD851" s="31" t="s">
        <v>25</v>
      </c>
      <c r="AE851" s="32" t="str">
        <f t="shared" si="67"/>
        <v>✓ OK</v>
      </c>
      <c r="AF851" s="33" t="s">
        <v>27</v>
      </c>
      <c r="AG851" s="33" t="s">
        <v>23</v>
      </c>
      <c r="AH851" s="33" t="s">
        <v>24</v>
      </c>
      <c r="AI851" s="33" t="s">
        <v>25</v>
      </c>
      <c r="AJ851" s="33" t="s">
        <v>26</v>
      </c>
      <c r="AK851" s="33" t="s">
        <v>24</v>
      </c>
      <c r="AL851" s="27"/>
      <c r="AM851" s="34" t="s">
        <v>25</v>
      </c>
      <c r="AN851" s="35" t="str">
        <f t="shared" si="68"/>
        <v>✓ OK</v>
      </c>
      <c r="AO851" s="36"/>
      <c r="AP851" s="36"/>
      <c r="AQ851" s="36"/>
      <c r="AR851" s="36"/>
      <c r="AS851" s="36"/>
      <c r="AT851" s="36"/>
      <c r="AU851" s="27"/>
      <c r="AV851" s="37"/>
      <c r="AW851" s="38" t="str">
        <f t="shared" si="69"/>
        <v/>
      </c>
    </row>
    <row r="852" spans="1:49" ht="18" customHeight="1" x14ac:dyDescent="0.3">
      <c r="A852" s="39">
        <v>848</v>
      </c>
      <c r="B852" s="40" t="s">
        <v>3544</v>
      </c>
      <c r="C852" s="41" t="s">
        <v>3545</v>
      </c>
      <c r="D852" s="39" t="s">
        <v>2819</v>
      </c>
      <c r="E852" s="43">
        <v>46126</v>
      </c>
      <c r="F852" s="26" t="s">
        <v>23</v>
      </c>
      <c r="G852" s="26" t="s">
        <v>24</v>
      </c>
      <c r="H852" s="26" t="s">
        <v>25</v>
      </c>
      <c r="I852" s="26" t="s">
        <v>26</v>
      </c>
      <c r="J852" s="26" t="s">
        <v>24</v>
      </c>
      <c r="K852" s="27"/>
      <c r="L852" s="28" t="s">
        <v>25</v>
      </c>
      <c r="M852" s="29" t="str">
        <f t="shared" si="65"/>
        <v>✓ OK</v>
      </c>
      <c r="N852" s="43">
        <v>46193</v>
      </c>
      <c r="O852" s="26" t="s">
        <v>23</v>
      </c>
      <c r="P852" s="26" t="s">
        <v>24</v>
      </c>
      <c r="Q852" s="26" t="s">
        <v>25</v>
      </c>
      <c r="R852" s="26" t="s">
        <v>26</v>
      </c>
      <c r="S852" s="26" t="s">
        <v>24</v>
      </c>
      <c r="T852" s="27"/>
      <c r="U852" s="28" t="s">
        <v>25</v>
      </c>
      <c r="V852" s="29" t="str">
        <f t="shared" si="66"/>
        <v>✓ OK</v>
      </c>
      <c r="W852" s="45">
        <v>46248</v>
      </c>
      <c r="X852" s="30" t="s">
        <v>23</v>
      </c>
      <c r="Y852" s="30" t="s">
        <v>24</v>
      </c>
      <c r="Z852" s="30" t="s">
        <v>25</v>
      </c>
      <c r="AA852" s="30" t="s">
        <v>26</v>
      </c>
      <c r="AB852" s="30" t="s">
        <v>24</v>
      </c>
      <c r="AC852" s="27"/>
      <c r="AD852" s="31" t="s">
        <v>25</v>
      </c>
      <c r="AE852" s="32" t="str">
        <f t="shared" si="67"/>
        <v>✓ OK</v>
      </c>
      <c r="AF852" s="33" t="s">
        <v>27</v>
      </c>
      <c r="AG852" s="33" t="s">
        <v>23</v>
      </c>
      <c r="AH852" s="33" t="s">
        <v>24</v>
      </c>
      <c r="AI852" s="33" t="s">
        <v>25</v>
      </c>
      <c r="AJ852" s="33" t="s">
        <v>26</v>
      </c>
      <c r="AK852" s="33" t="s">
        <v>24</v>
      </c>
      <c r="AL852" s="27"/>
      <c r="AM852" s="34" t="s">
        <v>25</v>
      </c>
      <c r="AN852" s="35" t="str">
        <f t="shared" si="68"/>
        <v>✓ OK</v>
      </c>
      <c r="AO852" s="36"/>
      <c r="AP852" s="36"/>
      <c r="AQ852" s="36"/>
      <c r="AR852" s="36"/>
      <c r="AS852" s="36"/>
      <c r="AT852" s="36"/>
      <c r="AU852" s="27"/>
      <c r="AV852" s="37"/>
      <c r="AW852" s="38" t="str">
        <f t="shared" si="69"/>
        <v/>
      </c>
    </row>
    <row r="853" spans="1:49" ht="18" customHeight="1" x14ac:dyDescent="0.3">
      <c r="A853" s="23">
        <v>849</v>
      </c>
      <c r="B853" s="24" t="s">
        <v>3546</v>
      </c>
      <c r="C853" s="25" t="s">
        <v>3547</v>
      </c>
      <c r="D853" s="23" t="s">
        <v>2819</v>
      </c>
      <c r="E853" s="43">
        <v>46126</v>
      </c>
      <c r="F853" s="26" t="s">
        <v>23</v>
      </c>
      <c r="G853" s="26" t="s">
        <v>24</v>
      </c>
      <c r="H853" s="26" t="s">
        <v>25</v>
      </c>
      <c r="I853" s="26" t="s">
        <v>26</v>
      </c>
      <c r="J853" s="26" t="s">
        <v>24</v>
      </c>
      <c r="K853" s="27"/>
      <c r="L853" s="28" t="s">
        <v>25</v>
      </c>
      <c r="M853" s="29" t="str">
        <f t="shared" si="65"/>
        <v>✓ OK</v>
      </c>
      <c r="N853" s="43">
        <v>46193</v>
      </c>
      <c r="O853" s="26" t="s">
        <v>23</v>
      </c>
      <c r="P853" s="26" t="s">
        <v>24</v>
      </c>
      <c r="Q853" s="26" t="s">
        <v>25</v>
      </c>
      <c r="R853" s="26" t="s">
        <v>26</v>
      </c>
      <c r="S853" s="26" t="s">
        <v>24</v>
      </c>
      <c r="T853" s="27"/>
      <c r="U853" s="28" t="s">
        <v>25</v>
      </c>
      <c r="V853" s="29" t="str">
        <f t="shared" si="66"/>
        <v>✓ OK</v>
      </c>
      <c r="W853" s="45">
        <v>46248</v>
      </c>
      <c r="X853" s="30" t="s">
        <v>23</v>
      </c>
      <c r="Y853" s="30" t="s">
        <v>24</v>
      </c>
      <c r="Z853" s="30" t="s">
        <v>25</v>
      </c>
      <c r="AA853" s="30" t="s">
        <v>26</v>
      </c>
      <c r="AB853" s="30" t="s">
        <v>24</v>
      </c>
      <c r="AC853" s="27"/>
      <c r="AD853" s="31" t="s">
        <v>25</v>
      </c>
      <c r="AE853" s="32" t="str">
        <f t="shared" si="67"/>
        <v>✓ OK</v>
      </c>
      <c r="AF853" s="33" t="s">
        <v>27</v>
      </c>
      <c r="AG853" s="33" t="s">
        <v>23</v>
      </c>
      <c r="AH853" s="33" t="s">
        <v>24</v>
      </c>
      <c r="AI853" s="33" t="s">
        <v>25</v>
      </c>
      <c r="AJ853" s="33" t="s">
        <v>26</v>
      </c>
      <c r="AK853" s="33" t="s">
        <v>24</v>
      </c>
      <c r="AL853" s="27"/>
      <c r="AM853" s="34" t="s">
        <v>25</v>
      </c>
      <c r="AN853" s="35" t="str">
        <f t="shared" si="68"/>
        <v>✓ OK</v>
      </c>
      <c r="AO853" s="36"/>
      <c r="AP853" s="36"/>
      <c r="AQ853" s="36"/>
      <c r="AR853" s="36"/>
      <c r="AS853" s="36"/>
      <c r="AT853" s="36"/>
      <c r="AU853" s="27"/>
      <c r="AV853" s="37"/>
      <c r="AW853" s="38" t="str">
        <f t="shared" si="69"/>
        <v/>
      </c>
    </row>
    <row r="854" spans="1:49" ht="18" customHeight="1" x14ac:dyDescent="0.3">
      <c r="A854" s="39">
        <v>850</v>
      </c>
      <c r="B854" s="40" t="s">
        <v>3548</v>
      </c>
      <c r="C854" s="41" t="s">
        <v>3549</v>
      </c>
      <c r="D854" s="39" t="s">
        <v>2819</v>
      </c>
      <c r="E854" s="43">
        <v>46126</v>
      </c>
      <c r="F854" s="26" t="s">
        <v>23</v>
      </c>
      <c r="G854" s="26" t="s">
        <v>24</v>
      </c>
      <c r="H854" s="26" t="s">
        <v>25</v>
      </c>
      <c r="I854" s="26" t="s">
        <v>26</v>
      </c>
      <c r="J854" s="26" t="s">
        <v>24</v>
      </c>
      <c r="K854" s="27"/>
      <c r="L854" s="28" t="s">
        <v>25</v>
      </c>
      <c r="M854" s="29" t="str">
        <f t="shared" si="65"/>
        <v>✓ OK</v>
      </c>
      <c r="N854" s="43">
        <v>46193</v>
      </c>
      <c r="O854" s="26" t="s">
        <v>23</v>
      </c>
      <c r="P854" s="26" t="s">
        <v>24</v>
      </c>
      <c r="Q854" s="26" t="s">
        <v>25</v>
      </c>
      <c r="R854" s="26" t="s">
        <v>26</v>
      </c>
      <c r="S854" s="26" t="s">
        <v>24</v>
      </c>
      <c r="T854" s="27"/>
      <c r="U854" s="28" t="s">
        <v>25</v>
      </c>
      <c r="V854" s="29" t="str">
        <f t="shared" si="66"/>
        <v>✓ OK</v>
      </c>
      <c r="W854" s="45">
        <v>46248</v>
      </c>
      <c r="X854" s="30" t="s">
        <v>23</v>
      </c>
      <c r="Y854" s="30" t="s">
        <v>24</v>
      </c>
      <c r="Z854" s="30" t="s">
        <v>25</v>
      </c>
      <c r="AA854" s="30" t="s">
        <v>26</v>
      </c>
      <c r="AB854" s="30" t="s">
        <v>24</v>
      </c>
      <c r="AC854" s="27"/>
      <c r="AD854" s="31" t="s">
        <v>25</v>
      </c>
      <c r="AE854" s="32" t="str">
        <f t="shared" si="67"/>
        <v>✓ OK</v>
      </c>
      <c r="AF854" s="33" t="s">
        <v>27</v>
      </c>
      <c r="AG854" s="33" t="s">
        <v>23</v>
      </c>
      <c r="AH854" s="33" t="s">
        <v>24</v>
      </c>
      <c r="AI854" s="33" t="s">
        <v>25</v>
      </c>
      <c r="AJ854" s="33" t="s">
        <v>26</v>
      </c>
      <c r="AK854" s="33" t="s">
        <v>24</v>
      </c>
      <c r="AL854" s="27"/>
      <c r="AM854" s="34" t="s">
        <v>25</v>
      </c>
      <c r="AN854" s="35" t="str">
        <f t="shared" si="68"/>
        <v>✓ OK</v>
      </c>
      <c r="AO854" s="36"/>
      <c r="AP854" s="36"/>
      <c r="AQ854" s="36"/>
      <c r="AR854" s="36"/>
      <c r="AS854" s="36"/>
      <c r="AT854" s="36"/>
      <c r="AU854" s="27"/>
      <c r="AV854" s="37"/>
      <c r="AW854" s="38" t="str">
        <f t="shared" si="69"/>
        <v/>
      </c>
    </row>
    <row r="855" spans="1:49" ht="18" customHeight="1" x14ac:dyDescent="0.3">
      <c r="A855" s="23">
        <v>851</v>
      </c>
      <c r="B855" s="24" t="s">
        <v>3550</v>
      </c>
      <c r="C855" s="25" t="s">
        <v>3551</v>
      </c>
      <c r="D855" s="23" t="s">
        <v>2819</v>
      </c>
      <c r="E855" s="43">
        <v>46126</v>
      </c>
      <c r="F855" s="26" t="s">
        <v>23</v>
      </c>
      <c r="G855" s="26" t="s">
        <v>24</v>
      </c>
      <c r="H855" s="26" t="s">
        <v>25</v>
      </c>
      <c r="I855" s="26" t="s">
        <v>26</v>
      </c>
      <c r="J855" s="26" t="s">
        <v>24</v>
      </c>
      <c r="K855" s="27"/>
      <c r="L855" s="28" t="s">
        <v>25</v>
      </c>
      <c r="M855" s="29" t="str">
        <f t="shared" si="65"/>
        <v>✓ OK</v>
      </c>
      <c r="N855" s="43">
        <v>46193</v>
      </c>
      <c r="O855" s="26" t="s">
        <v>23</v>
      </c>
      <c r="P855" s="26" t="s">
        <v>24</v>
      </c>
      <c r="Q855" s="26" t="s">
        <v>25</v>
      </c>
      <c r="R855" s="26" t="s">
        <v>26</v>
      </c>
      <c r="S855" s="26" t="s">
        <v>24</v>
      </c>
      <c r="T855" s="27"/>
      <c r="U855" s="28" t="s">
        <v>25</v>
      </c>
      <c r="V855" s="29" t="str">
        <f t="shared" si="66"/>
        <v>✓ OK</v>
      </c>
      <c r="W855" s="45">
        <v>46248</v>
      </c>
      <c r="X855" s="30" t="s">
        <v>23</v>
      </c>
      <c r="Y855" s="30" t="s">
        <v>24</v>
      </c>
      <c r="Z855" s="30" t="s">
        <v>25</v>
      </c>
      <c r="AA855" s="30" t="s">
        <v>26</v>
      </c>
      <c r="AB855" s="30" t="s">
        <v>24</v>
      </c>
      <c r="AC855" s="27"/>
      <c r="AD855" s="31" t="s">
        <v>25</v>
      </c>
      <c r="AE855" s="32" t="str">
        <f t="shared" si="67"/>
        <v>✓ OK</v>
      </c>
      <c r="AF855" s="33" t="s">
        <v>27</v>
      </c>
      <c r="AG855" s="33" t="s">
        <v>23</v>
      </c>
      <c r="AH855" s="33" t="s">
        <v>24</v>
      </c>
      <c r="AI855" s="33" t="s">
        <v>25</v>
      </c>
      <c r="AJ855" s="33" t="s">
        <v>26</v>
      </c>
      <c r="AK855" s="33" t="s">
        <v>24</v>
      </c>
      <c r="AL855" s="27"/>
      <c r="AM855" s="34" t="s">
        <v>25</v>
      </c>
      <c r="AN855" s="35" t="str">
        <f t="shared" si="68"/>
        <v>✓ OK</v>
      </c>
      <c r="AO855" s="36"/>
      <c r="AP855" s="36"/>
      <c r="AQ855" s="36"/>
      <c r="AR855" s="36"/>
      <c r="AS855" s="36"/>
      <c r="AT855" s="36"/>
      <c r="AU855" s="27"/>
      <c r="AV855" s="37"/>
      <c r="AW855" s="38" t="str">
        <f t="shared" si="69"/>
        <v/>
      </c>
    </row>
    <row r="856" spans="1:49" ht="18" customHeight="1" x14ac:dyDescent="0.3">
      <c r="A856" s="39">
        <v>852</v>
      </c>
      <c r="B856" s="40" t="s">
        <v>3552</v>
      </c>
      <c r="C856" s="41" t="s">
        <v>3553</v>
      </c>
      <c r="D856" s="39" t="s">
        <v>2819</v>
      </c>
      <c r="E856" s="43">
        <v>46126</v>
      </c>
      <c r="F856" s="26" t="s">
        <v>23</v>
      </c>
      <c r="G856" s="26" t="s">
        <v>24</v>
      </c>
      <c r="H856" s="26" t="s">
        <v>25</v>
      </c>
      <c r="I856" s="26" t="s">
        <v>26</v>
      </c>
      <c r="J856" s="26" t="s">
        <v>24</v>
      </c>
      <c r="K856" s="27"/>
      <c r="L856" s="28" t="s">
        <v>25</v>
      </c>
      <c r="M856" s="29" t="str">
        <f t="shared" si="65"/>
        <v>✓ OK</v>
      </c>
      <c r="N856" s="43">
        <v>46193</v>
      </c>
      <c r="O856" s="26" t="s">
        <v>23</v>
      </c>
      <c r="P856" s="26" t="s">
        <v>24</v>
      </c>
      <c r="Q856" s="26" t="s">
        <v>25</v>
      </c>
      <c r="R856" s="26" t="s">
        <v>26</v>
      </c>
      <c r="S856" s="26" t="s">
        <v>24</v>
      </c>
      <c r="T856" s="27"/>
      <c r="U856" s="28" t="s">
        <v>25</v>
      </c>
      <c r="V856" s="29" t="str">
        <f t="shared" si="66"/>
        <v>✓ OK</v>
      </c>
      <c r="W856" s="45">
        <v>46248</v>
      </c>
      <c r="X856" s="30" t="s">
        <v>23</v>
      </c>
      <c r="Y856" s="30" t="s">
        <v>24</v>
      </c>
      <c r="Z856" s="30" t="s">
        <v>25</v>
      </c>
      <c r="AA856" s="30" t="s">
        <v>26</v>
      </c>
      <c r="AB856" s="30" t="s">
        <v>24</v>
      </c>
      <c r="AC856" s="27"/>
      <c r="AD856" s="31" t="s">
        <v>25</v>
      </c>
      <c r="AE856" s="32" t="str">
        <f t="shared" si="67"/>
        <v>✓ OK</v>
      </c>
      <c r="AF856" s="33" t="s">
        <v>27</v>
      </c>
      <c r="AG856" s="33" t="s">
        <v>23</v>
      </c>
      <c r="AH856" s="33" t="s">
        <v>24</v>
      </c>
      <c r="AI856" s="33" t="s">
        <v>25</v>
      </c>
      <c r="AJ856" s="33" t="s">
        <v>26</v>
      </c>
      <c r="AK856" s="33" t="s">
        <v>24</v>
      </c>
      <c r="AL856" s="27"/>
      <c r="AM856" s="34" t="s">
        <v>25</v>
      </c>
      <c r="AN856" s="35" t="str">
        <f t="shared" si="68"/>
        <v>✓ OK</v>
      </c>
      <c r="AO856" s="36"/>
      <c r="AP856" s="36"/>
      <c r="AQ856" s="36"/>
      <c r="AR856" s="36"/>
      <c r="AS856" s="36"/>
      <c r="AT856" s="36"/>
      <c r="AU856" s="27"/>
      <c r="AV856" s="37"/>
      <c r="AW856" s="38" t="str">
        <f t="shared" si="69"/>
        <v/>
      </c>
    </row>
    <row r="857" spans="1:49" ht="18" customHeight="1" x14ac:dyDescent="0.3">
      <c r="A857" s="23">
        <v>853</v>
      </c>
      <c r="B857" s="24" t="s">
        <v>3554</v>
      </c>
      <c r="C857" s="25" t="s">
        <v>3555</v>
      </c>
      <c r="D857" s="23" t="s">
        <v>2819</v>
      </c>
      <c r="E857" s="43">
        <v>46126</v>
      </c>
      <c r="F857" s="26" t="s">
        <v>23</v>
      </c>
      <c r="G857" s="26" t="s">
        <v>24</v>
      </c>
      <c r="H857" s="26" t="s">
        <v>25</v>
      </c>
      <c r="I857" s="26" t="s">
        <v>26</v>
      </c>
      <c r="J857" s="26" t="s">
        <v>24</v>
      </c>
      <c r="K857" s="27"/>
      <c r="L857" s="28" t="s">
        <v>25</v>
      </c>
      <c r="M857" s="29" t="str">
        <f t="shared" si="65"/>
        <v>✓ OK</v>
      </c>
      <c r="N857" s="43">
        <v>46193</v>
      </c>
      <c r="O857" s="26" t="s">
        <v>23</v>
      </c>
      <c r="P857" s="26" t="s">
        <v>24</v>
      </c>
      <c r="Q857" s="26" t="s">
        <v>25</v>
      </c>
      <c r="R857" s="26" t="s">
        <v>26</v>
      </c>
      <c r="S857" s="26" t="s">
        <v>24</v>
      </c>
      <c r="T857" s="27"/>
      <c r="U857" s="28" t="s">
        <v>25</v>
      </c>
      <c r="V857" s="29" t="str">
        <f t="shared" si="66"/>
        <v>✓ OK</v>
      </c>
      <c r="W857" s="45">
        <v>46248</v>
      </c>
      <c r="X857" s="30" t="s">
        <v>23</v>
      </c>
      <c r="Y857" s="30" t="s">
        <v>24</v>
      </c>
      <c r="Z857" s="30" t="s">
        <v>25</v>
      </c>
      <c r="AA857" s="30" t="s">
        <v>26</v>
      </c>
      <c r="AB857" s="30" t="s">
        <v>24</v>
      </c>
      <c r="AC857" s="27"/>
      <c r="AD857" s="31" t="s">
        <v>25</v>
      </c>
      <c r="AE857" s="32" t="str">
        <f t="shared" si="67"/>
        <v>✓ OK</v>
      </c>
      <c r="AF857" s="33" t="s">
        <v>27</v>
      </c>
      <c r="AG857" s="33" t="s">
        <v>23</v>
      </c>
      <c r="AH857" s="33" t="s">
        <v>24</v>
      </c>
      <c r="AI857" s="33" t="s">
        <v>25</v>
      </c>
      <c r="AJ857" s="33" t="s">
        <v>26</v>
      </c>
      <c r="AK857" s="33" t="s">
        <v>24</v>
      </c>
      <c r="AL857" s="27"/>
      <c r="AM857" s="34" t="s">
        <v>25</v>
      </c>
      <c r="AN857" s="35" t="str">
        <f t="shared" si="68"/>
        <v>✓ OK</v>
      </c>
      <c r="AO857" s="36"/>
      <c r="AP857" s="36"/>
      <c r="AQ857" s="36"/>
      <c r="AR857" s="36"/>
      <c r="AS857" s="36"/>
      <c r="AT857" s="36"/>
      <c r="AU857" s="27"/>
      <c r="AV857" s="37"/>
      <c r="AW857" s="38" t="str">
        <f t="shared" si="69"/>
        <v/>
      </c>
    </row>
    <row r="858" spans="1:49" ht="18" customHeight="1" x14ac:dyDescent="0.3">
      <c r="A858" s="39">
        <v>854</v>
      </c>
      <c r="B858" s="40" t="s">
        <v>3556</v>
      </c>
      <c r="C858" s="41" t="s">
        <v>3557</v>
      </c>
      <c r="D858" s="39" t="s">
        <v>2819</v>
      </c>
      <c r="E858" s="43">
        <v>46126</v>
      </c>
      <c r="F858" s="26" t="s">
        <v>23</v>
      </c>
      <c r="G858" s="26" t="s">
        <v>24</v>
      </c>
      <c r="H858" s="26" t="s">
        <v>25</v>
      </c>
      <c r="I858" s="26" t="s">
        <v>26</v>
      </c>
      <c r="J858" s="26" t="s">
        <v>24</v>
      </c>
      <c r="K858" s="27"/>
      <c r="L858" s="28" t="s">
        <v>25</v>
      </c>
      <c r="M858" s="29" t="str">
        <f t="shared" si="65"/>
        <v>✓ OK</v>
      </c>
      <c r="N858" s="43">
        <v>46193</v>
      </c>
      <c r="O858" s="26" t="s">
        <v>23</v>
      </c>
      <c r="P858" s="26" t="s">
        <v>24</v>
      </c>
      <c r="Q858" s="26" t="s">
        <v>25</v>
      </c>
      <c r="R858" s="26" t="s">
        <v>26</v>
      </c>
      <c r="S858" s="26" t="s">
        <v>24</v>
      </c>
      <c r="T858" s="27"/>
      <c r="U858" s="28" t="s">
        <v>25</v>
      </c>
      <c r="V858" s="29" t="str">
        <f t="shared" si="66"/>
        <v>✓ OK</v>
      </c>
      <c r="W858" s="45">
        <v>46248</v>
      </c>
      <c r="X858" s="30" t="s">
        <v>23</v>
      </c>
      <c r="Y858" s="30" t="s">
        <v>24</v>
      </c>
      <c r="Z858" s="30" t="s">
        <v>25</v>
      </c>
      <c r="AA858" s="30" t="s">
        <v>26</v>
      </c>
      <c r="AB858" s="30" t="s">
        <v>24</v>
      </c>
      <c r="AC858" s="27"/>
      <c r="AD858" s="31" t="s">
        <v>25</v>
      </c>
      <c r="AE858" s="32" t="str">
        <f t="shared" si="67"/>
        <v>✓ OK</v>
      </c>
      <c r="AF858" s="33" t="s">
        <v>27</v>
      </c>
      <c r="AG858" s="33" t="s">
        <v>23</v>
      </c>
      <c r="AH858" s="33" t="s">
        <v>24</v>
      </c>
      <c r="AI858" s="33" t="s">
        <v>25</v>
      </c>
      <c r="AJ858" s="33" t="s">
        <v>26</v>
      </c>
      <c r="AK858" s="33" t="s">
        <v>24</v>
      </c>
      <c r="AL858" s="27"/>
      <c r="AM858" s="34" t="s">
        <v>25</v>
      </c>
      <c r="AN858" s="35" t="str">
        <f t="shared" si="68"/>
        <v>✓ OK</v>
      </c>
      <c r="AO858" s="36"/>
      <c r="AP858" s="36"/>
      <c r="AQ858" s="36"/>
      <c r="AR858" s="36"/>
      <c r="AS858" s="36"/>
      <c r="AT858" s="36"/>
      <c r="AU858" s="27"/>
      <c r="AV858" s="37"/>
      <c r="AW858" s="38" t="str">
        <f t="shared" si="69"/>
        <v/>
      </c>
    </row>
    <row r="859" spans="1:49" ht="18" customHeight="1" x14ac:dyDescent="0.3">
      <c r="A859" s="23">
        <v>855</v>
      </c>
      <c r="B859" s="24" t="s">
        <v>3558</v>
      </c>
      <c r="C859" s="25" t="s">
        <v>3559</v>
      </c>
      <c r="D859" s="23" t="s">
        <v>2819</v>
      </c>
      <c r="E859" s="43">
        <v>46126</v>
      </c>
      <c r="F859" s="26" t="s">
        <v>23</v>
      </c>
      <c r="G859" s="26" t="s">
        <v>24</v>
      </c>
      <c r="H859" s="26" t="s">
        <v>25</v>
      </c>
      <c r="I859" s="26" t="s">
        <v>26</v>
      </c>
      <c r="J859" s="26" t="s">
        <v>24</v>
      </c>
      <c r="K859" s="27"/>
      <c r="L859" s="28" t="s">
        <v>25</v>
      </c>
      <c r="M859" s="29" t="str">
        <f t="shared" si="65"/>
        <v>✓ OK</v>
      </c>
      <c r="N859" s="43">
        <v>46193</v>
      </c>
      <c r="O859" s="26" t="s">
        <v>23</v>
      </c>
      <c r="P859" s="26" t="s">
        <v>24</v>
      </c>
      <c r="Q859" s="26" t="s">
        <v>25</v>
      </c>
      <c r="R859" s="26" t="s">
        <v>26</v>
      </c>
      <c r="S859" s="26" t="s">
        <v>24</v>
      </c>
      <c r="T859" s="27"/>
      <c r="U859" s="28" t="s">
        <v>25</v>
      </c>
      <c r="V859" s="29" t="str">
        <f t="shared" si="66"/>
        <v>✓ OK</v>
      </c>
      <c r="W859" s="45">
        <v>46248</v>
      </c>
      <c r="X859" s="30" t="s">
        <v>23</v>
      </c>
      <c r="Y859" s="30" t="s">
        <v>24</v>
      </c>
      <c r="Z859" s="30" t="s">
        <v>25</v>
      </c>
      <c r="AA859" s="30" t="s">
        <v>26</v>
      </c>
      <c r="AB859" s="30" t="s">
        <v>24</v>
      </c>
      <c r="AC859" s="27"/>
      <c r="AD859" s="31" t="s">
        <v>25</v>
      </c>
      <c r="AE859" s="32" t="str">
        <f t="shared" si="67"/>
        <v>✓ OK</v>
      </c>
      <c r="AF859" s="33" t="s">
        <v>27</v>
      </c>
      <c r="AG859" s="33" t="s">
        <v>23</v>
      </c>
      <c r="AH859" s="33" t="s">
        <v>24</v>
      </c>
      <c r="AI859" s="33" t="s">
        <v>25</v>
      </c>
      <c r="AJ859" s="33" t="s">
        <v>26</v>
      </c>
      <c r="AK859" s="33" t="s">
        <v>24</v>
      </c>
      <c r="AL859" s="27"/>
      <c r="AM859" s="34" t="s">
        <v>25</v>
      </c>
      <c r="AN859" s="35" t="str">
        <f t="shared" si="68"/>
        <v>✓ OK</v>
      </c>
      <c r="AO859" s="36"/>
      <c r="AP859" s="36"/>
      <c r="AQ859" s="36"/>
      <c r="AR859" s="36"/>
      <c r="AS859" s="36"/>
      <c r="AT859" s="36"/>
      <c r="AU859" s="27"/>
      <c r="AV859" s="37"/>
      <c r="AW859" s="38" t="str">
        <f t="shared" si="69"/>
        <v/>
      </c>
    </row>
    <row r="860" spans="1:49" ht="18" customHeight="1" x14ac:dyDescent="0.3">
      <c r="A860" s="39">
        <v>856</v>
      </c>
      <c r="B860" s="40" t="s">
        <v>3560</v>
      </c>
      <c r="C860" s="41" t="s">
        <v>3561</v>
      </c>
      <c r="D860" s="39" t="s">
        <v>2819</v>
      </c>
      <c r="E860" s="43">
        <v>46126</v>
      </c>
      <c r="F860" s="26" t="s">
        <v>23</v>
      </c>
      <c r="G860" s="26" t="s">
        <v>24</v>
      </c>
      <c r="H860" s="26" t="s">
        <v>25</v>
      </c>
      <c r="I860" s="26" t="s">
        <v>26</v>
      </c>
      <c r="J860" s="26" t="s">
        <v>24</v>
      </c>
      <c r="K860" s="27"/>
      <c r="L860" s="28" t="s">
        <v>25</v>
      </c>
      <c r="M860" s="29" t="str">
        <f t="shared" si="65"/>
        <v>✓ OK</v>
      </c>
      <c r="N860" s="43">
        <v>46193</v>
      </c>
      <c r="O860" s="26" t="s">
        <v>23</v>
      </c>
      <c r="P860" s="26" t="s">
        <v>24</v>
      </c>
      <c r="Q860" s="26" t="s">
        <v>25</v>
      </c>
      <c r="R860" s="26" t="s">
        <v>26</v>
      </c>
      <c r="S860" s="26" t="s">
        <v>24</v>
      </c>
      <c r="T860" s="27"/>
      <c r="U860" s="28" t="s">
        <v>25</v>
      </c>
      <c r="V860" s="29" t="str">
        <f t="shared" si="66"/>
        <v>✓ OK</v>
      </c>
      <c r="W860" s="45">
        <v>46248</v>
      </c>
      <c r="X860" s="30" t="s">
        <v>23</v>
      </c>
      <c r="Y860" s="30" t="s">
        <v>24</v>
      </c>
      <c r="Z860" s="30" t="s">
        <v>25</v>
      </c>
      <c r="AA860" s="30" t="s">
        <v>26</v>
      </c>
      <c r="AB860" s="30" t="s">
        <v>24</v>
      </c>
      <c r="AC860" s="27"/>
      <c r="AD860" s="31" t="s">
        <v>25</v>
      </c>
      <c r="AE860" s="32" t="str">
        <f t="shared" si="67"/>
        <v>✓ OK</v>
      </c>
      <c r="AF860" s="33" t="s">
        <v>27</v>
      </c>
      <c r="AG860" s="33" t="s">
        <v>23</v>
      </c>
      <c r="AH860" s="33" t="s">
        <v>24</v>
      </c>
      <c r="AI860" s="33" t="s">
        <v>25</v>
      </c>
      <c r="AJ860" s="33" t="s">
        <v>26</v>
      </c>
      <c r="AK860" s="33" t="s">
        <v>24</v>
      </c>
      <c r="AL860" s="27"/>
      <c r="AM860" s="34" t="s">
        <v>25</v>
      </c>
      <c r="AN860" s="35" t="str">
        <f t="shared" si="68"/>
        <v>✓ OK</v>
      </c>
      <c r="AO860" s="36"/>
      <c r="AP860" s="36"/>
      <c r="AQ860" s="36"/>
      <c r="AR860" s="36"/>
      <c r="AS860" s="36"/>
      <c r="AT860" s="36"/>
      <c r="AU860" s="27"/>
      <c r="AV860" s="37"/>
      <c r="AW860" s="38" t="str">
        <f t="shared" si="69"/>
        <v/>
      </c>
    </row>
    <row r="861" spans="1:49" ht="18" customHeight="1" x14ac:dyDescent="0.3">
      <c r="A861" s="23">
        <v>857</v>
      </c>
      <c r="B861" s="24" t="s">
        <v>3562</v>
      </c>
      <c r="C861" s="25" t="s">
        <v>3563</v>
      </c>
      <c r="D861" s="23" t="s">
        <v>2819</v>
      </c>
      <c r="E861" s="43">
        <v>46126</v>
      </c>
      <c r="F861" s="26" t="s">
        <v>23</v>
      </c>
      <c r="G861" s="26" t="s">
        <v>24</v>
      </c>
      <c r="H861" s="26" t="s">
        <v>25</v>
      </c>
      <c r="I861" s="26" t="s">
        <v>26</v>
      </c>
      <c r="J861" s="26" t="s">
        <v>24</v>
      </c>
      <c r="K861" s="27"/>
      <c r="L861" s="28" t="s">
        <v>25</v>
      </c>
      <c r="M861" s="29" t="str">
        <f t="shared" si="65"/>
        <v>✓ OK</v>
      </c>
      <c r="N861" s="43">
        <v>46193</v>
      </c>
      <c r="O861" s="26" t="s">
        <v>23</v>
      </c>
      <c r="P861" s="26" t="s">
        <v>24</v>
      </c>
      <c r="Q861" s="26" t="s">
        <v>25</v>
      </c>
      <c r="R861" s="26" t="s">
        <v>26</v>
      </c>
      <c r="S861" s="26" t="s">
        <v>24</v>
      </c>
      <c r="T861" s="27"/>
      <c r="U861" s="28" t="s">
        <v>25</v>
      </c>
      <c r="V861" s="29" t="str">
        <f t="shared" si="66"/>
        <v>✓ OK</v>
      </c>
      <c r="W861" s="45">
        <v>46248</v>
      </c>
      <c r="X861" s="30" t="s">
        <v>23</v>
      </c>
      <c r="Y861" s="30" t="s">
        <v>24</v>
      </c>
      <c r="Z861" s="30" t="s">
        <v>25</v>
      </c>
      <c r="AA861" s="30" t="s">
        <v>26</v>
      </c>
      <c r="AB861" s="30" t="s">
        <v>24</v>
      </c>
      <c r="AC861" s="27"/>
      <c r="AD861" s="31" t="s">
        <v>25</v>
      </c>
      <c r="AE861" s="32" t="str">
        <f t="shared" si="67"/>
        <v>✓ OK</v>
      </c>
      <c r="AF861" s="33" t="s">
        <v>27</v>
      </c>
      <c r="AG861" s="33" t="s">
        <v>23</v>
      </c>
      <c r="AH861" s="33" t="s">
        <v>24</v>
      </c>
      <c r="AI861" s="33" t="s">
        <v>25</v>
      </c>
      <c r="AJ861" s="33" t="s">
        <v>26</v>
      </c>
      <c r="AK861" s="33" t="s">
        <v>24</v>
      </c>
      <c r="AL861" s="27"/>
      <c r="AM861" s="34" t="s">
        <v>25</v>
      </c>
      <c r="AN861" s="35" t="str">
        <f t="shared" si="68"/>
        <v>✓ OK</v>
      </c>
      <c r="AO861" s="36"/>
      <c r="AP861" s="36"/>
      <c r="AQ861" s="36"/>
      <c r="AR861" s="36"/>
      <c r="AS861" s="36"/>
      <c r="AT861" s="36"/>
      <c r="AU861" s="27"/>
      <c r="AV861" s="37"/>
      <c r="AW861" s="38" t="str">
        <f t="shared" si="69"/>
        <v/>
      </c>
    </row>
    <row r="862" spans="1:49" ht="18" customHeight="1" x14ac:dyDescent="0.3">
      <c r="A862" s="39">
        <v>858</v>
      </c>
      <c r="B862" s="40" t="s">
        <v>3564</v>
      </c>
      <c r="C862" s="41" t="s">
        <v>3565</v>
      </c>
      <c r="D862" s="39" t="s">
        <v>2819</v>
      </c>
      <c r="E862" s="43">
        <v>46126</v>
      </c>
      <c r="F862" s="26" t="s">
        <v>23</v>
      </c>
      <c r="G862" s="26" t="s">
        <v>24</v>
      </c>
      <c r="H862" s="26" t="s">
        <v>25</v>
      </c>
      <c r="I862" s="26" t="s">
        <v>26</v>
      </c>
      <c r="J862" s="26" t="s">
        <v>24</v>
      </c>
      <c r="K862" s="27"/>
      <c r="L862" s="28" t="s">
        <v>25</v>
      </c>
      <c r="M862" s="29" t="str">
        <f t="shared" si="65"/>
        <v>✓ OK</v>
      </c>
      <c r="N862" s="43">
        <v>46193</v>
      </c>
      <c r="O862" s="26" t="s">
        <v>23</v>
      </c>
      <c r="P862" s="26" t="s">
        <v>24</v>
      </c>
      <c r="Q862" s="26" t="s">
        <v>25</v>
      </c>
      <c r="R862" s="26" t="s">
        <v>26</v>
      </c>
      <c r="S862" s="26" t="s">
        <v>24</v>
      </c>
      <c r="T862" s="27"/>
      <c r="U862" s="28" t="s">
        <v>25</v>
      </c>
      <c r="V862" s="29" t="str">
        <f t="shared" si="66"/>
        <v>✓ OK</v>
      </c>
      <c r="W862" s="45">
        <v>46248</v>
      </c>
      <c r="X862" s="30" t="s">
        <v>23</v>
      </c>
      <c r="Y862" s="30" t="s">
        <v>24</v>
      </c>
      <c r="Z862" s="30" t="s">
        <v>25</v>
      </c>
      <c r="AA862" s="30" t="s">
        <v>26</v>
      </c>
      <c r="AB862" s="30" t="s">
        <v>24</v>
      </c>
      <c r="AC862" s="27"/>
      <c r="AD862" s="31" t="s">
        <v>25</v>
      </c>
      <c r="AE862" s="32" t="str">
        <f t="shared" si="67"/>
        <v>✓ OK</v>
      </c>
      <c r="AF862" s="33" t="s">
        <v>27</v>
      </c>
      <c r="AG862" s="33" t="s">
        <v>23</v>
      </c>
      <c r="AH862" s="33" t="s">
        <v>24</v>
      </c>
      <c r="AI862" s="33" t="s">
        <v>25</v>
      </c>
      <c r="AJ862" s="33" t="s">
        <v>26</v>
      </c>
      <c r="AK862" s="33" t="s">
        <v>24</v>
      </c>
      <c r="AL862" s="27"/>
      <c r="AM862" s="34" t="s">
        <v>25</v>
      </c>
      <c r="AN862" s="35" t="str">
        <f t="shared" si="68"/>
        <v>✓ OK</v>
      </c>
      <c r="AO862" s="36"/>
      <c r="AP862" s="36"/>
      <c r="AQ862" s="36"/>
      <c r="AR862" s="36"/>
      <c r="AS862" s="36"/>
      <c r="AT862" s="36"/>
      <c r="AU862" s="27"/>
      <c r="AV862" s="37"/>
      <c r="AW862" s="38" t="str">
        <f t="shared" si="69"/>
        <v/>
      </c>
    </row>
    <row r="863" spans="1:49" ht="18" customHeight="1" x14ac:dyDescent="0.3">
      <c r="A863" s="23">
        <v>859</v>
      </c>
      <c r="B863" s="24" t="s">
        <v>3566</v>
      </c>
      <c r="C863" s="25" t="s">
        <v>3567</v>
      </c>
      <c r="D863" s="23" t="s">
        <v>2819</v>
      </c>
      <c r="E863" s="43">
        <v>46126</v>
      </c>
      <c r="F863" s="26" t="s">
        <v>23</v>
      </c>
      <c r="G863" s="26" t="s">
        <v>24</v>
      </c>
      <c r="H863" s="26" t="s">
        <v>25</v>
      </c>
      <c r="I863" s="26" t="s">
        <v>26</v>
      </c>
      <c r="J863" s="26" t="s">
        <v>24</v>
      </c>
      <c r="K863" s="27"/>
      <c r="L863" s="28" t="s">
        <v>25</v>
      </c>
      <c r="M863" s="29" t="str">
        <f t="shared" si="65"/>
        <v>✓ OK</v>
      </c>
      <c r="N863" s="43">
        <v>46193</v>
      </c>
      <c r="O863" s="26" t="s">
        <v>23</v>
      </c>
      <c r="P863" s="26" t="s">
        <v>24</v>
      </c>
      <c r="Q863" s="26" t="s">
        <v>25</v>
      </c>
      <c r="R863" s="26" t="s">
        <v>26</v>
      </c>
      <c r="S863" s="26" t="s">
        <v>24</v>
      </c>
      <c r="T863" s="27"/>
      <c r="U863" s="28" t="s">
        <v>25</v>
      </c>
      <c r="V863" s="29" t="str">
        <f t="shared" si="66"/>
        <v>✓ OK</v>
      </c>
      <c r="W863" s="45">
        <v>46248</v>
      </c>
      <c r="X863" s="30" t="s">
        <v>23</v>
      </c>
      <c r="Y863" s="30" t="s">
        <v>24</v>
      </c>
      <c r="Z863" s="30" t="s">
        <v>25</v>
      </c>
      <c r="AA863" s="30" t="s">
        <v>26</v>
      </c>
      <c r="AB863" s="30" t="s">
        <v>24</v>
      </c>
      <c r="AC863" s="27"/>
      <c r="AD863" s="31" t="s">
        <v>25</v>
      </c>
      <c r="AE863" s="32" t="str">
        <f t="shared" si="67"/>
        <v>✓ OK</v>
      </c>
      <c r="AF863" s="33" t="s">
        <v>27</v>
      </c>
      <c r="AG863" s="33" t="s">
        <v>23</v>
      </c>
      <c r="AH863" s="33" t="s">
        <v>24</v>
      </c>
      <c r="AI863" s="33" t="s">
        <v>25</v>
      </c>
      <c r="AJ863" s="33" t="s">
        <v>26</v>
      </c>
      <c r="AK863" s="33" t="s">
        <v>24</v>
      </c>
      <c r="AL863" s="27"/>
      <c r="AM863" s="34" t="s">
        <v>25</v>
      </c>
      <c r="AN863" s="35" t="str">
        <f t="shared" si="68"/>
        <v>✓ OK</v>
      </c>
      <c r="AO863" s="36"/>
      <c r="AP863" s="36"/>
      <c r="AQ863" s="36"/>
      <c r="AR863" s="36"/>
      <c r="AS863" s="36"/>
      <c r="AT863" s="36"/>
      <c r="AU863" s="27"/>
      <c r="AV863" s="37"/>
      <c r="AW863" s="38" t="str">
        <f t="shared" si="69"/>
        <v/>
      </c>
    </row>
    <row r="864" spans="1:49" ht="18" customHeight="1" x14ac:dyDescent="0.3">
      <c r="A864" s="39">
        <v>860</v>
      </c>
      <c r="B864" s="40" t="s">
        <v>3568</v>
      </c>
      <c r="C864" s="41" t="s">
        <v>3569</v>
      </c>
      <c r="D864" s="39" t="s">
        <v>2819</v>
      </c>
      <c r="E864" s="43">
        <v>46126</v>
      </c>
      <c r="F864" s="26" t="s">
        <v>23</v>
      </c>
      <c r="G864" s="26" t="s">
        <v>24</v>
      </c>
      <c r="H864" s="26" t="s">
        <v>25</v>
      </c>
      <c r="I864" s="26" t="s">
        <v>26</v>
      </c>
      <c r="J864" s="26" t="s">
        <v>24</v>
      </c>
      <c r="K864" s="27"/>
      <c r="L864" s="28" t="s">
        <v>25</v>
      </c>
      <c r="M864" s="29" t="str">
        <f t="shared" si="65"/>
        <v>✓ OK</v>
      </c>
      <c r="N864" s="43">
        <v>46193</v>
      </c>
      <c r="O864" s="26" t="s">
        <v>23</v>
      </c>
      <c r="P864" s="26" t="s">
        <v>24</v>
      </c>
      <c r="Q864" s="26" t="s">
        <v>25</v>
      </c>
      <c r="R864" s="26" t="s">
        <v>26</v>
      </c>
      <c r="S864" s="26" t="s">
        <v>24</v>
      </c>
      <c r="T864" s="27"/>
      <c r="U864" s="28" t="s">
        <v>25</v>
      </c>
      <c r="V864" s="29" t="str">
        <f t="shared" si="66"/>
        <v>✓ OK</v>
      </c>
      <c r="W864" s="45">
        <v>46248</v>
      </c>
      <c r="X864" s="30" t="s">
        <v>23</v>
      </c>
      <c r="Y864" s="30" t="s">
        <v>24</v>
      </c>
      <c r="Z864" s="30" t="s">
        <v>25</v>
      </c>
      <c r="AA864" s="30" t="s">
        <v>26</v>
      </c>
      <c r="AB864" s="30" t="s">
        <v>24</v>
      </c>
      <c r="AC864" s="27"/>
      <c r="AD864" s="31" t="s">
        <v>25</v>
      </c>
      <c r="AE864" s="32" t="str">
        <f t="shared" si="67"/>
        <v>✓ OK</v>
      </c>
      <c r="AF864" s="33" t="s">
        <v>27</v>
      </c>
      <c r="AG864" s="33" t="s">
        <v>23</v>
      </c>
      <c r="AH864" s="33" t="s">
        <v>24</v>
      </c>
      <c r="AI864" s="33" t="s">
        <v>25</v>
      </c>
      <c r="AJ864" s="33" t="s">
        <v>26</v>
      </c>
      <c r="AK864" s="33" t="s">
        <v>24</v>
      </c>
      <c r="AL864" s="27"/>
      <c r="AM864" s="34" t="s">
        <v>25</v>
      </c>
      <c r="AN864" s="35" t="str">
        <f t="shared" si="68"/>
        <v>✓ OK</v>
      </c>
      <c r="AO864" s="36"/>
      <c r="AP864" s="36"/>
      <c r="AQ864" s="36"/>
      <c r="AR864" s="36"/>
      <c r="AS864" s="36"/>
      <c r="AT864" s="36"/>
      <c r="AU864" s="27"/>
      <c r="AV864" s="37"/>
      <c r="AW864" s="38" t="str">
        <f t="shared" si="69"/>
        <v/>
      </c>
    </row>
    <row r="865" spans="1:49" ht="18" customHeight="1" x14ac:dyDescent="0.3">
      <c r="A865" s="23">
        <v>861</v>
      </c>
      <c r="B865" s="24" t="s">
        <v>3570</v>
      </c>
      <c r="C865" s="25" t="s">
        <v>3571</v>
      </c>
      <c r="D865" s="23" t="s">
        <v>2819</v>
      </c>
      <c r="E865" s="43">
        <v>46126</v>
      </c>
      <c r="F865" s="26" t="s">
        <v>23</v>
      </c>
      <c r="G865" s="26" t="s">
        <v>24</v>
      </c>
      <c r="H865" s="26" t="s">
        <v>25</v>
      </c>
      <c r="I865" s="26" t="s">
        <v>26</v>
      </c>
      <c r="J865" s="26" t="s">
        <v>24</v>
      </c>
      <c r="K865" s="27"/>
      <c r="L865" s="28" t="s">
        <v>25</v>
      </c>
      <c r="M865" s="29" t="str">
        <f t="shared" si="65"/>
        <v>✓ OK</v>
      </c>
      <c r="N865" s="43">
        <v>46193</v>
      </c>
      <c r="O865" s="26" t="s">
        <v>23</v>
      </c>
      <c r="P865" s="26" t="s">
        <v>24</v>
      </c>
      <c r="Q865" s="26" t="s">
        <v>25</v>
      </c>
      <c r="R865" s="26" t="s">
        <v>26</v>
      </c>
      <c r="S865" s="26" t="s">
        <v>24</v>
      </c>
      <c r="T865" s="27"/>
      <c r="U865" s="28" t="s">
        <v>25</v>
      </c>
      <c r="V865" s="29" t="str">
        <f t="shared" si="66"/>
        <v>✓ OK</v>
      </c>
      <c r="W865" s="45">
        <v>46248</v>
      </c>
      <c r="X865" s="30" t="s">
        <v>23</v>
      </c>
      <c r="Y865" s="30" t="s">
        <v>24</v>
      </c>
      <c r="Z865" s="30" t="s">
        <v>25</v>
      </c>
      <c r="AA865" s="30" t="s">
        <v>26</v>
      </c>
      <c r="AB865" s="30" t="s">
        <v>24</v>
      </c>
      <c r="AC865" s="27"/>
      <c r="AD865" s="31" t="s">
        <v>25</v>
      </c>
      <c r="AE865" s="32" t="str">
        <f t="shared" si="67"/>
        <v>✓ OK</v>
      </c>
      <c r="AF865" s="33" t="s">
        <v>27</v>
      </c>
      <c r="AG865" s="33" t="s">
        <v>23</v>
      </c>
      <c r="AH865" s="33" t="s">
        <v>24</v>
      </c>
      <c r="AI865" s="33" t="s">
        <v>25</v>
      </c>
      <c r="AJ865" s="33" t="s">
        <v>26</v>
      </c>
      <c r="AK865" s="33" t="s">
        <v>24</v>
      </c>
      <c r="AL865" s="27"/>
      <c r="AM865" s="34" t="s">
        <v>25</v>
      </c>
      <c r="AN865" s="35" t="str">
        <f t="shared" si="68"/>
        <v>✓ OK</v>
      </c>
      <c r="AO865" s="36"/>
      <c r="AP865" s="36"/>
      <c r="AQ865" s="36"/>
      <c r="AR865" s="36"/>
      <c r="AS865" s="36"/>
      <c r="AT865" s="36"/>
      <c r="AU865" s="27"/>
      <c r="AV865" s="37"/>
      <c r="AW865" s="38" t="str">
        <f t="shared" si="69"/>
        <v/>
      </c>
    </row>
    <row r="866" spans="1:49" ht="18" customHeight="1" x14ac:dyDescent="0.3">
      <c r="A866" s="39">
        <v>862</v>
      </c>
      <c r="B866" s="40" t="s">
        <v>3572</v>
      </c>
      <c r="C866" s="41" t="s">
        <v>3573</v>
      </c>
      <c r="D866" s="39" t="s">
        <v>2819</v>
      </c>
      <c r="E866" s="43">
        <v>46126</v>
      </c>
      <c r="F866" s="26" t="s">
        <v>23</v>
      </c>
      <c r="G866" s="26" t="s">
        <v>24</v>
      </c>
      <c r="H866" s="26" t="s">
        <v>25</v>
      </c>
      <c r="I866" s="26" t="s">
        <v>26</v>
      </c>
      <c r="J866" s="26" t="s">
        <v>24</v>
      </c>
      <c r="K866" s="27"/>
      <c r="L866" s="28" t="s">
        <v>25</v>
      </c>
      <c r="M866" s="29" t="str">
        <f t="shared" si="65"/>
        <v>✓ OK</v>
      </c>
      <c r="N866" s="43">
        <v>46193</v>
      </c>
      <c r="O866" s="26" t="s">
        <v>23</v>
      </c>
      <c r="P866" s="26" t="s">
        <v>24</v>
      </c>
      <c r="Q866" s="26" t="s">
        <v>25</v>
      </c>
      <c r="R866" s="26" t="s">
        <v>26</v>
      </c>
      <c r="S866" s="26" t="s">
        <v>24</v>
      </c>
      <c r="T866" s="27"/>
      <c r="U866" s="28" t="s">
        <v>25</v>
      </c>
      <c r="V866" s="29" t="str">
        <f t="shared" si="66"/>
        <v>✓ OK</v>
      </c>
      <c r="W866" s="45">
        <v>46248</v>
      </c>
      <c r="X866" s="30" t="s">
        <v>23</v>
      </c>
      <c r="Y866" s="30" t="s">
        <v>24</v>
      </c>
      <c r="Z866" s="30" t="s">
        <v>25</v>
      </c>
      <c r="AA866" s="30" t="s">
        <v>26</v>
      </c>
      <c r="AB866" s="30" t="s">
        <v>24</v>
      </c>
      <c r="AC866" s="27"/>
      <c r="AD866" s="31" t="s">
        <v>25</v>
      </c>
      <c r="AE866" s="32" t="str">
        <f t="shared" si="67"/>
        <v>✓ OK</v>
      </c>
      <c r="AF866" s="33" t="s">
        <v>27</v>
      </c>
      <c r="AG866" s="33" t="s">
        <v>23</v>
      </c>
      <c r="AH866" s="33" t="s">
        <v>24</v>
      </c>
      <c r="AI866" s="33" t="s">
        <v>25</v>
      </c>
      <c r="AJ866" s="33" t="s">
        <v>26</v>
      </c>
      <c r="AK866" s="33" t="s">
        <v>24</v>
      </c>
      <c r="AL866" s="27"/>
      <c r="AM866" s="34" t="s">
        <v>25</v>
      </c>
      <c r="AN866" s="35" t="str">
        <f t="shared" si="68"/>
        <v>✓ OK</v>
      </c>
      <c r="AO866" s="36"/>
      <c r="AP866" s="36"/>
      <c r="AQ866" s="36"/>
      <c r="AR866" s="36"/>
      <c r="AS866" s="36"/>
      <c r="AT866" s="36"/>
      <c r="AU866" s="27"/>
      <c r="AV866" s="37"/>
      <c r="AW866" s="38" t="str">
        <f t="shared" si="69"/>
        <v/>
      </c>
    </row>
    <row r="867" spans="1:49" ht="18" customHeight="1" x14ac:dyDescent="0.3">
      <c r="A867" s="23">
        <v>863</v>
      </c>
      <c r="B867" s="24" t="s">
        <v>3574</v>
      </c>
      <c r="C867" s="25" t="s">
        <v>3575</v>
      </c>
      <c r="D867" s="23" t="s">
        <v>2819</v>
      </c>
      <c r="E867" s="43">
        <v>46126</v>
      </c>
      <c r="F867" s="26" t="s">
        <v>23</v>
      </c>
      <c r="G867" s="26" t="s">
        <v>24</v>
      </c>
      <c r="H867" s="26" t="s">
        <v>25</v>
      </c>
      <c r="I867" s="26" t="s">
        <v>26</v>
      </c>
      <c r="J867" s="26" t="s">
        <v>24</v>
      </c>
      <c r="K867" s="27"/>
      <c r="L867" s="28" t="s">
        <v>25</v>
      </c>
      <c r="M867" s="29" t="str">
        <f t="shared" si="65"/>
        <v>✓ OK</v>
      </c>
      <c r="N867" s="43">
        <v>46193</v>
      </c>
      <c r="O867" s="26" t="s">
        <v>23</v>
      </c>
      <c r="P867" s="26" t="s">
        <v>24</v>
      </c>
      <c r="Q867" s="26" t="s">
        <v>25</v>
      </c>
      <c r="R867" s="26" t="s">
        <v>26</v>
      </c>
      <c r="S867" s="26" t="s">
        <v>24</v>
      </c>
      <c r="T867" s="27"/>
      <c r="U867" s="28" t="s">
        <v>25</v>
      </c>
      <c r="V867" s="29" t="str">
        <f t="shared" si="66"/>
        <v>✓ OK</v>
      </c>
      <c r="W867" s="45">
        <v>46248</v>
      </c>
      <c r="X867" s="30" t="s">
        <v>23</v>
      </c>
      <c r="Y867" s="30" t="s">
        <v>24</v>
      </c>
      <c r="Z867" s="30" t="s">
        <v>25</v>
      </c>
      <c r="AA867" s="30" t="s">
        <v>26</v>
      </c>
      <c r="AB867" s="30" t="s">
        <v>24</v>
      </c>
      <c r="AC867" s="27"/>
      <c r="AD867" s="31" t="s">
        <v>25</v>
      </c>
      <c r="AE867" s="32" t="str">
        <f t="shared" si="67"/>
        <v>✓ OK</v>
      </c>
      <c r="AF867" s="33" t="s">
        <v>27</v>
      </c>
      <c r="AG867" s="33" t="s">
        <v>23</v>
      </c>
      <c r="AH867" s="33" t="s">
        <v>24</v>
      </c>
      <c r="AI867" s="33" t="s">
        <v>25</v>
      </c>
      <c r="AJ867" s="33" t="s">
        <v>26</v>
      </c>
      <c r="AK867" s="33" t="s">
        <v>24</v>
      </c>
      <c r="AL867" s="27"/>
      <c r="AM867" s="34" t="s">
        <v>25</v>
      </c>
      <c r="AN867" s="35" t="str">
        <f t="shared" si="68"/>
        <v>✓ OK</v>
      </c>
      <c r="AO867" s="36"/>
      <c r="AP867" s="36"/>
      <c r="AQ867" s="36"/>
      <c r="AR867" s="36"/>
      <c r="AS867" s="36"/>
      <c r="AT867" s="36"/>
      <c r="AU867" s="27"/>
      <c r="AV867" s="37"/>
      <c r="AW867" s="38" t="str">
        <f t="shared" si="69"/>
        <v/>
      </c>
    </row>
    <row r="868" spans="1:49" ht="18" customHeight="1" x14ac:dyDescent="0.3">
      <c r="A868" s="39">
        <v>864</v>
      </c>
      <c r="B868" s="40" t="s">
        <v>3576</v>
      </c>
      <c r="C868" s="41" t="s">
        <v>3577</v>
      </c>
      <c r="D868" s="39" t="s">
        <v>2819</v>
      </c>
      <c r="E868" s="43">
        <v>46126</v>
      </c>
      <c r="F868" s="26" t="s">
        <v>23</v>
      </c>
      <c r="G868" s="26" t="s">
        <v>24</v>
      </c>
      <c r="H868" s="26" t="s">
        <v>25</v>
      </c>
      <c r="I868" s="26" t="s">
        <v>26</v>
      </c>
      <c r="J868" s="26" t="s">
        <v>24</v>
      </c>
      <c r="K868" s="27"/>
      <c r="L868" s="28" t="s">
        <v>25</v>
      </c>
      <c r="M868" s="29" t="str">
        <f t="shared" si="65"/>
        <v>✓ OK</v>
      </c>
      <c r="N868" s="43">
        <v>46193</v>
      </c>
      <c r="O868" s="26" t="s">
        <v>23</v>
      </c>
      <c r="P868" s="26" t="s">
        <v>24</v>
      </c>
      <c r="Q868" s="26" t="s">
        <v>25</v>
      </c>
      <c r="R868" s="26" t="s">
        <v>26</v>
      </c>
      <c r="S868" s="26" t="s">
        <v>24</v>
      </c>
      <c r="T868" s="27"/>
      <c r="U868" s="28" t="s">
        <v>25</v>
      </c>
      <c r="V868" s="29" t="str">
        <f t="shared" si="66"/>
        <v>✓ OK</v>
      </c>
      <c r="W868" s="45">
        <v>46248</v>
      </c>
      <c r="X868" s="30" t="s">
        <v>23</v>
      </c>
      <c r="Y868" s="30" t="s">
        <v>24</v>
      </c>
      <c r="Z868" s="30" t="s">
        <v>25</v>
      </c>
      <c r="AA868" s="30" t="s">
        <v>26</v>
      </c>
      <c r="AB868" s="30" t="s">
        <v>24</v>
      </c>
      <c r="AC868" s="27"/>
      <c r="AD868" s="31" t="s">
        <v>25</v>
      </c>
      <c r="AE868" s="32" t="str">
        <f t="shared" si="67"/>
        <v>✓ OK</v>
      </c>
      <c r="AF868" s="33" t="s">
        <v>27</v>
      </c>
      <c r="AG868" s="33" t="s">
        <v>23</v>
      </c>
      <c r="AH868" s="33" t="s">
        <v>24</v>
      </c>
      <c r="AI868" s="33" t="s">
        <v>25</v>
      </c>
      <c r="AJ868" s="33" t="s">
        <v>26</v>
      </c>
      <c r="AK868" s="33" t="s">
        <v>24</v>
      </c>
      <c r="AL868" s="27"/>
      <c r="AM868" s="34" t="s">
        <v>25</v>
      </c>
      <c r="AN868" s="35" t="str">
        <f t="shared" si="68"/>
        <v>✓ OK</v>
      </c>
      <c r="AO868" s="36"/>
      <c r="AP868" s="36"/>
      <c r="AQ868" s="36"/>
      <c r="AR868" s="36"/>
      <c r="AS868" s="36"/>
      <c r="AT868" s="36"/>
      <c r="AU868" s="27"/>
      <c r="AV868" s="37"/>
      <c r="AW868" s="38" t="str">
        <f t="shared" si="69"/>
        <v/>
      </c>
    </row>
    <row r="869" spans="1:49" ht="18" customHeight="1" x14ac:dyDescent="0.3">
      <c r="A869" s="23">
        <v>865</v>
      </c>
      <c r="B869" s="24" t="s">
        <v>3578</v>
      </c>
      <c r="C869" s="25" t="s">
        <v>3579</v>
      </c>
      <c r="D869" s="23" t="s">
        <v>2819</v>
      </c>
      <c r="E869" s="43">
        <v>46126</v>
      </c>
      <c r="F869" s="26" t="s">
        <v>23</v>
      </c>
      <c r="G869" s="26" t="s">
        <v>24</v>
      </c>
      <c r="H869" s="26" t="s">
        <v>25</v>
      </c>
      <c r="I869" s="26" t="s">
        <v>26</v>
      </c>
      <c r="J869" s="26" t="s">
        <v>24</v>
      </c>
      <c r="K869" s="27"/>
      <c r="L869" s="28" t="s">
        <v>25</v>
      </c>
      <c r="M869" s="29" t="str">
        <f t="shared" si="65"/>
        <v>✓ OK</v>
      </c>
      <c r="N869" s="43">
        <v>46193</v>
      </c>
      <c r="O869" s="26" t="s">
        <v>23</v>
      </c>
      <c r="P869" s="26" t="s">
        <v>24</v>
      </c>
      <c r="Q869" s="26" t="s">
        <v>25</v>
      </c>
      <c r="R869" s="26" t="s">
        <v>26</v>
      </c>
      <c r="S869" s="26" t="s">
        <v>24</v>
      </c>
      <c r="T869" s="27"/>
      <c r="U869" s="28" t="s">
        <v>25</v>
      </c>
      <c r="V869" s="29" t="str">
        <f t="shared" si="66"/>
        <v>✓ OK</v>
      </c>
      <c r="W869" s="45">
        <v>46248</v>
      </c>
      <c r="X869" s="30" t="s">
        <v>23</v>
      </c>
      <c r="Y869" s="30" t="s">
        <v>24</v>
      </c>
      <c r="Z869" s="30" t="s">
        <v>25</v>
      </c>
      <c r="AA869" s="30" t="s">
        <v>26</v>
      </c>
      <c r="AB869" s="30" t="s">
        <v>24</v>
      </c>
      <c r="AC869" s="27"/>
      <c r="AD869" s="31" t="s">
        <v>25</v>
      </c>
      <c r="AE869" s="32" t="str">
        <f t="shared" si="67"/>
        <v>✓ OK</v>
      </c>
      <c r="AF869" s="33" t="s">
        <v>27</v>
      </c>
      <c r="AG869" s="33" t="s">
        <v>23</v>
      </c>
      <c r="AH869" s="33" t="s">
        <v>24</v>
      </c>
      <c r="AI869" s="33" t="s">
        <v>25</v>
      </c>
      <c r="AJ869" s="33" t="s">
        <v>26</v>
      </c>
      <c r="AK869" s="33" t="s">
        <v>24</v>
      </c>
      <c r="AL869" s="27"/>
      <c r="AM869" s="34" t="s">
        <v>25</v>
      </c>
      <c r="AN869" s="35" t="str">
        <f t="shared" si="68"/>
        <v>✓ OK</v>
      </c>
      <c r="AO869" s="36"/>
      <c r="AP869" s="36"/>
      <c r="AQ869" s="36"/>
      <c r="AR869" s="36"/>
      <c r="AS869" s="36"/>
      <c r="AT869" s="36"/>
      <c r="AU869" s="27"/>
      <c r="AV869" s="37"/>
      <c r="AW869" s="38" t="str">
        <f t="shared" si="69"/>
        <v/>
      </c>
    </row>
    <row r="870" spans="1:49" ht="18" customHeight="1" x14ac:dyDescent="0.3">
      <c r="A870" s="39">
        <v>866</v>
      </c>
      <c r="B870" s="40" t="s">
        <v>3580</v>
      </c>
      <c r="C870" s="41" t="s">
        <v>3581</v>
      </c>
      <c r="D870" s="39" t="s">
        <v>2819</v>
      </c>
      <c r="E870" s="43">
        <v>46126</v>
      </c>
      <c r="F870" s="26" t="s">
        <v>23</v>
      </c>
      <c r="G870" s="26" t="s">
        <v>24</v>
      </c>
      <c r="H870" s="26" t="s">
        <v>25</v>
      </c>
      <c r="I870" s="26" t="s">
        <v>26</v>
      </c>
      <c r="J870" s="26" t="s">
        <v>24</v>
      </c>
      <c r="K870" s="27"/>
      <c r="L870" s="28" t="s">
        <v>25</v>
      </c>
      <c r="M870" s="29" t="str">
        <f t="shared" si="65"/>
        <v>✓ OK</v>
      </c>
      <c r="N870" s="43">
        <v>46193</v>
      </c>
      <c r="O870" s="26" t="s">
        <v>23</v>
      </c>
      <c r="P870" s="26" t="s">
        <v>24</v>
      </c>
      <c r="Q870" s="26" t="s">
        <v>25</v>
      </c>
      <c r="R870" s="26" t="s">
        <v>26</v>
      </c>
      <c r="S870" s="26" t="s">
        <v>24</v>
      </c>
      <c r="T870" s="27"/>
      <c r="U870" s="28" t="s">
        <v>25</v>
      </c>
      <c r="V870" s="29" t="str">
        <f t="shared" si="66"/>
        <v>✓ OK</v>
      </c>
      <c r="W870" s="45">
        <v>46248</v>
      </c>
      <c r="X870" s="30" t="s">
        <v>23</v>
      </c>
      <c r="Y870" s="30" t="s">
        <v>24</v>
      </c>
      <c r="Z870" s="30" t="s">
        <v>25</v>
      </c>
      <c r="AA870" s="30" t="s">
        <v>26</v>
      </c>
      <c r="AB870" s="30" t="s">
        <v>24</v>
      </c>
      <c r="AC870" s="27"/>
      <c r="AD870" s="31" t="s">
        <v>25</v>
      </c>
      <c r="AE870" s="32" t="str">
        <f t="shared" si="67"/>
        <v>✓ OK</v>
      </c>
      <c r="AF870" s="33" t="s">
        <v>27</v>
      </c>
      <c r="AG870" s="33" t="s">
        <v>23</v>
      </c>
      <c r="AH870" s="33" t="s">
        <v>24</v>
      </c>
      <c r="AI870" s="33" t="s">
        <v>25</v>
      </c>
      <c r="AJ870" s="33" t="s">
        <v>26</v>
      </c>
      <c r="AK870" s="33" t="s">
        <v>24</v>
      </c>
      <c r="AL870" s="27"/>
      <c r="AM870" s="34" t="s">
        <v>25</v>
      </c>
      <c r="AN870" s="35" t="str">
        <f t="shared" si="68"/>
        <v>✓ OK</v>
      </c>
      <c r="AO870" s="36"/>
      <c r="AP870" s="36"/>
      <c r="AQ870" s="36"/>
      <c r="AR870" s="36"/>
      <c r="AS870" s="36"/>
      <c r="AT870" s="36"/>
      <c r="AU870" s="27"/>
      <c r="AV870" s="37"/>
      <c r="AW870" s="38" t="str">
        <f t="shared" si="69"/>
        <v/>
      </c>
    </row>
    <row r="871" spans="1:49" ht="18" customHeight="1" x14ac:dyDescent="0.3">
      <c r="A871" s="23">
        <v>867</v>
      </c>
      <c r="B871" s="24" t="s">
        <v>3582</v>
      </c>
      <c r="C871" s="25" t="s">
        <v>3583</v>
      </c>
      <c r="D871" s="23" t="s">
        <v>2819</v>
      </c>
      <c r="E871" s="43">
        <v>46126</v>
      </c>
      <c r="F871" s="26" t="s">
        <v>23</v>
      </c>
      <c r="G871" s="26" t="s">
        <v>24</v>
      </c>
      <c r="H871" s="26" t="s">
        <v>25</v>
      </c>
      <c r="I871" s="26" t="s">
        <v>26</v>
      </c>
      <c r="J871" s="26" t="s">
        <v>24</v>
      </c>
      <c r="K871" s="27"/>
      <c r="L871" s="28" t="s">
        <v>25</v>
      </c>
      <c r="M871" s="29" t="str">
        <f t="shared" si="65"/>
        <v>✓ OK</v>
      </c>
      <c r="N871" s="43">
        <v>46193</v>
      </c>
      <c r="O871" s="26" t="s">
        <v>23</v>
      </c>
      <c r="P871" s="26" t="s">
        <v>24</v>
      </c>
      <c r="Q871" s="26" t="s">
        <v>25</v>
      </c>
      <c r="R871" s="26" t="s">
        <v>26</v>
      </c>
      <c r="S871" s="26" t="s">
        <v>24</v>
      </c>
      <c r="T871" s="27"/>
      <c r="U871" s="28" t="s">
        <v>25</v>
      </c>
      <c r="V871" s="29" t="str">
        <f t="shared" si="66"/>
        <v>✓ OK</v>
      </c>
      <c r="W871" s="45">
        <v>46248</v>
      </c>
      <c r="X871" s="30" t="s">
        <v>23</v>
      </c>
      <c r="Y871" s="30" t="s">
        <v>24</v>
      </c>
      <c r="Z871" s="30" t="s">
        <v>25</v>
      </c>
      <c r="AA871" s="30" t="s">
        <v>26</v>
      </c>
      <c r="AB871" s="30" t="s">
        <v>24</v>
      </c>
      <c r="AC871" s="27"/>
      <c r="AD871" s="31" t="s">
        <v>25</v>
      </c>
      <c r="AE871" s="32" t="str">
        <f t="shared" si="67"/>
        <v>✓ OK</v>
      </c>
      <c r="AF871" s="33" t="s">
        <v>27</v>
      </c>
      <c r="AG871" s="33" t="s">
        <v>23</v>
      </c>
      <c r="AH871" s="33" t="s">
        <v>24</v>
      </c>
      <c r="AI871" s="33" t="s">
        <v>25</v>
      </c>
      <c r="AJ871" s="33" t="s">
        <v>26</v>
      </c>
      <c r="AK871" s="33" t="s">
        <v>24</v>
      </c>
      <c r="AL871" s="27"/>
      <c r="AM871" s="34" t="s">
        <v>25</v>
      </c>
      <c r="AN871" s="35" t="str">
        <f t="shared" si="68"/>
        <v>✓ OK</v>
      </c>
      <c r="AO871" s="36"/>
      <c r="AP871" s="36"/>
      <c r="AQ871" s="36"/>
      <c r="AR871" s="36"/>
      <c r="AS871" s="36"/>
      <c r="AT871" s="36"/>
      <c r="AU871" s="27"/>
      <c r="AV871" s="37"/>
      <c r="AW871" s="38" t="str">
        <f t="shared" si="69"/>
        <v/>
      </c>
    </row>
    <row r="872" spans="1:49" ht="18" customHeight="1" x14ac:dyDescent="0.3">
      <c r="A872" s="39">
        <v>868</v>
      </c>
      <c r="B872" s="40" t="s">
        <v>3584</v>
      </c>
      <c r="C872" s="41" t="s">
        <v>3585</v>
      </c>
      <c r="D872" s="39" t="s">
        <v>2819</v>
      </c>
      <c r="E872" s="43">
        <v>46126</v>
      </c>
      <c r="F872" s="26" t="s">
        <v>23</v>
      </c>
      <c r="G872" s="26" t="s">
        <v>24</v>
      </c>
      <c r="H872" s="26" t="s">
        <v>25</v>
      </c>
      <c r="I872" s="26" t="s">
        <v>26</v>
      </c>
      <c r="J872" s="26" t="s">
        <v>24</v>
      </c>
      <c r="K872" s="27"/>
      <c r="L872" s="28" t="s">
        <v>25</v>
      </c>
      <c r="M872" s="29" t="str">
        <f t="shared" si="65"/>
        <v>✓ OK</v>
      </c>
      <c r="N872" s="43">
        <v>46193</v>
      </c>
      <c r="O872" s="26" t="s">
        <v>23</v>
      </c>
      <c r="P872" s="26" t="s">
        <v>24</v>
      </c>
      <c r="Q872" s="26" t="s">
        <v>25</v>
      </c>
      <c r="R872" s="26" t="s">
        <v>26</v>
      </c>
      <c r="S872" s="26" t="s">
        <v>24</v>
      </c>
      <c r="T872" s="27"/>
      <c r="U872" s="28" t="s">
        <v>25</v>
      </c>
      <c r="V872" s="29" t="str">
        <f t="shared" si="66"/>
        <v>✓ OK</v>
      </c>
      <c r="W872" s="45">
        <v>46248</v>
      </c>
      <c r="X872" s="30" t="s">
        <v>23</v>
      </c>
      <c r="Y872" s="30" t="s">
        <v>24</v>
      </c>
      <c r="Z872" s="30" t="s">
        <v>25</v>
      </c>
      <c r="AA872" s="30" t="s">
        <v>26</v>
      </c>
      <c r="AB872" s="30" t="s">
        <v>24</v>
      </c>
      <c r="AC872" s="27"/>
      <c r="AD872" s="31" t="s">
        <v>25</v>
      </c>
      <c r="AE872" s="32" t="str">
        <f t="shared" si="67"/>
        <v>✓ OK</v>
      </c>
      <c r="AF872" s="33" t="s">
        <v>27</v>
      </c>
      <c r="AG872" s="33" t="s">
        <v>23</v>
      </c>
      <c r="AH872" s="33" t="s">
        <v>24</v>
      </c>
      <c r="AI872" s="33" t="s">
        <v>25</v>
      </c>
      <c r="AJ872" s="33" t="s">
        <v>26</v>
      </c>
      <c r="AK872" s="33" t="s">
        <v>24</v>
      </c>
      <c r="AL872" s="27"/>
      <c r="AM872" s="34" t="s">
        <v>25</v>
      </c>
      <c r="AN872" s="35" t="str">
        <f t="shared" si="68"/>
        <v>✓ OK</v>
      </c>
      <c r="AO872" s="36"/>
      <c r="AP872" s="36"/>
      <c r="AQ872" s="36"/>
      <c r="AR872" s="36"/>
      <c r="AS872" s="36"/>
      <c r="AT872" s="36"/>
      <c r="AU872" s="27"/>
      <c r="AV872" s="37"/>
      <c r="AW872" s="38" t="str">
        <f t="shared" si="69"/>
        <v/>
      </c>
    </row>
    <row r="873" spans="1:49" ht="18" customHeight="1" x14ac:dyDescent="0.3">
      <c r="A873" s="23">
        <v>869</v>
      </c>
      <c r="B873" s="24" t="s">
        <v>3586</v>
      </c>
      <c r="C873" s="25" t="s">
        <v>3587</v>
      </c>
      <c r="D873" s="23" t="s">
        <v>2819</v>
      </c>
      <c r="E873" s="43">
        <v>46126</v>
      </c>
      <c r="F873" s="26" t="s">
        <v>23</v>
      </c>
      <c r="G873" s="26" t="s">
        <v>24</v>
      </c>
      <c r="H873" s="26" t="s">
        <v>25</v>
      </c>
      <c r="I873" s="26" t="s">
        <v>26</v>
      </c>
      <c r="J873" s="26" t="s">
        <v>24</v>
      </c>
      <c r="K873" s="27"/>
      <c r="L873" s="28" t="s">
        <v>25</v>
      </c>
      <c r="M873" s="29" t="str">
        <f t="shared" si="65"/>
        <v>✓ OK</v>
      </c>
      <c r="N873" s="43">
        <v>46193</v>
      </c>
      <c r="O873" s="26" t="s">
        <v>23</v>
      </c>
      <c r="P873" s="26" t="s">
        <v>24</v>
      </c>
      <c r="Q873" s="26" t="s">
        <v>25</v>
      </c>
      <c r="R873" s="26" t="s">
        <v>26</v>
      </c>
      <c r="S873" s="26" t="s">
        <v>24</v>
      </c>
      <c r="T873" s="27"/>
      <c r="U873" s="28" t="s">
        <v>25</v>
      </c>
      <c r="V873" s="29" t="str">
        <f t="shared" si="66"/>
        <v>✓ OK</v>
      </c>
      <c r="W873" s="45">
        <v>46248</v>
      </c>
      <c r="X873" s="30" t="s">
        <v>23</v>
      </c>
      <c r="Y873" s="30" t="s">
        <v>24</v>
      </c>
      <c r="Z873" s="30" t="s">
        <v>25</v>
      </c>
      <c r="AA873" s="30" t="s">
        <v>26</v>
      </c>
      <c r="AB873" s="30" t="s">
        <v>24</v>
      </c>
      <c r="AC873" s="27"/>
      <c r="AD873" s="31" t="s">
        <v>25</v>
      </c>
      <c r="AE873" s="32" t="str">
        <f t="shared" si="67"/>
        <v>✓ OK</v>
      </c>
      <c r="AF873" s="33" t="s">
        <v>27</v>
      </c>
      <c r="AG873" s="33" t="s">
        <v>23</v>
      </c>
      <c r="AH873" s="33" t="s">
        <v>24</v>
      </c>
      <c r="AI873" s="33" t="s">
        <v>25</v>
      </c>
      <c r="AJ873" s="33" t="s">
        <v>26</v>
      </c>
      <c r="AK873" s="33" t="s">
        <v>24</v>
      </c>
      <c r="AL873" s="27"/>
      <c r="AM873" s="34" t="s">
        <v>25</v>
      </c>
      <c r="AN873" s="35" t="str">
        <f t="shared" si="68"/>
        <v>✓ OK</v>
      </c>
      <c r="AO873" s="36"/>
      <c r="AP873" s="36"/>
      <c r="AQ873" s="36"/>
      <c r="AR873" s="36"/>
      <c r="AS873" s="36"/>
      <c r="AT873" s="36"/>
      <c r="AU873" s="27"/>
      <c r="AV873" s="37"/>
      <c r="AW873" s="38" t="str">
        <f t="shared" si="69"/>
        <v/>
      </c>
    </row>
    <row r="874" spans="1:49" ht="18" customHeight="1" x14ac:dyDescent="0.3">
      <c r="A874" s="39">
        <v>870</v>
      </c>
      <c r="B874" s="40" t="s">
        <v>3588</v>
      </c>
      <c r="C874" s="41" t="s">
        <v>3589</v>
      </c>
      <c r="D874" s="39" t="s">
        <v>2819</v>
      </c>
      <c r="E874" s="43">
        <v>46126</v>
      </c>
      <c r="F874" s="26" t="s">
        <v>23</v>
      </c>
      <c r="G874" s="26" t="s">
        <v>24</v>
      </c>
      <c r="H874" s="26" t="s">
        <v>25</v>
      </c>
      <c r="I874" s="26" t="s">
        <v>26</v>
      </c>
      <c r="J874" s="26" t="s">
        <v>24</v>
      </c>
      <c r="K874" s="27"/>
      <c r="L874" s="28" t="s">
        <v>25</v>
      </c>
      <c r="M874" s="29" t="str">
        <f t="shared" si="65"/>
        <v>✓ OK</v>
      </c>
      <c r="N874" s="43">
        <v>46193</v>
      </c>
      <c r="O874" s="26" t="s">
        <v>23</v>
      </c>
      <c r="P874" s="26" t="s">
        <v>24</v>
      </c>
      <c r="Q874" s="26" t="s">
        <v>25</v>
      </c>
      <c r="R874" s="26" t="s">
        <v>26</v>
      </c>
      <c r="S874" s="26" t="s">
        <v>24</v>
      </c>
      <c r="T874" s="27"/>
      <c r="U874" s="28" t="s">
        <v>25</v>
      </c>
      <c r="V874" s="29" t="str">
        <f t="shared" si="66"/>
        <v>✓ OK</v>
      </c>
      <c r="W874" s="45">
        <v>46248</v>
      </c>
      <c r="X874" s="30" t="s">
        <v>23</v>
      </c>
      <c r="Y874" s="30" t="s">
        <v>24</v>
      </c>
      <c r="Z874" s="30" t="s">
        <v>25</v>
      </c>
      <c r="AA874" s="30" t="s">
        <v>26</v>
      </c>
      <c r="AB874" s="30" t="s">
        <v>24</v>
      </c>
      <c r="AC874" s="27"/>
      <c r="AD874" s="31" t="s">
        <v>25</v>
      </c>
      <c r="AE874" s="32" t="str">
        <f t="shared" si="67"/>
        <v>✓ OK</v>
      </c>
      <c r="AF874" s="33" t="s">
        <v>27</v>
      </c>
      <c r="AG874" s="33" t="s">
        <v>23</v>
      </c>
      <c r="AH874" s="33" t="s">
        <v>24</v>
      </c>
      <c r="AI874" s="33" t="s">
        <v>25</v>
      </c>
      <c r="AJ874" s="33" t="s">
        <v>26</v>
      </c>
      <c r="AK874" s="33" t="s">
        <v>24</v>
      </c>
      <c r="AL874" s="27"/>
      <c r="AM874" s="34" t="s">
        <v>25</v>
      </c>
      <c r="AN874" s="35" t="str">
        <f t="shared" si="68"/>
        <v>✓ OK</v>
      </c>
      <c r="AO874" s="36"/>
      <c r="AP874" s="36"/>
      <c r="AQ874" s="36"/>
      <c r="AR874" s="36"/>
      <c r="AS874" s="36"/>
      <c r="AT874" s="36"/>
      <c r="AU874" s="27"/>
      <c r="AV874" s="37"/>
      <c r="AW874" s="38" t="str">
        <f t="shared" si="69"/>
        <v/>
      </c>
    </row>
    <row r="875" spans="1:49" ht="18" customHeight="1" x14ac:dyDescent="0.3">
      <c r="A875" s="23">
        <v>871</v>
      </c>
      <c r="B875" s="24" t="s">
        <v>3590</v>
      </c>
      <c r="C875" s="25" t="s">
        <v>3591</v>
      </c>
      <c r="D875" s="23" t="s">
        <v>2819</v>
      </c>
      <c r="E875" s="43">
        <v>46126</v>
      </c>
      <c r="F875" s="26" t="s">
        <v>23</v>
      </c>
      <c r="G875" s="26" t="s">
        <v>24</v>
      </c>
      <c r="H875" s="26" t="s">
        <v>25</v>
      </c>
      <c r="I875" s="26" t="s">
        <v>26</v>
      </c>
      <c r="J875" s="26" t="s">
        <v>24</v>
      </c>
      <c r="K875" s="27"/>
      <c r="L875" s="28" t="s">
        <v>25</v>
      </c>
      <c r="M875" s="29" t="str">
        <f t="shared" si="65"/>
        <v>✓ OK</v>
      </c>
      <c r="N875" s="43">
        <v>46193</v>
      </c>
      <c r="O875" s="26" t="s">
        <v>23</v>
      </c>
      <c r="P875" s="26" t="s">
        <v>24</v>
      </c>
      <c r="Q875" s="26" t="s">
        <v>25</v>
      </c>
      <c r="R875" s="26" t="s">
        <v>26</v>
      </c>
      <c r="S875" s="26" t="s">
        <v>24</v>
      </c>
      <c r="T875" s="27"/>
      <c r="U875" s="28" t="s">
        <v>25</v>
      </c>
      <c r="V875" s="29" t="str">
        <f t="shared" si="66"/>
        <v>✓ OK</v>
      </c>
      <c r="W875" s="45">
        <v>46248</v>
      </c>
      <c r="X875" s="30" t="s">
        <v>23</v>
      </c>
      <c r="Y875" s="30" t="s">
        <v>24</v>
      </c>
      <c r="Z875" s="30" t="s">
        <v>25</v>
      </c>
      <c r="AA875" s="30" t="s">
        <v>26</v>
      </c>
      <c r="AB875" s="30" t="s">
        <v>24</v>
      </c>
      <c r="AC875" s="27"/>
      <c r="AD875" s="31" t="s">
        <v>25</v>
      </c>
      <c r="AE875" s="32" t="str">
        <f t="shared" si="67"/>
        <v>✓ OK</v>
      </c>
      <c r="AF875" s="33" t="s">
        <v>27</v>
      </c>
      <c r="AG875" s="33" t="s">
        <v>23</v>
      </c>
      <c r="AH875" s="33" t="s">
        <v>24</v>
      </c>
      <c r="AI875" s="33" t="s">
        <v>25</v>
      </c>
      <c r="AJ875" s="33" t="s">
        <v>26</v>
      </c>
      <c r="AK875" s="33" t="s">
        <v>24</v>
      </c>
      <c r="AL875" s="27"/>
      <c r="AM875" s="34" t="s">
        <v>25</v>
      </c>
      <c r="AN875" s="35" t="str">
        <f t="shared" si="68"/>
        <v>✓ OK</v>
      </c>
      <c r="AO875" s="36"/>
      <c r="AP875" s="36"/>
      <c r="AQ875" s="36"/>
      <c r="AR875" s="36"/>
      <c r="AS875" s="36"/>
      <c r="AT875" s="36"/>
      <c r="AU875" s="27"/>
      <c r="AV875" s="37"/>
      <c r="AW875" s="38" t="str">
        <f t="shared" si="69"/>
        <v/>
      </c>
    </row>
    <row r="876" spans="1:49" ht="18" customHeight="1" x14ac:dyDescent="0.3">
      <c r="A876" s="39">
        <v>872</v>
      </c>
      <c r="B876" s="40" t="s">
        <v>3592</v>
      </c>
      <c r="C876" s="41" t="s">
        <v>3593</v>
      </c>
      <c r="D876" s="39" t="s">
        <v>2819</v>
      </c>
      <c r="E876" s="43">
        <v>46126</v>
      </c>
      <c r="F876" s="26" t="s">
        <v>23</v>
      </c>
      <c r="G876" s="26" t="s">
        <v>24</v>
      </c>
      <c r="H876" s="26" t="s">
        <v>25</v>
      </c>
      <c r="I876" s="26" t="s">
        <v>26</v>
      </c>
      <c r="J876" s="26" t="s">
        <v>24</v>
      </c>
      <c r="K876" s="27"/>
      <c r="L876" s="28" t="s">
        <v>25</v>
      </c>
      <c r="M876" s="29" t="str">
        <f t="shared" si="65"/>
        <v>✓ OK</v>
      </c>
      <c r="N876" s="43">
        <v>46193</v>
      </c>
      <c r="O876" s="26" t="s">
        <v>23</v>
      </c>
      <c r="P876" s="26" t="s">
        <v>24</v>
      </c>
      <c r="Q876" s="26" t="s">
        <v>25</v>
      </c>
      <c r="R876" s="26" t="s">
        <v>26</v>
      </c>
      <c r="S876" s="26" t="s">
        <v>24</v>
      </c>
      <c r="T876" s="27"/>
      <c r="U876" s="28" t="s">
        <v>25</v>
      </c>
      <c r="V876" s="29" t="str">
        <f t="shared" si="66"/>
        <v>✓ OK</v>
      </c>
      <c r="W876" s="45">
        <v>46248</v>
      </c>
      <c r="X876" s="30" t="s">
        <v>23</v>
      </c>
      <c r="Y876" s="30" t="s">
        <v>24</v>
      </c>
      <c r="Z876" s="30" t="s">
        <v>25</v>
      </c>
      <c r="AA876" s="30" t="s">
        <v>26</v>
      </c>
      <c r="AB876" s="30" t="s">
        <v>24</v>
      </c>
      <c r="AC876" s="27"/>
      <c r="AD876" s="31" t="s">
        <v>25</v>
      </c>
      <c r="AE876" s="32" t="str">
        <f t="shared" si="67"/>
        <v>✓ OK</v>
      </c>
      <c r="AF876" s="33" t="s">
        <v>27</v>
      </c>
      <c r="AG876" s="33" t="s">
        <v>23</v>
      </c>
      <c r="AH876" s="33" t="s">
        <v>24</v>
      </c>
      <c r="AI876" s="33" t="s">
        <v>25</v>
      </c>
      <c r="AJ876" s="33" t="s">
        <v>26</v>
      </c>
      <c r="AK876" s="33" t="s">
        <v>24</v>
      </c>
      <c r="AL876" s="27"/>
      <c r="AM876" s="34" t="s">
        <v>25</v>
      </c>
      <c r="AN876" s="35" t="str">
        <f t="shared" si="68"/>
        <v>✓ OK</v>
      </c>
      <c r="AO876" s="36"/>
      <c r="AP876" s="36"/>
      <c r="AQ876" s="36"/>
      <c r="AR876" s="36"/>
      <c r="AS876" s="36"/>
      <c r="AT876" s="36"/>
      <c r="AU876" s="27"/>
      <c r="AV876" s="37"/>
      <c r="AW876" s="38" t="str">
        <f t="shared" si="69"/>
        <v/>
      </c>
    </row>
    <row r="877" spans="1:49" ht="18" customHeight="1" x14ac:dyDescent="0.3">
      <c r="A877" s="23">
        <v>873</v>
      </c>
      <c r="B877" s="24" t="s">
        <v>3594</v>
      </c>
      <c r="C877" s="25" t="s">
        <v>3595</v>
      </c>
      <c r="D877" s="23" t="s">
        <v>2819</v>
      </c>
      <c r="E877" s="43">
        <v>46126</v>
      </c>
      <c r="F877" s="26" t="s">
        <v>23</v>
      </c>
      <c r="G877" s="26" t="s">
        <v>24</v>
      </c>
      <c r="H877" s="26" t="s">
        <v>25</v>
      </c>
      <c r="I877" s="26" t="s">
        <v>26</v>
      </c>
      <c r="J877" s="26" t="s">
        <v>24</v>
      </c>
      <c r="K877" s="27"/>
      <c r="L877" s="28" t="s">
        <v>25</v>
      </c>
      <c r="M877" s="29" t="str">
        <f t="shared" si="65"/>
        <v>✓ OK</v>
      </c>
      <c r="N877" s="43">
        <v>46193</v>
      </c>
      <c r="O877" s="26" t="s">
        <v>23</v>
      </c>
      <c r="P877" s="26" t="s">
        <v>24</v>
      </c>
      <c r="Q877" s="26" t="s">
        <v>25</v>
      </c>
      <c r="R877" s="26" t="s">
        <v>26</v>
      </c>
      <c r="S877" s="26" t="s">
        <v>24</v>
      </c>
      <c r="T877" s="27"/>
      <c r="U877" s="28" t="s">
        <v>25</v>
      </c>
      <c r="V877" s="29" t="str">
        <f t="shared" si="66"/>
        <v>✓ OK</v>
      </c>
      <c r="W877" s="45">
        <v>46248</v>
      </c>
      <c r="X877" s="30" t="s">
        <v>23</v>
      </c>
      <c r="Y877" s="30" t="s">
        <v>24</v>
      </c>
      <c r="Z877" s="30" t="s">
        <v>25</v>
      </c>
      <c r="AA877" s="30" t="s">
        <v>26</v>
      </c>
      <c r="AB877" s="30" t="s">
        <v>24</v>
      </c>
      <c r="AC877" s="27"/>
      <c r="AD877" s="31" t="s">
        <v>25</v>
      </c>
      <c r="AE877" s="32" t="str">
        <f t="shared" si="67"/>
        <v>✓ OK</v>
      </c>
      <c r="AF877" s="33" t="s">
        <v>27</v>
      </c>
      <c r="AG877" s="33" t="s">
        <v>23</v>
      </c>
      <c r="AH877" s="33" t="s">
        <v>24</v>
      </c>
      <c r="AI877" s="33" t="s">
        <v>25</v>
      </c>
      <c r="AJ877" s="33" t="s">
        <v>26</v>
      </c>
      <c r="AK877" s="33" t="s">
        <v>24</v>
      </c>
      <c r="AL877" s="27"/>
      <c r="AM877" s="34" t="s">
        <v>25</v>
      </c>
      <c r="AN877" s="35" t="str">
        <f t="shared" si="68"/>
        <v>✓ OK</v>
      </c>
      <c r="AO877" s="36"/>
      <c r="AP877" s="36"/>
      <c r="AQ877" s="36"/>
      <c r="AR877" s="36"/>
      <c r="AS877" s="36"/>
      <c r="AT877" s="36"/>
      <c r="AU877" s="27"/>
      <c r="AV877" s="37"/>
      <c r="AW877" s="38" t="str">
        <f t="shared" si="69"/>
        <v/>
      </c>
    </row>
    <row r="878" spans="1:49" ht="18" customHeight="1" x14ac:dyDescent="0.3">
      <c r="A878" s="39">
        <v>874</v>
      </c>
      <c r="B878" s="40" t="s">
        <v>3596</v>
      </c>
      <c r="C878" s="41" t="s">
        <v>3597</v>
      </c>
      <c r="D878" s="39" t="s">
        <v>2819</v>
      </c>
      <c r="E878" s="43">
        <v>46126</v>
      </c>
      <c r="F878" s="26" t="s">
        <v>23</v>
      </c>
      <c r="G878" s="26" t="s">
        <v>24</v>
      </c>
      <c r="H878" s="26" t="s">
        <v>25</v>
      </c>
      <c r="I878" s="26" t="s">
        <v>26</v>
      </c>
      <c r="J878" s="26" t="s">
        <v>24</v>
      </c>
      <c r="K878" s="27"/>
      <c r="L878" s="28" t="s">
        <v>25</v>
      </c>
      <c r="M878" s="29" t="str">
        <f t="shared" si="65"/>
        <v>✓ OK</v>
      </c>
      <c r="N878" s="43">
        <v>46193</v>
      </c>
      <c r="O878" s="26" t="s">
        <v>23</v>
      </c>
      <c r="P878" s="26" t="s">
        <v>24</v>
      </c>
      <c r="Q878" s="26" t="s">
        <v>25</v>
      </c>
      <c r="R878" s="26" t="s">
        <v>26</v>
      </c>
      <c r="S878" s="26" t="s">
        <v>24</v>
      </c>
      <c r="T878" s="27"/>
      <c r="U878" s="28" t="s">
        <v>25</v>
      </c>
      <c r="V878" s="29" t="str">
        <f t="shared" si="66"/>
        <v>✓ OK</v>
      </c>
      <c r="W878" s="45">
        <v>46248</v>
      </c>
      <c r="X878" s="30" t="s">
        <v>23</v>
      </c>
      <c r="Y878" s="30" t="s">
        <v>24</v>
      </c>
      <c r="Z878" s="30" t="s">
        <v>25</v>
      </c>
      <c r="AA878" s="30" t="s">
        <v>26</v>
      </c>
      <c r="AB878" s="30" t="s">
        <v>24</v>
      </c>
      <c r="AC878" s="27"/>
      <c r="AD878" s="31" t="s">
        <v>25</v>
      </c>
      <c r="AE878" s="32" t="str">
        <f t="shared" si="67"/>
        <v>✓ OK</v>
      </c>
      <c r="AF878" s="33" t="s">
        <v>27</v>
      </c>
      <c r="AG878" s="33" t="s">
        <v>23</v>
      </c>
      <c r="AH878" s="33" t="s">
        <v>24</v>
      </c>
      <c r="AI878" s="33" t="s">
        <v>25</v>
      </c>
      <c r="AJ878" s="33" t="s">
        <v>26</v>
      </c>
      <c r="AK878" s="33" t="s">
        <v>24</v>
      </c>
      <c r="AL878" s="27"/>
      <c r="AM878" s="34" t="s">
        <v>25</v>
      </c>
      <c r="AN878" s="35" t="str">
        <f t="shared" si="68"/>
        <v>✓ OK</v>
      </c>
      <c r="AO878" s="36"/>
      <c r="AP878" s="36"/>
      <c r="AQ878" s="36"/>
      <c r="AR878" s="36"/>
      <c r="AS878" s="36"/>
      <c r="AT878" s="36"/>
      <c r="AU878" s="27"/>
      <c r="AV878" s="37"/>
      <c r="AW878" s="38" t="str">
        <f t="shared" si="69"/>
        <v/>
      </c>
    </row>
    <row r="879" spans="1:49" ht="18" customHeight="1" x14ac:dyDescent="0.3">
      <c r="A879" s="23">
        <v>875</v>
      </c>
      <c r="B879" s="24" t="s">
        <v>3598</v>
      </c>
      <c r="C879" s="25" t="s">
        <v>3599</v>
      </c>
      <c r="D879" s="23" t="s">
        <v>2819</v>
      </c>
      <c r="E879" s="43">
        <v>46126</v>
      </c>
      <c r="F879" s="26" t="s">
        <v>23</v>
      </c>
      <c r="G879" s="26" t="s">
        <v>24</v>
      </c>
      <c r="H879" s="26" t="s">
        <v>25</v>
      </c>
      <c r="I879" s="26" t="s">
        <v>26</v>
      </c>
      <c r="J879" s="26" t="s">
        <v>24</v>
      </c>
      <c r="K879" s="27"/>
      <c r="L879" s="28" t="s">
        <v>25</v>
      </c>
      <c r="M879" s="29" t="str">
        <f t="shared" si="65"/>
        <v>✓ OK</v>
      </c>
      <c r="N879" s="43">
        <v>46193</v>
      </c>
      <c r="O879" s="26" t="s">
        <v>23</v>
      </c>
      <c r="P879" s="26" t="s">
        <v>24</v>
      </c>
      <c r="Q879" s="26" t="s">
        <v>25</v>
      </c>
      <c r="R879" s="26" t="s">
        <v>26</v>
      </c>
      <c r="S879" s="26" t="s">
        <v>24</v>
      </c>
      <c r="T879" s="27"/>
      <c r="U879" s="28" t="s">
        <v>25</v>
      </c>
      <c r="V879" s="29" t="str">
        <f t="shared" si="66"/>
        <v>✓ OK</v>
      </c>
      <c r="W879" s="45">
        <v>46248</v>
      </c>
      <c r="X879" s="30" t="s">
        <v>23</v>
      </c>
      <c r="Y879" s="30" t="s">
        <v>24</v>
      </c>
      <c r="Z879" s="30" t="s">
        <v>25</v>
      </c>
      <c r="AA879" s="30" t="s">
        <v>26</v>
      </c>
      <c r="AB879" s="30" t="s">
        <v>24</v>
      </c>
      <c r="AC879" s="27"/>
      <c r="AD879" s="31" t="s">
        <v>25</v>
      </c>
      <c r="AE879" s="32" t="str">
        <f t="shared" si="67"/>
        <v>✓ OK</v>
      </c>
      <c r="AF879" s="33" t="s">
        <v>27</v>
      </c>
      <c r="AG879" s="33" t="s">
        <v>23</v>
      </c>
      <c r="AH879" s="33" t="s">
        <v>24</v>
      </c>
      <c r="AI879" s="33" t="s">
        <v>25</v>
      </c>
      <c r="AJ879" s="33" t="s">
        <v>26</v>
      </c>
      <c r="AK879" s="33" t="s">
        <v>24</v>
      </c>
      <c r="AL879" s="27"/>
      <c r="AM879" s="34" t="s">
        <v>25</v>
      </c>
      <c r="AN879" s="35" t="str">
        <f t="shared" si="68"/>
        <v>✓ OK</v>
      </c>
      <c r="AO879" s="36"/>
      <c r="AP879" s="36"/>
      <c r="AQ879" s="36"/>
      <c r="AR879" s="36"/>
      <c r="AS879" s="36"/>
      <c r="AT879" s="36"/>
      <c r="AU879" s="27"/>
      <c r="AV879" s="37"/>
      <c r="AW879" s="38" t="str">
        <f t="shared" si="69"/>
        <v/>
      </c>
    </row>
    <row r="880" spans="1:49" ht="18" customHeight="1" x14ac:dyDescent="0.3">
      <c r="A880" s="39">
        <v>876</v>
      </c>
      <c r="B880" s="40" t="s">
        <v>3600</v>
      </c>
      <c r="C880" s="41" t="s">
        <v>3601</v>
      </c>
      <c r="D880" s="39" t="s">
        <v>2819</v>
      </c>
      <c r="E880" s="43">
        <v>46126</v>
      </c>
      <c r="F880" s="26" t="s">
        <v>23</v>
      </c>
      <c r="G880" s="26" t="s">
        <v>24</v>
      </c>
      <c r="H880" s="26" t="s">
        <v>25</v>
      </c>
      <c r="I880" s="26" t="s">
        <v>26</v>
      </c>
      <c r="J880" s="26" t="s">
        <v>24</v>
      </c>
      <c r="K880" s="27"/>
      <c r="L880" s="28" t="s">
        <v>25</v>
      </c>
      <c r="M880" s="29" t="str">
        <f t="shared" si="65"/>
        <v>✓ OK</v>
      </c>
      <c r="N880" s="43">
        <v>46193</v>
      </c>
      <c r="O880" s="26" t="s">
        <v>23</v>
      </c>
      <c r="P880" s="26" t="s">
        <v>24</v>
      </c>
      <c r="Q880" s="26" t="s">
        <v>25</v>
      </c>
      <c r="R880" s="26" t="s">
        <v>26</v>
      </c>
      <c r="S880" s="26" t="s">
        <v>24</v>
      </c>
      <c r="T880" s="27"/>
      <c r="U880" s="28" t="s">
        <v>25</v>
      </c>
      <c r="V880" s="29" t="str">
        <f t="shared" si="66"/>
        <v>✓ OK</v>
      </c>
      <c r="W880" s="45">
        <v>46248</v>
      </c>
      <c r="X880" s="30" t="s">
        <v>23</v>
      </c>
      <c r="Y880" s="30" t="s">
        <v>24</v>
      </c>
      <c r="Z880" s="30" t="s">
        <v>25</v>
      </c>
      <c r="AA880" s="30" t="s">
        <v>26</v>
      </c>
      <c r="AB880" s="30" t="s">
        <v>24</v>
      </c>
      <c r="AC880" s="27"/>
      <c r="AD880" s="31" t="s">
        <v>25</v>
      </c>
      <c r="AE880" s="32" t="str">
        <f t="shared" si="67"/>
        <v>✓ OK</v>
      </c>
      <c r="AF880" s="33" t="s">
        <v>27</v>
      </c>
      <c r="AG880" s="33" t="s">
        <v>23</v>
      </c>
      <c r="AH880" s="33" t="s">
        <v>24</v>
      </c>
      <c r="AI880" s="33" t="s">
        <v>25</v>
      </c>
      <c r="AJ880" s="33" t="s">
        <v>26</v>
      </c>
      <c r="AK880" s="33" t="s">
        <v>24</v>
      </c>
      <c r="AL880" s="27"/>
      <c r="AM880" s="34" t="s">
        <v>25</v>
      </c>
      <c r="AN880" s="35" t="str">
        <f t="shared" si="68"/>
        <v>✓ OK</v>
      </c>
      <c r="AO880" s="36"/>
      <c r="AP880" s="36"/>
      <c r="AQ880" s="36"/>
      <c r="AR880" s="36"/>
      <c r="AS880" s="36"/>
      <c r="AT880" s="36"/>
      <c r="AU880" s="27"/>
      <c r="AV880" s="37"/>
      <c r="AW880" s="38" t="str">
        <f t="shared" si="69"/>
        <v/>
      </c>
    </row>
    <row r="881" spans="1:49" ht="18" customHeight="1" x14ac:dyDescent="0.3">
      <c r="A881" s="23">
        <v>877</v>
      </c>
      <c r="B881" s="24" t="s">
        <v>3602</v>
      </c>
      <c r="C881" s="25" t="s">
        <v>3603</v>
      </c>
      <c r="D881" s="23" t="s">
        <v>2819</v>
      </c>
      <c r="E881" s="43">
        <v>46126</v>
      </c>
      <c r="F881" s="26" t="s">
        <v>23</v>
      </c>
      <c r="G881" s="26" t="s">
        <v>24</v>
      </c>
      <c r="H881" s="26" t="s">
        <v>25</v>
      </c>
      <c r="I881" s="26" t="s">
        <v>26</v>
      </c>
      <c r="J881" s="26" t="s">
        <v>24</v>
      </c>
      <c r="K881" s="27"/>
      <c r="L881" s="28" t="s">
        <v>25</v>
      </c>
      <c r="M881" s="29" t="str">
        <f t="shared" si="65"/>
        <v>✓ OK</v>
      </c>
      <c r="N881" s="43">
        <v>46193</v>
      </c>
      <c r="O881" s="26" t="s">
        <v>23</v>
      </c>
      <c r="P881" s="26" t="s">
        <v>24</v>
      </c>
      <c r="Q881" s="26" t="s">
        <v>25</v>
      </c>
      <c r="R881" s="26" t="s">
        <v>26</v>
      </c>
      <c r="S881" s="26" t="s">
        <v>24</v>
      </c>
      <c r="T881" s="27"/>
      <c r="U881" s="28" t="s">
        <v>25</v>
      </c>
      <c r="V881" s="29" t="str">
        <f t="shared" si="66"/>
        <v>✓ OK</v>
      </c>
      <c r="W881" s="45">
        <v>46248</v>
      </c>
      <c r="X881" s="30" t="s">
        <v>23</v>
      </c>
      <c r="Y881" s="30" t="s">
        <v>24</v>
      </c>
      <c r="Z881" s="30" t="s">
        <v>25</v>
      </c>
      <c r="AA881" s="30" t="s">
        <v>26</v>
      </c>
      <c r="AB881" s="30" t="s">
        <v>24</v>
      </c>
      <c r="AC881" s="27"/>
      <c r="AD881" s="31" t="s">
        <v>25</v>
      </c>
      <c r="AE881" s="32" t="str">
        <f t="shared" si="67"/>
        <v>✓ OK</v>
      </c>
      <c r="AF881" s="33" t="s">
        <v>27</v>
      </c>
      <c r="AG881" s="33" t="s">
        <v>23</v>
      </c>
      <c r="AH881" s="33" t="s">
        <v>24</v>
      </c>
      <c r="AI881" s="33" t="s">
        <v>25</v>
      </c>
      <c r="AJ881" s="33" t="s">
        <v>26</v>
      </c>
      <c r="AK881" s="33" t="s">
        <v>24</v>
      </c>
      <c r="AL881" s="27"/>
      <c r="AM881" s="34" t="s">
        <v>25</v>
      </c>
      <c r="AN881" s="35" t="str">
        <f t="shared" si="68"/>
        <v>✓ OK</v>
      </c>
      <c r="AO881" s="36"/>
      <c r="AP881" s="36"/>
      <c r="AQ881" s="36"/>
      <c r="AR881" s="36"/>
      <c r="AS881" s="36"/>
      <c r="AT881" s="36"/>
      <c r="AU881" s="27"/>
      <c r="AV881" s="37"/>
      <c r="AW881" s="38" t="str">
        <f t="shared" si="69"/>
        <v/>
      </c>
    </row>
    <row r="882" spans="1:49" ht="18" customHeight="1" x14ac:dyDescent="0.3">
      <c r="A882" s="39">
        <v>878</v>
      </c>
      <c r="B882" s="40" t="s">
        <v>3604</v>
      </c>
      <c r="C882" s="41" t="s">
        <v>3605</v>
      </c>
      <c r="D882" s="39" t="s">
        <v>2819</v>
      </c>
      <c r="E882" s="43">
        <v>46126</v>
      </c>
      <c r="F882" s="26" t="s">
        <v>23</v>
      </c>
      <c r="G882" s="26" t="s">
        <v>24</v>
      </c>
      <c r="H882" s="26" t="s">
        <v>25</v>
      </c>
      <c r="I882" s="26" t="s">
        <v>26</v>
      </c>
      <c r="J882" s="26" t="s">
        <v>24</v>
      </c>
      <c r="K882" s="27"/>
      <c r="L882" s="28" t="s">
        <v>25</v>
      </c>
      <c r="M882" s="29" t="str">
        <f t="shared" si="65"/>
        <v>✓ OK</v>
      </c>
      <c r="N882" s="43">
        <v>46193</v>
      </c>
      <c r="O882" s="26" t="s">
        <v>23</v>
      </c>
      <c r="P882" s="26" t="s">
        <v>24</v>
      </c>
      <c r="Q882" s="26" t="s">
        <v>25</v>
      </c>
      <c r="R882" s="26" t="s">
        <v>26</v>
      </c>
      <c r="S882" s="26" t="s">
        <v>24</v>
      </c>
      <c r="T882" s="27"/>
      <c r="U882" s="28" t="s">
        <v>25</v>
      </c>
      <c r="V882" s="29" t="str">
        <f t="shared" si="66"/>
        <v>✓ OK</v>
      </c>
      <c r="W882" s="45">
        <v>46248</v>
      </c>
      <c r="X882" s="30" t="s">
        <v>23</v>
      </c>
      <c r="Y882" s="30" t="s">
        <v>24</v>
      </c>
      <c r="Z882" s="30" t="s">
        <v>25</v>
      </c>
      <c r="AA882" s="30" t="s">
        <v>26</v>
      </c>
      <c r="AB882" s="30" t="s">
        <v>24</v>
      </c>
      <c r="AC882" s="27"/>
      <c r="AD882" s="31" t="s">
        <v>25</v>
      </c>
      <c r="AE882" s="32" t="str">
        <f t="shared" si="67"/>
        <v>✓ OK</v>
      </c>
      <c r="AF882" s="33" t="s">
        <v>27</v>
      </c>
      <c r="AG882" s="33" t="s">
        <v>23</v>
      </c>
      <c r="AH882" s="33" t="s">
        <v>24</v>
      </c>
      <c r="AI882" s="33" t="s">
        <v>25</v>
      </c>
      <c r="AJ882" s="33" t="s">
        <v>26</v>
      </c>
      <c r="AK882" s="33" t="s">
        <v>24</v>
      </c>
      <c r="AL882" s="27"/>
      <c r="AM882" s="34" t="s">
        <v>25</v>
      </c>
      <c r="AN882" s="35" t="str">
        <f t="shared" si="68"/>
        <v>✓ OK</v>
      </c>
      <c r="AO882" s="36"/>
      <c r="AP882" s="36"/>
      <c r="AQ882" s="36"/>
      <c r="AR882" s="36"/>
      <c r="AS882" s="36"/>
      <c r="AT882" s="36"/>
      <c r="AU882" s="27"/>
      <c r="AV882" s="37"/>
      <c r="AW882" s="38" t="str">
        <f t="shared" si="69"/>
        <v/>
      </c>
    </row>
    <row r="883" spans="1:49" ht="18" customHeight="1" x14ac:dyDescent="0.3">
      <c r="A883" s="23">
        <v>879</v>
      </c>
      <c r="B883" s="24" t="s">
        <v>3606</v>
      </c>
      <c r="C883" s="25" t="s">
        <v>3607</v>
      </c>
      <c r="D883" s="23" t="s">
        <v>2819</v>
      </c>
      <c r="E883" s="43">
        <v>46126</v>
      </c>
      <c r="F883" s="26" t="s">
        <v>23</v>
      </c>
      <c r="G883" s="26" t="s">
        <v>24</v>
      </c>
      <c r="H883" s="26" t="s">
        <v>25</v>
      </c>
      <c r="I883" s="26" t="s">
        <v>26</v>
      </c>
      <c r="J883" s="26" t="s">
        <v>24</v>
      </c>
      <c r="K883" s="27"/>
      <c r="L883" s="28" t="s">
        <v>25</v>
      </c>
      <c r="M883" s="29" t="str">
        <f t="shared" si="65"/>
        <v>✓ OK</v>
      </c>
      <c r="N883" s="43">
        <v>46193</v>
      </c>
      <c r="O883" s="26" t="s">
        <v>23</v>
      </c>
      <c r="P883" s="26" t="s">
        <v>24</v>
      </c>
      <c r="Q883" s="26" t="s">
        <v>25</v>
      </c>
      <c r="R883" s="26" t="s">
        <v>26</v>
      </c>
      <c r="S883" s="26" t="s">
        <v>24</v>
      </c>
      <c r="T883" s="27"/>
      <c r="U883" s="28" t="s">
        <v>25</v>
      </c>
      <c r="V883" s="29" t="str">
        <f t="shared" si="66"/>
        <v>✓ OK</v>
      </c>
      <c r="W883" s="45">
        <v>46248</v>
      </c>
      <c r="X883" s="30" t="s">
        <v>23</v>
      </c>
      <c r="Y883" s="30" t="s">
        <v>24</v>
      </c>
      <c r="Z883" s="30" t="s">
        <v>25</v>
      </c>
      <c r="AA883" s="30" t="s">
        <v>26</v>
      </c>
      <c r="AB883" s="30" t="s">
        <v>24</v>
      </c>
      <c r="AC883" s="27"/>
      <c r="AD883" s="31" t="s">
        <v>25</v>
      </c>
      <c r="AE883" s="32" t="str">
        <f t="shared" si="67"/>
        <v>✓ OK</v>
      </c>
      <c r="AF883" s="33" t="s">
        <v>27</v>
      </c>
      <c r="AG883" s="33" t="s">
        <v>23</v>
      </c>
      <c r="AH883" s="33" t="s">
        <v>24</v>
      </c>
      <c r="AI883" s="33" t="s">
        <v>25</v>
      </c>
      <c r="AJ883" s="33" t="s">
        <v>26</v>
      </c>
      <c r="AK883" s="33" t="s">
        <v>24</v>
      </c>
      <c r="AL883" s="27"/>
      <c r="AM883" s="34" t="s">
        <v>25</v>
      </c>
      <c r="AN883" s="35" t="str">
        <f t="shared" si="68"/>
        <v>✓ OK</v>
      </c>
      <c r="AO883" s="36"/>
      <c r="AP883" s="36"/>
      <c r="AQ883" s="36"/>
      <c r="AR883" s="36"/>
      <c r="AS883" s="36"/>
      <c r="AT883" s="36"/>
      <c r="AU883" s="27"/>
      <c r="AV883" s="37"/>
      <c r="AW883" s="38" t="str">
        <f t="shared" si="69"/>
        <v/>
      </c>
    </row>
    <row r="884" spans="1:49" ht="18" customHeight="1" x14ac:dyDescent="0.3">
      <c r="A884" s="39">
        <v>880</v>
      </c>
      <c r="B884" s="40" t="s">
        <v>3608</v>
      </c>
      <c r="C884" s="41" t="s">
        <v>3609</v>
      </c>
      <c r="D884" s="39" t="s">
        <v>2819</v>
      </c>
      <c r="E884" s="43">
        <v>46126</v>
      </c>
      <c r="F884" s="26" t="s">
        <v>23</v>
      </c>
      <c r="G884" s="26" t="s">
        <v>24</v>
      </c>
      <c r="H884" s="26" t="s">
        <v>25</v>
      </c>
      <c r="I884" s="26" t="s">
        <v>26</v>
      </c>
      <c r="J884" s="26" t="s">
        <v>24</v>
      </c>
      <c r="K884" s="27"/>
      <c r="L884" s="28" t="s">
        <v>25</v>
      </c>
      <c r="M884" s="29" t="str">
        <f t="shared" si="65"/>
        <v>✓ OK</v>
      </c>
      <c r="N884" s="43">
        <v>46193</v>
      </c>
      <c r="O884" s="26" t="s">
        <v>23</v>
      </c>
      <c r="P884" s="26" t="s">
        <v>24</v>
      </c>
      <c r="Q884" s="26" t="s">
        <v>25</v>
      </c>
      <c r="R884" s="26" t="s">
        <v>26</v>
      </c>
      <c r="S884" s="26" t="s">
        <v>24</v>
      </c>
      <c r="T884" s="27"/>
      <c r="U884" s="28" t="s">
        <v>25</v>
      </c>
      <c r="V884" s="29" t="str">
        <f t="shared" si="66"/>
        <v>✓ OK</v>
      </c>
      <c r="W884" s="45">
        <v>46248</v>
      </c>
      <c r="X884" s="30" t="s">
        <v>23</v>
      </c>
      <c r="Y884" s="30" t="s">
        <v>24</v>
      </c>
      <c r="Z884" s="30" t="s">
        <v>25</v>
      </c>
      <c r="AA884" s="30" t="s">
        <v>26</v>
      </c>
      <c r="AB884" s="30" t="s">
        <v>24</v>
      </c>
      <c r="AC884" s="27"/>
      <c r="AD884" s="31" t="s">
        <v>25</v>
      </c>
      <c r="AE884" s="32" t="str">
        <f t="shared" si="67"/>
        <v>✓ OK</v>
      </c>
      <c r="AF884" s="33" t="s">
        <v>27</v>
      </c>
      <c r="AG884" s="33" t="s">
        <v>23</v>
      </c>
      <c r="AH884" s="33" t="s">
        <v>24</v>
      </c>
      <c r="AI884" s="33" t="s">
        <v>25</v>
      </c>
      <c r="AJ884" s="33" t="s">
        <v>26</v>
      </c>
      <c r="AK884" s="33" t="s">
        <v>24</v>
      </c>
      <c r="AL884" s="27"/>
      <c r="AM884" s="34" t="s">
        <v>25</v>
      </c>
      <c r="AN884" s="35" t="str">
        <f t="shared" si="68"/>
        <v>✓ OK</v>
      </c>
      <c r="AO884" s="36"/>
      <c r="AP884" s="36"/>
      <c r="AQ884" s="36"/>
      <c r="AR884" s="36"/>
      <c r="AS884" s="36"/>
      <c r="AT884" s="36"/>
      <c r="AU884" s="27"/>
      <c r="AV884" s="37"/>
      <c r="AW884" s="38" t="str">
        <f t="shared" si="69"/>
        <v/>
      </c>
    </row>
    <row r="885" spans="1:49" ht="18" customHeight="1" x14ac:dyDescent="0.3">
      <c r="A885" s="23">
        <v>881</v>
      </c>
      <c r="B885" s="24" t="s">
        <v>3610</v>
      </c>
      <c r="C885" s="25" t="s">
        <v>3611</v>
      </c>
      <c r="D885" s="23" t="s">
        <v>2819</v>
      </c>
      <c r="E885" s="43">
        <v>46126</v>
      </c>
      <c r="F885" s="26" t="s">
        <v>23</v>
      </c>
      <c r="G885" s="26" t="s">
        <v>24</v>
      </c>
      <c r="H885" s="26" t="s">
        <v>25</v>
      </c>
      <c r="I885" s="26" t="s">
        <v>26</v>
      </c>
      <c r="J885" s="26" t="s">
        <v>24</v>
      </c>
      <c r="K885" s="27"/>
      <c r="L885" s="28" t="s">
        <v>25</v>
      </c>
      <c r="M885" s="29" t="str">
        <f t="shared" si="65"/>
        <v>✓ OK</v>
      </c>
      <c r="N885" s="43">
        <v>46193</v>
      </c>
      <c r="O885" s="26" t="s">
        <v>23</v>
      </c>
      <c r="P885" s="26" t="s">
        <v>24</v>
      </c>
      <c r="Q885" s="26" t="s">
        <v>25</v>
      </c>
      <c r="R885" s="26" t="s">
        <v>26</v>
      </c>
      <c r="S885" s="26" t="s">
        <v>24</v>
      </c>
      <c r="T885" s="27"/>
      <c r="U885" s="28" t="s">
        <v>25</v>
      </c>
      <c r="V885" s="29" t="str">
        <f t="shared" si="66"/>
        <v>✓ OK</v>
      </c>
      <c r="W885" s="45">
        <v>46248</v>
      </c>
      <c r="X885" s="30" t="s">
        <v>23</v>
      </c>
      <c r="Y885" s="30" t="s">
        <v>24</v>
      </c>
      <c r="Z885" s="30" t="s">
        <v>25</v>
      </c>
      <c r="AA885" s="30" t="s">
        <v>26</v>
      </c>
      <c r="AB885" s="30" t="s">
        <v>24</v>
      </c>
      <c r="AC885" s="27"/>
      <c r="AD885" s="31" t="s">
        <v>25</v>
      </c>
      <c r="AE885" s="32" t="str">
        <f t="shared" si="67"/>
        <v>✓ OK</v>
      </c>
      <c r="AF885" s="33" t="s">
        <v>27</v>
      </c>
      <c r="AG885" s="33" t="s">
        <v>23</v>
      </c>
      <c r="AH885" s="33" t="s">
        <v>24</v>
      </c>
      <c r="AI885" s="33" t="s">
        <v>25</v>
      </c>
      <c r="AJ885" s="33" t="s">
        <v>26</v>
      </c>
      <c r="AK885" s="33" t="s">
        <v>24</v>
      </c>
      <c r="AL885" s="27"/>
      <c r="AM885" s="34" t="s">
        <v>25</v>
      </c>
      <c r="AN885" s="35" t="str">
        <f t="shared" si="68"/>
        <v>✓ OK</v>
      </c>
      <c r="AO885" s="36"/>
      <c r="AP885" s="36"/>
      <c r="AQ885" s="36"/>
      <c r="AR885" s="36"/>
      <c r="AS885" s="36"/>
      <c r="AT885" s="36"/>
      <c r="AU885" s="27"/>
      <c r="AV885" s="37"/>
      <c r="AW885" s="38" t="str">
        <f t="shared" si="69"/>
        <v/>
      </c>
    </row>
    <row r="886" spans="1:49" ht="18" customHeight="1" x14ac:dyDescent="0.3">
      <c r="A886" s="39">
        <v>882</v>
      </c>
      <c r="B886" s="40" t="s">
        <v>3612</v>
      </c>
      <c r="C886" s="41" t="s">
        <v>3613</v>
      </c>
      <c r="D886" s="39" t="s">
        <v>2819</v>
      </c>
      <c r="E886" s="43">
        <v>46126</v>
      </c>
      <c r="F886" s="26" t="s">
        <v>23</v>
      </c>
      <c r="G886" s="26" t="s">
        <v>24</v>
      </c>
      <c r="H886" s="26" t="s">
        <v>25</v>
      </c>
      <c r="I886" s="26" t="s">
        <v>26</v>
      </c>
      <c r="J886" s="26" t="s">
        <v>24</v>
      </c>
      <c r="K886" s="27"/>
      <c r="L886" s="28" t="s">
        <v>25</v>
      </c>
      <c r="M886" s="29" t="str">
        <f t="shared" si="65"/>
        <v>✓ OK</v>
      </c>
      <c r="N886" s="43">
        <v>46193</v>
      </c>
      <c r="O886" s="26" t="s">
        <v>23</v>
      </c>
      <c r="P886" s="26" t="s">
        <v>24</v>
      </c>
      <c r="Q886" s="26" t="s">
        <v>25</v>
      </c>
      <c r="R886" s="26" t="s">
        <v>26</v>
      </c>
      <c r="S886" s="26" t="s">
        <v>24</v>
      </c>
      <c r="T886" s="27"/>
      <c r="U886" s="28" t="s">
        <v>25</v>
      </c>
      <c r="V886" s="29" t="str">
        <f t="shared" si="66"/>
        <v>✓ OK</v>
      </c>
      <c r="W886" s="45">
        <v>46248</v>
      </c>
      <c r="X886" s="30" t="s">
        <v>23</v>
      </c>
      <c r="Y886" s="30" t="s">
        <v>24</v>
      </c>
      <c r="Z886" s="30" t="s">
        <v>25</v>
      </c>
      <c r="AA886" s="30" t="s">
        <v>26</v>
      </c>
      <c r="AB886" s="30" t="s">
        <v>24</v>
      </c>
      <c r="AC886" s="27"/>
      <c r="AD886" s="31" t="s">
        <v>25</v>
      </c>
      <c r="AE886" s="32" t="str">
        <f t="shared" si="67"/>
        <v>✓ OK</v>
      </c>
      <c r="AF886" s="33" t="s">
        <v>27</v>
      </c>
      <c r="AG886" s="33" t="s">
        <v>23</v>
      </c>
      <c r="AH886" s="33" t="s">
        <v>24</v>
      </c>
      <c r="AI886" s="33" t="s">
        <v>25</v>
      </c>
      <c r="AJ886" s="33" t="s">
        <v>26</v>
      </c>
      <c r="AK886" s="33" t="s">
        <v>24</v>
      </c>
      <c r="AL886" s="27"/>
      <c r="AM886" s="34" t="s">
        <v>25</v>
      </c>
      <c r="AN886" s="35" t="str">
        <f t="shared" si="68"/>
        <v>✓ OK</v>
      </c>
      <c r="AO886" s="36"/>
      <c r="AP886" s="36"/>
      <c r="AQ886" s="36"/>
      <c r="AR886" s="36"/>
      <c r="AS886" s="36"/>
      <c r="AT886" s="36"/>
      <c r="AU886" s="27"/>
      <c r="AV886" s="37"/>
      <c r="AW886" s="38" t="str">
        <f t="shared" si="69"/>
        <v/>
      </c>
    </row>
    <row r="887" spans="1:49" ht="18" customHeight="1" x14ac:dyDescent="0.3">
      <c r="A887" s="23">
        <v>883</v>
      </c>
      <c r="B887" s="24" t="s">
        <v>3614</v>
      </c>
      <c r="C887" s="25" t="s">
        <v>3615</v>
      </c>
      <c r="D887" s="23" t="s">
        <v>2819</v>
      </c>
      <c r="E887" s="43">
        <v>46126</v>
      </c>
      <c r="F887" s="26" t="s">
        <v>23</v>
      </c>
      <c r="G887" s="26" t="s">
        <v>24</v>
      </c>
      <c r="H887" s="26" t="s">
        <v>25</v>
      </c>
      <c r="I887" s="26" t="s">
        <v>26</v>
      </c>
      <c r="J887" s="26" t="s">
        <v>24</v>
      </c>
      <c r="K887" s="27"/>
      <c r="L887" s="28" t="s">
        <v>25</v>
      </c>
      <c r="M887" s="29" t="str">
        <f t="shared" si="65"/>
        <v>✓ OK</v>
      </c>
      <c r="N887" s="43">
        <v>46193</v>
      </c>
      <c r="O887" s="26" t="s">
        <v>23</v>
      </c>
      <c r="P887" s="26" t="s">
        <v>24</v>
      </c>
      <c r="Q887" s="26" t="s">
        <v>25</v>
      </c>
      <c r="R887" s="26" t="s">
        <v>26</v>
      </c>
      <c r="S887" s="26" t="s">
        <v>24</v>
      </c>
      <c r="T887" s="27"/>
      <c r="U887" s="28" t="s">
        <v>25</v>
      </c>
      <c r="V887" s="29" t="str">
        <f t="shared" si="66"/>
        <v>✓ OK</v>
      </c>
      <c r="W887" s="45">
        <v>46248</v>
      </c>
      <c r="X887" s="30" t="s">
        <v>23</v>
      </c>
      <c r="Y887" s="30" t="s">
        <v>24</v>
      </c>
      <c r="Z887" s="30" t="s">
        <v>25</v>
      </c>
      <c r="AA887" s="30" t="s">
        <v>26</v>
      </c>
      <c r="AB887" s="30" t="s">
        <v>24</v>
      </c>
      <c r="AC887" s="27"/>
      <c r="AD887" s="31" t="s">
        <v>25</v>
      </c>
      <c r="AE887" s="32" t="str">
        <f t="shared" si="67"/>
        <v>✓ OK</v>
      </c>
      <c r="AF887" s="33" t="s">
        <v>27</v>
      </c>
      <c r="AG887" s="33" t="s">
        <v>23</v>
      </c>
      <c r="AH887" s="33" t="s">
        <v>24</v>
      </c>
      <c r="AI887" s="33" t="s">
        <v>25</v>
      </c>
      <c r="AJ887" s="33" t="s">
        <v>26</v>
      </c>
      <c r="AK887" s="33" t="s">
        <v>24</v>
      </c>
      <c r="AL887" s="27"/>
      <c r="AM887" s="34" t="s">
        <v>25</v>
      </c>
      <c r="AN887" s="35" t="str">
        <f t="shared" si="68"/>
        <v>✓ OK</v>
      </c>
      <c r="AO887" s="36"/>
      <c r="AP887" s="36"/>
      <c r="AQ887" s="36"/>
      <c r="AR887" s="36"/>
      <c r="AS887" s="36"/>
      <c r="AT887" s="36"/>
      <c r="AU887" s="27"/>
      <c r="AV887" s="37"/>
      <c r="AW887" s="38" t="str">
        <f t="shared" si="69"/>
        <v/>
      </c>
    </row>
    <row r="888" spans="1:49" ht="18" customHeight="1" x14ac:dyDescent="0.3">
      <c r="A888" s="39">
        <v>884</v>
      </c>
      <c r="B888" s="40" t="s">
        <v>3616</v>
      </c>
      <c r="C888" s="41" t="s">
        <v>3617</v>
      </c>
      <c r="D888" s="39" t="s">
        <v>2819</v>
      </c>
      <c r="E888" s="43">
        <v>46126</v>
      </c>
      <c r="F888" s="26" t="s">
        <v>23</v>
      </c>
      <c r="G888" s="26" t="s">
        <v>24</v>
      </c>
      <c r="H888" s="26" t="s">
        <v>25</v>
      </c>
      <c r="I888" s="26" t="s">
        <v>26</v>
      </c>
      <c r="J888" s="26" t="s">
        <v>24</v>
      </c>
      <c r="K888" s="27"/>
      <c r="L888" s="28" t="s">
        <v>25</v>
      </c>
      <c r="M888" s="29" t="str">
        <f t="shared" si="65"/>
        <v>✓ OK</v>
      </c>
      <c r="N888" s="43">
        <v>46193</v>
      </c>
      <c r="O888" s="26" t="s">
        <v>23</v>
      </c>
      <c r="P888" s="26" t="s">
        <v>24</v>
      </c>
      <c r="Q888" s="26" t="s">
        <v>25</v>
      </c>
      <c r="R888" s="26" t="s">
        <v>26</v>
      </c>
      <c r="S888" s="26" t="s">
        <v>24</v>
      </c>
      <c r="T888" s="27"/>
      <c r="U888" s="28" t="s">
        <v>25</v>
      </c>
      <c r="V888" s="29" t="str">
        <f t="shared" si="66"/>
        <v>✓ OK</v>
      </c>
      <c r="W888" s="45">
        <v>46248</v>
      </c>
      <c r="X888" s="30" t="s">
        <v>23</v>
      </c>
      <c r="Y888" s="30" t="s">
        <v>24</v>
      </c>
      <c r="Z888" s="30" t="s">
        <v>25</v>
      </c>
      <c r="AA888" s="30" t="s">
        <v>26</v>
      </c>
      <c r="AB888" s="30" t="s">
        <v>24</v>
      </c>
      <c r="AC888" s="27"/>
      <c r="AD888" s="31" t="s">
        <v>25</v>
      </c>
      <c r="AE888" s="32" t="str">
        <f t="shared" si="67"/>
        <v>✓ OK</v>
      </c>
      <c r="AF888" s="33" t="s">
        <v>27</v>
      </c>
      <c r="AG888" s="33" t="s">
        <v>23</v>
      </c>
      <c r="AH888" s="33" t="s">
        <v>24</v>
      </c>
      <c r="AI888" s="33" t="s">
        <v>25</v>
      </c>
      <c r="AJ888" s="33" t="s">
        <v>26</v>
      </c>
      <c r="AK888" s="33" t="s">
        <v>24</v>
      </c>
      <c r="AL888" s="27"/>
      <c r="AM888" s="34" t="s">
        <v>25</v>
      </c>
      <c r="AN888" s="35" t="str">
        <f t="shared" si="68"/>
        <v>✓ OK</v>
      </c>
      <c r="AO888" s="36"/>
      <c r="AP888" s="36"/>
      <c r="AQ888" s="36"/>
      <c r="AR888" s="36"/>
      <c r="AS888" s="36"/>
      <c r="AT888" s="36"/>
      <c r="AU888" s="27"/>
      <c r="AV888" s="37"/>
      <c r="AW888" s="38" t="str">
        <f t="shared" si="69"/>
        <v/>
      </c>
    </row>
    <row r="889" spans="1:49" ht="18" customHeight="1" x14ac:dyDescent="0.3">
      <c r="A889" s="23">
        <v>885</v>
      </c>
      <c r="B889" s="24" t="s">
        <v>3618</v>
      </c>
      <c r="C889" s="25" t="s">
        <v>3619</v>
      </c>
      <c r="D889" s="23" t="s">
        <v>2819</v>
      </c>
      <c r="E889" s="43">
        <v>46126</v>
      </c>
      <c r="F889" s="26" t="s">
        <v>23</v>
      </c>
      <c r="G889" s="26" t="s">
        <v>24</v>
      </c>
      <c r="H889" s="26" t="s">
        <v>25</v>
      </c>
      <c r="I889" s="26" t="s">
        <v>26</v>
      </c>
      <c r="J889" s="26" t="s">
        <v>24</v>
      </c>
      <c r="K889" s="27"/>
      <c r="L889" s="28" t="s">
        <v>25</v>
      </c>
      <c r="M889" s="29" t="str">
        <f t="shared" si="65"/>
        <v>✓ OK</v>
      </c>
      <c r="N889" s="43">
        <v>46193</v>
      </c>
      <c r="O889" s="26" t="s">
        <v>23</v>
      </c>
      <c r="P889" s="26" t="s">
        <v>24</v>
      </c>
      <c r="Q889" s="26" t="s">
        <v>25</v>
      </c>
      <c r="R889" s="26" t="s">
        <v>26</v>
      </c>
      <c r="S889" s="26" t="s">
        <v>24</v>
      </c>
      <c r="T889" s="27"/>
      <c r="U889" s="28" t="s">
        <v>25</v>
      </c>
      <c r="V889" s="29" t="str">
        <f t="shared" si="66"/>
        <v>✓ OK</v>
      </c>
      <c r="W889" s="45">
        <v>46248</v>
      </c>
      <c r="X889" s="30" t="s">
        <v>23</v>
      </c>
      <c r="Y889" s="30" t="s">
        <v>24</v>
      </c>
      <c r="Z889" s="30" t="s">
        <v>25</v>
      </c>
      <c r="AA889" s="30" t="s">
        <v>26</v>
      </c>
      <c r="AB889" s="30" t="s">
        <v>24</v>
      </c>
      <c r="AC889" s="27"/>
      <c r="AD889" s="31" t="s">
        <v>25</v>
      </c>
      <c r="AE889" s="32" t="str">
        <f t="shared" si="67"/>
        <v>✓ OK</v>
      </c>
      <c r="AF889" s="33" t="s">
        <v>27</v>
      </c>
      <c r="AG889" s="33" t="s">
        <v>23</v>
      </c>
      <c r="AH889" s="33" t="s">
        <v>24</v>
      </c>
      <c r="AI889" s="33" t="s">
        <v>25</v>
      </c>
      <c r="AJ889" s="33" t="s">
        <v>26</v>
      </c>
      <c r="AK889" s="33" t="s">
        <v>24</v>
      </c>
      <c r="AL889" s="27"/>
      <c r="AM889" s="34" t="s">
        <v>25</v>
      </c>
      <c r="AN889" s="35" t="str">
        <f t="shared" si="68"/>
        <v>✓ OK</v>
      </c>
      <c r="AO889" s="36"/>
      <c r="AP889" s="36"/>
      <c r="AQ889" s="36"/>
      <c r="AR889" s="36"/>
      <c r="AS889" s="36"/>
      <c r="AT889" s="36"/>
      <c r="AU889" s="27"/>
      <c r="AV889" s="37"/>
      <c r="AW889" s="38" t="str">
        <f t="shared" si="69"/>
        <v/>
      </c>
    </row>
    <row r="890" spans="1:49" ht="18" customHeight="1" x14ac:dyDescent="0.3">
      <c r="A890" s="39">
        <v>886</v>
      </c>
      <c r="B890" s="40" t="s">
        <v>3620</v>
      </c>
      <c r="C890" s="41" t="s">
        <v>3621</v>
      </c>
      <c r="D890" s="39" t="s">
        <v>2819</v>
      </c>
      <c r="E890" s="43">
        <v>46126</v>
      </c>
      <c r="F890" s="26" t="s">
        <v>23</v>
      </c>
      <c r="G890" s="26" t="s">
        <v>24</v>
      </c>
      <c r="H890" s="26" t="s">
        <v>25</v>
      </c>
      <c r="I890" s="26" t="s">
        <v>26</v>
      </c>
      <c r="J890" s="26" t="s">
        <v>24</v>
      </c>
      <c r="K890" s="27"/>
      <c r="L890" s="28" t="s">
        <v>25</v>
      </c>
      <c r="M890" s="29" t="str">
        <f t="shared" si="65"/>
        <v>✓ OK</v>
      </c>
      <c r="N890" s="43">
        <v>46193</v>
      </c>
      <c r="O890" s="26" t="s">
        <v>23</v>
      </c>
      <c r="P890" s="26" t="s">
        <v>24</v>
      </c>
      <c r="Q890" s="26" t="s">
        <v>25</v>
      </c>
      <c r="R890" s="26" t="s">
        <v>26</v>
      </c>
      <c r="S890" s="26" t="s">
        <v>24</v>
      </c>
      <c r="T890" s="27"/>
      <c r="U890" s="28" t="s">
        <v>25</v>
      </c>
      <c r="V890" s="29" t="str">
        <f t="shared" si="66"/>
        <v>✓ OK</v>
      </c>
      <c r="W890" s="45">
        <v>46248</v>
      </c>
      <c r="X890" s="30" t="s">
        <v>23</v>
      </c>
      <c r="Y890" s="30" t="s">
        <v>24</v>
      </c>
      <c r="Z890" s="30" t="s">
        <v>25</v>
      </c>
      <c r="AA890" s="30" t="s">
        <v>26</v>
      </c>
      <c r="AB890" s="30" t="s">
        <v>24</v>
      </c>
      <c r="AC890" s="27"/>
      <c r="AD890" s="31" t="s">
        <v>25</v>
      </c>
      <c r="AE890" s="32" t="str">
        <f t="shared" si="67"/>
        <v>✓ OK</v>
      </c>
      <c r="AF890" s="33" t="s">
        <v>27</v>
      </c>
      <c r="AG890" s="33" t="s">
        <v>23</v>
      </c>
      <c r="AH890" s="33" t="s">
        <v>24</v>
      </c>
      <c r="AI890" s="33" t="s">
        <v>25</v>
      </c>
      <c r="AJ890" s="33" t="s">
        <v>26</v>
      </c>
      <c r="AK890" s="33" t="s">
        <v>24</v>
      </c>
      <c r="AL890" s="27"/>
      <c r="AM890" s="34" t="s">
        <v>25</v>
      </c>
      <c r="AN890" s="35" t="str">
        <f t="shared" si="68"/>
        <v>✓ OK</v>
      </c>
      <c r="AO890" s="36"/>
      <c r="AP890" s="36"/>
      <c r="AQ890" s="36"/>
      <c r="AR890" s="36"/>
      <c r="AS890" s="36"/>
      <c r="AT890" s="36"/>
      <c r="AU890" s="27"/>
      <c r="AV890" s="37"/>
      <c r="AW890" s="38" t="str">
        <f t="shared" si="69"/>
        <v/>
      </c>
    </row>
    <row r="891" spans="1:49" ht="18" customHeight="1" x14ac:dyDescent="0.3">
      <c r="A891" s="23">
        <v>887</v>
      </c>
      <c r="B891" s="24" t="s">
        <v>3622</v>
      </c>
      <c r="C891" s="25" t="s">
        <v>3623</v>
      </c>
      <c r="D891" s="23" t="s">
        <v>2819</v>
      </c>
      <c r="E891" s="43">
        <v>46126</v>
      </c>
      <c r="F891" s="26" t="s">
        <v>23</v>
      </c>
      <c r="G891" s="26" t="s">
        <v>24</v>
      </c>
      <c r="H891" s="26" t="s">
        <v>25</v>
      </c>
      <c r="I891" s="26" t="s">
        <v>26</v>
      </c>
      <c r="J891" s="26" t="s">
        <v>24</v>
      </c>
      <c r="K891" s="27"/>
      <c r="L891" s="28" t="s">
        <v>25</v>
      </c>
      <c r="M891" s="29" t="str">
        <f t="shared" si="65"/>
        <v>✓ OK</v>
      </c>
      <c r="N891" s="43">
        <v>46193</v>
      </c>
      <c r="O891" s="26" t="s">
        <v>23</v>
      </c>
      <c r="P891" s="26" t="s">
        <v>24</v>
      </c>
      <c r="Q891" s="26" t="s">
        <v>25</v>
      </c>
      <c r="R891" s="26" t="s">
        <v>26</v>
      </c>
      <c r="S891" s="26" t="s">
        <v>24</v>
      </c>
      <c r="T891" s="27"/>
      <c r="U891" s="28" t="s">
        <v>25</v>
      </c>
      <c r="V891" s="29" t="str">
        <f t="shared" si="66"/>
        <v>✓ OK</v>
      </c>
      <c r="W891" s="45">
        <v>46248</v>
      </c>
      <c r="X891" s="30" t="s">
        <v>23</v>
      </c>
      <c r="Y891" s="30" t="s">
        <v>24</v>
      </c>
      <c r="Z891" s="30" t="s">
        <v>25</v>
      </c>
      <c r="AA891" s="30" t="s">
        <v>26</v>
      </c>
      <c r="AB891" s="30" t="s">
        <v>24</v>
      </c>
      <c r="AC891" s="27"/>
      <c r="AD891" s="31" t="s">
        <v>25</v>
      </c>
      <c r="AE891" s="32" t="str">
        <f t="shared" si="67"/>
        <v>✓ OK</v>
      </c>
      <c r="AF891" s="33" t="s">
        <v>27</v>
      </c>
      <c r="AG891" s="33" t="s">
        <v>23</v>
      </c>
      <c r="AH891" s="33" t="s">
        <v>24</v>
      </c>
      <c r="AI891" s="33" t="s">
        <v>25</v>
      </c>
      <c r="AJ891" s="33" t="s">
        <v>26</v>
      </c>
      <c r="AK891" s="33" t="s">
        <v>24</v>
      </c>
      <c r="AL891" s="27"/>
      <c r="AM891" s="34" t="s">
        <v>25</v>
      </c>
      <c r="AN891" s="35" t="str">
        <f t="shared" si="68"/>
        <v>✓ OK</v>
      </c>
      <c r="AO891" s="36"/>
      <c r="AP891" s="36"/>
      <c r="AQ891" s="36"/>
      <c r="AR891" s="36"/>
      <c r="AS891" s="36"/>
      <c r="AT891" s="36"/>
      <c r="AU891" s="27"/>
      <c r="AV891" s="37"/>
      <c r="AW891" s="38" t="str">
        <f t="shared" si="69"/>
        <v/>
      </c>
    </row>
    <row r="892" spans="1:49" ht="18" customHeight="1" x14ac:dyDescent="0.3">
      <c r="A892" s="39">
        <v>888</v>
      </c>
      <c r="B892" s="40" t="s">
        <v>3624</v>
      </c>
      <c r="C892" s="41" t="s">
        <v>3625</v>
      </c>
      <c r="D892" s="39" t="s">
        <v>2819</v>
      </c>
      <c r="E892" s="43">
        <v>46126</v>
      </c>
      <c r="F892" s="26" t="s">
        <v>23</v>
      </c>
      <c r="G892" s="26" t="s">
        <v>24</v>
      </c>
      <c r="H892" s="26" t="s">
        <v>25</v>
      </c>
      <c r="I892" s="26" t="s">
        <v>26</v>
      </c>
      <c r="J892" s="26" t="s">
        <v>24</v>
      </c>
      <c r="K892" s="27"/>
      <c r="L892" s="28" t="s">
        <v>25</v>
      </c>
      <c r="M892" s="29" t="str">
        <f t="shared" si="65"/>
        <v>✓ OK</v>
      </c>
      <c r="N892" s="43">
        <v>46193</v>
      </c>
      <c r="O892" s="26" t="s">
        <v>23</v>
      </c>
      <c r="P892" s="26" t="s">
        <v>24</v>
      </c>
      <c r="Q892" s="26" t="s">
        <v>25</v>
      </c>
      <c r="R892" s="26" t="s">
        <v>26</v>
      </c>
      <c r="S892" s="26" t="s">
        <v>24</v>
      </c>
      <c r="T892" s="27"/>
      <c r="U892" s="28" t="s">
        <v>25</v>
      </c>
      <c r="V892" s="29" t="str">
        <f t="shared" si="66"/>
        <v>✓ OK</v>
      </c>
      <c r="W892" s="45">
        <v>46248</v>
      </c>
      <c r="X892" s="30" t="s">
        <v>23</v>
      </c>
      <c r="Y892" s="30" t="s">
        <v>24</v>
      </c>
      <c r="Z892" s="30" t="s">
        <v>25</v>
      </c>
      <c r="AA892" s="30" t="s">
        <v>26</v>
      </c>
      <c r="AB892" s="30" t="s">
        <v>24</v>
      </c>
      <c r="AC892" s="27"/>
      <c r="AD892" s="31" t="s">
        <v>25</v>
      </c>
      <c r="AE892" s="32" t="str">
        <f t="shared" si="67"/>
        <v>✓ OK</v>
      </c>
      <c r="AF892" s="33" t="s">
        <v>27</v>
      </c>
      <c r="AG892" s="33" t="s">
        <v>23</v>
      </c>
      <c r="AH892" s="33" t="s">
        <v>24</v>
      </c>
      <c r="AI892" s="33" t="s">
        <v>25</v>
      </c>
      <c r="AJ892" s="33" t="s">
        <v>26</v>
      </c>
      <c r="AK892" s="33" t="s">
        <v>24</v>
      </c>
      <c r="AL892" s="27"/>
      <c r="AM892" s="34" t="s">
        <v>25</v>
      </c>
      <c r="AN892" s="35" t="str">
        <f t="shared" si="68"/>
        <v>✓ OK</v>
      </c>
      <c r="AO892" s="36"/>
      <c r="AP892" s="36"/>
      <c r="AQ892" s="36"/>
      <c r="AR892" s="36"/>
      <c r="AS892" s="36"/>
      <c r="AT892" s="36"/>
      <c r="AU892" s="27"/>
      <c r="AV892" s="37"/>
      <c r="AW892" s="38" t="str">
        <f t="shared" si="69"/>
        <v/>
      </c>
    </row>
    <row r="893" spans="1:49" ht="18" customHeight="1" x14ac:dyDescent="0.3">
      <c r="A893" s="23">
        <v>889</v>
      </c>
      <c r="B893" s="24" t="s">
        <v>3626</v>
      </c>
      <c r="C893" s="25" t="s">
        <v>3627</v>
      </c>
      <c r="D893" s="23" t="s">
        <v>2819</v>
      </c>
      <c r="E893" s="43">
        <v>46126</v>
      </c>
      <c r="F893" s="26" t="s">
        <v>23</v>
      </c>
      <c r="G893" s="26" t="s">
        <v>24</v>
      </c>
      <c r="H893" s="26" t="s">
        <v>25</v>
      </c>
      <c r="I893" s="26" t="s">
        <v>26</v>
      </c>
      <c r="J893" s="26" t="s">
        <v>24</v>
      </c>
      <c r="K893" s="27"/>
      <c r="L893" s="28" t="s">
        <v>25</v>
      </c>
      <c r="M893" s="29" t="str">
        <f t="shared" si="65"/>
        <v>✓ OK</v>
      </c>
      <c r="N893" s="43">
        <v>46193</v>
      </c>
      <c r="O893" s="26" t="s">
        <v>23</v>
      </c>
      <c r="P893" s="26" t="s">
        <v>24</v>
      </c>
      <c r="Q893" s="26" t="s">
        <v>25</v>
      </c>
      <c r="R893" s="26" t="s">
        <v>26</v>
      </c>
      <c r="S893" s="26" t="s">
        <v>24</v>
      </c>
      <c r="T893" s="27"/>
      <c r="U893" s="28" t="s">
        <v>25</v>
      </c>
      <c r="V893" s="29" t="str">
        <f t="shared" si="66"/>
        <v>✓ OK</v>
      </c>
      <c r="W893" s="45">
        <v>46248</v>
      </c>
      <c r="X893" s="30" t="s">
        <v>23</v>
      </c>
      <c r="Y893" s="30" t="s">
        <v>24</v>
      </c>
      <c r="Z893" s="30" t="s">
        <v>25</v>
      </c>
      <c r="AA893" s="30" t="s">
        <v>26</v>
      </c>
      <c r="AB893" s="30" t="s">
        <v>24</v>
      </c>
      <c r="AC893" s="27"/>
      <c r="AD893" s="31" t="s">
        <v>25</v>
      </c>
      <c r="AE893" s="32" t="str">
        <f t="shared" si="67"/>
        <v>✓ OK</v>
      </c>
      <c r="AF893" s="33" t="s">
        <v>27</v>
      </c>
      <c r="AG893" s="33" t="s">
        <v>23</v>
      </c>
      <c r="AH893" s="33" t="s">
        <v>24</v>
      </c>
      <c r="AI893" s="33" t="s">
        <v>25</v>
      </c>
      <c r="AJ893" s="33" t="s">
        <v>26</v>
      </c>
      <c r="AK893" s="33" t="s">
        <v>24</v>
      </c>
      <c r="AL893" s="27"/>
      <c r="AM893" s="34" t="s">
        <v>25</v>
      </c>
      <c r="AN893" s="35" t="str">
        <f t="shared" si="68"/>
        <v>✓ OK</v>
      </c>
      <c r="AO893" s="36"/>
      <c r="AP893" s="36"/>
      <c r="AQ893" s="36"/>
      <c r="AR893" s="36"/>
      <c r="AS893" s="36"/>
      <c r="AT893" s="36"/>
      <c r="AU893" s="27"/>
      <c r="AV893" s="37"/>
      <c r="AW893" s="38" t="str">
        <f t="shared" si="69"/>
        <v/>
      </c>
    </row>
    <row r="894" spans="1:49" ht="18" customHeight="1" x14ac:dyDescent="0.3">
      <c r="A894" s="39">
        <v>890</v>
      </c>
      <c r="B894" s="40" t="s">
        <v>3628</v>
      </c>
      <c r="C894" s="41" t="s">
        <v>3629</v>
      </c>
      <c r="D894" s="39" t="s">
        <v>2819</v>
      </c>
      <c r="E894" s="43">
        <v>46126</v>
      </c>
      <c r="F894" s="26" t="s">
        <v>23</v>
      </c>
      <c r="G894" s="26" t="s">
        <v>24</v>
      </c>
      <c r="H894" s="26" t="s">
        <v>25</v>
      </c>
      <c r="I894" s="26" t="s">
        <v>26</v>
      </c>
      <c r="J894" s="26" t="s">
        <v>24</v>
      </c>
      <c r="K894" s="27"/>
      <c r="L894" s="28" t="s">
        <v>25</v>
      </c>
      <c r="M894" s="29" t="str">
        <f t="shared" si="65"/>
        <v>✓ OK</v>
      </c>
      <c r="N894" s="43">
        <v>46193</v>
      </c>
      <c r="O894" s="26" t="s">
        <v>23</v>
      </c>
      <c r="P894" s="26" t="s">
        <v>24</v>
      </c>
      <c r="Q894" s="26" t="s">
        <v>25</v>
      </c>
      <c r="R894" s="26" t="s">
        <v>26</v>
      </c>
      <c r="S894" s="26" t="s">
        <v>24</v>
      </c>
      <c r="T894" s="27"/>
      <c r="U894" s="28" t="s">
        <v>25</v>
      </c>
      <c r="V894" s="29" t="str">
        <f t="shared" si="66"/>
        <v>✓ OK</v>
      </c>
      <c r="W894" s="45">
        <v>46248</v>
      </c>
      <c r="X894" s="30" t="s">
        <v>23</v>
      </c>
      <c r="Y894" s="30" t="s">
        <v>24</v>
      </c>
      <c r="Z894" s="30" t="s">
        <v>25</v>
      </c>
      <c r="AA894" s="30" t="s">
        <v>26</v>
      </c>
      <c r="AB894" s="30" t="s">
        <v>24</v>
      </c>
      <c r="AC894" s="27"/>
      <c r="AD894" s="31" t="s">
        <v>25</v>
      </c>
      <c r="AE894" s="32" t="str">
        <f t="shared" si="67"/>
        <v>✓ OK</v>
      </c>
      <c r="AF894" s="33" t="s">
        <v>27</v>
      </c>
      <c r="AG894" s="33" t="s">
        <v>23</v>
      </c>
      <c r="AH894" s="33" t="s">
        <v>24</v>
      </c>
      <c r="AI894" s="33" t="s">
        <v>25</v>
      </c>
      <c r="AJ894" s="33" t="s">
        <v>26</v>
      </c>
      <c r="AK894" s="33" t="s">
        <v>24</v>
      </c>
      <c r="AL894" s="27"/>
      <c r="AM894" s="34" t="s">
        <v>25</v>
      </c>
      <c r="AN894" s="35" t="str">
        <f t="shared" si="68"/>
        <v>✓ OK</v>
      </c>
      <c r="AO894" s="36"/>
      <c r="AP894" s="36"/>
      <c r="AQ894" s="36"/>
      <c r="AR894" s="36"/>
      <c r="AS894" s="36"/>
      <c r="AT894" s="36"/>
      <c r="AU894" s="27"/>
      <c r="AV894" s="37"/>
      <c r="AW894" s="38" t="str">
        <f t="shared" si="69"/>
        <v/>
      </c>
    </row>
    <row r="895" spans="1:49" ht="18" customHeight="1" x14ac:dyDescent="0.3">
      <c r="A895" s="23">
        <v>891</v>
      </c>
      <c r="B895" s="24" t="s">
        <v>3630</v>
      </c>
      <c r="C895" s="25" t="s">
        <v>3631</v>
      </c>
      <c r="D895" s="23" t="s">
        <v>2819</v>
      </c>
      <c r="E895" s="43">
        <v>46126</v>
      </c>
      <c r="F895" s="26" t="s">
        <v>23</v>
      </c>
      <c r="G895" s="26" t="s">
        <v>24</v>
      </c>
      <c r="H895" s="26" t="s">
        <v>25</v>
      </c>
      <c r="I895" s="26" t="s">
        <v>26</v>
      </c>
      <c r="J895" s="26" t="s">
        <v>24</v>
      </c>
      <c r="K895" s="27"/>
      <c r="L895" s="28" t="s">
        <v>25</v>
      </c>
      <c r="M895" s="29" t="str">
        <f t="shared" si="65"/>
        <v>✓ OK</v>
      </c>
      <c r="N895" s="43">
        <v>46193</v>
      </c>
      <c r="O895" s="26" t="s">
        <v>23</v>
      </c>
      <c r="P895" s="26" t="s">
        <v>24</v>
      </c>
      <c r="Q895" s="26" t="s">
        <v>25</v>
      </c>
      <c r="R895" s="26" t="s">
        <v>26</v>
      </c>
      <c r="S895" s="26" t="s">
        <v>24</v>
      </c>
      <c r="T895" s="27"/>
      <c r="U895" s="28" t="s">
        <v>25</v>
      </c>
      <c r="V895" s="29" t="str">
        <f t="shared" si="66"/>
        <v>✓ OK</v>
      </c>
      <c r="W895" s="45">
        <v>46248</v>
      </c>
      <c r="X895" s="30" t="s">
        <v>23</v>
      </c>
      <c r="Y895" s="30" t="s">
        <v>24</v>
      </c>
      <c r="Z895" s="30" t="s">
        <v>25</v>
      </c>
      <c r="AA895" s="30" t="s">
        <v>26</v>
      </c>
      <c r="AB895" s="30" t="s">
        <v>24</v>
      </c>
      <c r="AC895" s="27"/>
      <c r="AD895" s="31" t="s">
        <v>25</v>
      </c>
      <c r="AE895" s="32" t="str">
        <f t="shared" si="67"/>
        <v>✓ OK</v>
      </c>
      <c r="AF895" s="33" t="s">
        <v>27</v>
      </c>
      <c r="AG895" s="33" t="s">
        <v>23</v>
      </c>
      <c r="AH895" s="33" t="s">
        <v>24</v>
      </c>
      <c r="AI895" s="33" t="s">
        <v>25</v>
      </c>
      <c r="AJ895" s="33" t="s">
        <v>26</v>
      </c>
      <c r="AK895" s="33" t="s">
        <v>24</v>
      </c>
      <c r="AL895" s="27"/>
      <c r="AM895" s="34" t="s">
        <v>25</v>
      </c>
      <c r="AN895" s="35" t="str">
        <f t="shared" si="68"/>
        <v>✓ OK</v>
      </c>
      <c r="AO895" s="36"/>
      <c r="AP895" s="36"/>
      <c r="AQ895" s="36"/>
      <c r="AR895" s="36"/>
      <c r="AS895" s="36"/>
      <c r="AT895" s="36"/>
      <c r="AU895" s="27"/>
      <c r="AV895" s="37"/>
      <c r="AW895" s="38" t="str">
        <f t="shared" si="69"/>
        <v/>
      </c>
    </row>
    <row r="896" spans="1:49" ht="18" customHeight="1" x14ac:dyDescent="0.3">
      <c r="A896" s="39">
        <v>892</v>
      </c>
      <c r="B896" s="40" t="s">
        <v>3632</v>
      </c>
      <c r="C896" s="41" t="s">
        <v>3633</v>
      </c>
      <c r="D896" s="39" t="s">
        <v>2819</v>
      </c>
      <c r="E896" s="43">
        <v>46126</v>
      </c>
      <c r="F896" s="26" t="s">
        <v>23</v>
      </c>
      <c r="G896" s="26" t="s">
        <v>24</v>
      </c>
      <c r="H896" s="26" t="s">
        <v>25</v>
      </c>
      <c r="I896" s="26" t="s">
        <v>26</v>
      </c>
      <c r="J896" s="26" t="s">
        <v>24</v>
      </c>
      <c r="K896" s="27"/>
      <c r="L896" s="28" t="s">
        <v>25</v>
      </c>
      <c r="M896" s="29" t="str">
        <f t="shared" si="65"/>
        <v>✓ OK</v>
      </c>
      <c r="N896" s="43">
        <v>46193</v>
      </c>
      <c r="O896" s="26" t="s">
        <v>23</v>
      </c>
      <c r="P896" s="26" t="s">
        <v>24</v>
      </c>
      <c r="Q896" s="26" t="s">
        <v>25</v>
      </c>
      <c r="R896" s="26" t="s">
        <v>26</v>
      </c>
      <c r="S896" s="26" t="s">
        <v>24</v>
      </c>
      <c r="T896" s="27"/>
      <c r="U896" s="28" t="s">
        <v>25</v>
      </c>
      <c r="V896" s="29" t="str">
        <f t="shared" si="66"/>
        <v>✓ OK</v>
      </c>
      <c r="W896" s="45">
        <v>46248</v>
      </c>
      <c r="X896" s="30" t="s">
        <v>23</v>
      </c>
      <c r="Y896" s="30" t="s">
        <v>24</v>
      </c>
      <c r="Z896" s="30" t="s">
        <v>25</v>
      </c>
      <c r="AA896" s="30" t="s">
        <v>26</v>
      </c>
      <c r="AB896" s="30" t="s">
        <v>24</v>
      </c>
      <c r="AC896" s="27"/>
      <c r="AD896" s="31" t="s">
        <v>25</v>
      </c>
      <c r="AE896" s="32" t="str">
        <f t="shared" si="67"/>
        <v>✓ OK</v>
      </c>
      <c r="AF896" s="33" t="s">
        <v>27</v>
      </c>
      <c r="AG896" s="33" t="s">
        <v>23</v>
      </c>
      <c r="AH896" s="33" t="s">
        <v>24</v>
      </c>
      <c r="AI896" s="33" t="s">
        <v>25</v>
      </c>
      <c r="AJ896" s="33" t="s">
        <v>26</v>
      </c>
      <c r="AK896" s="33" t="s">
        <v>24</v>
      </c>
      <c r="AL896" s="27"/>
      <c r="AM896" s="34" t="s">
        <v>25</v>
      </c>
      <c r="AN896" s="35" t="str">
        <f t="shared" si="68"/>
        <v>✓ OK</v>
      </c>
      <c r="AO896" s="36"/>
      <c r="AP896" s="36"/>
      <c r="AQ896" s="36"/>
      <c r="AR896" s="36"/>
      <c r="AS896" s="36"/>
      <c r="AT896" s="36"/>
      <c r="AU896" s="27"/>
      <c r="AV896" s="37"/>
      <c r="AW896" s="38" t="str">
        <f t="shared" si="69"/>
        <v/>
      </c>
    </row>
    <row r="897" spans="1:49" ht="18" customHeight="1" x14ac:dyDescent="0.3">
      <c r="A897" s="23">
        <v>893</v>
      </c>
      <c r="B897" s="24" t="s">
        <v>3634</v>
      </c>
      <c r="C897" s="25" t="s">
        <v>3635</v>
      </c>
      <c r="D897" s="23" t="s">
        <v>2819</v>
      </c>
      <c r="E897" s="43">
        <v>46126</v>
      </c>
      <c r="F897" s="26" t="s">
        <v>23</v>
      </c>
      <c r="G897" s="26" t="s">
        <v>24</v>
      </c>
      <c r="H897" s="26" t="s">
        <v>25</v>
      </c>
      <c r="I897" s="26" t="s">
        <v>26</v>
      </c>
      <c r="J897" s="26" t="s">
        <v>24</v>
      </c>
      <c r="K897" s="27"/>
      <c r="L897" s="28" t="s">
        <v>25</v>
      </c>
      <c r="M897" s="29" t="str">
        <f t="shared" si="65"/>
        <v>✓ OK</v>
      </c>
      <c r="N897" s="43">
        <v>46193</v>
      </c>
      <c r="O897" s="26" t="s">
        <v>23</v>
      </c>
      <c r="P897" s="26" t="s">
        <v>24</v>
      </c>
      <c r="Q897" s="26" t="s">
        <v>25</v>
      </c>
      <c r="R897" s="26" t="s">
        <v>26</v>
      </c>
      <c r="S897" s="26" t="s">
        <v>24</v>
      </c>
      <c r="T897" s="27"/>
      <c r="U897" s="28" t="s">
        <v>25</v>
      </c>
      <c r="V897" s="29" t="str">
        <f t="shared" si="66"/>
        <v>✓ OK</v>
      </c>
      <c r="W897" s="45">
        <v>46248</v>
      </c>
      <c r="X897" s="30" t="s">
        <v>23</v>
      </c>
      <c r="Y897" s="30" t="s">
        <v>24</v>
      </c>
      <c r="Z897" s="30" t="s">
        <v>25</v>
      </c>
      <c r="AA897" s="30" t="s">
        <v>26</v>
      </c>
      <c r="AB897" s="30" t="s">
        <v>24</v>
      </c>
      <c r="AC897" s="27"/>
      <c r="AD897" s="31" t="s">
        <v>25</v>
      </c>
      <c r="AE897" s="32" t="str">
        <f t="shared" si="67"/>
        <v>✓ OK</v>
      </c>
      <c r="AF897" s="33" t="s">
        <v>27</v>
      </c>
      <c r="AG897" s="33" t="s">
        <v>23</v>
      </c>
      <c r="AH897" s="33" t="s">
        <v>24</v>
      </c>
      <c r="AI897" s="33" t="s">
        <v>25</v>
      </c>
      <c r="AJ897" s="33" t="s">
        <v>26</v>
      </c>
      <c r="AK897" s="33" t="s">
        <v>24</v>
      </c>
      <c r="AL897" s="27"/>
      <c r="AM897" s="34" t="s">
        <v>25</v>
      </c>
      <c r="AN897" s="35" t="str">
        <f t="shared" si="68"/>
        <v>✓ OK</v>
      </c>
      <c r="AO897" s="36"/>
      <c r="AP897" s="36"/>
      <c r="AQ897" s="36"/>
      <c r="AR897" s="36"/>
      <c r="AS897" s="36"/>
      <c r="AT897" s="36"/>
      <c r="AU897" s="27"/>
      <c r="AV897" s="37"/>
      <c r="AW897" s="38" t="str">
        <f t="shared" si="69"/>
        <v/>
      </c>
    </row>
    <row r="898" spans="1:49" ht="18" customHeight="1" x14ac:dyDescent="0.3">
      <c r="A898" s="39">
        <v>894</v>
      </c>
      <c r="B898" s="40" t="s">
        <v>3636</v>
      </c>
      <c r="C898" s="41" t="s">
        <v>3637</v>
      </c>
      <c r="D898" s="39" t="s">
        <v>2819</v>
      </c>
      <c r="E898" s="43">
        <v>46126</v>
      </c>
      <c r="F898" s="26" t="s">
        <v>23</v>
      </c>
      <c r="G898" s="26" t="s">
        <v>24</v>
      </c>
      <c r="H898" s="26" t="s">
        <v>25</v>
      </c>
      <c r="I898" s="26" t="s">
        <v>26</v>
      </c>
      <c r="J898" s="26" t="s">
        <v>24</v>
      </c>
      <c r="K898" s="27"/>
      <c r="L898" s="28" t="s">
        <v>25</v>
      </c>
      <c r="M898" s="29" t="str">
        <f t="shared" si="65"/>
        <v>✓ OK</v>
      </c>
      <c r="N898" s="43">
        <v>46193</v>
      </c>
      <c r="O898" s="26" t="s">
        <v>23</v>
      </c>
      <c r="P898" s="26" t="s">
        <v>24</v>
      </c>
      <c r="Q898" s="26" t="s">
        <v>25</v>
      </c>
      <c r="R898" s="26" t="s">
        <v>26</v>
      </c>
      <c r="S898" s="26" t="s">
        <v>24</v>
      </c>
      <c r="T898" s="27"/>
      <c r="U898" s="28" t="s">
        <v>25</v>
      </c>
      <c r="V898" s="29" t="str">
        <f t="shared" si="66"/>
        <v>✓ OK</v>
      </c>
      <c r="W898" s="45">
        <v>46248</v>
      </c>
      <c r="X898" s="30" t="s">
        <v>23</v>
      </c>
      <c r="Y898" s="30" t="s">
        <v>24</v>
      </c>
      <c r="Z898" s="30" t="s">
        <v>25</v>
      </c>
      <c r="AA898" s="30" t="s">
        <v>26</v>
      </c>
      <c r="AB898" s="30" t="s">
        <v>24</v>
      </c>
      <c r="AC898" s="27"/>
      <c r="AD898" s="31" t="s">
        <v>25</v>
      </c>
      <c r="AE898" s="32" t="str">
        <f t="shared" si="67"/>
        <v>✓ OK</v>
      </c>
      <c r="AF898" s="33" t="s">
        <v>27</v>
      </c>
      <c r="AG898" s="33" t="s">
        <v>23</v>
      </c>
      <c r="AH898" s="33" t="s">
        <v>24</v>
      </c>
      <c r="AI898" s="33" t="s">
        <v>25</v>
      </c>
      <c r="AJ898" s="33" t="s">
        <v>26</v>
      </c>
      <c r="AK898" s="33" t="s">
        <v>24</v>
      </c>
      <c r="AL898" s="27"/>
      <c r="AM898" s="34" t="s">
        <v>25</v>
      </c>
      <c r="AN898" s="35" t="str">
        <f t="shared" si="68"/>
        <v>✓ OK</v>
      </c>
      <c r="AO898" s="36"/>
      <c r="AP898" s="36"/>
      <c r="AQ898" s="36"/>
      <c r="AR898" s="36"/>
      <c r="AS898" s="36"/>
      <c r="AT898" s="36"/>
      <c r="AU898" s="27"/>
      <c r="AV898" s="37"/>
      <c r="AW898" s="38" t="str">
        <f t="shared" si="69"/>
        <v/>
      </c>
    </row>
    <row r="899" spans="1:49" ht="18" customHeight="1" x14ac:dyDescent="0.3">
      <c r="A899" s="23">
        <v>895</v>
      </c>
      <c r="B899" s="24" t="s">
        <v>3638</v>
      </c>
      <c r="C899" s="25" t="s">
        <v>3639</v>
      </c>
      <c r="D899" s="23" t="s">
        <v>2819</v>
      </c>
      <c r="E899" s="43">
        <v>46126</v>
      </c>
      <c r="F899" s="26" t="s">
        <v>23</v>
      </c>
      <c r="G899" s="26" t="s">
        <v>24</v>
      </c>
      <c r="H899" s="26" t="s">
        <v>25</v>
      </c>
      <c r="I899" s="26" t="s">
        <v>26</v>
      </c>
      <c r="J899" s="26" t="s">
        <v>24</v>
      </c>
      <c r="K899" s="27"/>
      <c r="L899" s="28" t="s">
        <v>25</v>
      </c>
      <c r="M899" s="29" t="str">
        <f t="shared" si="65"/>
        <v>✓ OK</v>
      </c>
      <c r="N899" s="43">
        <v>46193</v>
      </c>
      <c r="O899" s="26" t="s">
        <v>23</v>
      </c>
      <c r="P899" s="26" t="s">
        <v>24</v>
      </c>
      <c r="Q899" s="26" t="s">
        <v>25</v>
      </c>
      <c r="R899" s="26" t="s">
        <v>26</v>
      </c>
      <c r="S899" s="26" t="s">
        <v>24</v>
      </c>
      <c r="T899" s="27"/>
      <c r="U899" s="28" t="s">
        <v>25</v>
      </c>
      <c r="V899" s="29" t="str">
        <f t="shared" si="66"/>
        <v>✓ OK</v>
      </c>
      <c r="W899" s="45">
        <v>46248</v>
      </c>
      <c r="X899" s="30" t="s">
        <v>23</v>
      </c>
      <c r="Y899" s="30" t="s">
        <v>24</v>
      </c>
      <c r="Z899" s="30" t="s">
        <v>25</v>
      </c>
      <c r="AA899" s="30" t="s">
        <v>26</v>
      </c>
      <c r="AB899" s="30" t="s">
        <v>24</v>
      </c>
      <c r="AC899" s="27"/>
      <c r="AD899" s="31" t="s">
        <v>25</v>
      </c>
      <c r="AE899" s="32" t="str">
        <f t="shared" si="67"/>
        <v>✓ OK</v>
      </c>
      <c r="AF899" s="33" t="s">
        <v>27</v>
      </c>
      <c r="AG899" s="33" t="s">
        <v>23</v>
      </c>
      <c r="AH899" s="33" t="s">
        <v>24</v>
      </c>
      <c r="AI899" s="33" t="s">
        <v>25</v>
      </c>
      <c r="AJ899" s="33" t="s">
        <v>26</v>
      </c>
      <c r="AK899" s="33" t="s">
        <v>24</v>
      </c>
      <c r="AL899" s="27"/>
      <c r="AM899" s="34" t="s">
        <v>25</v>
      </c>
      <c r="AN899" s="35" t="str">
        <f t="shared" si="68"/>
        <v>✓ OK</v>
      </c>
      <c r="AO899" s="36"/>
      <c r="AP899" s="36"/>
      <c r="AQ899" s="36"/>
      <c r="AR899" s="36"/>
      <c r="AS899" s="36"/>
      <c r="AT899" s="36"/>
      <c r="AU899" s="27"/>
      <c r="AV899" s="37"/>
      <c r="AW899" s="38" t="str">
        <f t="shared" si="69"/>
        <v/>
      </c>
    </row>
    <row r="900" spans="1:49" ht="18" customHeight="1" x14ac:dyDescent="0.3">
      <c r="A900" s="39">
        <v>896</v>
      </c>
      <c r="B900" s="40" t="s">
        <v>3640</v>
      </c>
      <c r="C900" s="41" t="s">
        <v>3641</v>
      </c>
      <c r="D900" s="39" t="s">
        <v>2819</v>
      </c>
      <c r="E900" s="43">
        <v>46126</v>
      </c>
      <c r="F900" s="26" t="s">
        <v>23</v>
      </c>
      <c r="G900" s="26" t="s">
        <v>24</v>
      </c>
      <c r="H900" s="26" t="s">
        <v>25</v>
      </c>
      <c r="I900" s="26" t="s">
        <v>26</v>
      </c>
      <c r="J900" s="26" t="s">
        <v>24</v>
      </c>
      <c r="K900" s="27"/>
      <c r="L900" s="28" t="s">
        <v>25</v>
      </c>
      <c r="M900" s="29" t="str">
        <f t="shared" si="65"/>
        <v>✓ OK</v>
      </c>
      <c r="N900" s="43">
        <v>46193</v>
      </c>
      <c r="O900" s="26" t="s">
        <v>23</v>
      </c>
      <c r="P900" s="26" t="s">
        <v>24</v>
      </c>
      <c r="Q900" s="26" t="s">
        <v>25</v>
      </c>
      <c r="R900" s="26" t="s">
        <v>26</v>
      </c>
      <c r="S900" s="26" t="s">
        <v>24</v>
      </c>
      <c r="T900" s="27"/>
      <c r="U900" s="28" t="s">
        <v>25</v>
      </c>
      <c r="V900" s="29" t="str">
        <f t="shared" si="66"/>
        <v>✓ OK</v>
      </c>
      <c r="W900" s="45">
        <v>46248</v>
      </c>
      <c r="X900" s="30" t="s">
        <v>23</v>
      </c>
      <c r="Y900" s="30" t="s">
        <v>24</v>
      </c>
      <c r="Z900" s="30" t="s">
        <v>25</v>
      </c>
      <c r="AA900" s="30" t="s">
        <v>26</v>
      </c>
      <c r="AB900" s="30" t="s">
        <v>24</v>
      </c>
      <c r="AC900" s="27"/>
      <c r="AD900" s="31" t="s">
        <v>25</v>
      </c>
      <c r="AE900" s="32" t="str">
        <f t="shared" si="67"/>
        <v>✓ OK</v>
      </c>
      <c r="AF900" s="33" t="s">
        <v>27</v>
      </c>
      <c r="AG900" s="33" t="s">
        <v>23</v>
      </c>
      <c r="AH900" s="33" t="s">
        <v>24</v>
      </c>
      <c r="AI900" s="33" t="s">
        <v>25</v>
      </c>
      <c r="AJ900" s="33" t="s">
        <v>26</v>
      </c>
      <c r="AK900" s="33" t="s">
        <v>24</v>
      </c>
      <c r="AL900" s="27"/>
      <c r="AM900" s="34" t="s">
        <v>25</v>
      </c>
      <c r="AN900" s="35" t="str">
        <f t="shared" si="68"/>
        <v>✓ OK</v>
      </c>
      <c r="AO900" s="36"/>
      <c r="AP900" s="36"/>
      <c r="AQ900" s="36"/>
      <c r="AR900" s="36"/>
      <c r="AS900" s="36"/>
      <c r="AT900" s="36"/>
      <c r="AU900" s="27"/>
      <c r="AV900" s="37"/>
      <c r="AW900" s="38" t="str">
        <f t="shared" si="69"/>
        <v/>
      </c>
    </row>
    <row r="901" spans="1:49" ht="18" customHeight="1" x14ac:dyDescent="0.3">
      <c r="A901" s="23">
        <v>897</v>
      </c>
      <c r="B901" s="24" t="s">
        <v>3642</v>
      </c>
      <c r="C901" s="25" t="s">
        <v>3643</v>
      </c>
      <c r="D901" s="23" t="s">
        <v>2819</v>
      </c>
      <c r="E901" s="43">
        <v>46126</v>
      </c>
      <c r="F901" s="26" t="s">
        <v>23</v>
      </c>
      <c r="G901" s="26" t="s">
        <v>24</v>
      </c>
      <c r="H901" s="26" t="s">
        <v>25</v>
      </c>
      <c r="I901" s="26" t="s">
        <v>26</v>
      </c>
      <c r="J901" s="26" t="s">
        <v>24</v>
      </c>
      <c r="K901" s="27"/>
      <c r="L901" s="28" t="s">
        <v>25</v>
      </c>
      <c r="M901" s="29" t="str">
        <f t="shared" ref="M901:M964" si="70">IF(E901="","",IF(H901="Yes","❌ Disc",IF(G901="No","⚠ Missing",IF(J901="Yes","✓ OK","⚠ Check"))))</f>
        <v>✓ OK</v>
      </c>
      <c r="N901" s="43">
        <v>46193</v>
      </c>
      <c r="O901" s="26" t="s">
        <v>23</v>
      </c>
      <c r="P901" s="26" t="s">
        <v>24</v>
      </c>
      <c r="Q901" s="26" t="s">
        <v>25</v>
      </c>
      <c r="R901" s="26" t="s">
        <v>26</v>
      </c>
      <c r="S901" s="26" t="s">
        <v>24</v>
      </c>
      <c r="T901" s="27"/>
      <c r="U901" s="28" t="s">
        <v>25</v>
      </c>
      <c r="V901" s="29" t="str">
        <f t="shared" ref="V901:V964" si="71">IF(N901="","",IF(Q901="Yes","❌ Disc",IF(P901="No","⚠ Missing",IF(S901="Yes","✓ OK","⚠ Check"))))</f>
        <v>✓ OK</v>
      </c>
      <c r="W901" s="45">
        <v>46248</v>
      </c>
      <c r="X901" s="30" t="s">
        <v>23</v>
      </c>
      <c r="Y901" s="30" t="s">
        <v>24</v>
      </c>
      <c r="Z901" s="30" t="s">
        <v>25</v>
      </c>
      <c r="AA901" s="30" t="s">
        <v>26</v>
      </c>
      <c r="AB901" s="30" t="s">
        <v>24</v>
      </c>
      <c r="AC901" s="27"/>
      <c r="AD901" s="31" t="s">
        <v>25</v>
      </c>
      <c r="AE901" s="32" t="str">
        <f t="shared" ref="AE901:AE964" si="72">IF(W901="","",IF(Z901="Yes","❌ Disc",IF(Y901="No","⚠ Missing",IF(AB901="Yes","✓ OK","⚠ Check"))))</f>
        <v>✓ OK</v>
      </c>
      <c r="AF901" s="33" t="s">
        <v>27</v>
      </c>
      <c r="AG901" s="33" t="s">
        <v>23</v>
      </c>
      <c r="AH901" s="33" t="s">
        <v>24</v>
      </c>
      <c r="AI901" s="33" t="s">
        <v>25</v>
      </c>
      <c r="AJ901" s="33" t="s">
        <v>26</v>
      </c>
      <c r="AK901" s="33" t="s">
        <v>24</v>
      </c>
      <c r="AL901" s="27"/>
      <c r="AM901" s="34" t="s">
        <v>25</v>
      </c>
      <c r="AN901" s="35" t="str">
        <f t="shared" ref="AN901:AN964" si="73">IF(AF901="","",IF(AI901="Yes","❌ Disc",IF(AH901="No","⚠ Missing",IF(AK901="Yes","✓ OK","⚠ Check"))))</f>
        <v>✓ OK</v>
      </c>
      <c r="AO901" s="36"/>
      <c r="AP901" s="36"/>
      <c r="AQ901" s="36"/>
      <c r="AR901" s="36"/>
      <c r="AS901" s="36"/>
      <c r="AT901" s="36"/>
      <c r="AU901" s="27"/>
      <c r="AV901" s="37"/>
      <c r="AW901" s="38" t="str">
        <f t="shared" ref="AW901:AW964" si="74">IF(AO901="","",IF(AR901="Yes","❌ Disc",IF(AQ901="No","⚠ Missing",IF(AT901="Yes","✓ OK","⚠ Check"))))</f>
        <v/>
      </c>
    </row>
    <row r="902" spans="1:49" ht="18" customHeight="1" x14ac:dyDescent="0.3">
      <c r="A902" s="39">
        <v>898</v>
      </c>
      <c r="B902" s="40" t="s">
        <v>3644</v>
      </c>
      <c r="C902" s="41" t="s">
        <v>3645</v>
      </c>
      <c r="D902" s="39" t="s">
        <v>2819</v>
      </c>
      <c r="E902" s="43">
        <v>46126</v>
      </c>
      <c r="F902" s="26" t="s">
        <v>23</v>
      </c>
      <c r="G902" s="26" t="s">
        <v>24</v>
      </c>
      <c r="H902" s="26" t="s">
        <v>25</v>
      </c>
      <c r="I902" s="26" t="s">
        <v>26</v>
      </c>
      <c r="J902" s="26" t="s">
        <v>24</v>
      </c>
      <c r="K902" s="27"/>
      <c r="L902" s="28" t="s">
        <v>25</v>
      </c>
      <c r="M902" s="29" t="str">
        <f t="shared" si="70"/>
        <v>✓ OK</v>
      </c>
      <c r="N902" s="43">
        <v>46193</v>
      </c>
      <c r="O902" s="26" t="s">
        <v>23</v>
      </c>
      <c r="P902" s="26" t="s">
        <v>24</v>
      </c>
      <c r="Q902" s="26" t="s">
        <v>25</v>
      </c>
      <c r="R902" s="26" t="s">
        <v>26</v>
      </c>
      <c r="S902" s="26" t="s">
        <v>24</v>
      </c>
      <c r="T902" s="27"/>
      <c r="U902" s="28" t="s">
        <v>25</v>
      </c>
      <c r="V902" s="29" t="str">
        <f t="shared" si="71"/>
        <v>✓ OK</v>
      </c>
      <c r="W902" s="45">
        <v>46248</v>
      </c>
      <c r="X902" s="30" t="s">
        <v>23</v>
      </c>
      <c r="Y902" s="30" t="s">
        <v>24</v>
      </c>
      <c r="Z902" s="30" t="s">
        <v>25</v>
      </c>
      <c r="AA902" s="30" t="s">
        <v>26</v>
      </c>
      <c r="AB902" s="30" t="s">
        <v>24</v>
      </c>
      <c r="AC902" s="27"/>
      <c r="AD902" s="31" t="s">
        <v>25</v>
      </c>
      <c r="AE902" s="32" t="str">
        <f t="shared" si="72"/>
        <v>✓ OK</v>
      </c>
      <c r="AF902" s="33" t="s">
        <v>27</v>
      </c>
      <c r="AG902" s="33" t="s">
        <v>23</v>
      </c>
      <c r="AH902" s="33" t="s">
        <v>24</v>
      </c>
      <c r="AI902" s="33" t="s">
        <v>25</v>
      </c>
      <c r="AJ902" s="33" t="s">
        <v>26</v>
      </c>
      <c r="AK902" s="33" t="s">
        <v>24</v>
      </c>
      <c r="AL902" s="27"/>
      <c r="AM902" s="34" t="s">
        <v>25</v>
      </c>
      <c r="AN902" s="35" t="str">
        <f t="shared" si="73"/>
        <v>✓ OK</v>
      </c>
      <c r="AO902" s="36"/>
      <c r="AP902" s="36"/>
      <c r="AQ902" s="36"/>
      <c r="AR902" s="36"/>
      <c r="AS902" s="36"/>
      <c r="AT902" s="36"/>
      <c r="AU902" s="27"/>
      <c r="AV902" s="37"/>
      <c r="AW902" s="38" t="str">
        <f t="shared" si="74"/>
        <v/>
      </c>
    </row>
    <row r="903" spans="1:49" ht="18" customHeight="1" x14ac:dyDescent="0.3">
      <c r="A903" s="23">
        <v>899</v>
      </c>
      <c r="B903" s="24" t="s">
        <v>3646</v>
      </c>
      <c r="C903" s="25" t="s">
        <v>3647</v>
      </c>
      <c r="D903" s="23" t="s">
        <v>2819</v>
      </c>
      <c r="E903" s="43">
        <v>46126</v>
      </c>
      <c r="F903" s="26" t="s">
        <v>23</v>
      </c>
      <c r="G903" s="26" t="s">
        <v>24</v>
      </c>
      <c r="H903" s="26" t="s">
        <v>25</v>
      </c>
      <c r="I903" s="26" t="s">
        <v>26</v>
      </c>
      <c r="J903" s="26" t="s">
        <v>24</v>
      </c>
      <c r="K903" s="27"/>
      <c r="L903" s="28" t="s">
        <v>25</v>
      </c>
      <c r="M903" s="29" t="str">
        <f t="shared" si="70"/>
        <v>✓ OK</v>
      </c>
      <c r="N903" s="43">
        <v>46193</v>
      </c>
      <c r="O903" s="26" t="s">
        <v>23</v>
      </c>
      <c r="P903" s="26" t="s">
        <v>24</v>
      </c>
      <c r="Q903" s="26" t="s">
        <v>25</v>
      </c>
      <c r="R903" s="26" t="s">
        <v>26</v>
      </c>
      <c r="S903" s="26" t="s">
        <v>24</v>
      </c>
      <c r="T903" s="27"/>
      <c r="U903" s="28" t="s">
        <v>25</v>
      </c>
      <c r="V903" s="29" t="str">
        <f t="shared" si="71"/>
        <v>✓ OK</v>
      </c>
      <c r="W903" s="45">
        <v>46248</v>
      </c>
      <c r="X903" s="30" t="s">
        <v>23</v>
      </c>
      <c r="Y903" s="30" t="s">
        <v>24</v>
      </c>
      <c r="Z903" s="30" t="s">
        <v>25</v>
      </c>
      <c r="AA903" s="30" t="s">
        <v>26</v>
      </c>
      <c r="AB903" s="30" t="s">
        <v>24</v>
      </c>
      <c r="AC903" s="27"/>
      <c r="AD903" s="31" t="s">
        <v>25</v>
      </c>
      <c r="AE903" s="32" t="str">
        <f t="shared" si="72"/>
        <v>✓ OK</v>
      </c>
      <c r="AF903" s="33" t="s">
        <v>27</v>
      </c>
      <c r="AG903" s="33" t="s">
        <v>23</v>
      </c>
      <c r="AH903" s="33" t="s">
        <v>24</v>
      </c>
      <c r="AI903" s="33" t="s">
        <v>25</v>
      </c>
      <c r="AJ903" s="33" t="s">
        <v>26</v>
      </c>
      <c r="AK903" s="33" t="s">
        <v>24</v>
      </c>
      <c r="AL903" s="27"/>
      <c r="AM903" s="34" t="s">
        <v>25</v>
      </c>
      <c r="AN903" s="35" t="str">
        <f t="shared" si="73"/>
        <v>✓ OK</v>
      </c>
      <c r="AO903" s="36"/>
      <c r="AP903" s="36"/>
      <c r="AQ903" s="36"/>
      <c r="AR903" s="36"/>
      <c r="AS903" s="36"/>
      <c r="AT903" s="36"/>
      <c r="AU903" s="27"/>
      <c r="AV903" s="37"/>
      <c r="AW903" s="38" t="str">
        <f t="shared" si="74"/>
        <v/>
      </c>
    </row>
    <row r="904" spans="1:49" ht="18" customHeight="1" x14ac:dyDescent="0.3">
      <c r="A904" s="39">
        <v>900</v>
      </c>
      <c r="B904" s="40" t="s">
        <v>3648</v>
      </c>
      <c r="C904" s="41" t="s">
        <v>3649</v>
      </c>
      <c r="D904" s="39" t="s">
        <v>2819</v>
      </c>
      <c r="E904" s="43">
        <v>46126</v>
      </c>
      <c r="F904" s="26" t="s">
        <v>23</v>
      </c>
      <c r="G904" s="26" t="s">
        <v>24</v>
      </c>
      <c r="H904" s="26" t="s">
        <v>25</v>
      </c>
      <c r="I904" s="26" t="s">
        <v>26</v>
      </c>
      <c r="J904" s="26" t="s">
        <v>24</v>
      </c>
      <c r="K904" s="27"/>
      <c r="L904" s="28" t="s">
        <v>25</v>
      </c>
      <c r="M904" s="29" t="str">
        <f t="shared" si="70"/>
        <v>✓ OK</v>
      </c>
      <c r="N904" s="43">
        <v>46193</v>
      </c>
      <c r="O904" s="26" t="s">
        <v>23</v>
      </c>
      <c r="P904" s="26" t="s">
        <v>24</v>
      </c>
      <c r="Q904" s="26" t="s">
        <v>25</v>
      </c>
      <c r="R904" s="26" t="s">
        <v>26</v>
      </c>
      <c r="S904" s="26" t="s">
        <v>24</v>
      </c>
      <c r="T904" s="27"/>
      <c r="U904" s="28" t="s">
        <v>25</v>
      </c>
      <c r="V904" s="29" t="str">
        <f t="shared" si="71"/>
        <v>✓ OK</v>
      </c>
      <c r="W904" s="45">
        <v>46248</v>
      </c>
      <c r="X904" s="30" t="s">
        <v>23</v>
      </c>
      <c r="Y904" s="30" t="s">
        <v>24</v>
      </c>
      <c r="Z904" s="30" t="s">
        <v>25</v>
      </c>
      <c r="AA904" s="30" t="s">
        <v>26</v>
      </c>
      <c r="AB904" s="30" t="s">
        <v>24</v>
      </c>
      <c r="AC904" s="27"/>
      <c r="AD904" s="31" t="s">
        <v>25</v>
      </c>
      <c r="AE904" s="32" t="str">
        <f t="shared" si="72"/>
        <v>✓ OK</v>
      </c>
      <c r="AF904" s="33" t="s">
        <v>27</v>
      </c>
      <c r="AG904" s="33" t="s">
        <v>23</v>
      </c>
      <c r="AH904" s="33" t="s">
        <v>24</v>
      </c>
      <c r="AI904" s="33" t="s">
        <v>25</v>
      </c>
      <c r="AJ904" s="33" t="s">
        <v>26</v>
      </c>
      <c r="AK904" s="33" t="s">
        <v>24</v>
      </c>
      <c r="AL904" s="27"/>
      <c r="AM904" s="34" t="s">
        <v>25</v>
      </c>
      <c r="AN904" s="35" t="str">
        <f t="shared" si="73"/>
        <v>✓ OK</v>
      </c>
      <c r="AO904" s="36"/>
      <c r="AP904" s="36"/>
      <c r="AQ904" s="36"/>
      <c r="AR904" s="36"/>
      <c r="AS904" s="36"/>
      <c r="AT904" s="36"/>
      <c r="AU904" s="27"/>
      <c r="AV904" s="37"/>
      <c r="AW904" s="38" t="str">
        <f t="shared" si="74"/>
        <v/>
      </c>
    </row>
    <row r="905" spans="1:49" ht="18" customHeight="1" x14ac:dyDescent="0.3">
      <c r="A905" s="23">
        <v>901</v>
      </c>
      <c r="B905" s="24" t="s">
        <v>3650</v>
      </c>
      <c r="C905" s="25" t="s">
        <v>3651</v>
      </c>
      <c r="D905" s="23" t="s">
        <v>2819</v>
      </c>
      <c r="E905" s="43">
        <v>46126</v>
      </c>
      <c r="F905" s="26" t="s">
        <v>23</v>
      </c>
      <c r="G905" s="26" t="s">
        <v>24</v>
      </c>
      <c r="H905" s="26" t="s">
        <v>25</v>
      </c>
      <c r="I905" s="26" t="s">
        <v>26</v>
      </c>
      <c r="J905" s="26" t="s">
        <v>24</v>
      </c>
      <c r="K905" s="27"/>
      <c r="L905" s="28" t="s">
        <v>25</v>
      </c>
      <c r="M905" s="29" t="str">
        <f t="shared" si="70"/>
        <v>✓ OK</v>
      </c>
      <c r="N905" s="43">
        <v>46193</v>
      </c>
      <c r="O905" s="26" t="s">
        <v>23</v>
      </c>
      <c r="P905" s="26" t="s">
        <v>24</v>
      </c>
      <c r="Q905" s="26" t="s">
        <v>25</v>
      </c>
      <c r="R905" s="26" t="s">
        <v>26</v>
      </c>
      <c r="S905" s="26" t="s">
        <v>24</v>
      </c>
      <c r="T905" s="27"/>
      <c r="U905" s="28" t="s">
        <v>25</v>
      </c>
      <c r="V905" s="29" t="str">
        <f t="shared" si="71"/>
        <v>✓ OK</v>
      </c>
      <c r="W905" s="45">
        <v>46248</v>
      </c>
      <c r="X905" s="30" t="s">
        <v>23</v>
      </c>
      <c r="Y905" s="30" t="s">
        <v>24</v>
      </c>
      <c r="Z905" s="30" t="s">
        <v>25</v>
      </c>
      <c r="AA905" s="30" t="s">
        <v>26</v>
      </c>
      <c r="AB905" s="30" t="s">
        <v>24</v>
      </c>
      <c r="AC905" s="27"/>
      <c r="AD905" s="31" t="s">
        <v>25</v>
      </c>
      <c r="AE905" s="32" t="str">
        <f t="shared" si="72"/>
        <v>✓ OK</v>
      </c>
      <c r="AF905" s="33" t="s">
        <v>27</v>
      </c>
      <c r="AG905" s="33" t="s">
        <v>23</v>
      </c>
      <c r="AH905" s="33" t="s">
        <v>24</v>
      </c>
      <c r="AI905" s="33" t="s">
        <v>25</v>
      </c>
      <c r="AJ905" s="33" t="s">
        <v>26</v>
      </c>
      <c r="AK905" s="33" t="s">
        <v>24</v>
      </c>
      <c r="AL905" s="27"/>
      <c r="AM905" s="34" t="s">
        <v>25</v>
      </c>
      <c r="AN905" s="35" t="str">
        <f t="shared" si="73"/>
        <v>✓ OK</v>
      </c>
      <c r="AO905" s="36"/>
      <c r="AP905" s="36"/>
      <c r="AQ905" s="36"/>
      <c r="AR905" s="36"/>
      <c r="AS905" s="36"/>
      <c r="AT905" s="36"/>
      <c r="AU905" s="27"/>
      <c r="AV905" s="37"/>
      <c r="AW905" s="38" t="str">
        <f t="shared" si="74"/>
        <v/>
      </c>
    </row>
    <row r="906" spans="1:49" ht="18" customHeight="1" x14ac:dyDescent="0.3">
      <c r="A906" s="39">
        <v>902</v>
      </c>
      <c r="B906" s="40" t="s">
        <v>3652</v>
      </c>
      <c r="C906" s="41" t="s">
        <v>3653</v>
      </c>
      <c r="D906" s="39" t="s">
        <v>2819</v>
      </c>
      <c r="E906" s="43">
        <v>46126</v>
      </c>
      <c r="F906" s="26" t="s">
        <v>23</v>
      </c>
      <c r="G906" s="26" t="s">
        <v>24</v>
      </c>
      <c r="H906" s="26" t="s">
        <v>25</v>
      </c>
      <c r="I906" s="26" t="s">
        <v>26</v>
      </c>
      <c r="J906" s="26" t="s">
        <v>24</v>
      </c>
      <c r="K906" s="27"/>
      <c r="L906" s="28" t="s">
        <v>25</v>
      </c>
      <c r="M906" s="29" t="str">
        <f t="shared" si="70"/>
        <v>✓ OK</v>
      </c>
      <c r="N906" s="43">
        <v>46193</v>
      </c>
      <c r="O906" s="26" t="s">
        <v>23</v>
      </c>
      <c r="P906" s="26" t="s">
        <v>24</v>
      </c>
      <c r="Q906" s="26" t="s">
        <v>25</v>
      </c>
      <c r="R906" s="26" t="s">
        <v>26</v>
      </c>
      <c r="S906" s="26" t="s">
        <v>24</v>
      </c>
      <c r="T906" s="27"/>
      <c r="U906" s="28" t="s">
        <v>25</v>
      </c>
      <c r="V906" s="29" t="str">
        <f t="shared" si="71"/>
        <v>✓ OK</v>
      </c>
      <c r="W906" s="45">
        <v>46248</v>
      </c>
      <c r="X906" s="30" t="s">
        <v>23</v>
      </c>
      <c r="Y906" s="30" t="s">
        <v>24</v>
      </c>
      <c r="Z906" s="30" t="s">
        <v>25</v>
      </c>
      <c r="AA906" s="30" t="s">
        <v>26</v>
      </c>
      <c r="AB906" s="30" t="s">
        <v>24</v>
      </c>
      <c r="AC906" s="27"/>
      <c r="AD906" s="31" t="s">
        <v>25</v>
      </c>
      <c r="AE906" s="32" t="str">
        <f t="shared" si="72"/>
        <v>✓ OK</v>
      </c>
      <c r="AF906" s="33" t="s">
        <v>27</v>
      </c>
      <c r="AG906" s="33" t="s">
        <v>23</v>
      </c>
      <c r="AH906" s="33" t="s">
        <v>24</v>
      </c>
      <c r="AI906" s="33" t="s">
        <v>25</v>
      </c>
      <c r="AJ906" s="33" t="s">
        <v>26</v>
      </c>
      <c r="AK906" s="33" t="s">
        <v>24</v>
      </c>
      <c r="AL906" s="27"/>
      <c r="AM906" s="34" t="s">
        <v>25</v>
      </c>
      <c r="AN906" s="35" t="str">
        <f t="shared" si="73"/>
        <v>✓ OK</v>
      </c>
      <c r="AO906" s="36"/>
      <c r="AP906" s="36"/>
      <c r="AQ906" s="36"/>
      <c r="AR906" s="36"/>
      <c r="AS906" s="36"/>
      <c r="AT906" s="36"/>
      <c r="AU906" s="27"/>
      <c r="AV906" s="37"/>
      <c r="AW906" s="38" t="str">
        <f t="shared" si="74"/>
        <v/>
      </c>
    </row>
    <row r="907" spans="1:49" ht="18" customHeight="1" x14ac:dyDescent="0.3">
      <c r="A907" s="23">
        <v>903</v>
      </c>
      <c r="B907" s="24" t="s">
        <v>3654</v>
      </c>
      <c r="C907" s="25" t="s">
        <v>3655</v>
      </c>
      <c r="D907" s="23" t="s">
        <v>2819</v>
      </c>
      <c r="E907" s="43">
        <v>46126</v>
      </c>
      <c r="F907" s="26" t="s">
        <v>23</v>
      </c>
      <c r="G907" s="26" t="s">
        <v>24</v>
      </c>
      <c r="H907" s="26" t="s">
        <v>25</v>
      </c>
      <c r="I907" s="26" t="s">
        <v>26</v>
      </c>
      <c r="J907" s="26" t="s">
        <v>24</v>
      </c>
      <c r="K907" s="27"/>
      <c r="L907" s="28" t="s">
        <v>25</v>
      </c>
      <c r="M907" s="29" t="str">
        <f t="shared" si="70"/>
        <v>✓ OK</v>
      </c>
      <c r="N907" s="43">
        <v>46193</v>
      </c>
      <c r="O907" s="26" t="s">
        <v>23</v>
      </c>
      <c r="P907" s="26" t="s">
        <v>24</v>
      </c>
      <c r="Q907" s="26" t="s">
        <v>25</v>
      </c>
      <c r="R907" s="26" t="s">
        <v>26</v>
      </c>
      <c r="S907" s="26" t="s">
        <v>24</v>
      </c>
      <c r="T907" s="27"/>
      <c r="U907" s="28" t="s">
        <v>25</v>
      </c>
      <c r="V907" s="29" t="str">
        <f t="shared" si="71"/>
        <v>✓ OK</v>
      </c>
      <c r="W907" s="45">
        <v>46248</v>
      </c>
      <c r="X907" s="30" t="s">
        <v>23</v>
      </c>
      <c r="Y907" s="30" t="s">
        <v>24</v>
      </c>
      <c r="Z907" s="30" t="s">
        <v>25</v>
      </c>
      <c r="AA907" s="30" t="s">
        <v>26</v>
      </c>
      <c r="AB907" s="30" t="s">
        <v>24</v>
      </c>
      <c r="AC907" s="27"/>
      <c r="AD907" s="31" t="s">
        <v>25</v>
      </c>
      <c r="AE907" s="32" t="str">
        <f t="shared" si="72"/>
        <v>✓ OK</v>
      </c>
      <c r="AF907" s="33" t="s">
        <v>27</v>
      </c>
      <c r="AG907" s="33" t="s">
        <v>23</v>
      </c>
      <c r="AH907" s="33" t="s">
        <v>24</v>
      </c>
      <c r="AI907" s="33" t="s">
        <v>25</v>
      </c>
      <c r="AJ907" s="33" t="s">
        <v>26</v>
      </c>
      <c r="AK907" s="33" t="s">
        <v>24</v>
      </c>
      <c r="AL907" s="27"/>
      <c r="AM907" s="34" t="s">
        <v>25</v>
      </c>
      <c r="AN907" s="35" t="str">
        <f t="shared" si="73"/>
        <v>✓ OK</v>
      </c>
      <c r="AO907" s="36"/>
      <c r="AP907" s="36"/>
      <c r="AQ907" s="36"/>
      <c r="AR907" s="36"/>
      <c r="AS907" s="36"/>
      <c r="AT907" s="36"/>
      <c r="AU907" s="27"/>
      <c r="AV907" s="37"/>
      <c r="AW907" s="38" t="str">
        <f t="shared" si="74"/>
        <v/>
      </c>
    </row>
    <row r="908" spans="1:49" ht="18" customHeight="1" x14ac:dyDescent="0.3">
      <c r="A908" s="39">
        <v>904</v>
      </c>
      <c r="B908" s="40" t="s">
        <v>3656</v>
      </c>
      <c r="C908" s="41" t="s">
        <v>3657</v>
      </c>
      <c r="D908" s="39" t="s">
        <v>2819</v>
      </c>
      <c r="E908" s="43">
        <v>46126</v>
      </c>
      <c r="F908" s="26" t="s">
        <v>23</v>
      </c>
      <c r="G908" s="26" t="s">
        <v>24</v>
      </c>
      <c r="H908" s="26" t="s">
        <v>25</v>
      </c>
      <c r="I908" s="26" t="s">
        <v>26</v>
      </c>
      <c r="J908" s="26" t="s">
        <v>24</v>
      </c>
      <c r="K908" s="27"/>
      <c r="L908" s="28" t="s">
        <v>25</v>
      </c>
      <c r="M908" s="29" t="str">
        <f t="shared" si="70"/>
        <v>✓ OK</v>
      </c>
      <c r="N908" s="43">
        <v>46193</v>
      </c>
      <c r="O908" s="26" t="s">
        <v>23</v>
      </c>
      <c r="P908" s="26" t="s">
        <v>24</v>
      </c>
      <c r="Q908" s="26" t="s">
        <v>25</v>
      </c>
      <c r="R908" s="26" t="s">
        <v>26</v>
      </c>
      <c r="S908" s="26" t="s">
        <v>24</v>
      </c>
      <c r="T908" s="27"/>
      <c r="U908" s="28" t="s">
        <v>25</v>
      </c>
      <c r="V908" s="29" t="str">
        <f t="shared" si="71"/>
        <v>✓ OK</v>
      </c>
      <c r="W908" s="45">
        <v>46248</v>
      </c>
      <c r="X908" s="30" t="s">
        <v>23</v>
      </c>
      <c r="Y908" s="30" t="s">
        <v>24</v>
      </c>
      <c r="Z908" s="30" t="s">
        <v>25</v>
      </c>
      <c r="AA908" s="30" t="s">
        <v>26</v>
      </c>
      <c r="AB908" s="30" t="s">
        <v>24</v>
      </c>
      <c r="AC908" s="27"/>
      <c r="AD908" s="31" t="s">
        <v>25</v>
      </c>
      <c r="AE908" s="32" t="str">
        <f t="shared" si="72"/>
        <v>✓ OK</v>
      </c>
      <c r="AF908" s="33" t="s">
        <v>27</v>
      </c>
      <c r="AG908" s="33" t="s">
        <v>23</v>
      </c>
      <c r="AH908" s="33" t="s">
        <v>24</v>
      </c>
      <c r="AI908" s="33" t="s">
        <v>25</v>
      </c>
      <c r="AJ908" s="33" t="s">
        <v>26</v>
      </c>
      <c r="AK908" s="33" t="s">
        <v>24</v>
      </c>
      <c r="AL908" s="27"/>
      <c r="AM908" s="34" t="s">
        <v>25</v>
      </c>
      <c r="AN908" s="35" t="str">
        <f t="shared" si="73"/>
        <v>✓ OK</v>
      </c>
      <c r="AO908" s="36"/>
      <c r="AP908" s="36"/>
      <c r="AQ908" s="36"/>
      <c r="AR908" s="36"/>
      <c r="AS908" s="36"/>
      <c r="AT908" s="36"/>
      <c r="AU908" s="27"/>
      <c r="AV908" s="37"/>
      <c r="AW908" s="38" t="str">
        <f t="shared" si="74"/>
        <v/>
      </c>
    </row>
    <row r="909" spans="1:49" ht="18" customHeight="1" x14ac:dyDescent="0.3">
      <c r="A909" s="23">
        <v>905</v>
      </c>
      <c r="B909" s="24" t="s">
        <v>3658</v>
      </c>
      <c r="C909" s="25" t="s">
        <v>3659</v>
      </c>
      <c r="D909" s="23" t="s">
        <v>2819</v>
      </c>
      <c r="E909" s="43">
        <v>46126</v>
      </c>
      <c r="F909" s="26" t="s">
        <v>23</v>
      </c>
      <c r="G909" s="26" t="s">
        <v>24</v>
      </c>
      <c r="H909" s="26" t="s">
        <v>25</v>
      </c>
      <c r="I909" s="26" t="s">
        <v>26</v>
      </c>
      <c r="J909" s="26" t="s">
        <v>24</v>
      </c>
      <c r="K909" s="27"/>
      <c r="L909" s="28" t="s">
        <v>25</v>
      </c>
      <c r="M909" s="29" t="str">
        <f t="shared" si="70"/>
        <v>✓ OK</v>
      </c>
      <c r="N909" s="43">
        <v>46193</v>
      </c>
      <c r="O909" s="26" t="s">
        <v>23</v>
      </c>
      <c r="P909" s="26" t="s">
        <v>24</v>
      </c>
      <c r="Q909" s="26" t="s">
        <v>25</v>
      </c>
      <c r="R909" s="26" t="s">
        <v>26</v>
      </c>
      <c r="S909" s="26" t="s">
        <v>24</v>
      </c>
      <c r="T909" s="27"/>
      <c r="U909" s="28" t="s">
        <v>25</v>
      </c>
      <c r="V909" s="29" t="str">
        <f t="shared" si="71"/>
        <v>✓ OK</v>
      </c>
      <c r="W909" s="45">
        <v>46248</v>
      </c>
      <c r="X909" s="30" t="s">
        <v>23</v>
      </c>
      <c r="Y909" s="30" t="s">
        <v>24</v>
      </c>
      <c r="Z909" s="30" t="s">
        <v>25</v>
      </c>
      <c r="AA909" s="30" t="s">
        <v>26</v>
      </c>
      <c r="AB909" s="30" t="s">
        <v>24</v>
      </c>
      <c r="AC909" s="27"/>
      <c r="AD909" s="31" t="s">
        <v>25</v>
      </c>
      <c r="AE909" s="32" t="str">
        <f t="shared" si="72"/>
        <v>✓ OK</v>
      </c>
      <c r="AF909" s="33" t="s">
        <v>27</v>
      </c>
      <c r="AG909" s="33" t="s">
        <v>23</v>
      </c>
      <c r="AH909" s="33" t="s">
        <v>24</v>
      </c>
      <c r="AI909" s="33" t="s">
        <v>25</v>
      </c>
      <c r="AJ909" s="33" t="s">
        <v>26</v>
      </c>
      <c r="AK909" s="33" t="s">
        <v>24</v>
      </c>
      <c r="AL909" s="27"/>
      <c r="AM909" s="34" t="s">
        <v>25</v>
      </c>
      <c r="AN909" s="35" t="str">
        <f t="shared" si="73"/>
        <v>✓ OK</v>
      </c>
      <c r="AO909" s="36"/>
      <c r="AP909" s="36"/>
      <c r="AQ909" s="36"/>
      <c r="AR909" s="36"/>
      <c r="AS909" s="36"/>
      <c r="AT909" s="36"/>
      <c r="AU909" s="27"/>
      <c r="AV909" s="37"/>
      <c r="AW909" s="38" t="str">
        <f t="shared" si="74"/>
        <v/>
      </c>
    </row>
    <row r="910" spans="1:49" ht="18" customHeight="1" x14ac:dyDescent="0.3">
      <c r="A910" s="39">
        <v>906</v>
      </c>
      <c r="B910" s="40" t="s">
        <v>3660</v>
      </c>
      <c r="C910" s="41" t="s">
        <v>3661</v>
      </c>
      <c r="D910" s="39" t="s">
        <v>2819</v>
      </c>
      <c r="E910" s="43">
        <v>46126</v>
      </c>
      <c r="F910" s="26" t="s">
        <v>23</v>
      </c>
      <c r="G910" s="26" t="s">
        <v>24</v>
      </c>
      <c r="H910" s="26" t="s">
        <v>25</v>
      </c>
      <c r="I910" s="26" t="s">
        <v>26</v>
      </c>
      <c r="J910" s="26" t="s">
        <v>24</v>
      </c>
      <c r="K910" s="27"/>
      <c r="L910" s="28" t="s">
        <v>25</v>
      </c>
      <c r="M910" s="29" t="str">
        <f t="shared" si="70"/>
        <v>✓ OK</v>
      </c>
      <c r="N910" s="43">
        <v>46193</v>
      </c>
      <c r="O910" s="26" t="s">
        <v>23</v>
      </c>
      <c r="P910" s="26" t="s">
        <v>24</v>
      </c>
      <c r="Q910" s="26" t="s">
        <v>25</v>
      </c>
      <c r="R910" s="26" t="s">
        <v>26</v>
      </c>
      <c r="S910" s="26" t="s">
        <v>24</v>
      </c>
      <c r="T910" s="27"/>
      <c r="U910" s="28" t="s">
        <v>25</v>
      </c>
      <c r="V910" s="29" t="str">
        <f t="shared" si="71"/>
        <v>✓ OK</v>
      </c>
      <c r="W910" s="45">
        <v>46248</v>
      </c>
      <c r="X910" s="30" t="s">
        <v>23</v>
      </c>
      <c r="Y910" s="30" t="s">
        <v>24</v>
      </c>
      <c r="Z910" s="30" t="s">
        <v>25</v>
      </c>
      <c r="AA910" s="30" t="s">
        <v>26</v>
      </c>
      <c r="AB910" s="30" t="s">
        <v>24</v>
      </c>
      <c r="AC910" s="27"/>
      <c r="AD910" s="31" t="s">
        <v>25</v>
      </c>
      <c r="AE910" s="32" t="str">
        <f t="shared" si="72"/>
        <v>✓ OK</v>
      </c>
      <c r="AF910" s="33" t="s">
        <v>27</v>
      </c>
      <c r="AG910" s="33" t="s">
        <v>23</v>
      </c>
      <c r="AH910" s="33" t="s">
        <v>24</v>
      </c>
      <c r="AI910" s="33" t="s">
        <v>25</v>
      </c>
      <c r="AJ910" s="33" t="s">
        <v>26</v>
      </c>
      <c r="AK910" s="33" t="s">
        <v>24</v>
      </c>
      <c r="AL910" s="27"/>
      <c r="AM910" s="34" t="s">
        <v>25</v>
      </c>
      <c r="AN910" s="35" t="str">
        <f t="shared" si="73"/>
        <v>✓ OK</v>
      </c>
      <c r="AO910" s="36"/>
      <c r="AP910" s="36"/>
      <c r="AQ910" s="36"/>
      <c r="AR910" s="36"/>
      <c r="AS910" s="36"/>
      <c r="AT910" s="36"/>
      <c r="AU910" s="27"/>
      <c r="AV910" s="37"/>
      <c r="AW910" s="38" t="str">
        <f t="shared" si="74"/>
        <v/>
      </c>
    </row>
    <row r="911" spans="1:49" ht="18" customHeight="1" x14ac:dyDescent="0.3">
      <c r="A911" s="23">
        <v>907</v>
      </c>
      <c r="B911" s="24" t="s">
        <v>3662</v>
      </c>
      <c r="C911" s="25" t="s">
        <v>3663</v>
      </c>
      <c r="D911" s="23" t="s">
        <v>2819</v>
      </c>
      <c r="E911" s="43">
        <v>46126</v>
      </c>
      <c r="F911" s="26" t="s">
        <v>23</v>
      </c>
      <c r="G911" s="26" t="s">
        <v>24</v>
      </c>
      <c r="H911" s="26" t="s">
        <v>25</v>
      </c>
      <c r="I911" s="26" t="s">
        <v>26</v>
      </c>
      <c r="J911" s="26" t="s">
        <v>24</v>
      </c>
      <c r="K911" s="27"/>
      <c r="L911" s="28" t="s">
        <v>25</v>
      </c>
      <c r="M911" s="29" t="str">
        <f t="shared" si="70"/>
        <v>✓ OK</v>
      </c>
      <c r="N911" s="43">
        <v>46193</v>
      </c>
      <c r="O911" s="26" t="s">
        <v>23</v>
      </c>
      <c r="P911" s="26" t="s">
        <v>24</v>
      </c>
      <c r="Q911" s="26" t="s">
        <v>25</v>
      </c>
      <c r="R911" s="26" t="s">
        <v>26</v>
      </c>
      <c r="S911" s="26" t="s">
        <v>24</v>
      </c>
      <c r="T911" s="27"/>
      <c r="U911" s="28" t="s">
        <v>25</v>
      </c>
      <c r="V911" s="29" t="str">
        <f t="shared" si="71"/>
        <v>✓ OK</v>
      </c>
      <c r="W911" s="45">
        <v>46248</v>
      </c>
      <c r="X911" s="30" t="s">
        <v>23</v>
      </c>
      <c r="Y911" s="30" t="s">
        <v>24</v>
      </c>
      <c r="Z911" s="30" t="s">
        <v>25</v>
      </c>
      <c r="AA911" s="30" t="s">
        <v>26</v>
      </c>
      <c r="AB911" s="30" t="s">
        <v>24</v>
      </c>
      <c r="AC911" s="27"/>
      <c r="AD911" s="31" t="s">
        <v>25</v>
      </c>
      <c r="AE911" s="32" t="str">
        <f t="shared" si="72"/>
        <v>✓ OK</v>
      </c>
      <c r="AF911" s="33" t="s">
        <v>27</v>
      </c>
      <c r="AG911" s="33" t="s">
        <v>23</v>
      </c>
      <c r="AH911" s="33" t="s">
        <v>24</v>
      </c>
      <c r="AI911" s="33" t="s">
        <v>25</v>
      </c>
      <c r="AJ911" s="33" t="s">
        <v>26</v>
      </c>
      <c r="AK911" s="33" t="s">
        <v>24</v>
      </c>
      <c r="AL911" s="27"/>
      <c r="AM911" s="34" t="s">
        <v>25</v>
      </c>
      <c r="AN911" s="35" t="str">
        <f t="shared" si="73"/>
        <v>✓ OK</v>
      </c>
      <c r="AO911" s="36"/>
      <c r="AP911" s="36"/>
      <c r="AQ911" s="36"/>
      <c r="AR911" s="36"/>
      <c r="AS911" s="36"/>
      <c r="AT911" s="36"/>
      <c r="AU911" s="27"/>
      <c r="AV911" s="37"/>
      <c r="AW911" s="38" t="str">
        <f t="shared" si="74"/>
        <v/>
      </c>
    </row>
    <row r="912" spans="1:49" ht="18" customHeight="1" x14ac:dyDescent="0.3">
      <c r="A912" s="39">
        <v>908</v>
      </c>
      <c r="B912" s="40" t="s">
        <v>3664</v>
      </c>
      <c r="C912" s="41" t="s">
        <v>3665</v>
      </c>
      <c r="D912" s="39" t="s">
        <v>2819</v>
      </c>
      <c r="E912" s="43">
        <v>46126</v>
      </c>
      <c r="F912" s="26" t="s">
        <v>23</v>
      </c>
      <c r="G912" s="26" t="s">
        <v>24</v>
      </c>
      <c r="H912" s="26" t="s">
        <v>25</v>
      </c>
      <c r="I912" s="26" t="s">
        <v>26</v>
      </c>
      <c r="J912" s="26" t="s">
        <v>24</v>
      </c>
      <c r="K912" s="27"/>
      <c r="L912" s="28" t="s">
        <v>25</v>
      </c>
      <c r="M912" s="29" t="str">
        <f t="shared" si="70"/>
        <v>✓ OK</v>
      </c>
      <c r="N912" s="43">
        <v>46193</v>
      </c>
      <c r="O912" s="26" t="s">
        <v>23</v>
      </c>
      <c r="P912" s="26" t="s">
        <v>24</v>
      </c>
      <c r="Q912" s="26" t="s">
        <v>25</v>
      </c>
      <c r="R912" s="26" t="s">
        <v>26</v>
      </c>
      <c r="S912" s="26" t="s">
        <v>24</v>
      </c>
      <c r="T912" s="27"/>
      <c r="U912" s="28" t="s">
        <v>25</v>
      </c>
      <c r="V912" s="29" t="str">
        <f t="shared" si="71"/>
        <v>✓ OK</v>
      </c>
      <c r="W912" s="45">
        <v>46248</v>
      </c>
      <c r="X912" s="30" t="s">
        <v>23</v>
      </c>
      <c r="Y912" s="30" t="s">
        <v>24</v>
      </c>
      <c r="Z912" s="30" t="s">
        <v>25</v>
      </c>
      <c r="AA912" s="30" t="s">
        <v>26</v>
      </c>
      <c r="AB912" s="30" t="s">
        <v>24</v>
      </c>
      <c r="AC912" s="27"/>
      <c r="AD912" s="31" t="s">
        <v>25</v>
      </c>
      <c r="AE912" s="32" t="str">
        <f t="shared" si="72"/>
        <v>✓ OK</v>
      </c>
      <c r="AF912" s="33" t="s">
        <v>27</v>
      </c>
      <c r="AG912" s="33" t="s">
        <v>23</v>
      </c>
      <c r="AH912" s="33" t="s">
        <v>24</v>
      </c>
      <c r="AI912" s="33" t="s">
        <v>25</v>
      </c>
      <c r="AJ912" s="33" t="s">
        <v>26</v>
      </c>
      <c r="AK912" s="33" t="s">
        <v>24</v>
      </c>
      <c r="AL912" s="27"/>
      <c r="AM912" s="34" t="s">
        <v>25</v>
      </c>
      <c r="AN912" s="35" t="str">
        <f t="shared" si="73"/>
        <v>✓ OK</v>
      </c>
      <c r="AO912" s="36"/>
      <c r="AP912" s="36"/>
      <c r="AQ912" s="36"/>
      <c r="AR912" s="36"/>
      <c r="AS912" s="36"/>
      <c r="AT912" s="36"/>
      <c r="AU912" s="27"/>
      <c r="AV912" s="37"/>
      <c r="AW912" s="38" t="str">
        <f t="shared" si="74"/>
        <v/>
      </c>
    </row>
    <row r="913" spans="1:49" ht="18" customHeight="1" x14ac:dyDescent="0.3">
      <c r="A913" s="23">
        <v>909</v>
      </c>
      <c r="B913" s="24" t="s">
        <v>3666</v>
      </c>
      <c r="C913" s="25" t="s">
        <v>3667</v>
      </c>
      <c r="D913" s="23" t="s">
        <v>2819</v>
      </c>
      <c r="E913" s="43">
        <v>46126</v>
      </c>
      <c r="F913" s="26" t="s">
        <v>23</v>
      </c>
      <c r="G913" s="26" t="s">
        <v>24</v>
      </c>
      <c r="H913" s="26" t="s">
        <v>25</v>
      </c>
      <c r="I913" s="26" t="s">
        <v>26</v>
      </c>
      <c r="J913" s="26" t="s">
        <v>24</v>
      </c>
      <c r="K913" s="27"/>
      <c r="L913" s="28" t="s">
        <v>25</v>
      </c>
      <c r="M913" s="29" t="str">
        <f t="shared" si="70"/>
        <v>✓ OK</v>
      </c>
      <c r="N913" s="43">
        <v>46193</v>
      </c>
      <c r="O913" s="26" t="s">
        <v>23</v>
      </c>
      <c r="P913" s="26" t="s">
        <v>24</v>
      </c>
      <c r="Q913" s="26" t="s">
        <v>25</v>
      </c>
      <c r="R913" s="26" t="s">
        <v>26</v>
      </c>
      <c r="S913" s="26" t="s">
        <v>24</v>
      </c>
      <c r="T913" s="27"/>
      <c r="U913" s="28" t="s">
        <v>25</v>
      </c>
      <c r="V913" s="29" t="str">
        <f t="shared" si="71"/>
        <v>✓ OK</v>
      </c>
      <c r="W913" s="45">
        <v>46248</v>
      </c>
      <c r="X913" s="30" t="s">
        <v>23</v>
      </c>
      <c r="Y913" s="30" t="s">
        <v>24</v>
      </c>
      <c r="Z913" s="30" t="s">
        <v>25</v>
      </c>
      <c r="AA913" s="30" t="s">
        <v>26</v>
      </c>
      <c r="AB913" s="30" t="s">
        <v>24</v>
      </c>
      <c r="AC913" s="27"/>
      <c r="AD913" s="31" t="s">
        <v>25</v>
      </c>
      <c r="AE913" s="32" t="str">
        <f t="shared" si="72"/>
        <v>✓ OK</v>
      </c>
      <c r="AF913" s="33" t="s">
        <v>27</v>
      </c>
      <c r="AG913" s="33" t="s">
        <v>23</v>
      </c>
      <c r="AH913" s="33" t="s">
        <v>24</v>
      </c>
      <c r="AI913" s="33" t="s">
        <v>25</v>
      </c>
      <c r="AJ913" s="33" t="s">
        <v>26</v>
      </c>
      <c r="AK913" s="33" t="s">
        <v>24</v>
      </c>
      <c r="AL913" s="27"/>
      <c r="AM913" s="34" t="s">
        <v>25</v>
      </c>
      <c r="AN913" s="35" t="str">
        <f t="shared" si="73"/>
        <v>✓ OK</v>
      </c>
      <c r="AO913" s="36"/>
      <c r="AP913" s="36"/>
      <c r="AQ913" s="36"/>
      <c r="AR913" s="36"/>
      <c r="AS913" s="36"/>
      <c r="AT913" s="36"/>
      <c r="AU913" s="27"/>
      <c r="AV913" s="37"/>
      <c r="AW913" s="38" t="str">
        <f t="shared" si="74"/>
        <v/>
      </c>
    </row>
    <row r="914" spans="1:49" ht="18" customHeight="1" x14ac:dyDescent="0.3">
      <c r="A914" s="39">
        <v>910</v>
      </c>
      <c r="B914" s="40" t="s">
        <v>3668</v>
      </c>
      <c r="C914" s="41" t="s">
        <v>3669</v>
      </c>
      <c r="D914" s="39" t="s">
        <v>2819</v>
      </c>
      <c r="E914" s="43">
        <v>46126</v>
      </c>
      <c r="F914" s="26" t="s">
        <v>23</v>
      </c>
      <c r="G914" s="26" t="s">
        <v>24</v>
      </c>
      <c r="H914" s="26" t="s">
        <v>25</v>
      </c>
      <c r="I914" s="26" t="s">
        <v>26</v>
      </c>
      <c r="J914" s="26" t="s">
        <v>24</v>
      </c>
      <c r="K914" s="27"/>
      <c r="L914" s="28" t="s">
        <v>25</v>
      </c>
      <c r="M914" s="29" t="str">
        <f t="shared" si="70"/>
        <v>✓ OK</v>
      </c>
      <c r="N914" s="43">
        <v>46193</v>
      </c>
      <c r="O914" s="26" t="s">
        <v>23</v>
      </c>
      <c r="P914" s="26" t="s">
        <v>24</v>
      </c>
      <c r="Q914" s="26" t="s">
        <v>25</v>
      </c>
      <c r="R914" s="26" t="s">
        <v>26</v>
      </c>
      <c r="S914" s="26" t="s">
        <v>24</v>
      </c>
      <c r="T914" s="27"/>
      <c r="U914" s="28" t="s">
        <v>25</v>
      </c>
      <c r="V914" s="29" t="str">
        <f t="shared" si="71"/>
        <v>✓ OK</v>
      </c>
      <c r="W914" s="45">
        <v>46248</v>
      </c>
      <c r="X914" s="30" t="s">
        <v>23</v>
      </c>
      <c r="Y914" s="30" t="s">
        <v>24</v>
      </c>
      <c r="Z914" s="30" t="s">
        <v>25</v>
      </c>
      <c r="AA914" s="30" t="s">
        <v>26</v>
      </c>
      <c r="AB914" s="30" t="s">
        <v>24</v>
      </c>
      <c r="AC914" s="27"/>
      <c r="AD914" s="31" t="s">
        <v>25</v>
      </c>
      <c r="AE914" s="32" t="str">
        <f t="shared" si="72"/>
        <v>✓ OK</v>
      </c>
      <c r="AF914" s="33" t="s">
        <v>27</v>
      </c>
      <c r="AG914" s="33" t="s">
        <v>23</v>
      </c>
      <c r="AH914" s="33" t="s">
        <v>24</v>
      </c>
      <c r="AI914" s="33" t="s">
        <v>25</v>
      </c>
      <c r="AJ914" s="33" t="s">
        <v>26</v>
      </c>
      <c r="AK914" s="33" t="s">
        <v>24</v>
      </c>
      <c r="AL914" s="27"/>
      <c r="AM914" s="34" t="s">
        <v>25</v>
      </c>
      <c r="AN914" s="35" t="str">
        <f t="shared" si="73"/>
        <v>✓ OK</v>
      </c>
      <c r="AO914" s="36"/>
      <c r="AP914" s="36"/>
      <c r="AQ914" s="36"/>
      <c r="AR914" s="36"/>
      <c r="AS914" s="36"/>
      <c r="AT914" s="36"/>
      <c r="AU914" s="27"/>
      <c r="AV914" s="37"/>
      <c r="AW914" s="38" t="str">
        <f t="shared" si="74"/>
        <v/>
      </c>
    </row>
    <row r="915" spans="1:49" ht="18" customHeight="1" x14ac:dyDescent="0.3">
      <c r="A915" s="23">
        <v>911</v>
      </c>
      <c r="B915" s="24" t="s">
        <v>3670</v>
      </c>
      <c r="C915" s="25" t="s">
        <v>3671</v>
      </c>
      <c r="D915" s="23" t="s">
        <v>2819</v>
      </c>
      <c r="E915" s="43">
        <v>46126</v>
      </c>
      <c r="F915" s="26" t="s">
        <v>23</v>
      </c>
      <c r="G915" s="26" t="s">
        <v>24</v>
      </c>
      <c r="H915" s="26" t="s">
        <v>25</v>
      </c>
      <c r="I915" s="26" t="s">
        <v>26</v>
      </c>
      <c r="J915" s="26" t="s">
        <v>24</v>
      </c>
      <c r="K915" s="27"/>
      <c r="L915" s="28" t="s">
        <v>25</v>
      </c>
      <c r="M915" s="29" t="str">
        <f t="shared" si="70"/>
        <v>✓ OK</v>
      </c>
      <c r="N915" s="43">
        <v>46193</v>
      </c>
      <c r="O915" s="26" t="s">
        <v>23</v>
      </c>
      <c r="P915" s="26" t="s">
        <v>24</v>
      </c>
      <c r="Q915" s="26" t="s">
        <v>25</v>
      </c>
      <c r="R915" s="26" t="s">
        <v>26</v>
      </c>
      <c r="S915" s="26" t="s">
        <v>24</v>
      </c>
      <c r="T915" s="27"/>
      <c r="U915" s="28" t="s">
        <v>25</v>
      </c>
      <c r="V915" s="29" t="str">
        <f t="shared" si="71"/>
        <v>✓ OK</v>
      </c>
      <c r="W915" s="45">
        <v>46248</v>
      </c>
      <c r="X915" s="30" t="s">
        <v>23</v>
      </c>
      <c r="Y915" s="30" t="s">
        <v>24</v>
      </c>
      <c r="Z915" s="30" t="s">
        <v>25</v>
      </c>
      <c r="AA915" s="30" t="s">
        <v>26</v>
      </c>
      <c r="AB915" s="30" t="s">
        <v>24</v>
      </c>
      <c r="AC915" s="27"/>
      <c r="AD915" s="31" t="s">
        <v>25</v>
      </c>
      <c r="AE915" s="32" t="str">
        <f t="shared" si="72"/>
        <v>✓ OK</v>
      </c>
      <c r="AF915" s="33" t="s">
        <v>27</v>
      </c>
      <c r="AG915" s="33" t="s">
        <v>23</v>
      </c>
      <c r="AH915" s="33" t="s">
        <v>24</v>
      </c>
      <c r="AI915" s="33" t="s">
        <v>25</v>
      </c>
      <c r="AJ915" s="33" t="s">
        <v>26</v>
      </c>
      <c r="AK915" s="33" t="s">
        <v>24</v>
      </c>
      <c r="AL915" s="27"/>
      <c r="AM915" s="34" t="s">
        <v>25</v>
      </c>
      <c r="AN915" s="35" t="str">
        <f t="shared" si="73"/>
        <v>✓ OK</v>
      </c>
      <c r="AO915" s="36"/>
      <c r="AP915" s="36"/>
      <c r="AQ915" s="36"/>
      <c r="AR915" s="36"/>
      <c r="AS915" s="36"/>
      <c r="AT915" s="36"/>
      <c r="AU915" s="27"/>
      <c r="AV915" s="37"/>
      <c r="AW915" s="38" t="str">
        <f t="shared" si="74"/>
        <v/>
      </c>
    </row>
    <row r="916" spans="1:49" ht="18" customHeight="1" x14ac:dyDescent="0.3">
      <c r="A916" s="39">
        <v>912</v>
      </c>
      <c r="B916" s="40" t="s">
        <v>3672</v>
      </c>
      <c r="C916" s="41" t="s">
        <v>3673</v>
      </c>
      <c r="D916" s="39" t="s">
        <v>2819</v>
      </c>
      <c r="E916" s="43">
        <v>46126</v>
      </c>
      <c r="F916" s="26" t="s">
        <v>23</v>
      </c>
      <c r="G916" s="26" t="s">
        <v>24</v>
      </c>
      <c r="H916" s="26" t="s">
        <v>25</v>
      </c>
      <c r="I916" s="26" t="s">
        <v>26</v>
      </c>
      <c r="J916" s="26" t="s">
        <v>24</v>
      </c>
      <c r="K916" s="27"/>
      <c r="L916" s="28" t="s">
        <v>25</v>
      </c>
      <c r="M916" s="29" t="str">
        <f t="shared" si="70"/>
        <v>✓ OK</v>
      </c>
      <c r="N916" s="43">
        <v>46193</v>
      </c>
      <c r="O916" s="26" t="s">
        <v>23</v>
      </c>
      <c r="P916" s="26" t="s">
        <v>24</v>
      </c>
      <c r="Q916" s="26" t="s">
        <v>25</v>
      </c>
      <c r="R916" s="26" t="s">
        <v>26</v>
      </c>
      <c r="S916" s="26" t="s">
        <v>24</v>
      </c>
      <c r="T916" s="27"/>
      <c r="U916" s="28" t="s">
        <v>25</v>
      </c>
      <c r="V916" s="29" t="str">
        <f t="shared" si="71"/>
        <v>✓ OK</v>
      </c>
      <c r="W916" s="45">
        <v>46248</v>
      </c>
      <c r="X916" s="30" t="s">
        <v>23</v>
      </c>
      <c r="Y916" s="30" t="s">
        <v>24</v>
      </c>
      <c r="Z916" s="30" t="s">
        <v>25</v>
      </c>
      <c r="AA916" s="30" t="s">
        <v>26</v>
      </c>
      <c r="AB916" s="30" t="s">
        <v>24</v>
      </c>
      <c r="AC916" s="27"/>
      <c r="AD916" s="31" t="s">
        <v>25</v>
      </c>
      <c r="AE916" s="32" t="str">
        <f t="shared" si="72"/>
        <v>✓ OK</v>
      </c>
      <c r="AF916" s="33" t="s">
        <v>27</v>
      </c>
      <c r="AG916" s="33" t="s">
        <v>23</v>
      </c>
      <c r="AH916" s="33" t="s">
        <v>24</v>
      </c>
      <c r="AI916" s="33" t="s">
        <v>25</v>
      </c>
      <c r="AJ916" s="33" t="s">
        <v>26</v>
      </c>
      <c r="AK916" s="33" t="s">
        <v>24</v>
      </c>
      <c r="AL916" s="27"/>
      <c r="AM916" s="34" t="s">
        <v>25</v>
      </c>
      <c r="AN916" s="35" t="str">
        <f t="shared" si="73"/>
        <v>✓ OK</v>
      </c>
      <c r="AO916" s="36"/>
      <c r="AP916" s="36"/>
      <c r="AQ916" s="36"/>
      <c r="AR916" s="36"/>
      <c r="AS916" s="36"/>
      <c r="AT916" s="36"/>
      <c r="AU916" s="27"/>
      <c r="AV916" s="37"/>
      <c r="AW916" s="38" t="str">
        <f t="shared" si="74"/>
        <v/>
      </c>
    </row>
    <row r="917" spans="1:49" ht="18" customHeight="1" x14ac:dyDescent="0.3">
      <c r="A917" s="23">
        <v>913</v>
      </c>
      <c r="B917" s="24" t="s">
        <v>3674</v>
      </c>
      <c r="C917" s="25" t="s">
        <v>3675</v>
      </c>
      <c r="D917" s="23" t="s">
        <v>2819</v>
      </c>
      <c r="E917" s="43">
        <v>46126</v>
      </c>
      <c r="F917" s="26" t="s">
        <v>23</v>
      </c>
      <c r="G917" s="26" t="s">
        <v>24</v>
      </c>
      <c r="H917" s="26" t="s">
        <v>25</v>
      </c>
      <c r="I917" s="26" t="s">
        <v>26</v>
      </c>
      <c r="J917" s="26" t="s">
        <v>24</v>
      </c>
      <c r="K917" s="27"/>
      <c r="L917" s="28" t="s">
        <v>25</v>
      </c>
      <c r="M917" s="29" t="str">
        <f t="shared" si="70"/>
        <v>✓ OK</v>
      </c>
      <c r="N917" s="43">
        <v>46193</v>
      </c>
      <c r="O917" s="26" t="s">
        <v>23</v>
      </c>
      <c r="P917" s="26" t="s">
        <v>24</v>
      </c>
      <c r="Q917" s="26" t="s">
        <v>25</v>
      </c>
      <c r="R917" s="26" t="s">
        <v>26</v>
      </c>
      <c r="S917" s="26" t="s">
        <v>24</v>
      </c>
      <c r="T917" s="27"/>
      <c r="U917" s="28" t="s">
        <v>25</v>
      </c>
      <c r="V917" s="29" t="str">
        <f t="shared" si="71"/>
        <v>✓ OK</v>
      </c>
      <c r="W917" s="45">
        <v>46248</v>
      </c>
      <c r="X917" s="30" t="s">
        <v>23</v>
      </c>
      <c r="Y917" s="30" t="s">
        <v>24</v>
      </c>
      <c r="Z917" s="30" t="s">
        <v>25</v>
      </c>
      <c r="AA917" s="30" t="s">
        <v>26</v>
      </c>
      <c r="AB917" s="30" t="s">
        <v>24</v>
      </c>
      <c r="AC917" s="27"/>
      <c r="AD917" s="31" t="s">
        <v>25</v>
      </c>
      <c r="AE917" s="32" t="str">
        <f t="shared" si="72"/>
        <v>✓ OK</v>
      </c>
      <c r="AF917" s="33" t="s">
        <v>27</v>
      </c>
      <c r="AG917" s="33" t="s">
        <v>23</v>
      </c>
      <c r="AH917" s="33" t="s">
        <v>24</v>
      </c>
      <c r="AI917" s="33" t="s">
        <v>25</v>
      </c>
      <c r="AJ917" s="33" t="s">
        <v>26</v>
      </c>
      <c r="AK917" s="33" t="s">
        <v>24</v>
      </c>
      <c r="AL917" s="27"/>
      <c r="AM917" s="34" t="s">
        <v>25</v>
      </c>
      <c r="AN917" s="35" t="str">
        <f t="shared" si="73"/>
        <v>✓ OK</v>
      </c>
      <c r="AO917" s="36"/>
      <c r="AP917" s="36"/>
      <c r="AQ917" s="36"/>
      <c r="AR917" s="36"/>
      <c r="AS917" s="36"/>
      <c r="AT917" s="36"/>
      <c r="AU917" s="27"/>
      <c r="AV917" s="37"/>
      <c r="AW917" s="38" t="str">
        <f t="shared" si="74"/>
        <v/>
      </c>
    </row>
    <row r="918" spans="1:49" ht="18" customHeight="1" x14ac:dyDescent="0.3">
      <c r="A918" s="39">
        <v>914</v>
      </c>
      <c r="B918" s="40" t="s">
        <v>3676</v>
      </c>
      <c r="C918" s="41" t="s">
        <v>3677</v>
      </c>
      <c r="D918" s="39" t="s">
        <v>2819</v>
      </c>
      <c r="E918" s="43">
        <v>46126</v>
      </c>
      <c r="F918" s="26" t="s">
        <v>23</v>
      </c>
      <c r="G918" s="26" t="s">
        <v>24</v>
      </c>
      <c r="H918" s="26" t="s">
        <v>25</v>
      </c>
      <c r="I918" s="26" t="s">
        <v>26</v>
      </c>
      <c r="J918" s="26" t="s">
        <v>24</v>
      </c>
      <c r="K918" s="27"/>
      <c r="L918" s="28" t="s">
        <v>25</v>
      </c>
      <c r="M918" s="29" t="str">
        <f t="shared" si="70"/>
        <v>✓ OK</v>
      </c>
      <c r="N918" s="43">
        <v>46193</v>
      </c>
      <c r="O918" s="26" t="s">
        <v>23</v>
      </c>
      <c r="P918" s="26" t="s">
        <v>24</v>
      </c>
      <c r="Q918" s="26" t="s">
        <v>25</v>
      </c>
      <c r="R918" s="26" t="s">
        <v>26</v>
      </c>
      <c r="S918" s="26" t="s">
        <v>24</v>
      </c>
      <c r="T918" s="27"/>
      <c r="U918" s="28" t="s">
        <v>25</v>
      </c>
      <c r="V918" s="29" t="str">
        <f t="shared" si="71"/>
        <v>✓ OK</v>
      </c>
      <c r="W918" s="45">
        <v>46248</v>
      </c>
      <c r="X918" s="30" t="s">
        <v>23</v>
      </c>
      <c r="Y918" s="30" t="s">
        <v>24</v>
      </c>
      <c r="Z918" s="30" t="s">
        <v>25</v>
      </c>
      <c r="AA918" s="30" t="s">
        <v>26</v>
      </c>
      <c r="AB918" s="30" t="s">
        <v>24</v>
      </c>
      <c r="AC918" s="27"/>
      <c r="AD918" s="31" t="s">
        <v>25</v>
      </c>
      <c r="AE918" s="32" t="str">
        <f t="shared" si="72"/>
        <v>✓ OK</v>
      </c>
      <c r="AF918" s="33" t="s">
        <v>27</v>
      </c>
      <c r="AG918" s="33" t="s">
        <v>23</v>
      </c>
      <c r="AH918" s="33" t="s">
        <v>24</v>
      </c>
      <c r="AI918" s="33" t="s">
        <v>25</v>
      </c>
      <c r="AJ918" s="33" t="s">
        <v>26</v>
      </c>
      <c r="AK918" s="33" t="s">
        <v>24</v>
      </c>
      <c r="AL918" s="27"/>
      <c r="AM918" s="34" t="s">
        <v>25</v>
      </c>
      <c r="AN918" s="35" t="str">
        <f t="shared" si="73"/>
        <v>✓ OK</v>
      </c>
      <c r="AO918" s="36"/>
      <c r="AP918" s="36"/>
      <c r="AQ918" s="36"/>
      <c r="AR918" s="36"/>
      <c r="AS918" s="36"/>
      <c r="AT918" s="36"/>
      <c r="AU918" s="27"/>
      <c r="AV918" s="37"/>
      <c r="AW918" s="38" t="str">
        <f t="shared" si="74"/>
        <v/>
      </c>
    </row>
    <row r="919" spans="1:49" ht="18" customHeight="1" x14ac:dyDescent="0.3">
      <c r="A919" s="23">
        <v>915</v>
      </c>
      <c r="B919" s="24" t="s">
        <v>3678</v>
      </c>
      <c r="C919" s="25" t="s">
        <v>3679</v>
      </c>
      <c r="D919" s="23" t="s">
        <v>2819</v>
      </c>
      <c r="E919" s="43">
        <v>46126</v>
      </c>
      <c r="F919" s="26" t="s">
        <v>23</v>
      </c>
      <c r="G919" s="26" t="s">
        <v>24</v>
      </c>
      <c r="H919" s="26" t="s">
        <v>25</v>
      </c>
      <c r="I919" s="26" t="s">
        <v>26</v>
      </c>
      <c r="J919" s="26" t="s">
        <v>24</v>
      </c>
      <c r="K919" s="27"/>
      <c r="L919" s="28" t="s">
        <v>25</v>
      </c>
      <c r="M919" s="29" t="str">
        <f t="shared" si="70"/>
        <v>✓ OK</v>
      </c>
      <c r="N919" s="43">
        <v>46193</v>
      </c>
      <c r="O919" s="26" t="s">
        <v>23</v>
      </c>
      <c r="P919" s="26" t="s">
        <v>24</v>
      </c>
      <c r="Q919" s="26" t="s">
        <v>25</v>
      </c>
      <c r="R919" s="26" t="s">
        <v>26</v>
      </c>
      <c r="S919" s="26" t="s">
        <v>24</v>
      </c>
      <c r="T919" s="27"/>
      <c r="U919" s="28" t="s">
        <v>25</v>
      </c>
      <c r="V919" s="29" t="str">
        <f t="shared" si="71"/>
        <v>✓ OK</v>
      </c>
      <c r="W919" s="45">
        <v>46248</v>
      </c>
      <c r="X919" s="30" t="s">
        <v>23</v>
      </c>
      <c r="Y919" s="30" t="s">
        <v>24</v>
      </c>
      <c r="Z919" s="30" t="s">
        <v>25</v>
      </c>
      <c r="AA919" s="30" t="s">
        <v>26</v>
      </c>
      <c r="AB919" s="30" t="s">
        <v>24</v>
      </c>
      <c r="AC919" s="27"/>
      <c r="AD919" s="31" t="s">
        <v>25</v>
      </c>
      <c r="AE919" s="32" t="str">
        <f t="shared" si="72"/>
        <v>✓ OK</v>
      </c>
      <c r="AF919" s="33" t="s">
        <v>27</v>
      </c>
      <c r="AG919" s="33" t="s">
        <v>23</v>
      </c>
      <c r="AH919" s="33" t="s">
        <v>24</v>
      </c>
      <c r="AI919" s="33" t="s">
        <v>25</v>
      </c>
      <c r="AJ919" s="33" t="s">
        <v>26</v>
      </c>
      <c r="AK919" s="33" t="s">
        <v>24</v>
      </c>
      <c r="AL919" s="27"/>
      <c r="AM919" s="34" t="s">
        <v>25</v>
      </c>
      <c r="AN919" s="35" t="str">
        <f t="shared" si="73"/>
        <v>✓ OK</v>
      </c>
      <c r="AO919" s="36"/>
      <c r="AP919" s="36"/>
      <c r="AQ919" s="36"/>
      <c r="AR919" s="36"/>
      <c r="AS919" s="36"/>
      <c r="AT919" s="36"/>
      <c r="AU919" s="27"/>
      <c r="AV919" s="37"/>
      <c r="AW919" s="38" t="str">
        <f t="shared" si="74"/>
        <v/>
      </c>
    </row>
    <row r="920" spans="1:49" ht="18" customHeight="1" x14ac:dyDescent="0.3">
      <c r="A920" s="39">
        <v>916</v>
      </c>
      <c r="B920" s="40" t="s">
        <v>3680</v>
      </c>
      <c r="C920" s="41" t="s">
        <v>3681</v>
      </c>
      <c r="D920" s="39" t="s">
        <v>2819</v>
      </c>
      <c r="E920" s="43">
        <v>46126</v>
      </c>
      <c r="F920" s="26" t="s">
        <v>23</v>
      </c>
      <c r="G920" s="26" t="s">
        <v>24</v>
      </c>
      <c r="H920" s="26" t="s">
        <v>25</v>
      </c>
      <c r="I920" s="26" t="s">
        <v>26</v>
      </c>
      <c r="J920" s="26" t="s">
        <v>24</v>
      </c>
      <c r="K920" s="27"/>
      <c r="L920" s="28" t="s">
        <v>25</v>
      </c>
      <c r="M920" s="29" t="str">
        <f t="shared" si="70"/>
        <v>✓ OK</v>
      </c>
      <c r="N920" s="43">
        <v>46193</v>
      </c>
      <c r="O920" s="26" t="s">
        <v>23</v>
      </c>
      <c r="P920" s="26" t="s">
        <v>24</v>
      </c>
      <c r="Q920" s="26" t="s">
        <v>25</v>
      </c>
      <c r="R920" s="26" t="s">
        <v>26</v>
      </c>
      <c r="S920" s="26" t="s">
        <v>24</v>
      </c>
      <c r="T920" s="27"/>
      <c r="U920" s="28" t="s">
        <v>25</v>
      </c>
      <c r="V920" s="29" t="str">
        <f t="shared" si="71"/>
        <v>✓ OK</v>
      </c>
      <c r="W920" s="45">
        <v>46248</v>
      </c>
      <c r="X920" s="30" t="s">
        <v>23</v>
      </c>
      <c r="Y920" s="30" t="s">
        <v>24</v>
      </c>
      <c r="Z920" s="30" t="s">
        <v>25</v>
      </c>
      <c r="AA920" s="30" t="s">
        <v>26</v>
      </c>
      <c r="AB920" s="30" t="s">
        <v>24</v>
      </c>
      <c r="AC920" s="27"/>
      <c r="AD920" s="31" t="s">
        <v>25</v>
      </c>
      <c r="AE920" s="32" t="str">
        <f t="shared" si="72"/>
        <v>✓ OK</v>
      </c>
      <c r="AF920" s="33" t="s">
        <v>27</v>
      </c>
      <c r="AG920" s="33" t="s">
        <v>23</v>
      </c>
      <c r="AH920" s="33" t="s">
        <v>24</v>
      </c>
      <c r="AI920" s="33" t="s">
        <v>25</v>
      </c>
      <c r="AJ920" s="33" t="s">
        <v>26</v>
      </c>
      <c r="AK920" s="33" t="s">
        <v>24</v>
      </c>
      <c r="AL920" s="27"/>
      <c r="AM920" s="34" t="s">
        <v>25</v>
      </c>
      <c r="AN920" s="35" t="str">
        <f t="shared" si="73"/>
        <v>✓ OK</v>
      </c>
      <c r="AO920" s="36"/>
      <c r="AP920" s="36"/>
      <c r="AQ920" s="36"/>
      <c r="AR920" s="36"/>
      <c r="AS920" s="36"/>
      <c r="AT920" s="36"/>
      <c r="AU920" s="27"/>
      <c r="AV920" s="37"/>
      <c r="AW920" s="38" t="str">
        <f t="shared" si="74"/>
        <v/>
      </c>
    </row>
    <row r="921" spans="1:49" ht="18" customHeight="1" x14ac:dyDescent="0.3">
      <c r="A921" s="23">
        <v>917</v>
      </c>
      <c r="B921" s="24" t="s">
        <v>3682</v>
      </c>
      <c r="C921" s="25" t="s">
        <v>3683</v>
      </c>
      <c r="D921" s="23" t="s">
        <v>2819</v>
      </c>
      <c r="E921" s="43">
        <v>46126</v>
      </c>
      <c r="F921" s="26" t="s">
        <v>23</v>
      </c>
      <c r="G921" s="26" t="s">
        <v>24</v>
      </c>
      <c r="H921" s="26" t="s">
        <v>25</v>
      </c>
      <c r="I921" s="26" t="s">
        <v>26</v>
      </c>
      <c r="J921" s="26" t="s">
        <v>24</v>
      </c>
      <c r="K921" s="27"/>
      <c r="L921" s="28" t="s">
        <v>25</v>
      </c>
      <c r="M921" s="29" t="str">
        <f t="shared" si="70"/>
        <v>✓ OK</v>
      </c>
      <c r="N921" s="43">
        <v>46193</v>
      </c>
      <c r="O921" s="26" t="s">
        <v>23</v>
      </c>
      <c r="P921" s="26" t="s">
        <v>24</v>
      </c>
      <c r="Q921" s="26" t="s">
        <v>25</v>
      </c>
      <c r="R921" s="26" t="s">
        <v>26</v>
      </c>
      <c r="S921" s="26" t="s">
        <v>24</v>
      </c>
      <c r="T921" s="27"/>
      <c r="U921" s="28" t="s">
        <v>25</v>
      </c>
      <c r="V921" s="29" t="str">
        <f t="shared" si="71"/>
        <v>✓ OK</v>
      </c>
      <c r="W921" s="45">
        <v>46248</v>
      </c>
      <c r="X921" s="30" t="s">
        <v>23</v>
      </c>
      <c r="Y921" s="30" t="s">
        <v>24</v>
      </c>
      <c r="Z921" s="30" t="s">
        <v>25</v>
      </c>
      <c r="AA921" s="30" t="s">
        <v>26</v>
      </c>
      <c r="AB921" s="30" t="s">
        <v>24</v>
      </c>
      <c r="AC921" s="27"/>
      <c r="AD921" s="31" t="s">
        <v>25</v>
      </c>
      <c r="AE921" s="32" t="str">
        <f t="shared" si="72"/>
        <v>✓ OK</v>
      </c>
      <c r="AF921" s="33" t="s">
        <v>27</v>
      </c>
      <c r="AG921" s="33" t="s">
        <v>23</v>
      </c>
      <c r="AH921" s="33" t="s">
        <v>24</v>
      </c>
      <c r="AI921" s="33" t="s">
        <v>25</v>
      </c>
      <c r="AJ921" s="33" t="s">
        <v>26</v>
      </c>
      <c r="AK921" s="33" t="s">
        <v>24</v>
      </c>
      <c r="AL921" s="27"/>
      <c r="AM921" s="34" t="s">
        <v>25</v>
      </c>
      <c r="AN921" s="35" t="str">
        <f t="shared" si="73"/>
        <v>✓ OK</v>
      </c>
      <c r="AO921" s="36"/>
      <c r="AP921" s="36"/>
      <c r="AQ921" s="36"/>
      <c r="AR921" s="36"/>
      <c r="AS921" s="36"/>
      <c r="AT921" s="36"/>
      <c r="AU921" s="27"/>
      <c r="AV921" s="37"/>
      <c r="AW921" s="38" t="str">
        <f t="shared" si="74"/>
        <v/>
      </c>
    </row>
    <row r="922" spans="1:49" ht="18" customHeight="1" x14ac:dyDescent="0.3">
      <c r="A922" s="39">
        <v>918</v>
      </c>
      <c r="B922" s="40" t="s">
        <v>3684</v>
      </c>
      <c r="C922" s="41" t="s">
        <v>3685</v>
      </c>
      <c r="D922" s="39" t="s">
        <v>2819</v>
      </c>
      <c r="E922" s="43">
        <v>46126</v>
      </c>
      <c r="F922" s="26" t="s">
        <v>23</v>
      </c>
      <c r="G922" s="26" t="s">
        <v>24</v>
      </c>
      <c r="H922" s="26" t="s">
        <v>25</v>
      </c>
      <c r="I922" s="26" t="s">
        <v>26</v>
      </c>
      <c r="J922" s="26" t="s">
        <v>24</v>
      </c>
      <c r="K922" s="27"/>
      <c r="L922" s="28" t="s">
        <v>25</v>
      </c>
      <c r="M922" s="29" t="str">
        <f t="shared" si="70"/>
        <v>✓ OK</v>
      </c>
      <c r="N922" s="43">
        <v>46193</v>
      </c>
      <c r="O922" s="26" t="s">
        <v>23</v>
      </c>
      <c r="P922" s="26" t="s">
        <v>24</v>
      </c>
      <c r="Q922" s="26" t="s">
        <v>25</v>
      </c>
      <c r="R922" s="26" t="s">
        <v>26</v>
      </c>
      <c r="S922" s="26" t="s">
        <v>24</v>
      </c>
      <c r="T922" s="27"/>
      <c r="U922" s="28" t="s">
        <v>25</v>
      </c>
      <c r="V922" s="29" t="str">
        <f t="shared" si="71"/>
        <v>✓ OK</v>
      </c>
      <c r="W922" s="45">
        <v>46248</v>
      </c>
      <c r="X922" s="30" t="s">
        <v>23</v>
      </c>
      <c r="Y922" s="30" t="s">
        <v>24</v>
      </c>
      <c r="Z922" s="30" t="s">
        <v>25</v>
      </c>
      <c r="AA922" s="30" t="s">
        <v>26</v>
      </c>
      <c r="AB922" s="30" t="s">
        <v>24</v>
      </c>
      <c r="AC922" s="27"/>
      <c r="AD922" s="31" t="s">
        <v>25</v>
      </c>
      <c r="AE922" s="32" t="str">
        <f t="shared" si="72"/>
        <v>✓ OK</v>
      </c>
      <c r="AF922" s="33" t="s">
        <v>27</v>
      </c>
      <c r="AG922" s="33" t="s">
        <v>23</v>
      </c>
      <c r="AH922" s="33" t="s">
        <v>24</v>
      </c>
      <c r="AI922" s="33" t="s">
        <v>25</v>
      </c>
      <c r="AJ922" s="33" t="s">
        <v>26</v>
      </c>
      <c r="AK922" s="33" t="s">
        <v>24</v>
      </c>
      <c r="AL922" s="27"/>
      <c r="AM922" s="34" t="s">
        <v>25</v>
      </c>
      <c r="AN922" s="35" t="str">
        <f t="shared" si="73"/>
        <v>✓ OK</v>
      </c>
      <c r="AO922" s="36"/>
      <c r="AP922" s="36"/>
      <c r="AQ922" s="36"/>
      <c r="AR922" s="36"/>
      <c r="AS922" s="36"/>
      <c r="AT922" s="36"/>
      <c r="AU922" s="27"/>
      <c r="AV922" s="37"/>
      <c r="AW922" s="38" t="str">
        <f t="shared" si="74"/>
        <v/>
      </c>
    </row>
    <row r="923" spans="1:49" ht="18" customHeight="1" x14ac:dyDescent="0.3">
      <c r="A923" s="23">
        <v>919</v>
      </c>
      <c r="B923" s="24" t="s">
        <v>3686</v>
      </c>
      <c r="C923" s="25" t="s">
        <v>3687</v>
      </c>
      <c r="D923" s="23" t="s">
        <v>2819</v>
      </c>
      <c r="E923" s="43">
        <v>46126</v>
      </c>
      <c r="F923" s="26" t="s">
        <v>23</v>
      </c>
      <c r="G923" s="26" t="s">
        <v>24</v>
      </c>
      <c r="H923" s="26" t="s">
        <v>25</v>
      </c>
      <c r="I923" s="26" t="s">
        <v>26</v>
      </c>
      <c r="J923" s="26" t="s">
        <v>24</v>
      </c>
      <c r="K923" s="27"/>
      <c r="L923" s="28" t="s">
        <v>25</v>
      </c>
      <c r="M923" s="29" t="str">
        <f t="shared" si="70"/>
        <v>✓ OK</v>
      </c>
      <c r="N923" s="43">
        <v>46193</v>
      </c>
      <c r="O923" s="26" t="s">
        <v>23</v>
      </c>
      <c r="P923" s="26" t="s">
        <v>24</v>
      </c>
      <c r="Q923" s="26" t="s">
        <v>25</v>
      </c>
      <c r="R923" s="26" t="s">
        <v>26</v>
      </c>
      <c r="S923" s="26" t="s">
        <v>24</v>
      </c>
      <c r="T923" s="27"/>
      <c r="U923" s="28" t="s">
        <v>25</v>
      </c>
      <c r="V923" s="29" t="str">
        <f t="shared" si="71"/>
        <v>✓ OK</v>
      </c>
      <c r="W923" s="45">
        <v>46248</v>
      </c>
      <c r="X923" s="30" t="s">
        <v>23</v>
      </c>
      <c r="Y923" s="30" t="s">
        <v>24</v>
      </c>
      <c r="Z923" s="30" t="s">
        <v>25</v>
      </c>
      <c r="AA923" s="30" t="s">
        <v>26</v>
      </c>
      <c r="AB923" s="30" t="s">
        <v>24</v>
      </c>
      <c r="AC923" s="27"/>
      <c r="AD923" s="31" t="s">
        <v>25</v>
      </c>
      <c r="AE923" s="32" t="str">
        <f t="shared" si="72"/>
        <v>✓ OK</v>
      </c>
      <c r="AF923" s="33" t="s">
        <v>27</v>
      </c>
      <c r="AG923" s="33" t="s">
        <v>23</v>
      </c>
      <c r="AH923" s="33" t="s">
        <v>24</v>
      </c>
      <c r="AI923" s="33" t="s">
        <v>25</v>
      </c>
      <c r="AJ923" s="33" t="s">
        <v>26</v>
      </c>
      <c r="AK923" s="33" t="s">
        <v>24</v>
      </c>
      <c r="AL923" s="27"/>
      <c r="AM923" s="34" t="s">
        <v>25</v>
      </c>
      <c r="AN923" s="35" t="str">
        <f t="shared" si="73"/>
        <v>✓ OK</v>
      </c>
      <c r="AO923" s="36"/>
      <c r="AP923" s="36"/>
      <c r="AQ923" s="36"/>
      <c r="AR923" s="36"/>
      <c r="AS923" s="36"/>
      <c r="AT923" s="36"/>
      <c r="AU923" s="27"/>
      <c r="AV923" s="37"/>
      <c r="AW923" s="38" t="str">
        <f t="shared" si="74"/>
        <v/>
      </c>
    </row>
    <row r="924" spans="1:49" ht="18" customHeight="1" x14ac:dyDescent="0.3">
      <c r="A924" s="39">
        <v>920</v>
      </c>
      <c r="B924" s="40" t="s">
        <v>3688</v>
      </c>
      <c r="C924" s="41" t="s">
        <v>3689</v>
      </c>
      <c r="D924" s="39" t="s">
        <v>2819</v>
      </c>
      <c r="E924" s="43">
        <v>46126</v>
      </c>
      <c r="F924" s="26" t="s">
        <v>23</v>
      </c>
      <c r="G924" s="26" t="s">
        <v>24</v>
      </c>
      <c r="H924" s="26" t="s">
        <v>25</v>
      </c>
      <c r="I924" s="26" t="s">
        <v>26</v>
      </c>
      <c r="J924" s="26" t="s">
        <v>24</v>
      </c>
      <c r="K924" s="27"/>
      <c r="L924" s="28" t="s">
        <v>25</v>
      </c>
      <c r="M924" s="29" t="str">
        <f t="shared" si="70"/>
        <v>✓ OK</v>
      </c>
      <c r="N924" s="43">
        <v>46193</v>
      </c>
      <c r="O924" s="26" t="s">
        <v>23</v>
      </c>
      <c r="P924" s="26" t="s">
        <v>24</v>
      </c>
      <c r="Q924" s="26" t="s">
        <v>25</v>
      </c>
      <c r="R924" s="26" t="s">
        <v>26</v>
      </c>
      <c r="S924" s="26" t="s">
        <v>24</v>
      </c>
      <c r="T924" s="27"/>
      <c r="U924" s="28" t="s">
        <v>25</v>
      </c>
      <c r="V924" s="29" t="str">
        <f t="shared" si="71"/>
        <v>✓ OK</v>
      </c>
      <c r="W924" s="45">
        <v>46248</v>
      </c>
      <c r="X924" s="30" t="s">
        <v>23</v>
      </c>
      <c r="Y924" s="30" t="s">
        <v>24</v>
      </c>
      <c r="Z924" s="30" t="s">
        <v>25</v>
      </c>
      <c r="AA924" s="30" t="s">
        <v>26</v>
      </c>
      <c r="AB924" s="30" t="s">
        <v>24</v>
      </c>
      <c r="AC924" s="27"/>
      <c r="AD924" s="31" t="s">
        <v>25</v>
      </c>
      <c r="AE924" s="32" t="str">
        <f t="shared" si="72"/>
        <v>✓ OK</v>
      </c>
      <c r="AF924" s="33" t="s">
        <v>27</v>
      </c>
      <c r="AG924" s="33" t="s">
        <v>23</v>
      </c>
      <c r="AH924" s="33" t="s">
        <v>24</v>
      </c>
      <c r="AI924" s="33" t="s">
        <v>25</v>
      </c>
      <c r="AJ924" s="33" t="s">
        <v>26</v>
      </c>
      <c r="AK924" s="33" t="s">
        <v>24</v>
      </c>
      <c r="AL924" s="27"/>
      <c r="AM924" s="34" t="s">
        <v>25</v>
      </c>
      <c r="AN924" s="35" t="str">
        <f t="shared" si="73"/>
        <v>✓ OK</v>
      </c>
      <c r="AO924" s="36"/>
      <c r="AP924" s="36"/>
      <c r="AQ924" s="36"/>
      <c r="AR924" s="36"/>
      <c r="AS924" s="36"/>
      <c r="AT924" s="36"/>
      <c r="AU924" s="27"/>
      <c r="AV924" s="37"/>
      <c r="AW924" s="38" t="str">
        <f t="shared" si="74"/>
        <v/>
      </c>
    </row>
    <row r="925" spans="1:49" ht="18" customHeight="1" x14ac:dyDescent="0.3">
      <c r="A925" s="23">
        <v>921</v>
      </c>
      <c r="B925" s="24" t="s">
        <v>3690</v>
      </c>
      <c r="C925" s="25" t="s">
        <v>3691</v>
      </c>
      <c r="D925" s="23" t="s">
        <v>2819</v>
      </c>
      <c r="E925" s="43">
        <v>46126</v>
      </c>
      <c r="F925" s="26" t="s">
        <v>23</v>
      </c>
      <c r="G925" s="26" t="s">
        <v>24</v>
      </c>
      <c r="H925" s="26" t="s">
        <v>25</v>
      </c>
      <c r="I925" s="26" t="s">
        <v>26</v>
      </c>
      <c r="J925" s="26" t="s">
        <v>24</v>
      </c>
      <c r="K925" s="27"/>
      <c r="L925" s="28" t="s">
        <v>25</v>
      </c>
      <c r="M925" s="29" t="str">
        <f t="shared" si="70"/>
        <v>✓ OK</v>
      </c>
      <c r="N925" s="43">
        <v>46193</v>
      </c>
      <c r="O925" s="26" t="s">
        <v>23</v>
      </c>
      <c r="P925" s="26" t="s">
        <v>24</v>
      </c>
      <c r="Q925" s="26" t="s">
        <v>25</v>
      </c>
      <c r="R925" s="26" t="s">
        <v>26</v>
      </c>
      <c r="S925" s="26" t="s">
        <v>24</v>
      </c>
      <c r="T925" s="27"/>
      <c r="U925" s="28" t="s">
        <v>25</v>
      </c>
      <c r="V925" s="29" t="str">
        <f t="shared" si="71"/>
        <v>✓ OK</v>
      </c>
      <c r="W925" s="45">
        <v>46248</v>
      </c>
      <c r="X925" s="30" t="s">
        <v>23</v>
      </c>
      <c r="Y925" s="30" t="s">
        <v>24</v>
      </c>
      <c r="Z925" s="30" t="s">
        <v>25</v>
      </c>
      <c r="AA925" s="30" t="s">
        <v>26</v>
      </c>
      <c r="AB925" s="30" t="s">
        <v>24</v>
      </c>
      <c r="AC925" s="27"/>
      <c r="AD925" s="31" t="s">
        <v>25</v>
      </c>
      <c r="AE925" s="32" t="str">
        <f t="shared" si="72"/>
        <v>✓ OK</v>
      </c>
      <c r="AF925" s="33" t="s">
        <v>27</v>
      </c>
      <c r="AG925" s="33" t="s">
        <v>23</v>
      </c>
      <c r="AH925" s="33" t="s">
        <v>24</v>
      </c>
      <c r="AI925" s="33" t="s">
        <v>25</v>
      </c>
      <c r="AJ925" s="33" t="s">
        <v>26</v>
      </c>
      <c r="AK925" s="33" t="s">
        <v>24</v>
      </c>
      <c r="AL925" s="27"/>
      <c r="AM925" s="34" t="s">
        <v>25</v>
      </c>
      <c r="AN925" s="35" t="str">
        <f t="shared" si="73"/>
        <v>✓ OK</v>
      </c>
      <c r="AO925" s="36"/>
      <c r="AP925" s="36"/>
      <c r="AQ925" s="36"/>
      <c r="AR925" s="36"/>
      <c r="AS925" s="36"/>
      <c r="AT925" s="36"/>
      <c r="AU925" s="27"/>
      <c r="AV925" s="37"/>
      <c r="AW925" s="38" t="str">
        <f t="shared" si="74"/>
        <v/>
      </c>
    </row>
    <row r="926" spans="1:49" ht="18" customHeight="1" x14ac:dyDescent="0.3">
      <c r="A926" s="39">
        <v>922</v>
      </c>
      <c r="B926" s="40" t="s">
        <v>3692</v>
      </c>
      <c r="C926" s="41" t="s">
        <v>3693</v>
      </c>
      <c r="D926" s="39" t="s">
        <v>2819</v>
      </c>
      <c r="E926" s="43">
        <v>46126</v>
      </c>
      <c r="F926" s="26" t="s">
        <v>23</v>
      </c>
      <c r="G926" s="26" t="s">
        <v>24</v>
      </c>
      <c r="H926" s="26" t="s">
        <v>25</v>
      </c>
      <c r="I926" s="26" t="s">
        <v>26</v>
      </c>
      <c r="J926" s="26" t="s">
        <v>24</v>
      </c>
      <c r="K926" s="27"/>
      <c r="L926" s="28" t="s">
        <v>25</v>
      </c>
      <c r="M926" s="29" t="str">
        <f t="shared" si="70"/>
        <v>✓ OK</v>
      </c>
      <c r="N926" s="43">
        <v>46193</v>
      </c>
      <c r="O926" s="26" t="s">
        <v>23</v>
      </c>
      <c r="P926" s="26" t="s">
        <v>24</v>
      </c>
      <c r="Q926" s="26" t="s">
        <v>25</v>
      </c>
      <c r="R926" s="26" t="s">
        <v>26</v>
      </c>
      <c r="S926" s="26" t="s">
        <v>24</v>
      </c>
      <c r="T926" s="27"/>
      <c r="U926" s="28" t="s">
        <v>25</v>
      </c>
      <c r="V926" s="29" t="str">
        <f t="shared" si="71"/>
        <v>✓ OK</v>
      </c>
      <c r="W926" s="45">
        <v>46248</v>
      </c>
      <c r="X926" s="30" t="s">
        <v>23</v>
      </c>
      <c r="Y926" s="30" t="s">
        <v>24</v>
      </c>
      <c r="Z926" s="30" t="s">
        <v>25</v>
      </c>
      <c r="AA926" s="30" t="s">
        <v>26</v>
      </c>
      <c r="AB926" s="30" t="s">
        <v>24</v>
      </c>
      <c r="AC926" s="27"/>
      <c r="AD926" s="31" t="s">
        <v>25</v>
      </c>
      <c r="AE926" s="32" t="str">
        <f t="shared" si="72"/>
        <v>✓ OK</v>
      </c>
      <c r="AF926" s="33" t="s">
        <v>27</v>
      </c>
      <c r="AG926" s="33" t="s">
        <v>23</v>
      </c>
      <c r="AH926" s="33" t="s">
        <v>24</v>
      </c>
      <c r="AI926" s="33" t="s">
        <v>25</v>
      </c>
      <c r="AJ926" s="33" t="s">
        <v>26</v>
      </c>
      <c r="AK926" s="33" t="s">
        <v>24</v>
      </c>
      <c r="AL926" s="27"/>
      <c r="AM926" s="34" t="s">
        <v>25</v>
      </c>
      <c r="AN926" s="35" t="str">
        <f t="shared" si="73"/>
        <v>✓ OK</v>
      </c>
      <c r="AO926" s="36"/>
      <c r="AP926" s="36"/>
      <c r="AQ926" s="36"/>
      <c r="AR926" s="36"/>
      <c r="AS926" s="36"/>
      <c r="AT926" s="36"/>
      <c r="AU926" s="27"/>
      <c r="AV926" s="37"/>
      <c r="AW926" s="38" t="str">
        <f t="shared" si="74"/>
        <v/>
      </c>
    </row>
    <row r="927" spans="1:49" ht="18" customHeight="1" x14ac:dyDescent="0.3">
      <c r="A927" s="23">
        <v>923</v>
      </c>
      <c r="B927" s="24" t="s">
        <v>3694</v>
      </c>
      <c r="C927" s="25" t="s">
        <v>3695</v>
      </c>
      <c r="D927" s="23" t="s">
        <v>2819</v>
      </c>
      <c r="E927" s="43">
        <v>46126</v>
      </c>
      <c r="F927" s="26" t="s">
        <v>23</v>
      </c>
      <c r="G927" s="26" t="s">
        <v>24</v>
      </c>
      <c r="H927" s="26" t="s">
        <v>25</v>
      </c>
      <c r="I927" s="26" t="s">
        <v>26</v>
      </c>
      <c r="J927" s="26" t="s">
        <v>24</v>
      </c>
      <c r="K927" s="27"/>
      <c r="L927" s="28" t="s">
        <v>25</v>
      </c>
      <c r="M927" s="29" t="str">
        <f t="shared" si="70"/>
        <v>✓ OK</v>
      </c>
      <c r="N927" s="43">
        <v>46193</v>
      </c>
      <c r="O927" s="26" t="s">
        <v>23</v>
      </c>
      <c r="P927" s="26" t="s">
        <v>24</v>
      </c>
      <c r="Q927" s="26" t="s">
        <v>25</v>
      </c>
      <c r="R927" s="26" t="s">
        <v>26</v>
      </c>
      <c r="S927" s="26" t="s">
        <v>24</v>
      </c>
      <c r="T927" s="27"/>
      <c r="U927" s="28" t="s">
        <v>25</v>
      </c>
      <c r="V927" s="29" t="str">
        <f t="shared" si="71"/>
        <v>✓ OK</v>
      </c>
      <c r="W927" s="45">
        <v>46248</v>
      </c>
      <c r="X927" s="30" t="s">
        <v>23</v>
      </c>
      <c r="Y927" s="30" t="s">
        <v>24</v>
      </c>
      <c r="Z927" s="30" t="s">
        <v>25</v>
      </c>
      <c r="AA927" s="30" t="s">
        <v>26</v>
      </c>
      <c r="AB927" s="30" t="s">
        <v>24</v>
      </c>
      <c r="AC927" s="27"/>
      <c r="AD927" s="31" t="s">
        <v>25</v>
      </c>
      <c r="AE927" s="32" t="str">
        <f t="shared" si="72"/>
        <v>✓ OK</v>
      </c>
      <c r="AF927" s="33" t="s">
        <v>27</v>
      </c>
      <c r="AG927" s="33" t="s">
        <v>23</v>
      </c>
      <c r="AH927" s="33" t="s">
        <v>24</v>
      </c>
      <c r="AI927" s="33" t="s">
        <v>25</v>
      </c>
      <c r="AJ927" s="33" t="s">
        <v>26</v>
      </c>
      <c r="AK927" s="33" t="s">
        <v>24</v>
      </c>
      <c r="AL927" s="27"/>
      <c r="AM927" s="34" t="s">
        <v>25</v>
      </c>
      <c r="AN927" s="35" t="str">
        <f t="shared" si="73"/>
        <v>✓ OK</v>
      </c>
      <c r="AO927" s="36"/>
      <c r="AP927" s="36"/>
      <c r="AQ927" s="36"/>
      <c r="AR927" s="36"/>
      <c r="AS927" s="36"/>
      <c r="AT927" s="36"/>
      <c r="AU927" s="27"/>
      <c r="AV927" s="37"/>
      <c r="AW927" s="38" t="str">
        <f t="shared" si="74"/>
        <v/>
      </c>
    </row>
    <row r="928" spans="1:49" ht="18" customHeight="1" x14ac:dyDescent="0.3">
      <c r="A928" s="39">
        <v>924</v>
      </c>
      <c r="B928" s="40" t="s">
        <v>3696</v>
      </c>
      <c r="C928" s="41" t="s">
        <v>3697</v>
      </c>
      <c r="D928" s="39" t="s">
        <v>2819</v>
      </c>
      <c r="E928" s="43">
        <v>46126</v>
      </c>
      <c r="F928" s="26" t="s">
        <v>23</v>
      </c>
      <c r="G928" s="26" t="s">
        <v>24</v>
      </c>
      <c r="H928" s="26" t="s">
        <v>25</v>
      </c>
      <c r="I928" s="26" t="s">
        <v>26</v>
      </c>
      <c r="J928" s="26" t="s">
        <v>24</v>
      </c>
      <c r="K928" s="27"/>
      <c r="L928" s="28" t="s">
        <v>25</v>
      </c>
      <c r="M928" s="29" t="str">
        <f t="shared" si="70"/>
        <v>✓ OK</v>
      </c>
      <c r="N928" s="43">
        <v>46193</v>
      </c>
      <c r="O928" s="26" t="s">
        <v>23</v>
      </c>
      <c r="P928" s="26" t="s">
        <v>24</v>
      </c>
      <c r="Q928" s="26" t="s">
        <v>25</v>
      </c>
      <c r="R928" s="26" t="s">
        <v>26</v>
      </c>
      <c r="S928" s="26" t="s">
        <v>24</v>
      </c>
      <c r="T928" s="27"/>
      <c r="U928" s="28" t="s">
        <v>25</v>
      </c>
      <c r="V928" s="29" t="str">
        <f t="shared" si="71"/>
        <v>✓ OK</v>
      </c>
      <c r="W928" s="45">
        <v>46248</v>
      </c>
      <c r="X928" s="30" t="s">
        <v>23</v>
      </c>
      <c r="Y928" s="30" t="s">
        <v>24</v>
      </c>
      <c r="Z928" s="30" t="s">
        <v>25</v>
      </c>
      <c r="AA928" s="30" t="s">
        <v>26</v>
      </c>
      <c r="AB928" s="30" t="s">
        <v>24</v>
      </c>
      <c r="AC928" s="27"/>
      <c r="AD928" s="31" t="s">
        <v>25</v>
      </c>
      <c r="AE928" s="32" t="str">
        <f t="shared" si="72"/>
        <v>✓ OK</v>
      </c>
      <c r="AF928" s="33" t="s">
        <v>27</v>
      </c>
      <c r="AG928" s="33" t="s">
        <v>23</v>
      </c>
      <c r="AH928" s="33" t="s">
        <v>24</v>
      </c>
      <c r="AI928" s="33" t="s">
        <v>25</v>
      </c>
      <c r="AJ928" s="33" t="s">
        <v>26</v>
      </c>
      <c r="AK928" s="33" t="s">
        <v>24</v>
      </c>
      <c r="AL928" s="27"/>
      <c r="AM928" s="34" t="s">
        <v>25</v>
      </c>
      <c r="AN928" s="35" t="str">
        <f t="shared" si="73"/>
        <v>✓ OK</v>
      </c>
      <c r="AO928" s="36"/>
      <c r="AP928" s="36"/>
      <c r="AQ928" s="36"/>
      <c r="AR928" s="36"/>
      <c r="AS928" s="36"/>
      <c r="AT928" s="36"/>
      <c r="AU928" s="27"/>
      <c r="AV928" s="37"/>
      <c r="AW928" s="38" t="str">
        <f t="shared" si="74"/>
        <v/>
      </c>
    </row>
    <row r="929" spans="1:49" ht="18" customHeight="1" x14ac:dyDescent="0.3">
      <c r="A929" s="23">
        <v>925</v>
      </c>
      <c r="B929" s="24" t="s">
        <v>3698</v>
      </c>
      <c r="C929" s="25" t="s">
        <v>3699</v>
      </c>
      <c r="D929" s="23" t="s">
        <v>2819</v>
      </c>
      <c r="E929" s="43">
        <v>46126</v>
      </c>
      <c r="F929" s="26" t="s">
        <v>23</v>
      </c>
      <c r="G929" s="26" t="s">
        <v>24</v>
      </c>
      <c r="H929" s="26" t="s">
        <v>25</v>
      </c>
      <c r="I929" s="26" t="s">
        <v>26</v>
      </c>
      <c r="J929" s="26" t="s">
        <v>24</v>
      </c>
      <c r="K929" s="27"/>
      <c r="L929" s="28" t="s">
        <v>25</v>
      </c>
      <c r="M929" s="29" t="str">
        <f t="shared" si="70"/>
        <v>✓ OK</v>
      </c>
      <c r="N929" s="43">
        <v>46193</v>
      </c>
      <c r="O929" s="26" t="s">
        <v>23</v>
      </c>
      <c r="P929" s="26" t="s">
        <v>24</v>
      </c>
      <c r="Q929" s="26" t="s">
        <v>25</v>
      </c>
      <c r="R929" s="26" t="s">
        <v>26</v>
      </c>
      <c r="S929" s="26" t="s">
        <v>24</v>
      </c>
      <c r="T929" s="27"/>
      <c r="U929" s="28" t="s">
        <v>25</v>
      </c>
      <c r="V929" s="29" t="str">
        <f t="shared" si="71"/>
        <v>✓ OK</v>
      </c>
      <c r="W929" s="45">
        <v>46248</v>
      </c>
      <c r="X929" s="30" t="s">
        <v>23</v>
      </c>
      <c r="Y929" s="30" t="s">
        <v>24</v>
      </c>
      <c r="Z929" s="30" t="s">
        <v>25</v>
      </c>
      <c r="AA929" s="30" t="s">
        <v>26</v>
      </c>
      <c r="AB929" s="30" t="s">
        <v>24</v>
      </c>
      <c r="AC929" s="27"/>
      <c r="AD929" s="31" t="s">
        <v>25</v>
      </c>
      <c r="AE929" s="32" t="str">
        <f t="shared" si="72"/>
        <v>✓ OK</v>
      </c>
      <c r="AF929" s="33" t="s">
        <v>27</v>
      </c>
      <c r="AG929" s="33" t="s">
        <v>23</v>
      </c>
      <c r="AH929" s="33" t="s">
        <v>24</v>
      </c>
      <c r="AI929" s="33" t="s">
        <v>25</v>
      </c>
      <c r="AJ929" s="33" t="s">
        <v>26</v>
      </c>
      <c r="AK929" s="33" t="s">
        <v>24</v>
      </c>
      <c r="AL929" s="27"/>
      <c r="AM929" s="34" t="s">
        <v>25</v>
      </c>
      <c r="AN929" s="35" t="str">
        <f t="shared" si="73"/>
        <v>✓ OK</v>
      </c>
      <c r="AO929" s="36"/>
      <c r="AP929" s="36"/>
      <c r="AQ929" s="36"/>
      <c r="AR929" s="36"/>
      <c r="AS929" s="36"/>
      <c r="AT929" s="36"/>
      <c r="AU929" s="27"/>
      <c r="AV929" s="37"/>
      <c r="AW929" s="38" t="str">
        <f t="shared" si="74"/>
        <v/>
      </c>
    </row>
    <row r="930" spans="1:49" ht="18" customHeight="1" x14ac:dyDescent="0.3">
      <c r="A930" s="39">
        <v>926</v>
      </c>
      <c r="B930" s="40" t="s">
        <v>3700</v>
      </c>
      <c r="C930" s="41" t="s">
        <v>3701</v>
      </c>
      <c r="D930" s="39" t="s">
        <v>2819</v>
      </c>
      <c r="E930" s="43">
        <v>46126</v>
      </c>
      <c r="F930" s="26" t="s">
        <v>23</v>
      </c>
      <c r="G930" s="26" t="s">
        <v>24</v>
      </c>
      <c r="H930" s="26" t="s">
        <v>25</v>
      </c>
      <c r="I930" s="26" t="s">
        <v>26</v>
      </c>
      <c r="J930" s="26" t="s">
        <v>24</v>
      </c>
      <c r="K930" s="27"/>
      <c r="L930" s="28" t="s">
        <v>25</v>
      </c>
      <c r="M930" s="29" t="str">
        <f t="shared" si="70"/>
        <v>✓ OK</v>
      </c>
      <c r="N930" s="43">
        <v>46193</v>
      </c>
      <c r="O930" s="26" t="s">
        <v>23</v>
      </c>
      <c r="P930" s="26" t="s">
        <v>24</v>
      </c>
      <c r="Q930" s="26" t="s">
        <v>25</v>
      </c>
      <c r="R930" s="26" t="s">
        <v>26</v>
      </c>
      <c r="S930" s="26" t="s">
        <v>24</v>
      </c>
      <c r="T930" s="27"/>
      <c r="U930" s="28" t="s">
        <v>25</v>
      </c>
      <c r="V930" s="29" t="str">
        <f t="shared" si="71"/>
        <v>✓ OK</v>
      </c>
      <c r="W930" s="45">
        <v>46248</v>
      </c>
      <c r="X930" s="30" t="s">
        <v>23</v>
      </c>
      <c r="Y930" s="30" t="s">
        <v>24</v>
      </c>
      <c r="Z930" s="30" t="s">
        <v>25</v>
      </c>
      <c r="AA930" s="30" t="s">
        <v>26</v>
      </c>
      <c r="AB930" s="30" t="s">
        <v>24</v>
      </c>
      <c r="AC930" s="27"/>
      <c r="AD930" s="31" t="s">
        <v>25</v>
      </c>
      <c r="AE930" s="32" t="str">
        <f t="shared" si="72"/>
        <v>✓ OK</v>
      </c>
      <c r="AF930" s="33" t="s">
        <v>27</v>
      </c>
      <c r="AG930" s="33" t="s">
        <v>23</v>
      </c>
      <c r="AH930" s="33" t="s">
        <v>24</v>
      </c>
      <c r="AI930" s="33" t="s">
        <v>25</v>
      </c>
      <c r="AJ930" s="33" t="s">
        <v>26</v>
      </c>
      <c r="AK930" s="33" t="s">
        <v>24</v>
      </c>
      <c r="AL930" s="27"/>
      <c r="AM930" s="34" t="s">
        <v>25</v>
      </c>
      <c r="AN930" s="35" t="str">
        <f t="shared" si="73"/>
        <v>✓ OK</v>
      </c>
      <c r="AO930" s="36"/>
      <c r="AP930" s="36"/>
      <c r="AQ930" s="36"/>
      <c r="AR930" s="36"/>
      <c r="AS930" s="36"/>
      <c r="AT930" s="36"/>
      <c r="AU930" s="27"/>
      <c r="AV930" s="37"/>
      <c r="AW930" s="38" t="str">
        <f t="shared" si="74"/>
        <v/>
      </c>
    </row>
    <row r="931" spans="1:49" ht="18" customHeight="1" x14ac:dyDescent="0.3">
      <c r="A931" s="23">
        <v>927</v>
      </c>
      <c r="B931" s="24" t="s">
        <v>3702</v>
      </c>
      <c r="C931" s="25" t="s">
        <v>3703</v>
      </c>
      <c r="D931" s="23" t="s">
        <v>2819</v>
      </c>
      <c r="E931" s="43">
        <v>46126</v>
      </c>
      <c r="F931" s="26" t="s">
        <v>23</v>
      </c>
      <c r="G931" s="26" t="s">
        <v>24</v>
      </c>
      <c r="H931" s="26" t="s">
        <v>25</v>
      </c>
      <c r="I931" s="26" t="s">
        <v>26</v>
      </c>
      <c r="J931" s="26" t="s">
        <v>24</v>
      </c>
      <c r="K931" s="27"/>
      <c r="L931" s="28" t="s">
        <v>25</v>
      </c>
      <c r="M931" s="29" t="str">
        <f t="shared" si="70"/>
        <v>✓ OK</v>
      </c>
      <c r="N931" s="43">
        <v>46193</v>
      </c>
      <c r="O931" s="26" t="s">
        <v>23</v>
      </c>
      <c r="P931" s="26" t="s">
        <v>24</v>
      </c>
      <c r="Q931" s="26" t="s">
        <v>25</v>
      </c>
      <c r="R931" s="26" t="s">
        <v>26</v>
      </c>
      <c r="S931" s="26" t="s">
        <v>24</v>
      </c>
      <c r="T931" s="27"/>
      <c r="U931" s="28" t="s">
        <v>25</v>
      </c>
      <c r="V931" s="29" t="str">
        <f t="shared" si="71"/>
        <v>✓ OK</v>
      </c>
      <c r="W931" s="45">
        <v>46248</v>
      </c>
      <c r="X931" s="30" t="s">
        <v>23</v>
      </c>
      <c r="Y931" s="30" t="s">
        <v>24</v>
      </c>
      <c r="Z931" s="30" t="s">
        <v>25</v>
      </c>
      <c r="AA931" s="30" t="s">
        <v>26</v>
      </c>
      <c r="AB931" s="30" t="s">
        <v>24</v>
      </c>
      <c r="AC931" s="27"/>
      <c r="AD931" s="31" t="s">
        <v>25</v>
      </c>
      <c r="AE931" s="32" t="str">
        <f t="shared" si="72"/>
        <v>✓ OK</v>
      </c>
      <c r="AF931" s="33" t="s">
        <v>27</v>
      </c>
      <c r="AG931" s="33" t="s">
        <v>23</v>
      </c>
      <c r="AH931" s="33" t="s">
        <v>24</v>
      </c>
      <c r="AI931" s="33" t="s">
        <v>25</v>
      </c>
      <c r="AJ931" s="33" t="s">
        <v>26</v>
      </c>
      <c r="AK931" s="33" t="s">
        <v>24</v>
      </c>
      <c r="AL931" s="27"/>
      <c r="AM931" s="34" t="s">
        <v>25</v>
      </c>
      <c r="AN931" s="35" t="str">
        <f t="shared" si="73"/>
        <v>✓ OK</v>
      </c>
      <c r="AO931" s="36"/>
      <c r="AP931" s="36"/>
      <c r="AQ931" s="36"/>
      <c r="AR931" s="36"/>
      <c r="AS931" s="36"/>
      <c r="AT931" s="36"/>
      <c r="AU931" s="27"/>
      <c r="AV931" s="37"/>
      <c r="AW931" s="38" t="str">
        <f t="shared" si="74"/>
        <v/>
      </c>
    </row>
    <row r="932" spans="1:49" ht="18" customHeight="1" x14ac:dyDescent="0.3">
      <c r="A932" s="39">
        <v>928</v>
      </c>
      <c r="B932" s="40" t="s">
        <v>3704</v>
      </c>
      <c r="C932" s="41" t="s">
        <v>3705</v>
      </c>
      <c r="D932" s="39" t="s">
        <v>2819</v>
      </c>
      <c r="E932" s="43">
        <v>46126</v>
      </c>
      <c r="F932" s="26" t="s">
        <v>23</v>
      </c>
      <c r="G932" s="26" t="s">
        <v>24</v>
      </c>
      <c r="H932" s="26" t="s">
        <v>25</v>
      </c>
      <c r="I932" s="26" t="s">
        <v>26</v>
      </c>
      <c r="J932" s="26" t="s">
        <v>24</v>
      </c>
      <c r="K932" s="27"/>
      <c r="L932" s="28" t="s">
        <v>25</v>
      </c>
      <c r="M932" s="29" t="str">
        <f t="shared" si="70"/>
        <v>✓ OK</v>
      </c>
      <c r="N932" s="43">
        <v>46193</v>
      </c>
      <c r="O932" s="26" t="s">
        <v>23</v>
      </c>
      <c r="P932" s="26" t="s">
        <v>24</v>
      </c>
      <c r="Q932" s="26" t="s">
        <v>25</v>
      </c>
      <c r="R932" s="26" t="s">
        <v>26</v>
      </c>
      <c r="S932" s="26" t="s">
        <v>24</v>
      </c>
      <c r="T932" s="27"/>
      <c r="U932" s="28" t="s">
        <v>25</v>
      </c>
      <c r="V932" s="29" t="str">
        <f t="shared" si="71"/>
        <v>✓ OK</v>
      </c>
      <c r="W932" s="45">
        <v>46248</v>
      </c>
      <c r="X932" s="30" t="s">
        <v>23</v>
      </c>
      <c r="Y932" s="30" t="s">
        <v>24</v>
      </c>
      <c r="Z932" s="30" t="s">
        <v>25</v>
      </c>
      <c r="AA932" s="30" t="s">
        <v>26</v>
      </c>
      <c r="AB932" s="30" t="s">
        <v>24</v>
      </c>
      <c r="AC932" s="27"/>
      <c r="AD932" s="31" t="s">
        <v>25</v>
      </c>
      <c r="AE932" s="32" t="str">
        <f t="shared" si="72"/>
        <v>✓ OK</v>
      </c>
      <c r="AF932" s="33" t="s">
        <v>27</v>
      </c>
      <c r="AG932" s="33" t="s">
        <v>23</v>
      </c>
      <c r="AH932" s="33" t="s">
        <v>24</v>
      </c>
      <c r="AI932" s="33" t="s">
        <v>25</v>
      </c>
      <c r="AJ932" s="33" t="s">
        <v>26</v>
      </c>
      <c r="AK932" s="33" t="s">
        <v>24</v>
      </c>
      <c r="AL932" s="27"/>
      <c r="AM932" s="34" t="s">
        <v>25</v>
      </c>
      <c r="AN932" s="35" t="str">
        <f t="shared" si="73"/>
        <v>✓ OK</v>
      </c>
      <c r="AO932" s="36"/>
      <c r="AP932" s="36"/>
      <c r="AQ932" s="36"/>
      <c r="AR932" s="36"/>
      <c r="AS932" s="36"/>
      <c r="AT932" s="36"/>
      <c r="AU932" s="27"/>
      <c r="AV932" s="37"/>
      <c r="AW932" s="38" t="str">
        <f t="shared" si="74"/>
        <v/>
      </c>
    </row>
    <row r="933" spans="1:49" ht="18" customHeight="1" x14ac:dyDescent="0.3">
      <c r="A933" s="23">
        <v>929</v>
      </c>
      <c r="B933" s="24" t="s">
        <v>3706</v>
      </c>
      <c r="C933" s="25" t="s">
        <v>3707</v>
      </c>
      <c r="D933" s="23" t="s">
        <v>2819</v>
      </c>
      <c r="E933" s="43">
        <v>46126</v>
      </c>
      <c r="F933" s="26" t="s">
        <v>23</v>
      </c>
      <c r="G933" s="26" t="s">
        <v>24</v>
      </c>
      <c r="H933" s="26" t="s">
        <v>25</v>
      </c>
      <c r="I933" s="26" t="s">
        <v>26</v>
      </c>
      <c r="J933" s="26" t="s">
        <v>24</v>
      </c>
      <c r="K933" s="27"/>
      <c r="L933" s="28" t="s">
        <v>25</v>
      </c>
      <c r="M933" s="29" t="str">
        <f t="shared" si="70"/>
        <v>✓ OK</v>
      </c>
      <c r="N933" s="43">
        <v>46193</v>
      </c>
      <c r="O933" s="26" t="s">
        <v>23</v>
      </c>
      <c r="P933" s="26" t="s">
        <v>24</v>
      </c>
      <c r="Q933" s="26" t="s">
        <v>25</v>
      </c>
      <c r="R933" s="26" t="s">
        <v>26</v>
      </c>
      <c r="S933" s="26" t="s">
        <v>24</v>
      </c>
      <c r="T933" s="27"/>
      <c r="U933" s="28" t="s">
        <v>25</v>
      </c>
      <c r="V933" s="29" t="str">
        <f t="shared" si="71"/>
        <v>✓ OK</v>
      </c>
      <c r="W933" s="45">
        <v>46248</v>
      </c>
      <c r="X933" s="30" t="s">
        <v>23</v>
      </c>
      <c r="Y933" s="30" t="s">
        <v>24</v>
      </c>
      <c r="Z933" s="30" t="s">
        <v>25</v>
      </c>
      <c r="AA933" s="30" t="s">
        <v>26</v>
      </c>
      <c r="AB933" s="30" t="s">
        <v>24</v>
      </c>
      <c r="AC933" s="27"/>
      <c r="AD933" s="31" t="s">
        <v>25</v>
      </c>
      <c r="AE933" s="32" t="str">
        <f t="shared" si="72"/>
        <v>✓ OK</v>
      </c>
      <c r="AF933" s="33" t="s">
        <v>27</v>
      </c>
      <c r="AG933" s="33" t="s">
        <v>23</v>
      </c>
      <c r="AH933" s="33" t="s">
        <v>24</v>
      </c>
      <c r="AI933" s="33" t="s">
        <v>25</v>
      </c>
      <c r="AJ933" s="33" t="s">
        <v>26</v>
      </c>
      <c r="AK933" s="33" t="s">
        <v>24</v>
      </c>
      <c r="AL933" s="27"/>
      <c r="AM933" s="34" t="s">
        <v>25</v>
      </c>
      <c r="AN933" s="35" t="str">
        <f t="shared" si="73"/>
        <v>✓ OK</v>
      </c>
      <c r="AO933" s="36"/>
      <c r="AP933" s="36"/>
      <c r="AQ933" s="36"/>
      <c r="AR933" s="36"/>
      <c r="AS933" s="36"/>
      <c r="AT933" s="36"/>
      <c r="AU933" s="27"/>
      <c r="AV933" s="37"/>
      <c r="AW933" s="38" t="str">
        <f t="shared" si="74"/>
        <v/>
      </c>
    </row>
    <row r="934" spans="1:49" ht="18" customHeight="1" x14ac:dyDescent="0.3">
      <c r="A934" s="39">
        <v>930</v>
      </c>
      <c r="B934" s="40" t="s">
        <v>3708</v>
      </c>
      <c r="C934" s="41" t="s">
        <v>3709</v>
      </c>
      <c r="D934" s="39" t="s">
        <v>2819</v>
      </c>
      <c r="E934" s="43">
        <v>46126</v>
      </c>
      <c r="F934" s="26" t="s">
        <v>23</v>
      </c>
      <c r="G934" s="26" t="s">
        <v>24</v>
      </c>
      <c r="H934" s="26" t="s">
        <v>25</v>
      </c>
      <c r="I934" s="26" t="s">
        <v>26</v>
      </c>
      <c r="J934" s="26" t="s">
        <v>24</v>
      </c>
      <c r="K934" s="27"/>
      <c r="L934" s="28" t="s">
        <v>25</v>
      </c>
      <c r="M934" s="29" t="str">
        <f t="shared" si="70"/>
        <v>✓ OK</v>
      </c>
      <c r="N934" s="43">
        <v>46193</v>
      </c>
      <c r="O934" s="26" t="s">
        <v>23</v>
      </c>
      <c r="P934" s="26" t="s">
        <v>24</v>
      </c>
      <c r="Q934" s="26" t="s">
        <v>25</v>
      </c>
      <c r="R934" s="26" t="s">
        <v>26</v>
      </c>
      <c r="S934" s="26" t="s">
        <v>24</v>
      </c>
      <c r="T934" s="27"/>
      <c r="U934" s="28" t="s">
        <v>25</v>
      </c>
      <c r="V934" s="29" t="str">
        <f t="shared" si="71"/>
        <v>✓ OK</v>
      </c>
      <c r="W934" s="45">
        <v>46248</v>
      </c>
      <c r="X934" s="30" t="s">
        <v>23</v>
      </c>
      <c r="Y934" s="30" t="s">
        <v>24</v>
      </c>
      <c r="Z934" s="30" t="s">
        <v>25</v>
      </c>
      <c r="AA934" s="30" t="s">
        <v>26</v>
      </c>
      <c r="AB934" s="30" t="s">
        <v>24</v>
      </c>
      <c r="AC934" s="27"/>
      <c r="AD934" s="31" t="s">
        <v>25</v>
      </c>
      <c r="AE934" s="32" t="str">
        <f t="shared" si="72"/>
        <v>✓ OK</v>
      </c>
      <c r="AF934" s="33" t="s">
        <v>27</v>
      </c>
      <c r="AG934" s="33" t="s">
        <v>23</v>
      </c>
      <c r="AH934" s="33" t="s">
        <v>24</v>
      </c>
      <c r="AI934" s="33" t="s">
        <v>25</v>
      </c>
      <c r="AJ934" s="33" t="s">
        <v>26</v>
      </c>
      <c r="AK934" s="33" t="s">
        <v>24</v>
      </c>
      <c r="AL934" s="27"/>
      <c r="AM934" s="34" t="s">
        <v>25</v>
      </c>
      <c r="AN934" s="35" t="str">
        <f t="shared" si="73"/>
        <v>✓ OK</v>
      </c>
      <c r="AO934" s="36"/>
      <c r="AP934" s="36"/>
      <c r="AQ934" s="36"/>
      <c r="AR934" s="36"/>
      <c r="AS934" s="36"/>
      <c r="AT934" s="36"/>
      <c r="AU934" s="27"/>
      <c r="AV934" s="37"/>
      <c r="AW934" s="38" t="str">
        <f t="shared" si="74"/>
        <v/>
      </c>
    </row>
    <row r="935" spans="1:49" ht="18" customHeight="1" x14ac:dyDescent="0.3">
      <c r="A935" s="23">
        <v>931</v>
      </c>
      <c r="B935" s="24" t="s">
        <v>3710</v>
      </c>
      <c r="C935" s="25" t="s">
        <v>3711</v>
      </c>
      <c r="D935" s="23" t="s">
        <v>2819</v>
      </c>
      <c r="E935" s="43">
        <v>46126</v>
      </c>
      <c r="F935" s="26" t="s">
        <v>23</v>
      </c>
      <c r="G935" s="26" t="s">
        <v>24</v>
      </c>
      <c r="H935" s="26" t="s">
        <v>25</v>
      </c>
      <c r="I935" s="26" t="s">
        <v>26</v>
      </c>
      <c r="J935" s="26" t="s">
        <v>24</v>
      </c>
      <c r="K935" s="27"/>
      <c r="L935" s="28" t="s">
        <v>25</v>
      </c>
      <c r="M935" s="29" t="str">
        <f t="shared" si="70"/>
        <v>✓ OK</v>
      </c>
      <c r="N935" s="43">
        <v>46193</v>
      </c>
      <c r="O935" s="26" t="s">
        <v>23</v>
      </c>
      <c r="P935" s="26" t="s">
        <v>24</v>
      </c>
      <c r="Q935" s="26" t="s">
        <v>25</v>
      </c>
      <c r="R935" s="26" t="s">
        <v>26</v>
      </c>
      <c r="S935" s="26" t="s">
        <v>24</v>
      </c>
      <c r="T935" s="27"/>
      <c r="U935" s="28" t="s">
        <v>25</v>
      </c>
      <c r="V935" s="29" t="str">
        <f t="shared" si="71"/>
        <v>✓ OK</v>
      </c>
      <c r="W935" s="45">
        <v>46248</v>
      </c>
      <c r="X935" s="30" t="s">
        <v>23</v>
      </c>
      <c r="Y935" s="30" t="s">
        <v>24</v>
      </c>
      <c r="Z935" s="30" t="s">
        <v>25</v>
      </c>
      <c r="AA935" s="30" t="s">
        <v>26</v>
      </c>
      <c r="AB935" s="30" t="s">
        <v>24</v>
      </c>
      <c r="AC935" s="27"/>
      <c r="AD935" s="31" t="s">
        <v>25</v>
      </c>
      <c r="AE935" s="32" t="str">
        <f t="shared" si="72"/>
        <v>✓ OK</v>
      </c>
      <c r="AF935" s="33" t="s">
        <v>27</v>
      </c>
      <c r="AG935" s="33" t="s">
        <v>23</v>
      </c>
      <c r="AH935" s="33" t="s">
        <v>24</v>
      </c>
      <c r="AI935" s="33" t="s">
        <v>25</v>
      </c>
      <c r="AJ935" s="33" t="s">
        <v>26</v>
      </c>
      <c r="AK935" s="33" t="s">
        <v>24</v>
      </c>
      <c r="AL935" s="27"/>
      <c r="AM935" s="34" t="s">
        <v>25</v>
      </c>
      <c r="AN935" s="35" t="str">
        <f t="shared" si="73"/>
        <v>✓ OK</v>
      </c>
      <c r="AO935" s="36"/>
      <c r="AP935" s="36"/>
      <c r="AQ935" s="36"/>
      <c r="AR935" s="36"/>
      <c r="AS935" s="36"/>
      <c r="AT935" s="36"/>
      <c r="AU935" s="27"/>
      <c r="AV935" s="37"/>
      <c r="AW935" s="38" t="str">
        <f t="shared" si="74"/>
        <v/>
      </c>
    </row>
    <row r="936" spans="1:49" ht="18" customHeight="1" x14ac:dyDescent="0.3">
      <c r="A936" s="39">
        <v>932</v>
      </c>
      <c r="B936" s="40" t="s">
        <v>3712</v>
      </c>
      <c r="C936" s="41" t="s">
        <v>3713</v>
      </c>
      <c r="D936" s="39" t="s">
        <v>2819</v>
      </c>
      <c r="E936" s="43">
        <v>46126</v>
      </c>
      <c r="F936" s="26" t="s">
        <v>23</v>
      </c>
      <c r="G936" s="26" t="s">
        <v>24</v>
      </c>
      <c r="H936" s="26" t="s">
        <v>25</v>
      </c>
      <c r="I936" s="26" t="s">
        <v>26</v>
      </c>
      <c r="J936" s="26" t="s">
        <v>24</v>
      </c>
      <c r="K936" s="27"/>
      <c r="L936" s="28" t="s">
        <v>25</v>
      </c>
      <c r="M936" s="29" t="str">
        <f t="shared" si="70"/>
        <v>✓ OK</v>
      </c>
      <c r="N936" s="43">
        <v>46193</v>
      </c>
      <c r="O936" s="26" t="s">
        <v>23</v>
      </c>
      <c r="P936" s="26" t="s">
        <v>24</v>
      </c>
      <c r="Q936" s="26" t="s">
        <v>25</v>
      </c>
      <c r="R936" s="26" t="s">
        <v>26</v>
      </c>
      <c r="S936" s="26" t="s">
        <v>24</v>
      </c>
      <c r="T936" s="27"/>
      <c r="U936" s="28" t="s">
        <v>25</v>
      </c>
      <c r="V936" s="29" t="str">
        <f t="shared" si="71"/>
        <v>✓ OK</v>
      </c>
      <c r="W936" s="45">
        <v>46248</v>
      </c>
      <c r="X936" s="30" t="s">
        <v>23</v>
      </c>
      <c r="Y936" s="30" t="s">
        <v>24</v>
      </c>
      <c r="Z936" s="30" t="s">
        <v>25</v>
      </c>
      <c r="AA936" s="30" t="s">
        <v>26</v>
      </c>
      <c r="AB936" s="30" t="s">
        <v>24</v>
      </c>
      <c r="AC936" s="27"/>
      <c r="AD936" s="31" t="s">
        <v>25</v>
      </c>
      <c r="AE936" s="32" t="str">
        <f t="shared" si="72"/>
        <v>✓ OK</v>
      </c>
      <c r="AF936" s="33" t="s">
        <v>27</v>
      </c>
      <c r="AG936" s="33" t="s">
        <v>23</v>
      </c>
      <c r="AH936" s="33" t="s">
        <v>24</v>
      </c>
      <c r="AI936" s="33" t="s">
        <v>25</v>
      </c>
      <c r="AJ936" s="33" t="s">
        <v>26</v>
      </c>
      <c r="AK936" s="33" t="s">
        <v>24</v>
      </c>
      <c r="AL936" s="27"/>
      <c r="AM936" s="34" t="s">
        <v>25</v>
      </c>
      <c r="AN936" s="35" t="str">
        <f t="shared" si="73"/>
        <v>✓ OK</v>
      </c>
      <c r="AO936" s="36"/>
      <c r="AP936" s="36"/>
      <c r="AQ936" s="36"/>
      <c r="AR936" s="36"/>
      <c r="AS936" s="36"/>
      <c r="AT936" s="36"/>
      <c r="AU936" s="27"/>
      <c r="AV936" s="37"/>
      <c r="AW936" s="38" t="str">
        <f t="shared" si="74"/>
        <v/>
      </c>
    </row>
    <row r="937" spans="1:49" ht="18" customHeight="1" x14ac:dyDescent="0.3">
      <c r="A937" s="23">
        <v>933</v>
      </c>
      <c r="B937" s="24" t="s">
        <v>3714</v>
      </c>
      <c r="C937" s="25" t="s">
        <v>3715</v>
      </c>
      <c r="D937" s="23" t="s">
        <v>2819</v>
      </c>
      <c r="E937" s="43">
        <v>46126</v>
      </c>
      <c r="F937" s="26" t="s">
        <v>23</v>
      </c>
      <c r="G937" s="26" t="s">
        <v>24</v>
      </c>
      <c r="H937" s="26" t="s">
        <v>25</v>
      </c>
      <c r="I937" s="26" t="s">
        <v>26</v>
      </c>
      <c r="J937" s="26" t="s">
        <v>24</v>
      </c>
      <c r="K937" s="27"/>
      <c r="L937" s="28" t="s">
        <v>25</v>
      </c>
      <c r="M937" s="29" t="str">
        <f t="shared" si="70"/>
        <v>✓ OK</v>
      </c>
      <c r="N937" s="43">
        <v>46193</v>
      </c>
      <c r="O937" s="26" t="s">
        <v>23</v>
      </c>
      <c r="P937" s="26" t="s">
        <v>24</v>
      </c>
      <c r="Q937" s="26" t="s">
        <v>25</v>
      </c>
      <c r="R937" s="26" t="s">
        <v>26</v>
      </c>
      <c r="S937" s="26" t="s">
        <v>24</v>
      </c>
      <c r="T937" s="27"/>
      <c r="U937" s="28" t="s">
        <v>25</v>
      </c>
      <c r="V937" s="29" t="str">
        <f t="shared" si="71"/>
        <v>✓ OK</v>
      </c>
      <c r="W937" s="45">
        <v>46248</v>
      </c>
      <c r="X937" s="30" t="s">
        <v>23</v>
      </c>
      <c r="Y937" s="30" t="s">
        <v>24</v>
      </c>
      <c r="Z937" s="30" t="s">
        <v>25</v>
      </c>
      <c r="AA937" s="30" t="s">
        <v>26</v>
      </c>
      <c r="AB937" s="30" t="s">
        <v>24</v>
      </c>
      <c r="AC937" s="27"/>
      <c r="AD937" s="31" t="s">
        <v>25</v>
      </c>
      <c r="AE937" s="32" t="str">
        <f t="shared" si="72"/>
        <v>✓ OK</v>
      </c>
      <c r="AF937" s="33" t="s">
        <v>27</v>
      </c>
      <c r="AG937" s="33" t="s">
        <v>23</v>
      </c>
      <c r="AH937" s="33" t="s">
        <v>24</v>
      </c>
      <c r="AI937" s="33" t="s">
        <v>25</v>
      </c>
      <c r="AJ937" s="33" t="s">
        <v>26</v>
      </c>
      <c r="AK937" s="33" t="s">
        <v>24</v>
      </c>
      <c r="AL937" s="27"/>
      <c r="AM937" s="34" t="s">
        <v>25</v>
      </c>
      <c r="AN937" s="35" t="str">
        <f t="shared" si="73"/>
        <v>✓ OK</v>
      </c>
      <c r="AO937" s="36"/>
      <c r="AP937" s="36"/>
      <c r="AQ937" s="36"/>
      <c r="AR937" s="36"/>
      <c r="AS937" s="36"/>
      <c r="AT937" s="36"/>
      <c r="AU937" s="27"/>
      <c r="AV937" s="37"/>
      <c r="AW937" s="38" t="str">
        <f t="shared" si="74"/>
        <v/>
      </c>
    </row>
    <row r="938" spans="1:49" ht="18" customHeight="1" x14ac:dyDescent="0.3">
      <c r="A938" s="39">
        <v>934</v>
      </c>
      <c r="B938" s="40" t="s">
        <v>3716</v>
      </c>
      <c r="C938" s="41" t="s">
        <v>3717</v>
      </c>
      <c r="D938" s="39" t="s">
        <v>2819</v>
      </c>
      <c r="E938" s="43">
        <v>46126</v>
      </c>
      <c r="F938" s="26" t="s">
        <v>23</v>
      </c>
      <c r="G938" s="26" t="s">
        <v>24</v>
      </c>
      <c r="H938" s="26" t="s">
        <v>25</v>
      </c>
      <c r="I938" s="26" t="s">
        <v>26</v>
      </c>
      <c r="J938" s="26" t="s">
        <v>24</v>
      </c>
      <c r="K938" s="27"/>
      <c r="L938" s="28" t="s">
        <v>25</v>
      </c>
      <c r="M938" s="29" t="str">
        <f t="shared" si="70"/>
        <v>✓ OK</v>
      </c>
      <c r="N938" s="43">
        <v>46193</v>
      </c>
      <c r="O938" s="26" t="s">
        <v>23</v>
      </c>
      <c r="P938" s="26" t="s">
        <v>24</v>
      </c>
      <c r="Q938" s="26" t="s">
        <v>25</v>
      </c>
      <c r="R938" s="26" t="s">
        <v>26</v>
      </c>
      <c r="S938" s="26" t="s">
        <v>24</v>
      </c>
      <c r="T938" s="27"/>
      <c r="U938" s="28" t="s">
        <v>25</v>
      </c>
      <c r="V938" s="29" t="str">
        <f t="shared" si="71"/>
        <v>✓ OK</v>
      </c>
      <c r="W938" s="45">
        <v>46248</v>
      </c>
      <c r="X938" s="30" t="s">
        <v>23</v>
      </c>
      <c r="Y938" s="30" t="s">
        <v>24</v>
      </c>
      <c r="Z938" s="30" t="s">
        <v>25</v>
      </c>
      <c r="AA938" s="30" t="s">
        <v>26</v>
      </c>
      <c r="AB938" s="30" t="s">
        <v>24</v>
      </c>
      <c r="AC938" s="27"/>
      <c r="AD938" s="31" t="s">
        <v>25</v>
      </c>
      <c r="AE938" s="32" t="str">
        <f t="shared" si="72"/>
        <v>✓ OK</v>
      </c>
      <c r="AF938" s="33" t="s">
        <v>27</v>
      </c>
      <c r="AG938" s="33" t="s">
        <v>23</v>
      </c>
      <c r="AH938" s="33" t="s">
        <v>24</v>
      </c>
      <c r="AI938" s="33" t="s">
        <v>25</v>
      </c>
      <c r="AJ938" s="33" t="s">
        <v>26</v>
      </c>
      <c r="AK938" s="33" t="s">
        <v>24</v>
      </c>
      <c r="AL938" s="27"/>
      <c r="AM938" s="34" t="s">
        <v>25</v>
      </c>
      <c r="AN938" s="35" t="str">
        <f t="shared" si="73"/>
        <v>✓ OK</v>
      </c>
      <c r="AO938" s="36"/>
      <c r="AP938" s="36"/>
      <c r="AQ938" s="36"/>
      <c r="AR938" s="36"/>
      <c r="AS938" s="36"/>
      <c r="AT938" s="36"/>
      <c r="AU938" s="27"/>
      <c r="AV938" s="37"/>
      <c r="AW938" s="38" t="str">
        <f t="shared" si="74"/>
        <v/>
      </c>
    </row>
    <row r="939" spans="1:49" ht="18" customHeight="1" x14ac:dyDescent="0.3">
      <c r="A939" s="23">
        <v>935</v>
      </c>
      <c r="B939" s="24" t="s">
        <v>3718</v>
      </c>
      <c r="C939" s="25" t="s">
        <v>3719</v>
      </c>
      <c r="D939" s="23" t="s">
        <v>2819</v>
      </c>
      <c r="E939" s="43">
        <v>46126</v>
      </c>
      <c r="F939" s="26" t="s">
        <v>23</v>
      </c>
      <c r="G939" s="26" t="s">
        <v>24</v>
      </c>
      <c r="H939" s="26" t="s">
        <v>25</v>
      </c>
      <c r="I939" s="26" t="s">
        <v>26</v>
      </c>
      <c r="J939" s="26" t="s">
        <v>24</v>
      </c>
      <c r="K939" s="27"/>
      <c r="L939" s="28" t="s">
        <v>25</v>
      </c>
      <c r="M939" s="29" t="str">
        <f t="shared" si="70"/>
        <v>✓ OK</v>
      </c>
      <c r="N939" s="43">
        <v>46193</v>
      </c>
      <c r="O939" s="26" t="s">
        <v>23</v>
      </c>
      <c r="P939" s="26" t="s">
        <v>24</v>
      </c>
      <c r="Q939" s="26" t="s">
        <v>25</v>
      </c>
      <c r="R939" s="26" t="s">
        <v>26</v>
      </c>
      <c r="S939" s="26" t="s">
        <v>24</v>
      </c>
      <c r="T939" s="27"/>
      <c r="U939" s="28" t="s">
        <v>25</v>
      </c>
      <c r="V939" s="29" t="str">
        <f t="shared" si="71"/>
        <v>✓ OK</v>
      </c>
      <c r="W939" s="45">
        <v>46248</v>
      </c>
      <c r="X939" s="30" t="s">
        <v>23</v>
      </c>
      <c r="Y939" s="30" t="s">
        <v>24</v>
      </c>
      <c r="Z939" s="30" t="s">
        <v>25</v>
      </c>
      <c r="AA939" s="30" t="s">
        <v>26</v>
      </c>
      <c r="AB939" s="30" t="s">
        <v>24</v>
      </c>
      <c r="AC939" s="27"/>
      <c r="AD939" s="31" t="s">
        <v>25</v>
      </c>
      <c r="AE939" s="32" t="str">
        <f t="shared" si="72"/>
        <v>✓ OK</v>
      </c>
      <c r="AF939" s="33" t="s">
        <v>27</v>
      </c>
      <c r="AG939" s="33" t="s">
        <v>23</v>
      </c>
      <c r="AH939" s="33" t="s">
        <v>24</v>
      </c>
      <c r="AI939" s="33" t="s">
        <v>25</v>
      </c>
      <c r="AJ939" s="33" t="s">
        <v>26</v>
      </c>
      <c r="AK939" s="33" t="s">
        <v>24</v>
      </c>
      <c r="AL939" s="27"/>
      <c r="AM939" s="34" t="s">
        <v>25</v>
      </c>
      <c r="AN939" s="35" t="str">
        <f t="shared" si="73"/>
        <v>✓ OK</v>
      </c>
      <c r="AO939" s="36"/>
      <c r="AP939" s="36"/>
      <c r="AQ939" s="36"/>
      <c r="AR939" s="36"/>
      <c r="AS939" s="36"/>
      <c r="AT939" s="36"/>
      <c r="AU939" s="27"/>
      <c r="AV939" s="37"/>
      <c r="AW939" s="38" t="str">
        <f t="shared" si="74"/>
        <v/>
      </c>
    </row>
    <row r="940" spans="1:49" ht="18" customHeight="1" x14ac:dyDescent="0.3">
      <c r="A940" s="39">
        <v>936</v>
      </c>
      <c r="B940" s="40" t="s">
        <v>3720</v>
      </c>
      <c r="C940" s="41" t="s">
        <v>3721</v>
      </c>
      <c r="D940" s="39" t="s">
        <v>2819</v>
      </c>
      <c r="E940" s="43">
        <v>46126</v>
      </c>
      <c r="F940" s="26" t="s">
        <v>23</v>
      </c>
      <c r="G940" s="26" t="s">
        <v>24</v>
      </c>
      <c r="H940" s="26" t="s">
        <v>25</v>
      </c>
      <c r="I940" s="26" t="s">
        <v>26</v>
      </c>
      <c r="J940" s="26" t="s">
        <v>24</v>
      </c>
      <c r="K940" s="27"/>
      <c r="L940" s="28" t="s">
        <v>25</v>
      </c>
      <c r="M940" s="29" t="str">
        <f t="shared" si="70"/>
        <v>✓ OK</v>
      </c>
      <c r="N940" s="43">
        <v>46193</v>
      </c>
      <c r="O940" s="26" t="s">
        <v>23</v>
      </c>
      <c r="P940" s="26" t="s">
        <v>24</v>
      </c>
      <c r="Q940" s="26" t="s">
        <v>25</v>
      </c>
      <c r="R940" s="26" t="s">
        <v>26</v>
      </c>
      <c r="S940" s="26" t="s">
        <v>24</v>
      </c>
      <c r="T940" s="27"/>
      <c r="U940" s="28" t="s">
        <v>25</v>
      </c>
      <c r="V940" s="29" t="str">
        <f t="shared" si="71"/>
        <v>✓ OK</v>
      </c>
      <c r="W940" s="45">
        <v>46248</v>
      </c>
      <c r="X940" s="30" t="s">
        <v>23</v>
      </c>
      <c r="Y940" s="30" t="s">
        <v>24</v>
      </c>
      <c r="Z940" s="30" t="s">
        <v>25</v>
      </c>
      <c r="AA940" s="30" t="s">
        <v>26</v>
      </c>
      <c r="AB940" s="30" t="s">
        <v>24</v>
      </c>
      <c r="AC940" s="27"/>
      <c r="AD940" s="31" t="s">
        <v>25</v>
      </c>
      <c r="AE940" s="32" t="str">
        <f t="shared" si="72"/>
        <v>✓ OK</v>
      </c>
      <c r="AF940" s="33" t="s">
        <v>27</v>
      </c>
      <c r="AG940" s="33" t="s">
        <v>23</v>
      </c>
      <c r="AH940" s="33" t="s">
        <v>24</v>
      </c>
      <c r="AI940" s="33" t="s">
        <v>25</v>
      </c>
      <c r="AJ940" s="33" t="s">
        <v>26</v>
      </c>
      <c r="AK940" s="33" t="s">
        <v>24</v>
      </c>
      <c r="AL940" s="27"/>
      <c r="AM940" s="34" t="s">
        <v>25</v>
      </c>
      <c r="AN940" s="35" t="str">
        <f t="shared" si="73"/>
        <v>✓ OK</v>
      </c>
      <c r="AO940" s="36"/>
      <c r="AP940" s="36"/>
      <c r="AQ940" s="36"/>
      <c r="AR940" s="36"/>
      <c r="AS940" s="36"/>
      <c r="AT940" s="36"/>
      <c r="AU940" s="27"/>
      <c r="AV940" s="37"/>
      <c r="AW940" s="38" t="str">
        <f t="shared" si="74"/>
        <v/>
      </c>
    </row>
    <row r="941" spans="1:49" ht="18" customHeight="1" x14ac:dyDescent="0.3">
      <c r="A941" s="23">
        <v>937</v>
      </c>
      <c r="B941" s="24" t="s">
        <v>3722</v>
      </c>
      <c r="C941" s="25" t="s">
        <v>3723</v>
      </c>
      <c r="D941" s="23" t="s">
        <v>2819</v>
      </c>
      <c r="E941" s="43">
        <v>46126</v>
      </c>
      <c r="F941" s="26" t="s">
        <v>23</v>
      </c>
      <c r="G941" s="26" t="s">
        <v>24</v>
      </c>
      <c r="H941" s="26" t="s">
        <v>25</v>
      </c>
      <c r="I941" s="26" t="s">
        <v>26</v>
      </c>
      <c r="J941" s="26" t="s">
        <v>24</v>
      </c>
      <c r="K941" s="27"/>
      <c r="L941" s="28" t="s">
        <v>25</v>
      </c>
      <c r="M941" s="29" t="str">
        <f t="shared" si="70"/>
        <v>✓ OK</v>
      </c>
      <c r="N941" s="43">
        <v>46193</v>
      </c>
      <c r="O941" s="26" t="s">
        <v>23</v>
      </c>
      <c r="P941" s="26" t="s">
        <v>24</v>
      </c>
      <c r="Q941" s="26" t="s">
        <v>25</v>
      </c>
      <c r="R941" s="26" t="s">
        <v>26</v>
      </c>
      <c r="S941" s="26" t="s">
        <v>24</v>
      </c>
      <c r="T941" s="27"/>
      <c r="U941" s="28" t="s">
        <v>25</v>
      </c>
      <c r="V941" s="29" t="str">
        <f t="shared" si="71"/>
        <v>✓ OK</v>
      </c>
      <c r="W941" s="45">
        <v>46248</v>
      </c>
      <c r="X941" s="30" t="s">
        <v>23</v>
      </c>
      <c r="Y941" s="30" t="s">
        <v>24</v>
      </c>
      <c r="Z941" s="30" t="s">
        <v>25</v>
      </c>
      <c r="AA941" s="30" t="s">
        <v>26</v>
      </c>
      <c r="AB941" s="30" t="s">
        <v>24</v>
      </c>
      <c r="AC941" s="27"/>
      <c r="AD941" s="31" t="s">
        <v>25</v>
      </c>
      <c r="AE941" s="32" t="str">
        <f t="shared" si="72"/>
        <v>✓ OK</v>
      </c>
      <c r="AF941" s="33" t="s">
        <v>27</v>
      </c>
      <c r="AG941" s="33" t="s">
        <v>23</v>
      </c>
      <c r="AH941" s="33" t="s">
        <v>24</v>
      </c>
      <c r="AI941" s="33" t="s">
        <v>25</v>
      </c>
      <c r="AJ941" s="33" t="s">
        <v>26</v>
      </c>
      <c r="AK941" s="33" t="s">
        <v>24</v>
      </c>
      <c r="AL941" s="27"/>
      <c r="AM941" s="34" t="s">
        <v>25</v>
      </c>
      <c r="AN941" s="35" t="str">
        <f t="shared" si="73"/>
        <v>✓ OK</v>
      </c>
      <c r="AO941" s="36"/>
      <c r="AP941" s="36"/>
      <c r="AQ941" s="36"/>
      <c r="AR941" s="36"/>
      <c r="AS941" s="36"/>
      <c r="AT941" s="36"/>
      <c r="AU941" s="27"/>
      <c r="AV941" s="37"/>
      <c r="AW941" s="38" t="str">
        <f t="shared" si="74"/>
        <v/>
      </c>
    </row>
    <row r="942" spans="1:49" ht="18" customHeight="1" x14ac:dyDescent="0.3">
      <c r="A942" s="39">
        <v>938</v>
      </c>
      <c r="B942" s="40" t="s">
        <v>3724</v>
      </c>
      <c r="C942" s="41" t="s">
        <v>3725</v>
      </c>
      <c r="D942" s="39" t="s">
        <v>2819</v>
      </c>
      <c r="E942" s="43">
        <v>46126</v>
      </c>
      <c r="F942" s="26" t="s">
        <v>23</v>
      </c>
      <c r="G942" s="26" t="s">
        <v>24</v>
      </c>
      <c r="H942" s="26" t="s">
        <v>25</v>
      </c>
      <c r="I942" s="26" t="s">
        <v>26</v>
      </c>
      <c r="J942" s="26" t="s">
        <v>24</v>
      </c>
      <c r="K942" s="27"/>
      <c r="L942" s="28" t="s">
        <v>25</v>
      </c>
      <c r="M942" s="29" t="str">
        <f t="shared" si="70"/>
        <v>✓ OK</v>
      </c>
      <c r="N942" s="43">
        <v>46193</v>
      </c>
      <c r="O942" s="26" t="s">
        <v>23</v>
      </c>
      <c r="P942" s="26" t="s">
        <v>24</v>
      </c>
      <c r="Q942" s="26" t="s">
        <v>25</v>
      </c>
      <c r="R942" s="26" t="s">
        <v>26</v>
      </c>
      <c r="S942" s="26" t="s">
        <v>24</v>
      </c>
      <c r="T942" s="27"/>
      <c r="U942" s="28" t="s">
        <v>25</v>
      </c>
      <c r="V942" s="29" t="str">
        <f t="shared" si="71"/>
        <v>✓ OK</v>
      </c>
      <c r="W942" s="45">
        <v>46248</v>
      </c>
      <c r="X942" s="30" t="s">
        <v>23</v>
      </c>
      <c r="Y942" s="30" t="s">
        <v>24</v>
      </c>
      <c r="Z942" s="30" t="s">
        <v>25</v>
      </c>
      <c r="AA942" s="30" t="s">
        <v>26</v>
      </c>
      <c r="AB942" s="30" t="s">
        <v>24</v>
      </c>
      <c r="AC942" s="27"/>
      <c r="AD942" s="31" t="s">
        <v>25</v>
      </c>
      <c r="AE942" s="32" t="str">
        <f t="shared" si="72"/>
        <v>✓ OK</v>
      </c>
      <c r="AF942" s="33" t="s">
        <v>27</v>
      </c>
      <c r="AG942" s="33" t="s">
        <v>23</v>
      </c>
      <c r="AH942" s="33" t="s">
        <v>24</v>
      </c>
      <c r="AI942" s="33" t="s">
        <v>25</v>
      </c>
      <c r="AJ942" s="33" t="s">
        <v>26</v>
      </c>
      <c r="AK942" s="33" t="s">
        <v>24</v>
      </c>
      <c r="AL942" s="27"/>
      <c r="AM942" s="34" t="s">
        <v>25</v>
      </c>
      <c r="AN942" s="35" t="str">
        <f t="shared" si="73"/>
        <v>✓ OK</v>
      </c>
      <c r="AO942" s="36"/>
      <c r="AP942" s="36"/>
      <c r="AQ942" s="36"/>
      <c r="AR942" s="36"/>
      <c r="AS942" s="36"/>
      <c r="AT942" s="36"/>
      <c r="AU942" s="27"/>
      <c r="AV942" s="37"/>
      <c r="AW942" s="38" t="str">
        <f t="shared" si="74"/>
        <v/>
      </c>
    </row>
    <row r="943" spans="1:49" ht="18" customHeight="1" x14ac:dyDescent="0.3">
      <c r="A943" s="23">
        <v>939</v>
      </c>
      <c r="B943" s="24" t="s">
        <v>3726</v>
      </c>
      <c r="C943" s="25" t="s">
        <v>3727</v>
      </c>
      <c r="D943" s="23" t="s">
        <v>2819</v>
      </c>
      <c r="E943" s="43">
        <v>46126</v>
      </c>
      <c r="F943" s="26" t="s">
        <v>23</v>
      </c>
      <c r="G943" s="26" t="s">
        <v>24</v>
      </c>
      <c r="H943" s="26" t="s">
        <v>25</v>
      </c>
      <c r="I943" s="26" t="s">
        <v>26</v>
      </c>
      <c r="J943" s="26" t="s">
        <v>24</v>
      </c>
      <c r="K943" s="27"/>
      <c r="L943" s="28" t="s">
        <v>25</v>
      </c>
      <c r="M943" s="29" t="str">
        <f t="shared" si="70"/>
        <v>✓ OK</v>
      </c>
      <c r="N943" s="43">
        <v>46193</v>
      </c>
      <c r="O943" s="26" t="s">
        <v>23</v>
      </c>
      <c r="P943" s="26" t="s">
        <v>24</v>
      </c>
      <c r="Q943" s="26" t="s">
        <v>25</v>
      </c>
      <c r="R943" s="26" t="s">
        <v>26</v>
      </c>
      <c r="S943" s="26" t="s">
        <v>24</v>
      </c>
      <c r="T943" s="27"/>
      <c r="U943" s="28" t="s">
        <v>25</v>
      </c>
      <c r="V943" s="29" t="str">
        <f t="shared" si="71"/>
        <v>✓ OK</v>
      </c>
      <c r="W943" s="45">
        <v>46248</v>
      </c>
      <c r="X943" s="30" t="s">
        <v>23</v>
      </c>
      <c r="Y943" s="30" t="s">
        <v>24</v>
      </c>
      <c r="Z943" s="30" t="s">
        <v>25</v>
      </c>
      <c r="AA943" s="30" t="s">
        <v>26</v>
      </c>
      <c r="AB943" s="30" t="s">
        <v>24</v>
      </c>
      <c r="AC943" s="27"/>
      <c r="AD943" s="31" t="s">
        <v>25</v>
      </c>
      <c r="AE943" s="32" t="str">
        <f t="shared" si="72"/>
        <v>✓ OK</v>
      </c>
      <c r="AF943" s="33" t="s">
        <v>27</v>
      </c>
      <c r="AG943" s="33" t="s">
        <v>23</v>
      </c>
      <c r="AH943" s="33" t="s">
        <v>24</v>
      </c>
      <c r="AI943" s="33" t="s">
        <v>25</v>
      </c>
      <c r="AJ943" s="33" t="s">
        <v>26</v>
      </c>
      <c r="AK943" s="33" t="s">
        <v>24</v>
      </c>
      <c r="AL943" s="27"/>
      <c r="AM943" s="34" t="s">
        <v>25</v>
      </c>
      <c r="AN943" s="35" t="str">
        <f t="shared" si="73"/>
        <v>✓ OK</v>
      </c>
      <c r="AO943" s="36"/>
      <c r="AP943" s="36"/>
      <c r="AQ943" s="36"/>
      <c r="AR943" s="36"/>
      <c r="AS943" s="36"/>
      <c r="AT943" s="36"/>
      <c r="AU943" s="27"/>
      <c r="AV943" s="37"/>
      <c r="AW943" s="38" t="str">
        <f t="shared" si="74"/>
        <v/>
      </c>
    </row>
    <row r="944" spans="1:49" ht="18" customHeight="1" x14ac:dyDescent="0.3">
      <c r="A944" s="39">
        <v>940</v>
      </c>
      <c r="B944" s="40" t="s">
        <v>3728</v>
      </c>
      <c r="C944" s="41" t="s">
        <v>3729</v>
      </c>
      <c r="D944" s="39" t="s">
        <v>2819</v>
      </c>
      <c r="E944" s="43">
        <v>46126</v>
      </c>
      <c r="F944" s="26" t="s">
        <v>23</v>
      </c>
      <c r="G944" s="26" t="s">
        <v>24</v>
      </c>
      <c r="H944" s="26" t="s">
        <v>25</v>
      </c>
      <c r="I944" s="26" t="s">
        <v>26</v>
      </c>
      <c r="J944" s="26" t="s">
        <v>24</v>
      </c>
      <c r="K944" s="27"/>
      <c r="L944" s="28" t="s">
        <v>25</v>
      </c>
      <c r="M944" s="29" t="str">
        <f t="shared" si="70"/>
        <v>✓ OK</v>
      </c>
      <c r="N944" s="43">
        <v>46193</v>
      </c>
      <c r="O944" s="26" t="s">
        <v>23</v>
      </c>
      <c r="P944" s="26" t="s">
        <v>24</v>
      </c>
      <c r="Q944" s="26" t="s">
        <v>25</v>
      </c>
      <c r="R944" s="26" t="s">
        <v>26</v>
      </c>
      <c r="S944" s="26" t="s">
        <v>24</v>
      </c>
      <c r="T944" s="27"/>
      <c r="U944" s="28" t="s">
        <v>25</v>
      </c>
      <c r="V944" s="29" t="str">
        <f t="shared" si="71"/>
        <v>✓ OK</v>
      </c>
      <c r="W944" s="45">
        <v>46248</v>
      </c>
      <c r="X944" s="30" t="s">
        <v>23</v>
      </c>
      <c r="Y944" s="30" t="s">
        <v>24</v>
      </c>
      <c r="Z944" s="30" t="s">
        <v>25</v>
      </c>
      <c r="AA944" s="30" t="s">
        <v>26</v>
      </c>
      <c r="AB944" s="30" t="s">
        <v>24</v>
      </c>
      <c r="AC944" s="27"/>
      <c r="AD944" s="31" t="s">
        <v>25</v>
      </c>
      <c r="AE944" s="32" t="str">
        <f t="shared" si="72"/>
        <v>✓ OK</v>
      </c>
      <c r="AF944" s="33" t="s">
        <v>27</v>
      </c>
      <c r="AG944" s="33" t="s">
        <v>23</v>
      </c>
      <c r="AH944" s="33" t="s">
        <v>24</v>
      </c>
      <c r="AI944" s="33" t="s">
        <v>25</v>
      </c>
      <c r="AJ944" s="33" t="s">
        <v>26</v>
      </c>
      <c r="AK944" s="33" t="s">
        <v>24</v>
      </c>
      <c r="AL944" s="27"/>
      <c r="AM944" s="34" t="s">
        <v>25</v>
      </c>
      <c r="AN944" s="35" t="str">
        <f t="shared" si="73"/>
        <v>✓ OK</v>
      </c>
      <c r="AO944" s="36"/>
      <c r="AP944" s="36"/>
      <c r="AQ944" s="36"/>
      <c r="AR944" s="36"/>
      <c r="AS944" s="36"/>
      <c r="AT944" s="36"/>
      <c r="AU944" s="27"/>
      <c r="AV944" s="37"/>
      <c r="AW944" s="38" t="str">
        <f t="shared" si="74"/>
        <v/>
      </c>
    </row>
    <row r="945" spans="1:49" ht="18" customHeight="1" x14ac:dyDescent="0.3">
      <c r="A945" s="23">
        <v>941</v>
      </c>
      <c r="B945" s="24" t="s">
        <v>3730</v>
      </c>
      <c r="C945" s="25" t="s">
        <v>3731</v>
      </c>
      <c r="D945" s="23" t="s">
        <v>2819</v>
      </c>
      <c r="E945" s="43">
        <v>46126</v>
      </c>
      <c r="F945" s="26" t="s">
        <v>23</v>
      </c>
      <c r="G945" s="26" t="s">
        <v>24</v>
      </c>
      <c r="H945" s="26" t="s">
        <v>25</v>
      </c>
      <c r="I945" s="26" t="s">
        <v>26</v>
      </c>
      <c r="J945" s="26" t="s">
        <v>24</v>
      </c>
      <c r="K945" s="27"/>
      <c r="L945" s="28" t="s">
        <v>25</v>
      </c>
      <c r="M945" s="29" t="str">
        <f t="shared" si="70"/>
        <v>✓ OK</v>
      </c>
      <c r="N945" s="43">
        <v>46193</v>
      </c>
      <c r="O945" s="26" t="s">
        <v>23</v>
      </c>
      <c r="P945" s="26" t="s">
        <v>24</v>
      </c>
      <c r="Q945" s="26" t="s">
        <v>25</v>
      </c>
      <c r="R945" s="26" t="s">
        <v>26</v>
      </c>
      <c r="S945" s="26" t="s">
        <v>24</v>
      </c>
      <c r="T945" s="27"/>
      <c r="U945" s="28" t="s">
        <v>25</v>
      </c>
      <c r="V945" s="29" t="str">
        <f t="shared" si="71"/>
        <v>✓ OK</v>
      </c>
      <c r="W945" s="45">
        <v>46248</v>
      </c>
      <c r="X945" s="30" t="s">
        <v>23</v>
      </c>
      <c r="Y945" s="30" t="s">
        <v>24</v>
      </c>
      <c r="Z945" s="30" t="s">
        <v>25</v>
      </c>
      <c r="AA945" s="30" t="s">
        <v>26</v>
      </c>
      <c r="AB945" s="30" t="s">
        <v>24</v>
      </c>
      <c r="AC945" s="27"/>
      <c r="AD945" s="31" t="s">
        <v>25</v>
      </c>
      <c r="AE945" s="32" t="str">
        <f t="shared" si="72"/>
        <v>✓ OK</v>
      </c>
      <c r="AF945" s="33" t="s">
        <v>27</v>
      </c>
      <c r="AG945" s="33" t="s">
        <v>23</v>
      </c>
      <c r="AH945" s="33" t="s">
        <v>24</v>
      </c>
      <c r="AI945" s="33" t="s">
        <v>25</v>
      </c>
      <c r="AJ945" s="33" t="s">
        <v>26</v>
      </c>
      <c r="AK945" s="33" t="s">
        <v>24</v>
      </c>
      <c r="AL945" s="27"/>
      <c r="AM945" s="34" t="s">
        <v>25</v>
      </c>
      <c r="AN945" s="35" t="str">
        <f t="shared" si="73"/>
        <v>✓ OK</v>
      </c>
      <c r="AO945" s="36"/>
      <c r="AP945" s="36"/>
      <c r="AQ945" s="36"/>
      <c r="AR945" s="36"/>
      <c r="AS945" s="36"/>
      <c r="AT945" s="36"/>
      <c r="AU945" s="27"/>
      <c r="AV945" s="37"/>
      <c r="AW945" s="38" t="str">
        <f t="shared" si="74"/>
        <v/>
      </c>
    </row>
    <row r="946" spans="1:49" ht="18" customHeight="1" x14ac:dyDescent="0.3">
      <c r="A946" s="39">
        <v>942</v>
      </c>
      <c r="B946" s="40" t="s">
        <v>3732</v>
      </c>
      <c r="C946" s="41" t="s">
        <v>3733</v>
      </c>
      <c r="D946" s="39" t="s">
        <v>2819</v>
      </c>
      <c r="E946" s="43">
        <v>46126</v>
      </c>
      <c r="F946" s="26" t="s">
        <v>23</v>
      </c>
      <c r="G946" s="26" t="s">
        <v>24</v>
      </c>
      <c r="H946" s="26" t="s">
        <v>25</v>
      </c>
      <c r="I946" s="26" t="s">
        <v>26</v>
      </c>
      <c r="J946" s="26" t="s">
        <v>24</v>
      </c>
      <c r="K946" s="27"/>
      <c r="L946" s="28" t="s">
        <v>25</v>
      </c>
      <c r="M946" s="29" t="str">
        <f t="shared" si="70"/>
        <v>✓ OK</v>
      </c>
      <c r="N946" s="43">
        <v>46193</v>
      </c>
      <c r="O946" s="26" t="s">
        <v>23</v>
      </c>
      <c r="P946" s="26" t="s">
        <v>24</v>
      </c>
      <c r="Q946" s="26" t="s">
        <v>25</v>
      </c>
      <c r="R946" s="26" t="s">
        <v>26</v>
      </c>
      <c r="S946" s="26" t="s">
        <v>24</v>
      </c>
      <c r="T946" s="27"/>
      <c r="U946" s="28" t="s">
        <v>25</v>
      </c>
      <c r="V946" s="29" t="str">
        <f t="shared" si="71"/>
        <v>✓ OK</v>
      </c>
      <c r="W946" s="45">
        <v>46248</v>
      </c>
      <c r="X946" s="30" t="s">
        <v>23</v>
      </c>
      <c r="Y946" s="30" t="s">
        <v>24</v>
      </c>
      <c r="Z946" s="30" t="s">
        <v>25</v>
      </c>
      <c r="AA946" s="30" t="s">
        <v>26</v>
      </c>
      <c r="AB946" s="30" t="s">
        <v>24</v>
      </c>
      <c r="AC946" s="27"/>
      <c r="AD946" s="31" t="s">
        <v>25</v>
      </c>
      <c r="AE946" s="32" t="str">
        <f t="shared" si="72"/>
        <v>✓ OK</v>
      </c>
      <c r="AF946" s="33" t="s">
        <v>27</v>
      </c>
      <c r="AG946" s="33" t="s">
        <v>23</v>
      </c>
      <c r="AH946" s="33" t="s">
        <v>24</v>
      </c>
      <c r="AI946" s="33" t="s">
        <v>25</v>
      </c>
      <c r="AJ946" s="33" t="s">
        <v>26</v>
      </c>
      <c r="AK946" s="33" t="s">
        <v>24</v>
      </c>
      <c r="AL946" s="27"/>
      <c r="AM946" s="34" t="s">
        <v>25</v>
      </c>
      <c r="AN946" s="35" t="str">
        <f t="shared" si="73"/>
        <v>✓ OK</v>
      </c>
      <c r="AO946" s="36"/>
      <c r="AP946" s="36"/>
      <c r="AQ946" s="36"/>
      <c r="AR946" s="36"/>
      <c r="AS946" s="36"/>
      <c r="AT946" s="36"/>
      <c r="AU946" s="27"/>
      <c r="AV946" s="37"/>
      <c r="AW946" s="38" t="str">
        <f t="shared" si="74"/>
        <v/>
      </c>
    </row>
    <row r="947" spans="1:49" ht="18" customHeight="1" x14ac:dyDescent="0.3">
      <c r="A947" s="23">
        <v>943</v>
      </c>
      <c r="B947" s="24" t="s">
        <v>3734</v>
      </c>
      <c r="C947" s="25" t="s">
        <v>3735</v>
      </c>
      <c r="D947" s="23" t="s">
        <v>2819</v>
      </c>
      <c r="E947" s="43">
        <v>46126</v>
      </c>
      <c r="F947" s="26" t="s">
        <v>23</v>
      </c>
      <c r="G947" s="26" t="s">
        <v>24</v>
      </c>
      <c r="H947" s="26" t="s">
        <v>25</v>
      </c>
      <c r="I947" s="26" t="s">
        <v>26</v>
      </c>
      <c r="J947" s="26" t="s">
        <v>24</v>
      </c>
      <c r="K947" s="27"/>
      <c r="L947" s="28" t="s">
        <v>25</v>
      </c>
      <c r="M947" s="29" t="str">
        <f t="shared" si="70"/>
        <v>✓ OK</v>
      </c>
      <c r="N947" s="43">
        <v>46193</v>
      </c>
      <c r="O947" s="26" t="s">
        <v>23</v>
      </c>
      <c r="P947" s="26" t="s">
        <v>24</v>
      </c>
      <c r="Q947" s="26" t="s">
        <v>25</v>
      </c>
      <c r="R947" s="26" t="s">
        <v>26</v>
      </c>
      <c r="S947" s="26" t="s">
        <v>24</v>
      </c>
      <c r="T947" s="27"/>
      <c r="U947" s="28" t="s">
        <v>25</v>
      </c>
      <c r="V947" s="29" t="str">
        <f t="shared" si="71"/>
        <v>✓ OK</v>
      </c>
      <c r="W947" s="45">
        <v>46248</v>
      </c>
      <c r="X947" s="30" t="s">
        <v>23</v>
      </c>
      <c r="Y947" s="30" t="s">
        <v>24</v>
      </c>
      <c r="Z947" s="30" t="s">
        <v>25</v>
      </c>
      <c r="AA947" s="30" t="s">
        <v>26</v>
      </c>
      <c r="AB947" s="30" t="s">
        <v>24</v>
      </c>
      <c r="AC947" s="27"/>
      <c r="AD947" s="31" t="s">
        <v>25</v>
      </c>
      <c r="AE947" s="32" t="str">
        <f t="shared" si="72"/>
        <v>✓ OK</v>
      </c>
      <c r="AF947" s="33" t="s">
        <v>27</v>
      </c>
      <c r="AG947" s="33" t="s">
        <v>23</v>
      </c>
      <c r="AH947" s="33" t="s">
        <v>24</v>
      </c>
      <c r="AI947" s="33" t="s">
        <v>25</v>
      </c>
      <c r="AJ947" s="33" t="s">
        <v>26</v>
      </c>
      <c r="AK947" s="33" t="s">
        <v>24</v>
      </c>
      <c r="AL947" s="27"/>
      <c r="AM947" s="34" t="s">
        <v>25</v>
      </c>
      <c r="AN947" s="35" t="str">
        <f t="shared" si="73"/>
        <v>✓ OK</v>
      </c>
      <c r="AO947" s="36"/>
      <c r="AP947" s="36"/>
      <c r="AQ947" s="36"/>
      <c r="AR947" s="36"/>
      <c r="AS947" s="36"/>
      <c r="AT947" s="36"/>
      <c r="AU947" s="27"/>
      <c r="AV947" s="37"/>
      <c r="AW947" s="38" t="str">
        <f t="shared" si="74"/>
        <v/>
      </c>
    </row>
    <row r="948" spans="1:49" ht="18" customHeight="1" x14ac:dyDescent="0.3">
      <c r="A948" s="39">
        <v>944</v>
      </c>
      <c r="B948" s="40" t="s">
        <v>3736</v>
      </c>
      <c r="C948" s="41" t="s">
        <v>3737</v>
      </c>
      <c r="D948" s="39" t="s">
        <v>2819</v>
      </c>
      <c r="E948" s="43">
        <v>46126</v>
      </c>
      <c r="F948" s="26" t="s">
        <v>23</v>
      </c>
      <c r="G948" s="26" t="s">
        <v>24</v>
      </c>
      <c r="H948" s="26" t="s">
        <v>25</v>
      </c>
      <c r="I948" s="26" t="s">
        <v>26</v>
      </c>
      <c r="J948" s="26" t="s">
        <v>24</v>
      </c>
      <c r="K948" s="27"/>
      <c r="L948" s="28" t="s">
        <v>25</v>
      </c>
      <c r="M948" s="29" t="str">
        <f t="shared" si="70"/>
        <v>✓ OK</v>
      </c>
      <c r="N948" s="43">
        <v>46193</v>
      </c>
      <c r="O948" s="26" t="s">
        <v>23</v>
      </c>
      <c r="P948" s="26" t="s">
        <v>24</v>
      </c>
      <c r="Q948" s="26" t="s">
        <v>25</v>
      </c>
      <c r="R948" s="26" t="s">
        <v>26</v>
      </c>
      <c r="S948" s="26" t="s">
        <v>24</v>
      </c>
      <c r="T948" s="27"/>
      <c r="U948" s="28" t="s">
        <v>25</v>
      </c>
      <c r="V948" s="29" t="str">
        <f t="shared" si="71"/>
        <v>✓ OK</v>
      </c>
      <c r="W948" s="45">
        <v>46248</v>
      </c>
      <c r="X948" s="30" t="s">
        <v>23</v>
      </c>
      <c r="Y948" s="30" t="s">
        <v>24</v>
      </c>
      <c r="Z948" s="30" t="s">
        <v>25</v>
      </c>
      <c r="AA948" s="30" t="s">
        <v>26</v>
      </c>
      <c r="AB948" s="30" t="s">
        <v>24</v>
      </c>
      <c r="AC948" s="27"/>
      <c r="AD948" s="31" t="s">
        <v>25</v>
      </c>
      <c r="AE948" s="32" t="str">
        <f t="shared" si="72"/>
        <v>✓ OK</v>
      </c>
      <c r="AF948" s="33" t="s">
        <v>27</v>
      </c>
      <c r="AG948" s="33" t="s">
        <v>23</v>
      </c>
      <c r="AH948" s="33" t="s">
        <v>24</v>
      </c>
      <c r="AI948" s="33" t="s">
        <v>25</v>
      </c>
      <c r="AJ948" s="33" t="s">
        <v>26</v>
      </c>
      <c r="AK948" s="33" t="s">
        <v>24</v>
      </c>
      <c r="AL948" s="27"/>
      <c r="AM948" s="34" t="s">
        <v>25</v>
      </c>
      <c r="AN948" s="35" t="str">
        <f t="shared" si="73"/>
        <v>✓ OK</v>
      </c>
      <c r="AO948" s="36"/>
      <c r="AP948" s="36"/>
      <c r="AQ948" s="36"/>
      <c r="AR948" s="36"/>
      <c r="AS948" s="36"/>
      <c r="AT948" s="36"/>
      <c r="AU948" s="27"/>
      <c r="AV948" s="37"/>
      <c r="AW948" s="38" t="str">
        <f t="shared" si="74"/>
        <v/>
      </c>
    </row>
    <row r="949" spans="1:49" ht="18" customHeight="1" x14ac:dyDescent="0.3">
      <c r="A949" s="23">
        <v>945</v>
      </c>
      <c r="B949" s="24" t="s">
        <v>3738</v>
      </c>
      <c r="C949" s="25" t="s">
        <v>3739</v>
      </c>
      <c r="D949" s="23" t="s">
        <v>2819</v>
      </c>
      <c r="E949" s="43">
        <v>46126</v>
      </c>
      <c r="F949" s="26" t="s">
        <v>23</v>
      </c>
      <c r="G949" s="26" t="s">
        <v>24</v>
      </c>
      <c r="H949" s="26" t="s">
        <v>25</v>
      </c>
      <c r="I949" s="26" t="s">
        <v>26</v>
      </c>
      <c r="J949" s="26" t="s">
        <v>24</v>
      </c>
      <c r="K949" s="27"/>
      <c r="L949" s="28" t="s">
        <v>25</v>
      </c>
      <c r="M949" s="29" t="str">
        <f t="shared" si="70"/>
        <v>✓ OK</v>
      </c>
      <c r="N949" s="43">
        <v>46193</v>
      </c>
      <c r="O949" s="26" t="s">
        <v>23</v>
      </c>
      <c r="P949" s="26" t="s">
        <v>24</v>
      </c>
      <c r="Q949" s="26" t="s">
        <v>25</v>
      </c>
      <c r="R949" s="26" t="s">
        <v>26</v>
      </c>
      <c r="S949" s="26" t="s">
        <v>24</v>
      </c>
      <c r="T949" s="27"/>
      <c r="U949" s="28" t="s">
        <v>25</v>
      </c>
      <c r="V949" s="29" t="str">
        <f t="shared" si="71"/>
        <v>✓ OK</v>
      </c>
      <c r="W949" s="45">
        <v>46248</v>
      </c>
      <c r="X949" s="30" t="s">
        <v>23</v>
      </c>
      <c r="Y949" s="30" t="s">
        <v>24</v>
      </c>
      <c r="Z949" s="30" t="s">
        <v>25</v>
      </c>
      <c r="AA949" s="30" t="s">
        <v>26</v>
      </c>
      <c r="AB949" s="30" t="s">
        <v>24</v>
      </c>
      <c r="AC949" s="27"/>
      <c r="AD949" s="31" t="s">
        <v>25</v>
      </c>
      <c r="AE949" s="32" t="str">
        <f t="shared" si="72"/>
        <v>✓ OK</v>
      </c>
      <c r="AF949" s="33" t="s">
        <v>27</v>
      </c>
      <c r="AG949" s="33" t="s">
        <v>23</v>
      </c>
      <c r="AH949" s="33" t="s">
        <v>24</v>
      </c>
      <c r="AI949" s="33" t="s">
        <v>25</v>
      </c>
      <c r="AJ949" s="33" t="s">
        <v>26</v>
      </c>
      <c r="AK949" s="33" t="s">
        <v>24</v>
      </c>
      <c r="AL949" s="27"/>
      <c r="AM949" s="34" t="s">
        <v>25</v>
      </c>
      <c r="AN949" s="35" t="str">
        <f t="shared" si="73"/>
        <v>✓ OK</v>
      </c>
      <c r="AO949" s="36"/>
      <c r="AP949" s="36"/>
      <c r="AQ949" s="36"/>
      <c r="AR949" s="36"/>
      <c r="AS949" s="36"/>
      <c r="AT949" s="36"/>
      <c r="AU949" s="27"/>
      <c r="AV949" s="37"/>
      <c r="AW949" s="38" t="str">
        <f t="shared" si="74"/>
        <v/>
      </c>
    </row>
    <row r="950" spans="1:49" ht="18" customHeight="1" x14ac:dyDescent="0.3">
      <c r="A950" s="39">
        <v>946</v>
      </c>
      <c r="B950" s="40" t="s">
        <v>3740</v>
      </c>
      <c r="C950" s="41" t="s">
        <v>3741</v>
      </c>
      <c r="D950" s="39" t="s">
        <v>2819</v>
      </c>
      <c r="E950" s="43">
        <v>46126</v>
      </c>
      <c r="F950" s="26" t="s">
        <v>23</v>
      </c>
      <c r="G950" s="26" t="s">
        <v>24</v>
      </c>
      <c r="H950" s="26" t="s">
        <v>25</v>
      </c>
      <c r="I950" s="26" t="s">
        <v>26</v>
      </c>
      <c r="J950" s="26" t="s">
        <v>24</v>
      </c>
      <c r="K950" s="27"/>
      <c r="L950" s="28" t="s">
        <v>25</v>
      </c>
      <c r="M950" s="29" t="str">
        <f t="shared" si="70"/>
        <v>✓ OK</v>
      </c>
      <c r="N950" s="43">
        <v>46193</v>
      </c>
      <c r="O950" s="26" t="s">
        <v>23</v>
      </c>
      <c r="P950" s="26" t="s">
        <v>24</v>
      </c>
      <c r="Q950" s="26" t="s">
        <v>25</v>
      </c>
      <c r="R950" s="26" t="s">
        <v>26</v>
      </c>
      <c r="S950" s="26" t="s">
        <v>24</v>
      </c>
      <c r="T950" s="27"/>
      <c r="U950" s="28" t="s">
        <v>25</v>
      </c>
      <c r="V950" s="29" t="str">
        <f t="shared" si="71"/>
        <v>✓ OK</v>
      </c>
      <c r="W950" s="45">
        <v>46248</v>
      </c>
      <c r="X950" s="30" t="s">
        <v>23</v>
      </c>
      <c r="Y950" s="30" t="s">
        <v>24</v>
      </c>
      <c r="Z950" s="30" t="s">
        <v>25</v>
      </c>
      <c r="AA950" s="30" t="s">
        <v>26</v>
      </c>
      <c r="AB950" s="30" t="s">
        <v>24</v>
      </c>
      <c r="AC950" s="27"/>
      <c r="AD950" s="31" t="s">
        <v>25</v>
      </c>
      <c r="AE950" s="32" t="str">
        <f t="shared" si="72"/>
        <v>✓ OK</v>
      </c>
      <c r="AF950" s="33" t="s">
        <v>27</v>
      </c>
      <c r="AG950" s="33" t="s">
        <v>23</v>
      </c>
      <c r="AH950" s="33" t="s">
        <v>24</v>
      </c>
      <c r="AI950" s="33" t="s">
        <v>25</v>
      </c>
      <c r="AJ950" s="33" t="s">
        <v>26</v>
      </c>
      <c r="AK950" s="33" t="s">
        <v>24</v>
      </c>
      <c r="AL950" s="27"/>
      <c r="AM950" s="34" t="s">
        <v>25</v>
      </c>
      <c r="AN950" s="35" t="str">
        <f t="shared" si="73"/>
        <v>✓ OK</v>
      </c>
      <c r="AO950" s="36"/>
      <c r="AP950" s="36"/>
      <c r="AQ950" s="36"/>
      <c r="AR950" s="36"/>
      <c r="AS950" s="36"/>
      <c r="AT950" s="36"/>
      <c r="AU950" s="27"/>
      <c r="AV950" s="37"/>
      <c r="AW950" s="38" t="str">
        <f t="shared" si="74"/>
        <v/>
      </c>
    </row>
    <row r="951" spans="1:49" ht="18" customHeight="1" x14ac:dyDescent="0.3">
      <c r="A951" s="23">
        <v>947</v>
      </c>
      <c r="B951" s="24" t="s">
        <v>3742</v>
      </c>
      <c r="C951" s="25" t="s">
        <v>3743</v>
      </c>
      <c r="D951" s="23" t="s">
        <v>2819</v>
      </c>
      <c r="E951" s="43">
        <v>46126</v>
      </c>
      <c r="F951" s="26" t="s">
        <v>23</v>
      </c>
      <c r="G951" s="26" t="s">
        <v>24</v>
      </c>
      <c r="H951" s="26" t="s">
        <v>25</v>
      </c>
      <c r="I951" s="26" t="s">
        <v>26</v>
      </c>
      <c r="J951" s="26" t="s">
        <v>24</v>
      </c>
      <c r="K951" s="27"/>
      <c r="L951" s="28" t="s">
        <v>25</v>
      </c>
      <c r="M951" s="29" t="str">
        <f t="shared" si="70"/>
        <v>✓ OK</v>
      </c>
      <c r="N951" s="43">
        <v>46193</v>
      </c>
      <c r="O951" s="26" t="s">
        <v>23</v>
      </c>
      <c r="P951" s="26" t="s">
        <v>24</v>
      </c>
      <c r="Q951" s="26" t="s">
        <v>25</v>
      </c>
      <c r="R951" s="26" t="s">
        <v>26</v>
      </c>
      <c r="S951" s="26" t="s">
        <v>24</v>
      </c>
      <c r="T951" s="27"/>
      <c r="U951" s="28" t="s">
        <v>25</v>
      </c>
      <c r="V951" s="29" t="str">
        <f t="shared" si="71"/>
        <v>✓ OK</v>
      </c>
      <c r="W951" s="45">
        <v>46248</v>
      </c>
      <c r="X951" s="30" t="s">
        <v>23</v>
      </c>
      <c r="Y951" s="30" t="s">
        <v>24</v>
      </c>
      <c r="Z951" s="30" t="s">
        <v>25</v>
      </c>
      <c r="AA951" s="30" t="s">
        <v>26</v>
      </c>
      <c r="AB951" s="30" t="s">
        <v>24</v>
      </c>
      <c r="AC951" s="27"/>
      <c r="AD951" s="31" t="s">
        <v>25</v>
      </c>
      <c r="AE951" s="32" t="str">
        <f t="shared" si="72"/>
        <v>✓ OK</v>
      </c>
      <c r="AF951" s="33" t="s">
        <v>27</v>
      </c>
      <c r="AG951" s="33" t="s">
        <v>23</v>
      </c>
      <c r="AH951" s="33" t="s">
        <v>24</v>
      </c>
      <c r="AI951" s="33" t="s">
        <v>25</v>
      </c>
      <c r="AJ951" s="33" t="s">
        <v>26</v>
      </c>
      <c r="AK951" s="33" t="s">
        <v>24</v>
      </c>
      <c r="AL951" s="27"/>
      <c r="AM951" s="34" t="s">
        <v>25</v>
      </c>
      <c r="AN951" s="35" t="str">
        <f t="shared" si="73"/>
        <v>✓ OK</v>
      </c>
      <c r="AO951" s="36"/>
      <c r="AP951" s="36"/>
      <c r="AQ951" s="36"/>
      <c r="AR951" s="36"/>
      <c r="AS951" s="36"/>
      <c r="AT951" s="36"/>
      <c r="AU951" s="27"/>
      <c r="AV951" s="37"/>
      <c r="AW951" s="38" t="str">
        <f t="shared" si="74"/>
        <v/>
      </c>
    </row>
    <row r="952" spans="1:49" ht="18" customHeight="1" x14ac:dyDescent="0.3">
      <c r="A952" s="39">
        <v>948</v>
      </c>
      <c r="B952" s="40" t="s">
        <v>3744</v>
      </c>
      <c r="C952" s="41" t="s">
        <v>3745</v>
      </c>
      <c r="D952" s="39" t="s">
        <v>2819</v>
      </c>
      <c r="E952" s="43">
        <v>46126</v>
      </c>
      <c r="F952" s="26" t="s">
        <v>23</v>
      </c>
      <c r="G952" s="26" t="s">
        <v>24</v>
      </c>
      <c r="H952" s="26" t="s">
        <v>25</v>
      </c>
      <c r="I952" s="26" t="s">
        <v>26</v>
      </c>
      <c r="J952" s="26" t="s">
        <v>24</v>
      </c>
      <c r="K952" s="27"/>
      <c r="L952" s="28" t="s">
        <v>25</v>
      </c>
      <c r="M952" s="29" t="str">
        <f t="shared" si="70"/>
        <v>✓ OK</v>
      </c>
      <c r="N952" s="43">
        <v>46193</v>
      </c>
      <c r="O952" s="26" t="s">
        <v>23</v>
      </c>
      <c r="P952" s="26" t="s">
        <v>24</v>
      </c>
      <c r="Q952" s="26" t="s">
        <v>25</v>
      </c>
      <c r="R952" s="26" t="s">
        <v>26</v>
      </c>
      <c r="S952" s="26" t="s">
        <v>24</v>
      </c>
      <c r="T952" s="27"/>
      <c r="U952" s="28" t="s">
        <v>25</v>
      </c>
      <c r="V952" s="29" t="str">
        <f t="shared" si="71"/>
        <v>✓ OK</v>
      </c>
      <c r="W952" s="45">
        <v>46248</v>
      </c>
      <c r="X952" s="30" t="s">
        <v>23</v>
      </c>
      <c r="Y952" s="30" t="s">
        <v>24</v>
      </c>
      <c r="Z952" s="30" t="s">
        <v>25</v>
      </c>
      <c r="AA952" s="30" t="s">
        <v>26</v>
      </c>
      <c r="AB952" s="30" t="s">
        <v>24</v>
      </c>
      <c r="AC952" s="27"/>
      <c r="AD952" s="31" t="s">
        <v>25</v>
      </c>
      <c r="AE952" s="32" t="str">
        <f t="shared" si="72"/>
        <v>✓ OK</v>
      </c>
      <c r="AF952" s="33" t="s">
        <v>27</v>
      </c>
      <c r="AG952" s="33" t="s">
        <v>23</v>
      </c>
      <c r="AH952" s="33" t="s">
        <v>24</v>
      </c>
      <c r="AI952" s="33" t="s">
        <v>25</v>
      </c>
      <c r="AJ952" s="33" t="s">
        <v>26</v>
      </c>
      <c r="AK952" s="33" t="s">
        <v>24</v>
      </c>
      <c r="AL952" s="27"/>
      <c r="AM952" s="34" t="s">
        <v>25</v>
      </c>
      <c r="AN952" s="35" t="str">
        <f t="shared" si="73"/>
        <v>✓ OK</v>
      </c>
      <c r="AO952" s="36"/>
      <c r="AP952" s="36"/>
      <c r="AQ952" s="36"/>
      <c r="AR952" s="36"/>
      <c r="AS952" s="36"/>
      <c r="AT952" s="36"/>
      <c r="AU952" s="27"/>
      <c r="AV952" s="37"/>
      <c r="AW952" s="38" t="str">
        <f t="shared" si="74"/>
        <v/>
      </c>
    </row>
    <row r="953" spans="1:49" ht="18" customHeight="1" x14ac:dyDescent="0.3">
      <c r="A953" s="23">
        <v>949</v>
      </c>
      <c r="B953" s="24" t="s">
        <v>3746</v>
      </c>
      <c r="C953" s="25" t="s">
        <v>3747</v>
      </c>
      <c r="D953" s="23" t="s">
        <v>2819</v>
      </c>
      <c r="E953" s="43">
        <v>46126</v>
      </c>
      <c r="F953" s="26" t="s">
        <v>23</v>
      </c>
      <c r="G953" s="26" t="s">
        <v>24</v>
      </c>
      <c r="H953" s="26" t="s">
        <v>25</v>
      </c>
      <c r="I953" s="26" t="s">
        <v>26</v>
      </c>
      <c r="J953" s="26" t="s">
        <v>24</v>
      </c>
      <c r="K953" s="27"/>
      <c r="L953" s="28" t="s">
        <v>25</v>
      </c>
      <c r="M953" s="29" t="str">
        <f t="shared" si="70"/>
        <v>✓ OK</v>
      </c>
      <c r="N953" s="43">
        <v>46193</v>
      </c>
      <c r="O953" s="26" t="s">
        <v>23</v>
      </c>
      <c r="P953" s="26" t="s">
        <v>24</v>
      </c>
      <c r="Q953" s="26" t="s">
        <v>25</v>
      </c>
      <c r="R953" s="26" t="s">
        <v>26</v>
      </c>
      <c r="S953" s="26" t="s">
        <v>24</v>
      </c>
      <c r="T953" s="27"/>
      <c r="U953" s="28" t="s">
        <v>25</v>
      </c>
      <c r="V953" s="29" t="str">
        <f t="shared" si="71"/>
        <v>✓ OK</v>
      </c>
      <c r="W953" s="45">
        <v>46248</v>
      </c>
      <c r="X953" s="30" t="s">
        <v>23</v>
      </c>
      <c r="Y953" s="30" t="s">
        <v>24</v>
      </c>
      <c r="Z953" s="30" t="s">
        <v>25</v>
      </c>
      <c r="AA953" s="30" t="s">
        <v>26</v>
      </c>
      <c r="AB953" s="30" t="s">
        <v>24</v>
      </c>
      <c r="AC953" s="27"/>
      <c r="AD953" s="31" t="s">
        <v>25</v>
      </c>
      <c r="AE953" s="32" t="str">
        <f t="shared" si="72"/>
        <v>✓ OK</v>
      </c>
      <c r="AF953" s="33" t="s">
        <v>27</v>
      </c>
      <c r="AG953" s="33" t="s">
        <v>23</v>
      </c>
      <c r="AH953" s="33" t="s">
        <v>24</v>
      </c>
      <c r="AI953" s="33" t="s">
        <v>25</v>
      </c>
      <c r="AJ953" s="33" t="s">
        <v>26</v>
      </c>
      <c r="AK953" s="33" t="s">
        <v>24</v>
      </c>
      <c r="AL953" s="27"/>
      <c r="AM953" s="34" t="s">
        <v>25</v>
      </c>
      <c r="AN953" s="35" t="str">
        <f t="shared" si="73"/>
        <v>✓ OK</v>
      </c>
      <c r="AO953" s="36"/>
      <c r="AP953" s="36"/>
      <c r="AQ953" s="36"/>
      <c r="AR953" s="36"/>
      <c r="AS953" s="36"/>
      <c r="AT953" s="36"/>
      <c r="AU953" s="27"/>
      <c r="AV953" s="37"/>
      <c r="AW953" s="38" t="str">
        <f t="shared" si="74"/>
        <v/>
      </c>
    </row>
    <row r="954" spans="1:49" ht="18" customHeight="1" x14ac:dyDescent="0.3">
      <c r="A954" s="39">
        <v>950</v>
      </c>
      <c r="B954" s="40" t="s">
        <v>3748</v>
      </c>
      <c r="C954" s="41" t="s">
        <v>3749</v>
      </c>
      <c r="D954" s="39" t="s">
        <v>2819</v>
      </c>
      <c r="E954" s="43">
        <v>46126</v>
      </c>
      <c r="F954" s="26" t="s">
        <v>23</v>
      </c>
      <c r="G954" s="26" t="s">
        <v>24</v>
      </c>
      <c r="H954" s="26" t="s">
        <v>25</v>
      </c>
      <c r="I954" s="26" t="s">
        <v>26</v>
      </c>
      <c r="J954" s="26" t="s">
        <v>24</v>
      </c>
      <c r="K954" s="27"/>
      <c r="L954" s="28" t="s">
        <v>25</v>
      </c>
      <c r="M954" s="29" t="str">
        <f t="shared" si="70"/>
        <v>✓ OK</v>
      </c>
      <c r="N954" s="43">
        <v>46193</v>
      </c>
      <c r="O954" s="26" t="s">
        <v>23</v>
      </c>
      <c r="P954" s="26" t="s">
        <v>24</v>
      </c>
      <c r="Q954" s="26" t="s">
        <v>25</v>
      </c>
      <c r="R954" s="26" t="s">
        <v>26</v>
      </c>
      <c r="S954" s="26" t="s">
        <v>24</v>
      </c>
      <c r="T954" s="27"/>
      <c r="U954" s="28" t="s">
        <v>25</v>
      </c>
      <c r="V954" s="29" t="str">
        <f t="shared" si="71"/>
        <v>✓ OK</v>
      </c>
      <c r="W954" s="45">
        <v>46248</v>
      </c>
      <c r="X954" s="30" t="s">
        <v>23</v>
      </c>
      <c r="Y954" s="30" t="s">
        <v>24</v>
      </c>
      <c r="Z954" s="30" t="s">
        <v>25</v>
      </c>
      <c r="AA954" s="30" t="s">
        <v>26</v>
      </c>
      <c r="AB954" s="30" t="s">
        <v>24</v>
      </c>
      <c r="AC954" s="27"/>
      <c r="AD954" s="31" t="s">
        <v>25</v>
      </c>
      <c r="AE954" s="32" t="str">
        <f t="shared" si="72"/>
        <v>✓ OK</v>
      </c>
      <c r="AF954" s="33" t="s">
        <v>27</v>
      </c>
      <c r="AG954" s="33" t="s">
        <v>23</v>
      </c>
      <c r="AH954" s="33" t="s">
        <v>24</v>
      </c>
      <c r="AI954" s="33" t="s">
        <v>25</v>
      </c>
      <c r="AJ954" s="33" t="s">
        <v>26</v>
      </c>
      <c r="AK954" s="33" t="s">
        <v>24</v>
      </c>
      <c r="AL954" s="27"/>
      <c r="AM954" s="34" t="s">
        <v>25</v>
      </c>
      <c r="AN954" s="35" t="str">
        <f t="shared" si="73"/>
        <v>✓ OK</v>
      </c>
      <c r="AO954" s="36"/>
      <c r="AP954" s="36"/>
      <c r="AQ954" s="36"/>
      <c r="AR954" s="36"/>
      <c r="AS954" s="36"/>
      <c r="AT954" s="36"/>
      <c r="AU954" s="27"/>
      <c r="AV954" s="37"/>
      <c r="AW954" s="38" t="str">
        <f t="shared" si="74"/>
        <v/>
      </c>
    </row>
    <row r="955" spans="1:49" ht="18" customHeight="1" x14ac:dyDescent="0.3">
      <c r="A955" s="23">
        <v>951</v>
      </c>
      <c r="B955" s="24" t="s">
        <v>3750</v>
      </c>
      <c r="C955" s="25" t="s">
        <v>3751</v>
      </c>
      <c r="D955" s="23" t="s">
        <v>2819</v>
      </c>
      <c r="E955" s="43">
        <v>46126</v>
      </c>
      <c r="F955" s="26" t="s">
        <v>23</v>
      </c>
      <c r="G955" s="26" t="s">
        <v>24</v>
      </c>
      <c r="H955" s="26" t="s">
        <v>25</v>
      </c>
      <c r="I955" s="26" t="s">
        <v>26</v>
      </c>
      <c r="J955" s="26" t="s">
        <v>24</v>
      </c>
      <c r="K955" s="27"/>
      <c r="L955" s="28" t="s">
        <v>25</v>
      </c>
      <c r="M955" s="29" t="str">
        <f t="shared" si="70"/>
        <v>✓ OK</v>
      </c>
      <c r="N955" s="43">
        <v>46193</v>
      </c>
      <c r="O955" s="26" t="s">
        <v>23</v>
      </c>
      <c r="P955" s="26" t="s">
        <v>24</v>
      </c>
      <c r="Q955" s="26" t="s">
        <v>25</v>
      </c>
      <c r="R955" s="26" t="s">
        <v>26</v>
      </c>
      <c r="S955" s="26" t="s">
        <v>24</v>
      </c>
      <c r="T955" s="27"/>
      <c r="U955" s="28" t="s">
        <v>25</v>
      </c>
      <c r="V955" s="29" t="str">
        <f t="shared" si="71"/>
        <v>✓ OK</v>
      </c>
      <c r="W955" s="45">
        <v>46248</v>
      </c>
      <c r="X955" s="30" t="s">
        <v>23</v>
      </c>
      <c r="Y955" s="30" t="s">
        <v>24</v>
      </c>
      <c r="Z955" s="30" t="s">
        <v>25</v>
      </c>
      <c r="AA955" s="30" t="s">
        <v>26</v>
      </c>
      <c r="AB955" s="30" t="s">
        <v>24</v>
      </c>
      <c r="AC955" s="27"/>
      <c r="AD955" s="31" t="s">
        <v>25</v>
      </c>
      <c r="AE955" s="32" t="str">
        <f t="shared" si="72"/>
        <v>✓ OK</v>
      </c>
      <c r="AF955" s="33" t="s">
        <v>27</v>
      </c>
      <c r="AG955" s="33" t="s">
        <v>23</v>
      </c>
      <c r="AH955" s="33" t="s">
        <v>24</v>
      </c>
      <c r="AI955" s="33" t="s">
        <v>25</v>
      </c>
      <c r="AJ955" s="33" t="s">
        <v>26</v>
      </c>
      <c r="AK955" s="33" t="s">
        <v>24</v>
      </c>
      <c r="AL955" s="27"/>
      <c r="AM955" s="34" t="s">
        <v>25</v>
      </c>
      <c r="AN955" s="35" t="str">
        <f t="shared" si="73"/>
        <v>✓ OK</v>
      </c>
      <c r="AO955" s="36"/>
      <c r="AP955" s="36"/>
      <c r="AQ955" s="36"/>
      <c r="AR955" s="36"/>
      <c r="AS955" s="36"/>
      <c r="AT955" s="36"/>
      <c r="AU955" s="27"/>
      <c r="AV955" s="37"/>
      <c r="AW955" s="38" t="str">
        <f t="shared" si="74"/>
        <v/>
      </c>
    </row>
    <row r="956" spans="1:49" ht="18" customHeight="1" x14ac:dyDescent="0.3">
      <c r="A956" s="39">
        <v>952</v>
      </c>
      <c r="B956" s="40" t="s">
        <v>3752</v>
      </c>
      <c r="C956" s="41" t="s">
        <v>3753</v>
      </c>
      <c r="D956" s="39" t="s">
        <v>2819</v>
      </c>
      <c r="E956" s="43">
        <v>46126</v>
      </c>
      <c r="F956" s="26" t="s">
        <v>23</v>
      </c>
      <c r="G956" s="26" t="s">
        <v>24</v>
      </c>
      <c r="H956" s="26" t="s">
        <v>25</v>
      </c>
      <c r="I956" s="26" t="s">
        <v>26</v>
      </c>
      <c r="J956" s="26" t="s">
        <v>24</v>
      </c>
      <c r="K956" s="27"/>
      <c r="L956" s="28" t="s">
        <v>25</v>
      </c>
      <c r="M956" s="29" t="str">
        <f t="shared" si="70"/>
        <v>✓ OK</v>
      </c>
      <c r="N956" s="43">
        <v>46193</v>
      </c>
      <c r="O956" s="26" t="s">
        <v>23</v>
      </c>
      <c r="P956" s="26" t="s">
        <v>24</v>
      </c>
      <c r="Q956" s="26" t="s">
        <v>25</v>
      </c>
      <c r="R956" s="26" t="s">
        <v>26</v>
      </c>
      <c r="S956" s="26" t="s">
        <v>24</v>
      </c>
      <c r="T956" s="27"/>
      <c r="U956" s="28" t="s">
        <v>25</v>
      </c>
      <c r="V956" s="29" t="str">
        <f t="shared" si="71"/>
        <v>✓ OK</v>
      </c>
      <c r="W956" s="45">
        <v>46248</v>
      </c>
      <c r="X956" s="30" t="s">
        <v>23</v>
      </c>
      <c r="Y956" s="30" t="s">
        <v>24</v>
      </c>
      <c r="Z956" s="30" t="s">
        <v>25</v>
      </c>
      <c r="AA956" s="30" t="s">
        <v>26</v>
      </c>
      <c r="AB956" s="30" t="s">
        <v>24</v>
      </c>
      <c r="AC956" s="27"/>
      <c r="AD956" s="31" t="s">
        <v>25</v>
      </c>
      <c r="AE956" s="32" t="str">
        <f t="shared" si="72"/>
        <v>✓ OK</v>
      </c>
      <c r="AF956" s="33" t="s">
        <v>27</v>
      </c>
      <c r="AG956" s="33" t="s">
        <v>23</v>
      </c>
      <c r="AH956" s="33" t="s">
        <v>24</v>
      </c>
      <c r="AI956" s="33" t="s">
        <v>25</v>
      </c>
      <c r="AJ956" s="33" t="s">
        <v>26</v>
      </c>
      <c r="AK956" s="33" t="s">
        <v>24</v>
      </c>
      <c r="AL956" s="27"/>
      <c r="AM956" s="34" t="s">
        <v>25</v>
      </c>
      <c r="AN956" s="35" t="str">
        <f t="shared" si="73"/>
        <v>✓ OK</v>
      </c>
      <c r="AO956" s="36"/>
      <c r="AP956" s="36"/>
      <c r="AQ956" s="36"/>
      <c r="AR956" s="36"/>
      <c r="AS956" s="36"/>
      <c r="AT956" s="36"/>
      <c r="AU956" s="27"/>
      <c r="AV956" s="37"/>
      <c r="AW956" s="38" t="str">
        <f t="shared" si="74"/>
        <v/>
      </c>
    </row>
    <row r="957" spans="1:49" ht="18" customHeight="1" x14ac:dyDescent="0.3">
      <c r="A957" s="23">
        <v>953</v>
      </c>
      <c r="B957" s="24" t="s">
        <v>3754</v>
      </c>
      <c r="C957" s="25" t="s">
        <v>3755</v>
      </c>
      <c r="D957" s="23" t="s">
        <v>2819</v>
      </c>
      <c r="E957" s="43">
        <v>46126</v>
      </c>
      <c r="F957" s="26" t="s">
        <v>23</v>
      </c>
      <c r="G957" s="26" t="s">
        <v>24</v>
      </c>
      <c r="H957" s="26" t="s">
        <v>25</v>
      </c>
      <c r="I957" s="26" t="s">
        <v>26</v>
      </c>
      <c r="J957" s="26" t="s">
        <v>24</v>
      </c>
      <c r="K957" s="27"/>
      <c r="L957" s="28" t="s">
        <v>25</v>
      </c>
      <c r="M957" s="29" t="str">
        <f t="shared" si="70"/>
        <v>✓ OK</v>
      </c>
      <c r="N957" s="43">
        <v>46193</v>
      </c>
      <c r="O957" s="26" t="s">
        <v>23</v>
      </c>
      <c r="P957" s="26" t="s">
        <v>24</v>
      </c>
      <c r="Q957" s="26" t="s">
        <v>25</v>
      </c>
      <c r="R957" s="26" t="s">
        <v>26</v>
      </c>
      <c r="S957" s="26" t="s">
        <v>24</v>
      </c>
      <c r="T957" s="27"/>
      <c r="U957" s="28" t="s">
        <v>25</v>
      </c>
      <c r="V957" s="29" t="str">
        <f t="shared" si="71"/>
        <v>✓ OK</v>
      </c>
      <c r="W957" s="45">
        <v>46248</v>
      </c>
      <c r="X957" s="30" t="s">
        <v>23</v>
      </c>
      <c r="Y957" s="30" t="s">
        <v>24</v>
      </c>
      <c r="Z957" s="30" t="s">
        <v>25</v>
      </c>
      <c r="AA957" s="30" t="s">
        <v>26</v>
      </c>
      <c r="AB957" s="30" t="s">
        <v>24</v>
      </c>
      <c r="AC957" s="27"/>
      <c r="AD957" s="31" t="s">
        <v>25</v>
      </c>
      <c r="AE957" s="32" t="str">
        <f t="shared" si="72"/>
        <v>✓ OK</v>
      </c>
      <c r="AF957" s="33" t="s">
        <v>27</v>
      </c>
      <c r="AG957" s="33" t="s">
        <v>23</v>
      </c>
      <c r="AH957" s="33" t="s">
        <v>24</v>
      </c>
      <c r="AI957" s="33" t="s">
        <v>25</v>
      </c>
      <c r="AJ957" s="33" t="s">
        <v>26</v>
      </c>
      <c r="AK957" s="33" t="s">
        <v>24</v>
      </c>
      <c r="AL957" s="27"/>
      <c r="AM957" s="34" t="s">
        <v>25</v>
      </c>
      <c r="AN957" s="35" t="str">
        <f t="shared" si="73"/>
        <v>✓ OK</v>
      </c>
      <c r="AO957" s="36"/>
      <c r="AP957" s="36"/>
      <c r="AQ957" s="36"/>
      <c r="AR957" s="36"/>
      <c r="AS957" s="36"/>
      <c r="AT957" s="36"/>
      <c r="AU957" s="27"/>
      <c r="AV957" s="37"/>
      <c r="AW957" s="38" t="str">
        <f t="shared" si="74"/>
        <v/>
      </c>
    </row>
    <row r="958" spans="1:49" ht="18" customHeight="1" x14ac:dyDescent="0.3">
      <c r="A958" s="39">
        <v>954</v>
      </c>
      <c r="B958" s="40" t="s">
        <v>3756</v>
      </c>
      <c r="C958" s="41" t="s">
        <v>3757</v>
      </c>
      <c r="D958" s="39" t="s">
        <v>2819</v>
      </c>
      <c r="E958" s="43">
        <v>46126</v>
      </c>
      <c r="F958" s="26" t="s">
        <v>23</v>
      </c>
      <c r="G958" s="26" t="s">
        <v>24</v>
      </c>
      <c r="H958" s="26" t="s">
        <v>25</v>
      </c>
      <c r="I958" s="26" t="s">
        <v>26</v>
      </c>
      <c r="J958" s="26" t="s">
        <v>24</v>
      </c>
      <c r="K958" s="27"/>
      <c r="L958" s="28" t="s">
        <v>25</v>
      </c>
      <c r="M958" s="29" t="str">
        <f t="shared" si="70"/>
        <v>✓ OK</v>
      </c>
      <c r="N958" s="43">
        <v>46193</v>
      </c>
      <c r="O958" s="26" t="s">
        <v>23</v>
      </c>
      <c r="P958" s="26" t="s">
        <v>24</v>
      </c>
      <c r="Q958" s="26" t="s">
        <v>25</v>
      </c>
      <c r="R958" s="26" t="s">
        <v>26</v>
      </c>
      <c r="S958" s="26" t="s">
        <v>24</v>
      </c>
      <c r="T958" s="27"/>
      <c r="U958" s="28" t="s">
        <v>25</v>
      </c>
      <c r="V958" s="29" t="str">
        <f t="shared" si="71"/>
        <v>✓ OK</v>
      </c>
      <c r="W958" s="45">
        <v>46248</v>
      </c>
      <c r="X958" s="30" t="s">
        <v>23</v>
      </c>
      <c r="Y958" s="30" t="s">
        <v>24</v>
      </c>
      <c r="Z958" s="30" t="s">
        <v>25</v>
      </c>
      <c r="AA958" s="30" t="s">
        <v>26</v>
      </c>
      <c r="AB958" s="30" t="s">
        <v>24</v>
      </c>
      <c r="AC958" s="27"/>
      <c r="AD958" s="31" t="s">
        <v>25</v>
      </c>
      <c r="AE958" s="32" t="str">
        <f t="shared" si="72"/>
        <v>✓ OK</v>
      </c>
      <c r="AF958" s="33" t="s">
        <v>27</v>
      </c>
      <c r="AG958" s="33" t="s">
        <v>23</v>
      </c>
      <c r="AH958" s="33" t="s">
        <v>24</v>
      </c>
      <c r="AI958" s="33" t="s">
        <v>25</v>
      </c>
      <c r="AJ958" s="33" t="s">
        <v>26</v>
      </c>
      <c r="AK958" s="33" t="s">
        <v>24</v>
      </c>
      <c r="AL958" s="27"/>
      <c r="AM958" s="34" t="s">
        <v>25</v>
      </c>
      <c r="AN958" s="35" t="str">
        <f t="shared" si="73"/>
        <v>✓ OK</v>
      </c>
      <c r="AO958" s="36"/>
      <c r="AP958" s="36"/>
      <c r="AQ958" s="36"/>
      <c r="AR958" s="36"/>
      <c r="AS958" s="36"/>
      <c r="AT958" s="36"/>
      <c r="AU958" s="27"/>
      <c r="AV958" s="37"/>
      <c r="AW958" s="38" t="str">
        <f t="shared" si="74"/>
        <v/>
      </c>
    </row>
    <row r="959" spans="1:49" ht="18" customHeight="1" x14ac:dyDescent="0.3">
      <c r="A959" s="23">
        <v>955</v>
      </c>
      <c r="B959" s="24" t="s">
        <v>3758</v>
      </c>
      <c r="C959" s="25" t="s">
        <v>3759</v>
      </c>
      <c r="D959" s="23" t="s">
        <v>2819</v>
      </c>
      <c r="E959" s="43">
        <v>46126</v>
      </c>
      <c r="F959" s="26" t="s">
        <v>23</v>
      </c>
      <c r="G959" s="26" t="s">
        <v>24</v>
      </c>
      <c r="H959" s="26" t="s">
        <v>25</v>
      </c>
      <c r="I959" s="26" t="s">
        <v>26</v>
      </c>
      <c r="J959" s="26" t="s">
        <v>24</v>
      </c>
      <c r="K959" s="27"/>
      <c r="L959" s="28" t="s">
        <v>25</v>
      </c>
      <c r="M959" s="29" t="str">
        <f t="shared" si="70"/>
        <v>✓ OK</v>
      </c>
      <c r="N959" s="43">
        <v>46193</v>
      </c>
      <c r="O959" s="26" t="s">
        <v>23</v>
      </c>
      <c r="P959" s="26" t="s">
        <v>24</v>
      </c>
      <c r="Q959" s="26" t="s">
        <v>25</v>
      </c>
      <c r="R959" s="26" t="s">
        <v>26</v>
      </c>
      <c r="S959" s="26" t="s">
        <v>24</v>
      </c>
      <c r="T959" s="27"/>
      <c r="U959" s="28" t="s">
        <v>25</v>
      </c>
      <c r="V959" s="29" t="str">
        <f t="shared" si="71"/>
        <v>✓ OK</v>
      </c>
      <c r="W959" s="45">
        <v>46248</v>
      </c>
      <c r="X959" s="30" t="s">
        <v>23</v>
      </c>
      <c r="Y959" s="30" t="s">
        <v>24</v>
      </c>
      <c r="Z959" s="30" t="s">
        <v>25</v>
      </c>
      <c r="AA959" s="30" t="s">
        <v>26</v>
      </c>
      <c r="AB959" s="30" t="s">
        <v>24</v>
      </c>
      <c r="AC959" s="27"/>
      <c r="AD959" s="31" t="s">
        <v>25</v>
      </c>
      <c r="AE959" s="32" t="str">
        <f t="shared" si="72"/>
        <v>✓ OK</v>
      </c>
      <c r="AF959" s="33" t="s">
        <v>27</v>
      </c>
      <c r="AG959" s="33" t="s">
        <v>23</v>
      </c>
      <c r="AH959" s="33" t="s">
        <v>24</v>
      </c>
      <c r="AI959" s="33" t="s">
        <v>25</v>
      </c>
      <c r="AJ959" s="33" t="s">
        <v>26</v>
      </c>
      <c r="AK959" s="33" t="s">
        <v>24</v>
      </c>
      <c r="AL959" s="27"/>
      <c r="AM959" s="34" t="s">
        <v>25</v>
      </c>
      <c r="AN959" s="35" t="str">
        <f t="shared" si="73"/>
        <v>✓ OK</v>
      </c>
      <c r="AO959" s="36"/>
      <c r="AP959" s="36"/>
      <c r="AQ959" s="36"/>
      <c r="AR959" s="36"/>
      <c r="AS959" s="36"/>
      <c r="AT959" s="36"/>
      <c r="AU959" s="27"/>
      <c r="AV959" s="37"/>
      <c r="AW959" s="38" t="str">
        <f t="shared" si="74"/>
        <v/>
      </c>
    </row>
    <row r="960" spans="1:49" ht="18" customHeight="1" x14ac:dyDescent="0.3">
      <c r="A960" s="39">
        <v>956</v>
      </c>
      <c r="B960" s="40" t="s">
        <v>3760</v>
      </c>
      <c r="C960" s="41" t="s">
        <v>3761</v>
      </c>
      <c r="D960" s="39" t="s">
        <v>2819</v>
      </c>
      <c r="E960" s="43">
        <v>46126</v>
      </c>
      <c r="F960" s="26" t="s">
        <v>23</v>
      </c>
      <c r="G960" s="26" t="s">
        <v>24</v>
      </c>
      <c r="H960" s="26" t="s">
        <v>25</v>
      </c>
      <c r="I960" s="26" t="s">
        <v>26</v>
      </c>
      <c r="J960" s="26" t="s">
        <v>24</v>
      </c>
      <c r="K960" s="27"/>
      <c r="L960" s="28" t="s">
        <v>25</v>
      </c>
      <c r="M960" s="29" t="str">
        <f t="shared" si="70"/>
        <v>✓ OK</v>
      </c>
      <c r="N960" s="43">
        <v>46193</v>
      </c>
      <c r="O960" s="26" t="s">
        <v>23</v>
      </c>
      <c r="P960" s="26" t="s">
        <v>24</v>
      </c>
      <c r="Q960" s="26" t="s">
        <v>25</v>
      </c>
      <c r="R960" s="26" t="s">
        <v>26</v>
      </c>
      <c r="S960" s="26" t="s">
        <v>24</v>
      </c>
      <c r="T960" s="27"/>
      <c r="U960" s="28" t="s">
        <v>25</v>
      </c>
      <c r="V960" s="29" t="str">
        <f t="shared" si="71"/>
        <v>✓ OK</v>
      </c>
      <c r="W960" s="45">
        <v>46248</v>
      </c>
      <c r="X960" s="30" t="s">
        <v>23</v>
      </c>
      <c r="Y960" s="30" t="s">
        <v>24</v>
      </c>
      <c r="Z960" s="30" t="s">
        <v>25</v>
      </c>
      <c r="AA960" s="30" t="s">
        <v>26</v>
      </c>
      <c r="AB960" s="30" t="s">
        <v>24</v>
      </c>
      <c r="AC960" s="27"/>
      <c r="AD960" s="31" t="s">
        <v>25</v>
      </c>
      <c r="AE960" s="32" t="str">
        <f t="shared" si="72"/>
        <v>✓ OK</v>
      </c>
      <c r="AF960" s="33" t="s">
        <v>27</v>
      </c>
      <c r="AG960" s="33" t="s">
        <v>23</v>
      </c>
      <c r="AH960" s="33" t="s">
        <v>24</v>
      </c>
      <c r="AI960" s="33" t="s">
        <v>25</v>
      </c>
      <c r="AJ960" s="33" t="s">
        <v>26</v>
      </c>
      <c r="AK960" s="33" t="s">
        <v>24</v>
      </c>
      <c r="AL960" s="27"/>
      <c r="AM960" s="34" t="s">
        <v>25</v>
      </c>
      <c r="AN960" s="35" t="str">
        <f t="shared" si="73"/>
        <v>✓ OK</v>
      </c>
      <c r="AO960" s="36"/>
      <c r="AP960" s="36"/>
      <c r="AQ960" s="36"/>
      <c r="AR960" s="36"/>
      <c r="AS960" s="36"/>
      <c r="AT960" s="36"/>
      <c r="AU960" s="27"/>
      <c r="AV960" s="37"/>
      <c r="AW960" s="38" t="str">
        <f t="shared" si="74"/>
        <v/>
      </c>
    </row>
    <row r="961" spans="1:49" ht="18" customHeight="1" x14ac:dyDescent="0.3">
      <c r="A961" s="23">
        <v>957</v>
      </c>
      <c r="B961" s="24" t="s">
        <v>3762</v>
      </c>
      <c r="C961" s="25" t="s">
        <v>3763</v>
      </c>
      <c r="D961" s="23" t="s">
        <v>2819</v>
      </c>
      <c r="E961" s="43">
        <v>46126</v>
      </c>
      <c r="F961" s="26" t="s">
        <v>23</v>
      </c>
      <c r="G961" s="26" t="s">
        <v>24</v>
      </c>
      <c r="H961" s="26" t="s">
        <v>25</v>
      </c>
      <c r="I961" s="26" t="s">
        <v>26</v>
      </c>
      <c r="J961" s="26" t="s">
        <v>24</v>
      </c>
      <c r="K961" s="27"/>
      <c r="L961" s="28" t="s">
        <v>25</v>
      </c>
      <c r="M961" s="29" t="str">
        <f t="shared" si="70"/>
        <v>✓ OK</v>
      </c>
      <c r="N961" s="43">
        <v>46193</v>
      </c>
      <c r="O961" s="26" t="s">
        <v>23</v>
      </c>
      <c r="P961" s="26" t="s">
        <v>24</v>
      </c>
      <c r="Q961" s="26" t="s">
        <v>25</v>
      </c>
      <c r="R961" s="26" t="s">
        <v>26</v>
      </c>
      <c r="S961" s="26" t="s">
        <v>24</v>
      </c>
      <c r="T961" s="27"/>
      <c r="U961" s="28" t="s">
        <v>25</v>
      </c>
      <c r="V961" s="29" t="str">
        <f t="shared" si="71"/>
        <v>✓ OK</v>
      </c>
      <c r="W961" s="45">
        <v>46248</v>
      </c>
      <c r="X961" s="30" t="s">
        <v>23</v>
      </c>
      <c r="Y961" s="30" t="s">
        <v>24</v>
      </c>
      <c r="Z961" s="30" t="s">
        <v>25</v>
      </c>
      <c r="AA961" s="30" t="s">
        <v>26</v>
      </c>
      <c r="AB961" s="30" t="s">
        <v>24</v>
      </c>
      <c r="AC961" s="27"/>
      <c r="AD961" s="31" t="s">
        <v>25</v>
      </c>
      <c r="AE961" s="32" t="str">
        <f t="shared" si="72"/>
        <v>✓ OK</v>
      </c>
      <c r="AF961" s="33" t="s">
        <v>27</v>
      </c>
      <c r="AG961" s="33" t="s">
        <v>23</v>
      </c>
      <c r="AH961" s="33" t="s">
        <v>24</v>
      </c>
      <c r="AI961" s="33" t="s">
        <v>25</v>
      </c>
      <c r="AJ961" s="33" t="s">
        <v>26</v>
      </c>
      <c r="AK961" s="33" t="s">
        <v>24</v>
      </c>
      <c r="AL961" s="27"/>
      <c r="AM961" s="34" t="s">
        <v>25</v>
      </c>
      <c r="AN961" s="35" t="str">
        <f t="shared" si="73"/>
        <v>✓ OK</v>
      </c>
      <c r="AO961" s="36"/>
      <c r="AP961" s="36"/>
      <c r="AQ961" s="36"/>
      <c r="AR961" s="36"/>
      <c r="AS961" s="36"/>
      <c r="AT961" s="36"/>
      <c r="AU961" s="27"/>
      <c r="AV961" s="37"/>
      <c r="AW961" s="38" t="str">
        <f t="shared" si="74"/>
        <v/>
      </c>
    </row>
    <row r="962" spans="1:49" ht="18" customHeight="1" x14ac:dyDescent="0.3">
      <c r="A962" s="39">
        <v>958</v>
      </c>
      <c r="B962" s="40" t="s">
        <v>3764</v>
      </c>
      <c r="C962" s="41" t="s">
        <v>3765</v>
      </c>
      <c r="D962" s="39" t="s">
        <v>2819</v>
      </c>
      <c r="E962" s="43">
        <v>46126</v>
      </c>
      <c r="F962" s="26" t="s">
        <v>23</v>
      </c>
      <c r="G962" s="26" t="s">
        <v>24</v>
      </c>
      <c r="H962" s="26" t="s">
        <v>25</v>
      </c>
      <c r="I962" s="26" t="s">
        <v>26</v>
      </c>
      <c r="J962" s="26" t="s">
        <v>24</v>
      </c>
      <c r="K962" s="27"/>
      <c r="L962" s="28" t="s">
        <v>25</v>
      </c>
      <c r="M962" s="29" t="str">
        <f t="shared" si="70"/>
        <v>✓ OK</v>
      </c>
      <c r="N962" s="43">
        <v>46193</v>
      </c>
      <c r="O962" s="26" t="s">
        <v>23</v>
      </c>
      <c r="P962" s="26" t="s">
        <v>24</v>
      </c>
      <c r="Q962" s="26" t="s">
        <v>25</v>
      </c>
      <c r="R962" s="26" t="s">
        <v>26</v>
      </c>
      <c r="S962" s="26" t="s">
        <v>24</v>
      </c>
      <c r="T962" s="27"/>
      <c r="U962" s="28" t="s">
        <v>25</v>
      </c>
      <c r="V962" s="29" t="str">
        <f t="shared" si="71"/>
        <v>✓ OK</v>
      </c>
      <c r="W962" s="45">
        <v>46248</v>
      </c>
      <c r="X962" s="30" t="s">
        <v>23</v>
      </c>
      <c r="Y962" s="30" t="s">
        <v>24</v>
      </c>
      <c r="Z962" s="30" t="s">
        <v>25</v>
      </c>
      <c r="AA962" s="30" t="s">
        <v>26</v>
      </c>
      <c r="AB962" s="30" t="s">
        <v>24</v>
      </c>
      <c r="AC962" s="27"/>
      <c r="AD962" s="31" t="s">
        <v>25</v>
      </c>
      <c r="AE962" s="32" t="str">
        <f t="shared" si="72"/>
        <v>✓ OK</v>
      </c>
      <c r="AF962" s="33" t="s">
        <v>27</v>
      </c>
      <c r="AG962" s="33" t="s">
        <v>23</v>
      </c>
      <c r="AH962" s="33" t="s">
        <v>24</v>
      </c>
      <c r="AI962" s="33" t="s">
        <v>25</v>
      </c>
      <c r="AJ962" s="33" t="s">
        <v>26</v>
      </c>
      <c r="AK962" s="33" t="s">
        <v>24</v>
      </c>
      <c r="AL962" s="27"/>
      <c r="AM962" s="34" t="s">
        <v>25</v>
      </c>
      <c r="AN962" s="35" t="str">
        <f t="shared" si="73"/>
        <v>✓ OK</v>
      </c>
      <c r="AO962" s="36"/>
      <c r="AP962" s="36"/>
      <c r="AQ962" s="36"/>
      <c r="AR962" s="36"/>
      <c r="AS962" s="36"/>
      <c r="AT962" s="36"/>
      <c r="AU962" s="27"/>
      <c r="AV962" s="37"/>
      <c r="AW962" s="38" t="str">
        <f t="shared" si="74"/>
        <v/>
      </c>
    </row>
    <row r="963" spans="1:49" ht="18" customHeight="1" x14ac:dyDescent="0.3">
      <c r="A963" s="23">
        <v>959</v>
      </c>
      <c r="B963" s="24" t="s">
        <v>3766</v>
      </c>
      <c r="C963" s="25" t="s">
        <v>3767</v>
      </c>
      <c r="D963" s="23" t="s">
        <v>2819</v>
      </c>
      <c r="E963" s="43">
        <v>46126</v>
      </c>
      <c r="F963" s="26" t="s">
        <v>23</v>
      </c>
      <c r="G963" s="26" t="s">
        <v>24</v>
      </c>
      <c r="H963" s="26" t="s">
        <v>25</v>
      </c>
      <c r="I963" s="26" t="s">
        <v>26</v>
      </c>
      <c r="J963" s="26" t="s">
        <v>24</v>
      </c>
      <c r="K963" s="27"/>
      <c r="L963" s="28" t="s">
        <v>25</v>
      </c>
      <c r="M963" s="29" t="str">
        <f t="shared" si="70"/>
        <v>✓ OK</v>
      </c>
      <c r="N963" s="43">
        <v>46193</v>
      </c>
      <c r="O963" s="26" t="s">
        <v>23</v>
      </c>
      <c r="P963" s="26" t="s">
        <v>24</v>
      </c>
      <c r="Q963" s="26" t="s">
        <v>25</v>
      </c>
      <c r="R963" s="26" t="s">
        <v>26</v>
      </c>
      <c r="S963" s="26" t="s">
        <v>24</v>
      </c>
      <c r="T963" s="27"/>
      <c r="U963" s="28" t="s">
        <v>25</v>
      </c>
      <c r="V963" s="29" t="str">
        <f t="shared" si="71"/>
        <v>✓ OK</v>
      </c>
      <c r="W963" s="45">
        <v>46248</v>
      </c>
      <c r="X963" s="30" t="s">
        <v>23</v>
      </c>
      <c r="Y963" s="30" t="s">
        <v>24</v>
      </c>
      <c r="Z963" s="30" t="s">
        <v>25</v>
      </c>
      <c r="AA963" s="30" t="s">
        <v>26</v>
      </c>
      <c r="AB963" s="30" t="s">
        <v>24</v>
      </c>
      <c r="AC963" s="27"/>
      <c r="AD963" s="31" t="s">
        <v>25</v>
      </c>
      <c r="AE963" s="32" t="str">
        <f t="shared" si="72"/>
        <v>✓ OK</v>
      </c>
      <c r="AF963" s="33" t="s">
        <v>27</v>
      </c>
      <c r="AG963" s="33" t="s">
        <v>23</v>
      </c>
      <c r="AH963" s="33" t="s">
        <v>24</v>
      </c>
      <c r="AI963" s="33" t="s">
        <v>25</v>
      </c>
      <c r="AJ963" s="33" t="s">
        <v>26</v>
      </c>
      <c r="AK963" s="33" t="s">
        <v>24</v>
      </c>
      <c r="AL963" s="27"/>
      <c r="AM963" s="34" t="s">
        <v>25</v>
      </c>
      <c r="AN963" s="35" t="str">
        <f t="shared" si="73"/>
        <v>✓ OK</v>
      </c>
      <c r="AO963" s="36"/>
      <c r="AP963" s="36"/>
      <c r="AQ963" s="36"/>
      <c r="AR963" s="36"/>
      <c r="AS963" s="36"/>
      <c r="AT963" s="36"/>
      <c r="AU963" s="27"/>
      <c r="AV963" s="37"/>
      <c r="AW963" s="38" t="str">
        <f t="shared" si="74"/>
        <v/>
      </c>
    </row>
    <row r="964" spans="1:49" ht="18" customHeight="1" x14ac:dyDescent="0.3">
      <c r="A964" s="39">
        <v>960</v>
      </c>
      <c r="B964" s="40" t="s">
        <v>3768</v>
      </c>
      <c r="C964" s="41" t="s">
        <v>3769</v>
      </c>
      <c r="D964" s="39" t="s">
        <v>2819</v>
      </c>
      <c r="E964" s="43">
        <v>46126</v>
      </c>
      <c r="F964" s="26" t="s">
        <v>23</v>
      </c>
      <c r="G964" s="26" t="s">
        <v>24</v>
      </c>
      <c r="H964" s="26" t="s">
        <v>25</v>
      </c>
      <c r="I964" s="26" t="s">
        <v>26</v>
      </c>
      <c r="J964" s="26" t="s">
        <v>24</v>
      </c>
      <c r="K964" s="27"/>
      <c r="L964" s="28" t="s">
        <v>25</v>
      </c>
      <c r="M964" s="29" t="str">
        <f t="shared" si="70"/>
        <v>✓ OK</v>
      </c>
      <c r="N964" s="43">
        <v>46193</v>
      </c>
      <c r="O964" s="26" t="s">
        <v>23</v>
      </c>
      <c r="P964" s="26" t="s">
        <v>24</v>
      </c>
      <c r="Q964" s="26" t="s">
        <v>25</v>
      </c>
      <c r="R964" s="26" t="s">
        <v>26</v>
      </c>
      <c r="S964" s="26" t="s">
        <v>24</v>
      </c>
      <c r="T964" s="27"/>
      <c r="U964" s="28" t="s">
        <v>25</v>
      </c>
      <c r="V964" s="29" t="str">
        <f t="shared" si="71"/>
        <v>✓ OK</v>
      </c>
      <c r="W964" s="45">
        <v>46248</v>
      </c>
      <c r="X964" s="30" t="s">
        <v>23</v>
      </c>
      <c r="Y964" s="30" t="s">
        <v>24</v>
      </c>
      <c r="Z964" s="30" t="s">
        <v>25</v>
      </c>
      <c r="AA964" s="30" t="s">
        <v>26</v>
      </c>
      <c r="AB964" s="30" t="s">
        <v>24</v>
      </c>
      <c r="AC964" s="27"/>
      <c r="AD964" s="31" t="s">
        <v>25</v>
      </c>
      <c r="AE964" s="32" t="str">
        <f t="shared" si="72"/>
        <v>✓ OK</v>
      </c>
      <c r="AF964" s="33" t="s">
        <v>27</v>
      </c>
      <c r="AG964" s="33" t="s">
        <v>23</v>
      </c>
      <c r="AH964" s="33" t="s">
        <v>24</v>
      </c>
      <c r="AI964" s="33" t="s">
        <v>25</v>
      </c>
      <c r="AJ964" s="33" t="s">
        <v>26</v>
      </c>
      <c r="AK964" s="33" t="s">
        <v>24</v>
      </c>
      <c r="AL964" s="27"/>
      <c r="AM964" s="34" t="s">
        <v>25</v>
      </c>
      <c r="AN964" s="35" t="str">
        <f t="shared" si="73"/>
        <v>✓ OK</v>
      </c>
      <c r="AO964" s="36"/>
      <c r="AP964" s="36"/>
      <c r="AQ964" s="36"/>
      <c r="AR964" s="36"/>
      <c r="AS964" s="36"/>
      <c r="AT964" s="36"/>
      <c r="AU964" s="27"/>
      <c r="AV964" s="37"/>
      <c r="AW964" s="38" t="str">
        <f t="shared" si="74"/>
        <v/>
      </c>
    </row>
    <row r="965" spans="1:49" ht="18" customHeight="1" x14ac:dyDescent="0.3">
      <c r="A965" s="23">
        <v>961</v>
      </c>
      <c r="B965" s="24" t="s">
        <v>3770</v>
      </c>
      <c r="C965" s="25" t="s">
        <v>3771</v>
      </c>
      <c r="D965" s="23" t="s">
        <v>2819</v>
      </c>
      <c r="E965" s="43">
        <v>46126</v>
      </c>
      <c r="F965" s="26" t="s">
        <v>23</v>
      </c>
      <c r="G965" s="26" t="s">
        <v>24</v>
      </c>
      <c r="H965" s="26" t="s">
        <v>25</v>
      </c>
      <c r="I965" s="26" t="s">
        <v>26</v>
      </c>
      <c r="J965" s="26" t="s">
        <v>24</v>
      </c>
      <c r="K965" s="27"/>
      <c r="L965" s="28" t="s">
        <v>25</v>
      </c>
      <c r="M965" s="29" t="str">
        <f t="shared" ref="M965:M1028" si="75">IF(E965="","",IF(H965="Yes","❌ Disc",IF(G965="No","⚠ Missing",IF(J965="Yes","✓ OK","⚠ Check"))))</f>
        <v>✓ OK</v>
      </c>
      <c r="N965" s="43">
        <v>46193</v>
      </c>
      <c r="O965" s="26" t="s">
        <v>23</v>
      </c>
      <c r="P965" s="26" t="s">
        <v>24</v>
      </c>
      <c r="Q965" s="26" t="s">
        <v>25</v>
      </c>
      <c r="R965" s="26" t="s">
        <v>26</v>
      </c>
      <c r="S965" s="26" t="s">
        <v>24</v>
      </c>
      <c r="T965" s="27"/>
      <c r="U965" s="28" t="s">
        <v>25</v>
      </c>
      <c r="V965" s="29" t="str">
        <f t="shared" ref="V965:V1028" si="76">IF(N965="","",IF(Q965="Yes","❌ Disc",IF(P965="No","⚠ Missing",IF(S965="Yes","✓ OK","⚠ Check"))))</f>
        <v>✓ OK</v>
      </c>
      <c r="W965" s="45">
        <v>46248</v>
      </c>
      <c r="X965" s="30" t="s">
        <v>23</v>
      </c>
      <c r="Y965" s="30" t="s">
        <v>24</v>
      </c>
      <c r="Z965" s="30" t="s">
        <v>25</v>
      </c>
      <c r="AA965" s="30" t="s">
        <v>26</v>
      </c>
      <c r="AB965" s="30" t="s">
        <v>24</v>
      </c>
      <c r="AC965" s="27"/>
      <c r="AD965" s="31" t="s">
        <v>25</v>
      </c>
      <c r="AE965" s="32" t="str">
        <f t="shared" ref="AE965:AE1028" si="77">IF(W965="","",IF(Z965="Yes","❌ Disc",IF(Y965="No","⚠ Missing",IF(AB965="Yes","✓ OK","⚠ Check"))))</f>
        <v>✓ OK</v>
      </c>
      <c r="AF965" s="33" t="s">
        <v>27</v>
      </c>
      <c r="AG965" s="33" t="s">
        <v>23</v>
      </c>
      <c r="AH965" s="33" t="s">
        <v>24</v>
      </c>
      <c r="AI965" s="33" t="s">
        <v>25</v>
      </c>
      <c r="AJ965" s="33" t="s">
        <v>26</v>
      </c>
      <c r="AK965" s="33" t="s">
        <v>24</v>
      </c>
      <c r="AL965" s="27"/>
      <c r="AM965" s="34" t="s">
        <v>25</v>
      </c>
      <c r="AN965" s="35" t="str">
        <f t="shared" ref="AN965:AN1028" si="78">IF(AF965="","",IF(AI965="Yes","❌ Disc",IF(AH965="No","⚠ Missing",IF(AK965="Yes","✓ OK","⚠ Check"))))</f>
        <v>✓ OK</v>
      </c>
      <c r="AO965" s="36"/>
      <c r="AP965" s="36"/>
      <c r="AQ965" s="36"/>
      <c r="AR965" s="36"/>
      <c r="AS965" s="36"/>
      <c r="AT965" s="36"/>
      <c r="AU965" s="27"/>
      <c r="AV965" s="37"/>
      <c r="AW965" s="38" t="str">
        <f t="shared" ref="AW965:AW1028" si="79">IF(AO965="","",IF(AR965="Yes","❌ Disc",IF(AQ965="No","⚠ Missing",IF(AT965="Yes","✓ OK","⚠ Check"))))</f>
        <v/>
      </c>
    </row>
    <row r="966" spans="1:49" ht="18" customHeight="1" x14ac:dyDescent="0.3">
      <c r="A966" s="39">
        <v>962</v>
      </c>
      <c r="B966" s="40" t="s">
        <v>3772</v>
      </c>
      <c r="C966" s="41" t="s">
        <v>3773</v>
      </c>
      <c r="D966" s="39" t="s">
        <v>2819</v>
      </c>
      <c r="E966" s="43">
        <v>46126</v>
      </c>
      <c r="F966" s="26" t="s">
        <v>23</v>
      </c>
      <c r="G966" s="26" t="s">
        <v>24</v>
      </c>
      <c r="H966" s="26" t="s">
        <v>25</v>
      </c>
      <c r="I966" s="26" t="s">
        <v>26</v>
      </c>
      <c r="J966" s="26" t="s">
        <v>24</v>
      </c>
      <c r="K966" s="27"/>
      <c r="L966" s="28" t="s">
        <v>25</v>
      </c>
      <c r="M966" s="29" t="str">
        <f t="shared" si="75"/>
        <v>✓ OK</v>
      </c>
      <c r="N966" s="43">
        <v>46193</v>
      </c>
      <c r="O966" s="26" t="s">
        <v>23</v>
      </c>
      <c r="P966" s="26" t="s">
        <v>24</v>
      </c>
      <c r="Q966" s="26" t="s">
        <v>25</v>
      </c>
      <c r="R966" s="26" t="s">
        <v>26</v>
      </c>
      <c r="S966" s="26" t="s">
        <v>24</v>
      </c>
      <c r="T966" s="27"/>
      <c r="U966" s="28" t="s">
        <v>25</v>
      </c>
      <c r="V966" s="29" t="str">
        <f t="shared" si="76"/>
        <v>✓ OK</v>
      </c>
      <c r="W966" s="45">
        <v>46248</v>
      </c>
      <c r="X966" s="30" t="s">
        <v>23</v>
      </c>
      <c r="Y966" s="30" t="s">
        <v>24</v>
      </c>
      <c r="Z966" s="30" t="s">
        <v>25</v>
      </c>
      <c r="AA966" s="30" t="s">
        <v>26</v>
      </c>
      <c r="AB966" s="30" t="s">
        <v>24</v>
      </c>
      <c r="AC966" s="27"/>
      <c r="AD966" s="31" t="s">
        <v>25</v>
      </c>
      <c r="AE966" s="32" t="str">
        <f t="shared" si="77"/>
        <v>✓ OK</v>
      </c>
      <c r="AF966" s="33" t="s">
        <v>27</v>
      </c>
      <c r="AG966" s="33" t="s">
        <v>23</v>
      </c>
      <c r="AH966" s="33" t="s">
        <v>24</v>
      </c>
      <c r="AI966" s="33" t="s">
        <v>25</v>
      </c>
      <c r="AJ966" s="33" t="s">
        <v>26</v>
      </c>
      <c r="AK966" s="33" t="s">
        <v>24</v>
      </c>
      <c r="AL966" s="27"/>
      <c r="AM966" s="34" t="s">
        <v>25</v>
      </c>
      <c r="AN966" s="35" t="str">
        <f t="shared" si="78"/>
        <v>✓ OK</v>
      </c>
      <c r="AO966" s="36"/>
      <c r="AP966" s="36"/>
      <c r="AQ966" s="36"/>
      <c r="AR966" s="36"/>
      <c r="AS966" s="36"/>
      <c r="AT966" s="36"/>
      <c r="AU966" s="27"/>
      <c r="AV966" s="37"/>
      <c r="AW966" s="38" t="str">
        <f t="shared" si="79"/>
        <v/>
      </c>
    </row>
    <row r="967" spans="1:49" ht="18" customHeight="1" x14ac:dyDescent="0.3">
      <c r="A967" s="23">
        <v>963</v>
      </c>
      <c r="B967" s="24" t="s">
        <v>3774</v>
      </c>
      <c r="C967" s="25" t="s">
        <v>3775</v>
      </c>
      <c r="D967" s="23" t="s">
        <v>2819</v>
      </c>
      <c r="E967" s="43">
        <v>46126</v>
      </c>
      <c r="F967" s="26" t="s">
        <v>23</v>
      </c>
      <c r="G967" s="26" t="s">
        <v>24</v>
      </c>
      <c r="H967" s="26" t="s">
        <v>25</v>
      </c>
      <c r="I967" s="26" t="s">
        <v>26</v>
      </c>
      <c r="J967" s="26" t="s">
        <v>24</v>
      </c>
      <c r="K967" s="27"/>
      <c r="L967" s="28" t="s">
        <v>25</v>
      </c>
      <c r="M967" s="29" t="str">
        <f t="shared" si="75"/>
        <v>✓ OK</v>
      </c>
      <c r="N967" s="43">
        <v>46193</v>
      </c>
      <c r="O967" s="26" t="s">
        <v>23</v>
      </c>
      <c r="P967" s="26" t="s">
        <v>24</v>
      </c>
      <c r="Q967" s="26" t="s">
        <v>25</v>
      </c>
      <c r="R967" s="26" t="s">
        <v>26</v>
      </c>
      <c r="S967" s="26" t="s">
        <v>24</v>
      </c>
      <c r="T967" s="27"/>
      <c r="U967" s="28" t="s">
        <v>25</v>
      </c>
      <c r="V967" s="29" t="str">
        <f t="shared" si="76"/>
        <v>✓ OK</v>
      </c>
      <c r="W967" s="45">
        <v>46248</v>
      </c>
      <c r="X967" s="30" t="s">
        <v>23</v>
      </c>
      <c r="Y967" s="30" t="s">
        <v>24</v>
      </c>
      <c r="Z967" s="30" t="s">
        <v>25</v>
      </c>
      <c r="AA967" s="30" t="s">
        <v>26</v>
      </c>
      <c r="AB967" s="30" t="s">
        <v>24</v>
      </c>
      <c r="AC967" s="27"/>
      <c r="AD967" s="31" t="s">
        <v>25</v>
      </c>
      <c r="AE967" s="32" t="str">
        <f t="shared" si="77"/>
        <v>✓ OK</v>
      </c>
      <c r="AF967" s="33" t="s">
        <v>27</v>
      </c>
      <c r="AG967" s="33" t="s">
        <v>23</v>
      </c>
      <c r="AH967" s="33" t="s">
        <v>24</v>
      </c>
      <c r="AI967" s="33" t="s">
        <v>25</v>
      </c>
      <c r="AJ967" s="33" t="s">
        <v>26</v>
      </c>
      <c r="AK967" s="33" t="s">
        <v>24</v>
      </c>
      <c r="AL967" s="27"/>
      <c r="AM967" s="34" t="s">
        <v>25</v>
      </c>
      <c r="AN967" s="35" t="str">
        <f t="shared" si="78"/>
        <v>✓ OK</v>
      </c>
      <c r="AO967" s="36"/>
      <c r="AP967" s="36"/>
      <c r="AQ967" s="36"/>
      <c r="AR967" s="36"/>
      <c r="AS967" s="36"/>
      <c r="AT967" s="36"/>
      <c r="AU967" s="27"/>
      <c r="AV967" s="37"/>
      <c r="AW967" s="38" t="str">
        <f t="shared" si="79"/>
        <v/>
      </c>
    </row>
    <row r="968" spans="1:49" ht="18" customHeight="1" x14ac:dyDescent="0.3">
      <c r="A968" s="39">
        <v>964</v>
      </c>
      <c r="B968" s="40" t="s">
        <v>3776</v>
      </c>
      <c r="C968" s="41" t="s">
        <v>3777</v>
      </c>
      <c r="D968" s="39" t="s">
        <v>2819</v>
      </c>
      <c r="E968" s="43">
        <v>46126</v>
      </c>
      <c r="F968" s="26" t="s">
        <v>23</v>
      </c>
      <c r="G968" s="26" t="s">
        <v>24</v>
      </c>
      <c r="H968" s="26" t="s">
        <v>25</v>
      </c>
      <c r="I968" s="26" t="s">
        <v>26</v>
      </c>
      <c r="J968" s="26" t="s">
        <v>24</v>
      </c>
      <c r="K968" s="27"/>
      <c r="L968" s="28" t="s">
        <v>25</v>
      </c>
      <c r="M968" s="29" t="str">
        <f t="shared" si="75"/>
        <v>✓ OK</v>
      </c>
      <c r="N968" s="43">
        <v>46193</v>
      </c>
      <c r="O968" s="26" t="s">
        <v>23</v>
      </c>
      <c r="P968" s="26" t="s">
        <v>24</v>
      </c>
      <c r="Q968" s="26" t="s">
        <v>25</v>
      </c>
      <c r="R968" s="26" t="s">
        <v>26</v>
      </c>
      <c r="S968" s="26" t="s">
        <v>24</v>
      </c>
      <c r="T968" s="27"/>
      <c r="U968" s="28" t="s">
        <v>25</v>
      </c>
      <c r="V968" s="29" t="str">
        <f t="shared" si="76"/>
        <v>✓ OK</v>
      </c>
      <c r="W968" s="45">
        <v>46248</v>
      </c>
      <c r="X968" s="30" t="s">
        <v>23</v>
      </c>
      <c r="Y968" s="30" t="s">
        <v>24</v>
      </c>
      <c r="Z968" s="30" t="s">
        <v>25</v>
      </c>
      <c r="AA968" s="30" t="s">
        <v>26</v>
      </c>
      <c r="AB968" s="30" t="s">
        <v>24</v>
      </c>
      <c r="AC968" s="27"/>
      <c r="AD968" s="31" t="s">
        <v>25</v>
      </c>
      <c r="AE968" s="32" t="str">
        <f t="shared" si="77"/>
        <v>✓ OK</v>
      </c>
      <c r="AF968" s="33" t="s">
        <v>27</v>
      </c>
      <c r="AG968" s="33" t="s">
        <v>23</v>
      </c>
      <c r="AH968" s="33" t="s">
        <v>24</v>
      </c>
      <c r="AI968" s="33" t="s">
        <v>25</v>
      </c>
      <c r="AJ968" s="33" t="s">
        <v>26</v>
      </c>
      <c r="AK968" s="33" t="s">
        <v>24</v>
      </c>
      <c r="AL968" s="27"/>
      <c r="AM968" s="34" t="s">
        <v>25</v>
      </c>
      <c r="AN968" s="35" t="str">
        <f t="shared" si="78"/>
        <v>✓ OK</v>
      </c>
      <c r="AO968" s="36"/>
      <c r="AP968" s="36"/>
      <c r="AQ968" s="36"/>
      <c r="AR968" s="36"/>
      <c r="AS968" s="36"/>
      <c r="AT968" s="36"/>
      <c r="AU968" s="27"/>
      <c r="AV968" s="37"/>
      <c r="AW968" s="38" t="str">
        <f t="shared" si="79"/>
        <v/>
      </c>
    </row>
    <row r="969" spans="1:49" ht="18" customHeight="1" x14ac:dyDescent="0.3">
      <c r="A969" s="23">
        <v>965</v>
      </c>
      <c r="B969" s="24" t="s">
        <v>3778</v>
      </c>
      <c r="C969" s="25" t="s">
        <v>3779</v>
      </c>
      <c r="D969" s="23" t="s">
        <v>2819</v>
      </c>
      <c r="E969" s="43">
        <v>46126</v>
      </c>
      <c r="F969" s="26" t="s">
        <v>23</v>
      </c>
      <c r="G969" s="26" t="s">
        <v>24</v>
      </c>
      <c r="H969" s="26" t="s">
        <v>25</v>
      </c>
      <c r="I969" s="26" t="s">
        <v>26</v>
      </c>
      <c r="J969" s="26" t="s">
        <v>24</v>
      </c>
      <c r="K969" s="27"/>
      <c r="L969" s="28" t="s">
        <v>25</v>
      </c>
      <c r="M969" s="29" t="str">
        <f t="shared" si="75"/>
        <v>✓ OK</v>
      </c>
      <c r="N969" s="43">
        <v>46193</v>
      </c>
      <c r="O969" s="26" t="s">
        <v>23</v>
      </c>
      <c r="P969" s="26" t="s">
        <v>24</v>
      </c>
      <c r="Q969" s="26" t="s">
        <v>25</v>
      </c>
      <c r="R969" s="26" t="s">
        <v>26</v>
      </c>
      <c r="S969" s="26" t="s">
        <v>24</v>
      </c>
      <c r="T969" s="27"/>
      <c r="U969" s="28" t="s">
        <v>25</v>
      </c>
      <c r="V969" s="29" t="str">
        <f t="shared" si="76"/>
        <v>✓ OK</v>
      </c>
      <c r="W969" s="45">
        <v>46248</v>
      </c>
      <c r="X969" s="30" t="s">
        <v>23</v>
      </c>
      <c r="Y969" s="30" t="s">
        <v>24</v>
      </c>
      <c r="Z969" s="30" t="s">
        <v>25</v>
      </c>
      <c r="AA969" s="30" t="s">
        <v>26</v>
      </c>
      <c r="AB969" s="30" t="s">
        <v>24</v>
      </c>
      <c r="AC969" s="27"/>
      <c r="AD969" s="31" t="s">
        <v>25</v>
      </c>
      <c r="AE969" s="32" t="str">
        <f t="shared" si="77"/>
        <v>✓ OK</v>
      </c>
      <c r="AF969" s="33" t="s">
        <v>27</v>
      </c>
      <c r="AG969" s="33" t="s">
        <v>23</v>
      </c>
      <c r="AH969" s="33" t="s">
        <v>24</v>
      </c>
      <c r="AI969" s="33" t="s">
        <v>25</v>
      </c>
      <c r="AJ969" s="33" t="s">
        <v>26</v>
      </c>
      <c r="AK969" s="33" t="s">
        <v>24</v>
      </c>
      <c r="AL969" s="27"/>
      <c r="AM969" s="34" t="s">
        <v>25</v>
      </c>
      <c r="AN969" s="35" t="str">
        <f t="shared" si="78"/>
        <v>✓ OK</v>
      </c>
      <c r="AO969" s="36"/>
      <c r="AP969" s="36"/>
      <c r="AQ969" s="36"/>
      <c r="AR969" s="36"/>
      <c r="AS969" s="36"/>
      <c r="AT969" s="36"/>
      <c r="AU969" s="27"/>
      <c r="AV969" s="37"/>
      <c r="AW969" s="38" t="str">
        <f t="shared" si="79"/>
        <v/>
      </c>
    </row>
    <row r="970" spans="1:49" ht="18" customHeight="1" x14ac:dyDescent="0.3">
      <c r="A970" s="39">
        <v>966</v>
      </c>
      <c r="B970" s="40" t="s">
        <v>3780</v>
      </c>
      <c r="C970" s="41" t="s">
        <v>3781</v>
      </c>
      <c r="D970" s="39" t="s">
        <v>2819</v>
      </c>
      <c r="E970" s="43">
        <v>46126</v>
      </c>
      <c r="F970" s="26" t="s">
        <v>23</v>
      </c>
      <c r="G970" s="26" t="s">
        <v>24</v>
      </c>
      <c r="H970" s="26" t="s">
        <v>25</v>
      </c>
      <c r="I970" s="26" t="s">
        <v>26</v>
      </c>
      <c r="J970" s="26" t="s">
        <v>24</v>
      </c>
      <c r="K970" s="27"/>
      <c r="L970" s="28" t="s">
        <v>25</v>
      </c>
      <c r="M970" s="29" t="str">
        <f t="shared" si="75"/>
        <v>✓ OK</v>
      </c>
      <c r="N970" s="43">
        <v>46193</v>
      </c>
      <c r="O970" s="26" t="s">
        <v>23</v>
      </c>
      <c r="P970" s="26" t="s">
        <v>24</v>
      </c>
      <c r="Q970" s="26" t="s">
        <v>25</v>
      </c>
      <c r="R970" s="26" t="s">
        <v>26</v>
      </c>
      <c r="S970" s="26" t="s">
        <v>24</v>
      </c>
      <c r="T970" s="27"/>
      <c r="U970" s="28" t="s">
        <v>25</v>
      </c>
      <c r="V970" s="29" t="str">
        <f t="shared" si="76"/>
        <v>✓ OK</v>
      </c>
      <c r="W970" s="45">
        <v>46248</v>
      </c>
      <c r="X970" s="30" t="s">
        <v>23</v>
      </c>
      <c r="Y970" s="30" t="s">
        <v>24</v>
      </c>
      <c r="Z970" s="30" t="s">
        <v>25</v>
      </c>
      <c r="AA970" s="30" t="s">
        <v>26</v>
      </c>
      <c r="AB970" s="30" t="s">
        <v>24</v>
      </c>
      <c r="AC970" s="27"/>
      <c r="AD970" s="31" t="s">
        <v>25</v>
      </c>
      <c r="AE970" s="32" t="str">
        <f t="shared" si="77"/>
        <v>✓ OK</v>
      </c>
      <c r="AF970" s="33" t="s">
        <v>27</v>
      </c>
      <c r="AG970" s="33" t="s">
        <v>23</v>
      </c>
      <c r="AH970" s="33" t="s">
        <v>24</v>
      </c>
      <c r="AI970" s="33" t="s">
        <v>25</v>
      </c>
      <c r="AJ970" s="33" t="s">
        <v>26</v>
      </c>
      <c r="AK970" s="33" t="s">
        <v>24</v>
      </c>
      <c r="AL970" s="27"/>
      <c r="AM970" s="34" t="s">
        <v>25</v>
      </c>
      <c r="AN970" s="35" t="str">
        <f t="shared" si="78"/>
        <v>✓ OK</v>
      </c>
      <c r="AO970" s="36"/>
      <c r="AP970" s="36"/>
      <c r="AQ970" s="36"/>
      <c r="AR970" s="36"/>
      <c r="AS970" s="36"/>
      <c r="AT970" s="36"/>
      <c r="AU970" s="27"/>
      <c r="AV970" s="37"/>
      <c r="AW970" s="38" t="str">
        <f t="shared" si="79"/>
        <v/>
      </c>
    </row>
    <row r="971" spans="1:49" ht="18" customHeight="1" x14ac:dyDescent="0.3">
      <c r="A971" s="23">
        <v>967</v>
      </c>
      <c r="B971" s="24" t="s">
        <v>3782</v>
      </c>
      <c r="C971" s="25" t="s">
        <v>3783</v>
      </c>
      <c r="D971" s="23" t="s">
        <v>2819</v>
      </c>
      <c r="E971" s="43">
        <v>46126</v>
      </c>
      <c r="F971" s="26" t="s">
        <v>23</v>
      </c>
      <c r="G971" s="26" t="s">
        <v>24</v>
      </c>
      <c r="H971" s="26" t="s">
        <v>25</v>
      </c>
      <c r="I971" s="26" t="s">
        <v>26</v>
      </c>
      <c r="J971" s="26" t="s">
        <v>24</v>
      </c>
      <c r="K971" s="27"/>
      <c r="L971" s="28" t="s">
        <v>25</v>
      </c>
      <c r="M971" s="29" t="str">
        <f t="shared" si="75"/>
        <v>✓ OK</v>
      </c>
      <c r="N971" s="43">
        <v>46193</v>
      </c>
      <c r="O971" s="26" t="s">
        <v>23</v>
      </c>
      <c r="P971" s="26" t="s">
        <v>24</v>
      </c>
      <c r="Q971" s="26" t="s">
        <v>25</v>
      </c>
      <c r="R971" s="26" t="s">
        <v>26</v>
      </c>
      <c r="S971" s="26" t="s">
        <v>24</v>
      </c>
      <c r="T971" s="27"/>
      <c r="U971" s="28" t="s">
        <v>25</v>
      </c>
      <c r="V971" s="29" t="str">
        <f t="shared" si="76"/>
        <v>✓ OK</v>
      </c>
      <c r="W971" s="45">
        <v>46248</v>
      </c>
      <c r="X971" s="30" t="s">
        <v>23</v>
      </c>
      <c r="Y971" s="30" t="s">
        <v>24</v>
      </c>
      <c r="Z971" s="30" t="s">
        <v>25</v>
      </c>
      <c r="AA971" s="30" t="s">
        <v>26</v>
      </c>
      <c r="AB971" s="30" t="s">
        <v>24</v>
      </c>
      <c r="AC971" s="27"/>
      <c r="AD971" s="31" t="s">
        <v>25</v>
      </c>
      <c r="AE971" s="32" t="str">
        <f t="shared" si="77"/>
        <v>✓ OK</v>
      </c>
      <c r="AF971" s="33" t="s">
        <v>27</v>
      </c>
      <c r="AG971" s="33" t="s">
        <v>23</v>
      </c>
      <c r="AH971" s="33" t="s">
        <v>24</v>
      </c>
      <c r="AI971" s="33" t="s">
        <v>25</v>
      </c>
      <c r="AJ971" s="33" t="s">
        <v>26</v>
      </c>
      <c r="AK971" s="33" t="s">
        <v>24</v>
      </c>
      <c r="AL971" s="27"/>
      <c r="AM971" s="34" t="s">
        <v>25</v>
      </c>
      <c r="AN971" s="35" t="str">
        <f t="shared" si="78"/>
        <v>✓ OK</v>
      </c>
      <c r="AO971" s="36"/>
      <c r="AP971" s="36"/>
      <c r="AQ971" s="36"/>
      <c r="AR971" s="36"/>
      <c r="AS971" s="36"/>
      <c r="AT971" s="36"/>
      <c r="AU971" s="27"/>
      <c r="AV971" s="37"/>
      <c r="AW971" s="38" t="str">
        <f t="shared" si="79"/>
        <v/>
      </c>
    </row>
    <row r="972" spans="1:49" ht="18" customHeight="1" x14ac:dyDescent="0.3">
      <c r="A972" s="39">
        <v>968</v>
      </c>
      <c r="B972" s="40" t="s">
        <v>3784</v>
      </c>
      <c r="C972" s="41" t="s">
        <v>3785</v>
      </c>
      <c r="D972" s="39" t="s">
        <v>2819</v>
      </c>
      <c r="E972" s="43">
        <v>46126</v>
      </c>
      <c r="F972" s="26" t="s">
        <v>23</v>
      </c>
      <c r="G972" s="26" t="s">
        <v>24</v>
      </c>
      <c r="H972" s="26" t="s">
        <v>25</v>
      </c>
      <c r="I972" s="26" t="s">
        <v>26</v>
      </c>
      <c r="J972" s="26" t="s">
        <v>24</v>
      </c>
      <c r="K972" s="27"/>
      <c r="L972" s="28" t="s">
        <v>25</v>
      </c>
      <c r="M972" s="29" t="str">
        <f t="shared" si="75"/>
        <v>✓ OK</v>
      </c>
      <c r="N972" s="43">
        <v>46193</v>
      </c>
      <c r="O972" s="26" t="s">
        <v>23</v>
      </c>
      <c r="P972" s="26" t="s">
        <v>24</v>
      </c>
      <c r="Q972" s="26" t="s">
        <v>25</v>
      </c>
      <c r="R972" s="26" t="s">
        <v>26</v>
      </c>
      <c r="S972" s="26" t="s">
        <v>24</v>
      </c>
      <c r="T972" s="27"/>
      <c r="U972" s="28" t="s">
        <v>25</v>
      </c>
      <c r="V972" s="29" t="str">
        <f t="shared" si="76"/>
        <v>✓ OK</v>
      </c>
      <c r="W972" s="45">
        <v>46248</v>
      </c>
      <c r="X972" s="30" t="s">
        <v>23</v>
      </c>
      <c r="Y972" s="30" t="s">
        <v>24</v>
      </c>
      <c r="Z972" s="30" t="s">
        <v>25</v>
      </c>
      <c r="AA972" s="30" t="s">
        <v>26</v>
      </c>
      <c r="AB972" s="30" t="s">
        <v>24</v>
      </c>
      <c r="AC972" s="27"/>
      <c r="AD972" s="31" t="s">
        <v>25</v>
      </c>
      <c r="AE972" s="32" t="str">
        <f t="shared" si="77"/>
        <v>✓ OK</v>
      </c>
      <c r="AF972" s="33" t="s">
        <v>27</v>
      </c>
      <c r="AG972" s="33" t="s">
        <v>23</v>
      </c>
      <c r="AH972" s="33" t="s">
        <v>24</v>
      </c>
      <c r="AI972" s="33" t="s">
        <v>25</v>
      </c>
      <c r="AJ972" s="33" t="s">
        <v>26</v>
      </c>
      <c r="AK972" s="33" t="s">
        <v>24</v>
      </c>
      <c r="AL972" s="27"/>
      <c r="AM972" s="34" t="s">
        <v>25</v>
      </c>
      <c r="AN972" s="35" t="str">
        <f t="shared" si="78"/>
        <v>✓ OK</v>
      </c>
      <c r="AO972" s="36"/>
      <c r="AP972" s="36"/>
      <c r="AQ972" s="36"/>
      <c r="AR972" s="36"/>
      <c r="AS972" s="36"/>
      <c r="AT972" s="36"/>
      <c r="AU972" s="27"/>
      <c r="AV972" s="37"/>
      <c r="AW972" s="38" t="str">
        <f t="shared" si="79"/>
        <v/>
      </c>
    </row>
    <row r="973" spans="1:49" ht="18" customHeight="1" x14ac:dyDescent="0.3">
      <c r="A973" s="23">
        <v>969</v>
      </c>
      <c r="B973" s="24" t="s">
        <v>3786</v>
      </c>
      <c r="C973" s="25" t="s">
        <v>3787</v>
      </c>
      <c r="D973" s="23" t="s">
        <v>2819</v>
      </c>
      <c r="E973" s="43">
        <v>46126</v>
      </c>
      <c r="F973" s="26" t="s">
        <v>23</v>
      </c>
      <c r="G973" s="26" t="s">
        <v>24</v>
      </c>
      <c r="H973" s="26" t="s">
        <v>25</v>
      </c>
      <c r="I973" s="26" t="s">
        <v>26</v>
      </c>
      <c r="J973" s="26" t="s">
        <v>24</v>
      </c>
      <c r="K973" s="27"/>
      <c r="L973" s="28" t="s">
        <v>25</v>
      </c>
      <c r="M973" s="29" t="str">
        <f t="shared" si="75"/>
        <v>✓ OK</v>
      </c>
      <c r="N973" s="43">
        <v>46193</v>
      </c>
      <c r="O973" s="26" t="s">
        <v>23</v>
      </c>
      <c r="P973" s="26" t="s">
        <v>24</v>
      </c>
      <c r="Q973" s="26" t="s">
        <v>25</v>
      </c>
      <c r="R973" s="26" t="s">
        <v>26</v>
      </c>
      <c r="S973" s="26" t="s">
        <v>24</v>
      </c>
      <c r="T973" s="27"/>
      <c r="U973" s="28" t="s">
        <v>25</v>
      </c>
      <c r="V973" s="29" t="str">
        <f t="shared" si="76"/>
        <v>✓ OK</v>
      </c>
      <c r="W973" s="45">
        <v>46248</v>
      </c>
      <c r="X973" s="30" t="s">
        <v>23</v>
      </c>
      <c r="Y973" s="30" t="s">
        <v>24</v>
      </c>
      <c r="Z973" s="30" t="s">
        <v>25</v>
      </c>
      <c r="AA973" s="30" t="s">
        <v>26</v>
      </c>
      <c r="AB973" s="30" t="s">
        <v>24</v>
      </c>
      <c r="AC973" s="27"/>
      <c r="AD973" s="31" t="s">
        <v>25</v>
      </c>
      <c r="AE973" s="32" t="str">
        <f t="shared" si="77"/>
        <v>✓ OK</v>
      </c>
      <c r="AF973" s="33" t="s">
        <v>27</v>
      </c>
      <c r="AG973" s="33" t="s">
        <v>23</v>
      </c>
      <c r="AH973" s="33" t="s">
        <v>24</v>
      </c>
      <c r="AI973" s="33" t="s">
        <v>25</v>
      </c>
      <c r="AJ973" s="33" t="s">
        <v>26</v>
      </c>
      <c r="AK973" s="33" t="s">
        <v>24</v>
      </c>
      <c r="AL973" s="27"/>
      <c r="AM973" s="34" t="s">
        <v>25</v>
      </c>
      <c r="AN973" s="35" t="str">
        <f t="shared" si="78"/>
        <v>✓ OK</v>
      </c>
      <c r="AO973" s="36"/>
      <c r="AP973" s="36"/>
      <c r="AQ973" s="36"/>
      <c r="AR973" s="36"/>
      <c r="AS973" s="36"/>
      <c r="AT973" s="36"/>
      <c r="AU973" s="27"/>
      <c r="AV973" s="37"/>
      <c r="AW973" s="38" t="str">
        <f t="shared" si="79"/>
        <v/>
      </c>
    </row>
    <row r="974" spans="1:49" ht="18" customHeight="1" x14ac:dyDescent="0.3">
      <c r="A974" s="39">
        <v>970</v>
      </c>
      <c r="B974" s="40" t="s">
        <v>3788</v>
      </c>
      <c r="C974" s="41" t="s">
        <v>3789</v>
      </c>
      <c r="D974" s="39" t="s">
        <v>2819</v>
      </c>
      <c r="E974" s="43">
        <v>46126</v>
      </c>
      <c r="F974" s="26" t="s">
        <v>23</v>
      </c>
      <c r="G974" s="26" t="s">
        <v>24</v>
      </c>
      <c r="H974" s="26" t="s">
        <v>25</v>
      </c>
      <c r="I974" s="26" t="s">
        <v>26</v>
      </c>
      <c r="J974" s="26" t="s">
        <v>24</v>
      </c>
      <c r="K974" s="27"/>
      <c r="L974" s="28" t="s">
        <v>25</v>
      </c>
      <c r="M974" s="29" t="str">
        <f t="shared" si="75"/>
        <v>✓ OK</v>
      </c>
      <c r="N974" s="43">
        <v>46193</v>
      </c>
      <c r="O974" s="26" t="s">
        <v>23</v>
      </c>
      <c r="P974" s="26" t="s">
        <v>24</v>
      </c>
      <c r="Q974" s="26" t="s">
        <v>25</v>
      </c>
      <c r="R974" s="26" t="s">
        <v>26</v>
      </c>
      <c r="S974" s="26" t="s">
        <v>24</v>
      </c>
      <c r="T974" s="27"/>
      <c r="U974" s="28" t="s">
        <v>25</v>
      </c>
      <c r="V974" s="29" t="str">
        <f t="shared" si="76"/>
        <v>✓ OK</v>
      </c>
      <c r="W974" s="45">
        <v>46248</v>
      </c>
      <c r="X974" s="30" t="s">
        <v>23</v>
      </c>
      <c r="Y974" s="30" t="s">
        <v>24</v>
      </c>
      <c r="Z974" s="30" t="s">
        <v>25</v>
      </c>
      <c r="AA974" s="30" t="s">
        <v>26</v>
      </c>
      <c r="AB974" s="30" t="s">
        <v>24</v>
      </c>
      <c r="AC974" s="27"/>
      <c r="AD974" s="31" t="s">
        <v>25</v>
      </c>
      <c r="AE974" s="32" t="str">
        <f t="shared" si="77"/>
        <v>✓ OK</v>
      </c>
      <c r="AF974" s="33" t="s">
        <v>27</v>
      </c>
      <c r="AG974" s="33" t="s">
        <v>23</v>
      </c>
      <c r="AH974" s="33" t="s">
        <v>24</v>
      </c>
      <c r="AI974" s="33" t="s">
        <v>25</v>
      </c>
      <c r="AJ974" s="33" t="s">
        <v>26</v>
      </c>
      <c r="AK974" s="33" t="s">
        <v>24</v>
      </c>
      <c r="AL974" s="27"/>
      <c r="AM974" s="34" t="s">
        <v>25</v>
      </c>
      <c r="AN974" s="35" t="str">
        <f t="shared" si="78"/>
        <v>✓ OK</v>
      </c>
      <c r="AO974" s="36"/>
      <c r="AP974" s="36"/>
      <c r="AQ974" s="36"/>
      <c r="AR974" s="36"/>
      <c r="AS974" s="36"/>
      <c r="AT974" s="36"/>
      <c r="AU974" s="27"/>
      <c r="AV974" s="37"/>
      <c r="AW974" s="38" t="str">
        <f t="shared" si="79"/>
        <v/>
      </c>
    </row>
    <row r="975" spans="1:49" ht="18" customHeight="1" x14ac:dyDescent="0.3">
      <c r="A975" s="23">
        <v>971</v>
      </c>
      <c r="B975" s="24" t="s">
        <v>3790</v>
      </c>
      <c r="C975" s="25" t="s">
        <v>3791</v>
      </c>
      <c r="D975" s="23" t="s">
        <v>2819</v>
      </c>
      <c r="E975" s="43">
        <v>46126</v>
      </c>
      <c r="F975" s="26" t="s">
        <v>23</v>
      </c>
      <c r="G975" s="26" t="s">
        <v>24</v>
      </c>
      <c r="H975" s="26" t="s">
        <v>25</v>
      </c>
      <c r="I975" s="26" t="s">
        <v>26</v>
      </c>
      <c r="J975" s="26" t="s">
        <v>24</v>
      </c>
      <c r="K975" s="27"/>
      <c r="L975" s="28" t="s">
        <v>25</v>
      </c>
      <c r="M975" s="29" t="str">
        <f t="shared" si="75"/>
        <v>✓ OK</v>
      </c>
      <c r="N975" s="43">
        <v>46193</v>
      </c>
      <c r="O975" s="26" t="s">
        <v>23</v>
      </c>
      <c r="P975" s="26" t="s">
        <v>24</v>
      </c>
      <c r="Q975" s="26" t="s">
        <v>25</v>
      </c>
      <c r="R975" s="26" t="s">
        <v>26</v>
      </c>
      <c r="S975" s="26" t="s">
        <v>24</v>
      </c>
      <c r="T975" s="27"/>
      <c r="U975" s="28" t="s">
        <v>25</v>
      </c>
      <c r="V975" s="29" t="str">
        <f t="shared" si="76"/>
        <v>✓ OK</v>
      </c>
      <c r="W975" s="45">
        <v>46248</v>
      </c>
      <c r="X975" s="30" t="s">
        <v>23</v>
      </c>
      <c r="Y975" s="30" t="s">
        <v>24</v>
      </c>
      <c r="Z975" s="30" t="s">
        <v>25</v>
      </c>
      <c r="AA975" s="30" t="s">
        <v>26</v>
      </c>
      <c r="AB975" s="30" t="s">
        <v>24</v>
      </c>
      <c r="AC975" s="27"/>
      <c r="AD975" s="31" t="s">
        <v>25</v>
      </c>
      <c r="AE975" s="32" t="str">
        <f t="shared" si="77"/>
        <v>✓ OK</v>
      </c>
      <c r="AF975" s="33" t="s">
        <v>27</v>
      </c>
      <c r="AG975" s="33" t="s">
        <v>23</v>
      </c>
      <c r="AH975" s="33" t="s">
        <v>24</v>
      </c>
      <c r="AI975" s="33" t="s">
        <v>25</v>
      </c>
      <c r="AJ975" s="33" t="s">
        <v>26</v>
      </c>
      <c r="AK975" s="33" t="s">
        <v>24</v>
      </c>
      <c r="AL975" s="27"/>
      <c r="AM975" s="34" t="s">
        <v>25</v>
      </c>
      <c r="AN975" s="35" t="str">
        <f t="shared" si="78"/>
        <v>✓ OK</v>
      </c>
      <c r="AO975" s="36"/>
      <c r="AP975" s="36"/>
      <c r="AQ975" s="36"/>
      <c r="AR975" s="36"/>
      <c r="AS975" s="36"/>
      <c r="AT975" s="36"/>
      <c r="AU975" s="27"/>
      <c r="AV975" s="37"/>
      <c r="AW975" s="38" t="str">
        <f t="shared" si="79"/>
        <v/>
      </c>
    </row>
    <row r="976" spans="1:49" ht="18" customHeight="1" x14ac:dyDescent="0.3">
      <c r="A976" s="39">
        <v>972</v>
      </c>
      <c r="B976" s="40" t="s">
        <v>3792</v>
      </c>
      <c r="C976" s="41" t="s">
        <v>3793</v>
      </c>
      <c r="D976" s="39" t="s">
        <v>2819</v>
      </c>
      <c r="E976" s="43">
        <v>46126</v>
      </c>
      <c r="F976" s="26" t="s">
        <v>23</v>
      </c>
      <c r="G976" s="26" t="s">
        <v>24</v>
      </c>
      <c r="H976" s="26" t="s">
        <v>25</v>
      </c>
      <c r="I976" s="26" t="s">
        <v>26</v>
      </c>
      <c r="J976" s="26" t="s">
        <v>24</v>
      </c>
      <c r="K976" s="27"/>
      <c r="L976" s="28" t="s">
        <v>25</v>
      </c>
      <c r="M976" s="29" t="str">
        <f t="shared" si="75"/>
        <v>✓ OK</v>
      </c>
      <c r="N976" s="43">
        <v>46193</v>
      </c>
      <c r="O976" s="26" t="s">
        <v>23</v>
      </c>
      <c r="P976" s="26" t="s">
        <v>24</v>
      </c>
      <c r="Q976" s="26" t="s">
        <v>25</v>
      </c>
      <c r="R976" s="26" t="s">
        <v>26</v>
      </c>
      <c r="S976" s="26" t="s">
        <v>24</v>
      </c>
      <c r="T976" s="27"/>
      <c r="U976" s="28" t="s">
        <v>25</v>
      </c>
      <c r="V976" s="29" t="str">
        <f t="shared" si="76"/>
        <v>✓ OK</v>
      </c>
      <c r="W976" s="45">
        <v>46248</v>
      </c>
      <c r="X976" s="30" t="s">
        <v>23</v>
      </c>
      <c r="Y976" s="30" t="s">
        <v>24</v>
      </c>
      <c r="Z976" s="30" t="s">
        <v>25</v>
      </c>
      <c r="AA976" s="30" t="s">
        <v>26</v>
      </c>
      <c r="AB976" s="30" t="s">
        <v>24</v>
      </c>
      <c r="AC976" s="27"/>
      <c r="AD976" s="31" t="s">
        <v>25</v>
      </c>
      <c r="AE976" s="32" t="str">
        <f t="shared" si="77"/>
        <v>✓ OK</v>
      </c>
      <c r="AF976" s="33" t="s">
        <v>27</v>
      </c>
      <c r="AG976" s="33" t="s">
        <v>23</v>
      </c>
      <c r="AH976" s="33" t="s">
        <v>24</v>
      </c>
      <c r="AI976" s="33" t="s">
        <v>25</v>
      </c>
      <c r="AJ976" s="33" t="s">
        <v>26</v>
      </c>
      <c r="AK976" s="33" t="s">
        <v>24</v>
      </c>
      <c r="AL976" s="27"/>
      <c r="AM976" s="34" t="s">
        <v>25</v>
      </c>
      <c r="AN976" s="35" t="str">
        <f t="shared" si="78"/>
        <v>✓ OK</v>
      </c>
      <c r="AO976" s="36"/>
      <c r="AP976" s="36"/>
      <c r="AQ976" s="36"/>
      <c r="AR976" s="36"/>
      <c r="AS976" s="36"/>
      <c r="AT976" s="36"/>
      <c r="AU976" s="27"/>
      <c r="AV976" s="37"/>
      <c r="AW976" s="38" t="str">
        <f t="shared" si="79"/>
        <v/>
      </c>
    </row>
    <row r="977" spans="1:49" ht="18" customHeight="1" x14ac:dyDescent="0.3">
      <c r="A977" s="23">
        <v>973</v>
      </c>
      <c r="B977" s="24" t="s">
        <v>3794</v>
      </c>
      <c r="C977" s="25" t="s">
        <v>3795</v>
      </c>
      <c r="D977" s="23" t="s">
        <v>2819</v>
      </c>
      <c r="E977" s="43">
        <v>46126</v>
      </c>
      <c r="F977" s="26" t="s">
        <v>23</v>
      </c>
      <c r="G977" s="26" t="s">
        <v>24</v>
      </c>
      <c r="H977" s="26" t="s">
        <v>25</v>
      </c>
      <c r="I977" s="26" t="s">
        <v>26</v>
      </c>
      <c r="J977" s="26" t="s">
        <v>24</v>
      </c>
      <c r="K977" s="27"/>
      <c r="L977" s="28" t="s">
        <v>25</v>
      </c>
      <c r="M977" s="29" t="str">
        <f t="shared" si="75"/>
        <v>✓ OK</v>
      </c>
      <c r="N977" s="43">
        <v>46193</v>
      </c>
      <c r="O977" s="26" t="s">
        <v>23</v>
      </c>
      <c r="P977" s="26" t="s">
        <v>24</v>
      </c>
      <c r="Q977" s="26" t="s">
        <v>25</v>
      </c>
      <c r="R977" s="26" t="s">
        <v>26</v>
      </c>
      <c r="S977" s="26" t="s">
        <v>24</v>
      </c>
      <c r="T977" s="27"/>
      <c r="U977" s="28" t="s">
        <v>25</v>
      </c>
      <c r="V977" s="29" t="str">
        <f t="shared" si="76"/>
        <v>✓ OK</v>
      </c>
      <c r="W977" s="45">
        <v>46248</v>
      </c>
      <c r="X977" s="30" t="s">
        <v>23</v>
      </c>
      <c r="Y977" s="30" t="s">
        <v>24</v>
      </c>
      <c r="Z977" s="30" t="s">
        <v>25</v>
      </c>
      <c r="AA977" s="30" t="s">
        <v>26</v>
      </c>
      <c r="AB977" s="30" t="s">
        <v>24</v>
      </c>
      <c r="AC977" s="27"/>
      <c r="AD977" s="31" t="s">
        <v>25</v>
      </c>
      <c r="AE977" s="32" t="str">
        <f t="shared" si="77"/>
        <v>✓ OK</v>
      </c>
      <c r="AF977" s="33" t="s">
        <v>27</v>
      </c>
      <c r="AG977" s="33" t="s">
        <v>23</v>
      </c>
      <c r="AH977" s="33" t="s">
        <v>24</v>
      </c>
      <c r="AI977" s="33" t="s">
        <v>25</v>
      </c>
      <c r="AJ977" s="33" t="s">
        <v>26</v>
      </c>
      <c r="AK977" s="33" t="s">
        <v>24</v>
      </c>
      <c r="AL977" s="27"/>
      <c r="AM977" s="34" t="s">
        <v>25</v>
      </c>
      <c r="AN977" s="35" t="str">
        <f t="shared" si="78"/>
        <v>✓ OK</v>
      </c>
      <c r="AO977" s="36"/>
      <c r="AP977" s="36"/>
      <c r="AQ977" s="36"/>
      <c r="AR977" s="36"/>
      <c r="AS977" s="36"/>
      <c r="AT977" s="36"/>
      <c r="AU977" s="27"/>
      <c r="AV977" s="37"/>
      <c r="AW977" s="38" t="str">
        <f t="shared" si="79"/>
        <v/>
      </c>
    </row>
    <row r="978" spans="1:49" ht="18" customHeight="1" x14ac:dyDescent="0.3">
      <c r="A978" s="39">
        <v>974</v>
      </c>
      <c r="B978" s="40" t="s">
        <v>3796</v>
      </c>
      <c r="C978" s="41" t="s">
        <v>3797</v>
      </c>
      <c r="D978" s="39" t="s">
        <v>2819</v>
      </c>
      <c r="E978" s="43">
        <v>46126</v>
      </c>
      <c r="F978" s="26" t="s">
        <v>23</v>
      </c>
      <c r="G978" s="26" t="s">
        <v>24</v>
      </c>
      <c r="H978" s="26" t="s">
        <v>25</v>
      </c>
      <c r="I978" s="26" t="s">
        <v>26</v>
      </c>
      <c r="J978" s="26" t="s">
        <v>24</v>
      </c>
      <c r="K978" s="27"/>
      <c r="L978" s="28" t="s">
        <v>25</v>
      </c>
      <c r="M978" s="29" t="str">
        <f t="shared" si="75"/>
        <v>✓ OK</v>
      </c>
      <c r="N978" s="43">
        <v>46193</v>
      </c>
      <c r="O978" s="26" t="s">
        <v>23</v>
      </c>
      <c r="P978" s="26" t="s">
        <v>24</v>
      </c>
      <c r="Q978" s="26" t="s">
        <v>25</v>
      </c>
      <c r="R978" s="26" t="s">
        <v>26</v>
      </c>
      <c r="S978" s="26" t="s">
        <v>24</v>
      </c>
      <c r="T978" s="27"/>
      <c r="U978" s="28" t="s">
        <v>25</v>
      </c>
      <c r="V978" s="29" t="str">
        <f t="shared" si="76"/>
        <v>✓ OK</v>
      </c>
      <c r="W978" s="45">
        <v>46248</v>
      </c>
      <c r="X978" s="30" t="s">
        <v>23</v>
      </c>
      <c r="Y978" s="30" t="s">
        <v>24</v>
      </c>
      <c r="Z978" s="30" t="s">
        <v>25</v>
      </c>
      <c r="AA978" s="30" t="s">
        <v>26</v>
      </c>
      <c r="AB978" s="30" t="s">
        <v>24</v>
      </c>
      <c r="AC978" s="27"/>
      <c r="AD978" s="31" t="s">
        <v>25</v>
      </c>
      <c r="AE978" s="32" t="str">
        <f t="shared" si="77"/>
        <v>✓ OK</v>
      </c>
      <c r="AF978" s="33" t="s">
        <v>27</v>
      </c>
      <c r="AG978" s="33" t="s">
        <v>23</v>
      </c>
      <c r="AH978" s="33" t="s">
        <v>24</v>
      </c>
      <c r="AI978" s="33" t="s">
        <v>25</v>
      </c>
      <c r="AJ978" s="33" t="s">
        <v>26</v>
      </c>
      <c r="AK978" s="33" t="s">
        <v>24</v>
      </c>
      <c r="AL978" s="27"/>
      <c r="AM978" s="34" t="s">
        <v>25</v>
      </c>
      <c r="AN978" s="35" t="str">
        <f t="shared" si="78"/>
        <v>✓ OK</v>
      </c>
      <c r="AO978" s="36"/>
      <c r="AP978" s="36"/>
      <c r="AQ978" s="36"/>
      <c r="AR978" s="36"/>
      <c r="AS978" s="36"/>
      <c r="AT978" s="36"/>
      <c r="AU978" s="27"/>
      <c r="AV978" s="37"/>
      <c r="AW978" s="38" t="str">
        <f t="shared" si="79"/>
        <v/>
      </c>
    </row>
    <row r="979" spans="1:49" ht="18" customHeight="1" x14ac:dyDescent="0.3">
      <c r="A979" s="23">
        <v>975</v>
      </c>
      <c r="B979" s="24" t="s">
        <v>3798</v>
      </c>
      <c r="C979" s="25" t="s">
        <v>3799</v>
      </c>
      <c r="D979" s="23" t="s">
        <v>2819</v>
      </c>
      <c r="E979" s="43">
        <v>46126</v>
      </c>
      <c r="F979" s="26" t="s">
        <v>23</v>
      </c>
      <c r="G979" s="26" t="s">
        <v>24</v>
      </c>
      <c r="H979" s="26" t="s">
        <v>25</v>
      </c>
      <c r="I979" s="26" t="s">
        <v>26</v>
      </c>
      <c r="J979" s="26" t="s">
        <v>24</v>
      </c>
      <c r="K979" s="27"/>
      <c r="L979" s="28" t="s">
        <v>25</v>
      </c>
      <c r="M979" s="29" t="str">
        <f t="shared" si="75"/>
        <v>✓ OK</v>
      </c>
      <c r="N979" s="43">
        <v>46193</v>
      </c>
      <c r="O979" s="26" t="s">
        <v>23</v>
      </c>
      <c r="P979" s="26" t="s">
        <v>24</v>
      </c>
      <c r="Q979" s="26" t="s">
        <v>25</v>
      </c>
      <c r="R979" s="26" t="s">
        <v>26</v>
      </c>
      <c r="S979" s="26" t="s">
        <v>24</v>
      </c>
      <c r="T979" s="27"/>
      <c r="U979" s="28" t="s">
        <v>25</v>
      </c>
      <c r="V979" s="29" t="str">
        <f t="shared" si="76"/>
        <v>✓ OK</v>
      </c>
      <c r="W979" s="45">
        <v>46248</v>
      </c>
      <c r="X979" s="30" t="s">
        <v>23</v>
      </c>
      <c r="Y979" s="30" t="s">
        <v>24</v>
      </c>
      <c r="Z979" s="30" t="s">
        <v>25</v>
      </c>
      <c r="AA979" s="30" t="s">
        <v>26</v>
      </c>
      <c r="AB979" s="30" t="s">
        <v>24</v>
      </c>
      <c r="AC979" s="27"/>
      <c r="AD979" s="31" t="s">
        <v>25</v>
      </c>
      <c r="AE979" s="32" t="str">
        <f t="shared" si="77"/>
        <v>✓ OK</v>
      </c>
      <c r="AF979" s="33" t="s">
        <v>27</v>
      </c>
      <c r="AG979" s="33" t="s">
        <v>23</v>
      </c>
      <c r="AH979" s="33" t="s">
        <v>24</v>
      </c>
      <c r="AI979" s="33" t="s">
        <v>25</v>
      </c>
      <c r="AJ979" s="33" t="s">
        <v>26</v>
      </c>
      <c r="AK979" s="33" t="s">
        <v>24</v>
      </c>
      <c r="AL979" s="27"/>
      <c r="AM979" s="34" t="s">
        <v>25</v>
      </c>
      <c r="AN979" s="35" t="str">
        <f t="shared" si="78"/>
        <v>✓ OK</v>
      </c>
      <c r="AO979" s="36"/>
      <c r="AP979" s="36"/>
      <c r="AQ979" s="36"/>
      <c r="AR979" s="36"/>
      <c r="AS979" s="36"/>
      <c r="AT979" s="36"/>
      <c r="AU979" s="27"/>
      <c r="AV979" s="37"/>
      <c r="AW979" s="38" t="str">
        <f t="shared" si="79"/>
        <v/>
      </c>
    </row>
    <row r="980" spans="1:49" ht="18" customHeight="1" x14ac:dyDescent="0.3">
      <c r="A980" s="39">
        <v>976</v>
      </c>
      <c r="B980" s="40" t="s">
        <v>3800</v>
      </c>
      <c r="C980" s="41" t="s">
        <v>3801</v>
      </c>
      <c r="D980" s="39" t="s">
        <v>2819</v>
      </c>
      <c r="E980" s="43">
        <v>46126</v>
      </c>
      <c r="F980" s="26" t="s">
        <v>23</v>
      </c>
      <c r="G980" s="26" t="s">
        <v>24</v>
      </c>
      <c r="H980" s="26" t="s">
        <v>25</v>
      </c>
      <c r="I980" s="26" t="s">
        <v>26</v>
      </c>
      <c r="J980" s="26" t="s">
        <v>24</v>
      </c>
      <c r="K980" s="27"/>
      <c r="L980" s="28" t="s">
        <v>25</v>
      </c>
      <c r="M980" s="29" t="str">
        <f t="shared" si="75"/>
        <v>✓ OK</v>
      </c>
      <c r="N980" s="43">
        <v>46193</v>
      </c>
      <c r="O980" s="26" t="s">
        <v>23</v>
      </c>
      <c r="P980" s="26" t="s">
        <v>24</v>
      </c>
      <c r="Q980" s="26" t="s">
        <v>25</v>
      </c>
      <c r="R980" s="26" t="s">
        <v>26</v>
      </c>
      <c r="S980" s="26" t="s">
        <v>24</v>
      </c>
      <c r="T980" s="27"/>
      <c r="U980" s="28" t="s">
        <v>25</v>
      </c>
      <c r="V980" s="29" t="str">
        <f t="shared" si="76"/>
        <v>✓ OK</v>
      </c>
      <c r="W980" s="45">
        <v>46248</v>
      </c>
      <c r="X980" s="30" t="s">
        <v>23</v>
      </c>
      <c r="Y980" s="30" t="s">
        <v>24</v>
      </c>
      <c r="Z980" s="30" t="s">
        <v>25</v>
      </c>
      <c r="AA980" s="30" t="s">
        <v>26</v>
      </c>
      <c r="AB980" s="30" t="s">
        <v>24</v>
      </c>
      <c r="AC980" s="27"/>
      <c r="AD980" s="31" t="s">
        <v>25</v>
      </c>
      <c r="AE980" s="32" t="str">
        <f t="shared" si="77"/>
        <v>✓ OK</v>
      </c>
      <c r="AF980" s="33" t="s">
        <v>27</v>
      </c>
      <c r="AG980" s="33" t="s">
        <v>23</v>
      </c>
      <c r="AH980" s="33" t="s">
        <v>24</v>
      </c>
      <c r="AI980" s="33" t="s">
        <v>25</v>
      </c>
      <c r="AJ980" s="33" t="s">
        <v>26</v>
      </c>
      <c r="AK980" s="33" t="s">
        <v>24</v>
      </c>
      <c r="AL980" s="27"/>
      <c r="AM980" s="34" t="s">
        <v>25</v>
      </c>
      <c r="AN980" s="35" t="str">
        <f t="shared" si="78"/>
        <v>✓ OK</v>
      </c>
      <c r="AO980" s="36"/>
      <c r="AP980" s="36"/>
      <c r="AQ980" s="36"/>
      <c r="AR980" s="36"/>
      <c r="AS980" s="36"/>
      <c r="AT980" s="36"/>
      <c r="AU980" s="27"/>
      <c r="AV980" s="37"/>
      <c r="AW980" s="38" t="str">
        <f t="shared" si="79"/>
        <v/>
      </c>
    </row>
    <row r="981" spans="1:49" ht="18" customHeight="1" x14ac:dyDescent="0.3">
      <c r="A981" s="23">
        <v>977</v>
      </c>
      <c r="B981" s="24" t="s">
        <v>3802</v>
      </c>
      <c r="C981" s="25" t="s">
        <v>3803</v>
      </c>
      <c r="D981" s="23" t="s">
        <v>2819</v>
      </c>
      <c r="E981" s="43">
        <v>46126</v>
      </c>
      <c r="F981" s="26" t="s">
        <v>23</v>
      </c>
      <c r="G981" s="26" t="s">
        <v>24</v>
      </c>
      <c r="H981" s="26" t="s">
        <v>25</v>
      </c>
      <c r="I981" s="26" t="s">
        <v>26</v>
      </c>
      <c r="J981" s="26" t="s">
        <v>24</v>
      </c>
      <c r="K981" s="27"/>
      <c r="L981" s="28" t="s">
        <v>25</v>
      </c>
      <c r="M981" s="29" t="str">
        <f t="shared" si="75"/>
        <v>✓ OK</v>
      </c>
      <c r="N981" s="43">
        <v>46193</v>
      </c>
      <c r="O981" s="26" t="s">
        <v>23</v>
      </c>
      <c r="P981" s="26" t="s">
        <v>24</v>
      </c>
      <c r="Q981" s="26" t="s">
        <v>25</v>
      </c>
      <c r="R981" s="26" t="s">
        <v>26</v>
      </c>
      <c r="S981" s="26" t="s">
        <v>24</v>
      </c>
      <c r="T981" s="27"/>
      <c r="U981" s="28" t="s">
        <v>25</v>
      </c>
      <c r="V981" s="29" t="str">
        <f t="shared" si="76"/>
        <v>✓ OK</v>
      </c>
      <c r="W981" s="45">
        <v>46248</v>
      </c>
      <c r="X981" s="30" t="s">
        <v>23</v>
      </c>
      <c r="Y981" s="30" t="s">
        <v>24</v>
      </c>
      <c r="Z981" s="30" t="s">
        <v>25</v>
      </c>
      <c r="AA981" s="30" t="s">
        <v>26</v>
      </c>
      <c r="AB981" s="30" t="s">
        <v>24</v>
      </c>
      <c r="AC981" s="27"/>
      <c r="AD981" s="31" t="s">
        <v>25</v>
      </c>
      <c r="AE981" s="32" t="str">
        <f t="shared" si="77"/>
        <v>✓ OK</v>
      </c>
      <c r="AF981" s="33" t="s">
        <v>27</v>
      </c>
      <c r="AG981" s="33" t="s">
        <v>23</v>
      </c>
      <c r="AH981" s="33" t="s">
        <v>24</v>
      </c>
      <c r="AI981" s="33" t="s">
        <v>25</v>
      </c>
      <c r="AJ981" s="33" t="s">
        <v>26</v>
      </c>
      <c r="AK981" s="33" t="s">
        <v>24</v>
      </c>
      <c r="AL981" s="27"/>
      <c r="AM981" s="34" t="s">
        <v>25</v>
      </c>
      <c r="AN981" s="35" t="str">
        <f t="shared" si="78"/>
        <v>✓ OK</v>
      </c>
      <c r="AO981" s="36"/>
      <c r="AP981" s="36"/>
      <c r="AQ981" s="36"/>
      <c r="AR981" s="36"/>
      <c r="AS981" s="36"/>
      <c r="AT981" s="36"/>
      <c r="AU981" s="27"/>
      <c r="AV981" s="37"/>
      <c r="AW981" s="38" t="str">
        <f t="shared" si="79"/>
        <v/>
      </c>
    </row>
    <row r="982" spans="1:49" ht="18" customHeight="1" x14ac:dyDescent="0.3">
      <c r="A982" s="39">
        <v>978</v>
      </c>
      <c r="B982" s="40" t="s">
        <v>3804</v>
      </c>
      <c r="C982" s="41" t="s">
        <v>3805</v>
      </c>
      <c r="D982" s="39" t="s">
        <v>2819</v>
      </c>
      <c r="E982" s="43">
        <v>46126</v>
      </c>
      <c r="F982" s="26" t="s">
        <v>23</v>
      </c>
      <c r="G982" s="26" t="s">
        <v>24</v>
      </c>
      <c r="H982" s="26" t="s">
        <v>25</v>
      </c>
      <c r="I982" s="26" t="s">
        <v>26</v>
      </c>
      <c r="J982" s="26" t="s">
        <v>24</v>
      </c>
      <c r="K982" s="27"/>
      <c r="L982" s="28" t="s">
        <v>25</v>
      </c>
      <c r="M982" s="29" t="str">
        <f t="shared" si="75"/>
        <v>✓ OK</v>
      </c>
      <c r="N982" s="43">
        <v>46193</v>
      </c>
      <c r="O982" s="26" t="s">
        <v>23</v>
      </c>
      <c r="P982" s="26" t="s">
        <v>24</v>
      </c>
      <c r="Q982" s="26" t="s">
        <v>25</v>
      </c>
      <c r="R982" s="26" t="s">
        <v>26</v>
      </c>
      <c r="S982" s="26" t="s">
        <v>24</v>
      </c>
      <c r="T982" s="27"/>
      <c r="U982" s="28" t="s">
        <v>25</v>
      </c>
      <c r="V982" s="29" t="str">
        <f t="shared" si="76"/>
        <v>✓ OK</v>
      </c>
      <c r="W982" s="45">
        <v>46248</v>
      </c>
      <c r="X982" s="30" t="s">
        <v>23</v>
      </c>
      <c r="Y982" s="30" t="s">
        <v>24</v>
      </c>
      <c r="Z982" s="30" t="s">
        <v>25</v>
      </c>
      <c r="AA982" s="30" t="s">
        <v>26</v>
      </c>
      <c r="AB982" s="30" t="s">
        <v>24</v>
      </c>
      <c r="AC982" s="27"/>
      <c r="AD982" s="31" t="s">
        <v>25</v>
      </c>
      <c r="AE982" s="32" t="str">
        <f t="shared" si="77"/>
        <v>✓ OK</v>
      </c>
      <c r="AF982" s="33" t="s">
        <v>27</v>
      </c>
      <c r="AG982" s="33" t="s">
        <v>23</v>
      </c>
      <c r="AH982" s="33" t="s">
        <v>24</v>
      </c>
      <c r="AI982" s="33" t="s">
        <v>25</v>
      </c>
      <c r="AJ982" s="33" t="s">
        <v>26</v>
      </c>
      <c r="AK982" s="33" t="s">
        <v>24</v>
      </c>
      <c r="AL982" s="27"/>
      <c r="AM982" s="34" t="s">
        <v>25</v>
      </c>
      <c r="AN982" s="35" t="str">
        <f t="shared" si="78"/>
        <v>✓ OK</v>
      </c>
      <c r="AO982" s="36"/>
      <c r="AP982" s="36"/>
      <c r="AQ982" s="36"/>
      <c r="AR982" s="36"/>
      <c r="AS982" s="36"/>
      <c r="AT982" s="36"/>
      <c r="AU982" s="27"/>
      <c r="AV982" s="37"/>
      <c r="AW982" s="38" t="str">
        <f t="shared" si="79"/>
        <v/>
      </c>
    </row>
    <row r="983" spans="1:49" ht="18" customHeight="1" x14ac:dyDescent="0.3">
      <c r="A983" s="23">
        <v>979</v>
      </c>
      <c r="B983" s="24" t="s">
        <v>3806</v>
      </c>
      <c r="C983" s="25" t="s">
        <v>3807</v>
      </c>
      <c r="D983" s="23" t="s">
        <v>2819</v>
      </c>
      <c r="E983" s="43">
        <v>46126</v>
      </c>
      <c r="F983" s="26" t="s">
        <v>23</v>
      </c>
      <c r="G983" s="26" t="s">
        <v>24</v>
      </c>
      <c r="H983" s="26" t="s">
        <v>25</v>
      </c>
      <c r="I983" s="26" t="s">
        <v>26</v>
      </c>
      <c r="J983" s="26" t="s">
        <v>24</v>
      </c>
      <c r="K983" s="27"/>
      <c r="L983" s="28" t="s">
        <v>25</v>
      </c>
      <c r="M983" s="29" t="str">
        <f t="shared" si="75"/>
        <v>✓ OK</v>
      </c>
      <c r="N983" s="43">
        <v>46193</v>
      </c>
      <c r="O983" s="26" t="s">
        <v>23</v>
      </c>
      <c r="P983" s="26" t="s">
        <v>24</v>
      </c>
      <c r="Q983" s="26" t="s">
        <v>25</v>
      </c>
      <c r="R983" s="26" t="s">
        <v>26</v>
      </c>
      <c r="S983" s="26" t="s">
        <v>24</v>
      </c>
      <c r="T983" s="27"/>
      <c r="U983" s="28" t="s">
        <v>25</v>
      </c>
      <c r="V983" s="29" t="str">
        <f t="shared" si="76"/>
        <v>✓ OK</v>
      </c>
      <c r="W983" s="45">
        <v>46248</v>
      </c>
      <c r="X983" s="30" t="s">
        <v>23</v>
      </c>
      <c r="Y983" s="30" t="s">
        <v>24</v>
      </c>
      <c r="Z983" s="30" t="s">
        <v>25</v>
      </c>
      <c r="AA983" s="30" t="s">
        <v>26</v>
      </c>
      <c r="AB983" s="30" t="s">
        <v>24</v>
      </c>
      <c r="AC983" s="27"/>
      <c r="AD983" s="31" t="s">
        <v>25</v>
      </c>
      <c r="AE983" s="32" t="str">
        <f t="shared" si="77"/>
        <v>✓ OK</v>
      </c>
      <c r="AF983" s="33" t="s">
        <v>27</v>
      </c>
      <c r="AG983" s="33" t="s">
        <v>23</v>
      </c>
      <c r="AH983" s="33" t="s">
        <v>24</v>
      </c>
      <c r="AI983" s="33" t="s">
        <v>25</v>
      </c>
      <c r="AJ983" s="33" t="s">
        <v>26</v>
      </c>
      <c r="AK983" s="33" t="s">
        <v>24</v>
      </c>
      <c r="AL983" s="27"/>
      <c r="AM983" s="34" t="s">
        <v>25</v>
      </c>
      <c r="AN983" s="35" t="str">
        <f t="shared" si="78"/>
        <v>✓ OK</v>
      </c>
      <c r="AO983" s="36"/>
      <c r="AP983" s="36"/>
      <c r="AQ983" s="36"/>
      <c r="AR983" s="36"/>
      <c r="AS983" s="36"/>
      <c r="AT983" s="36"/>
      <c r="AU983" s="27"/>
      <c r="AV983" s="37"/>
      <c r="AW983" s="38" t="str">
        <f t="shared" si="79"/>
        <v/>
      </c>
    </row>
    <row r="984" spans="1:49" ht="18" customHeight="1" x14ac:dyDescent="0.3">
      <c r="A984" s="39">
        <v>980</v>
      </c>
      <c r="B984" s="40" t="s">
        <v>3808</v>
      </c>
      <c r="C984" s="41" t="s">
        <v>3809</v>
      </c>
      <c r="D984" s="39" t="s">
        <v>2819</v>
      </c>
      <c r="E984" s="43">
        <v>46126</v>
      </c>
      <c r="F984" s="26" t="s">
        <v>23</v>
      </c>
      <c r="G984" s="26" t="s">
        <v>24</v>
      </c>
      <c r="H984" s="26" t="s">
        <v>25</v>
      </c>
      <c r="I984" s="26" t="s">
        <v>26</v>
      </c>
      <c r="J984" s="26" t="s">
        <v>24</v>
      </c>
      <c r="K984" s="27"/>
      <c r="L984" s="28" t="s">
        <v>25</v>
      </c>
      <c r="M984" s="29" t="str">
        <f t="shared" si="75"/>
        <v>✓ OK</v>
      </c>
      <c r="N984" s="43">
        <v>46193</v>
      </c>
      <c r="O984" s="26" t="s">
        <v>23</v>
      </c>
      <c r="P984" s="26" t="s">
        <v>24</v>
      </c>
      <c r="Q984" s="26" t="s">
        <v>25</v>
      </c>
      <c r="R984" s="26" t="s">
        <v>26</v>
      </c>
      <c r="S984" s="26" t="s">
        <v>24</v>
      </c>
      <c r="T984" s="27"/>
      <c r="U984" s="28" t="s">
        <v>25</v>
      </c>
      <c r="V984" s="29" t="str">
        <f t="shared" si="76"/>
        <v>✓ OK</v>
      </c>
      <c r="W984" s="45">
        <v>46248</v>
      </c>
      <c r="X984" s="30" t="s">
        <v>23</v>
      </c>
      <c r="Y984" s="30" t="s">
        <v>24</v>
      </c>
      <c r="Z984" s="30" t="s">
        <v>25</v>
      </c>
      <c r="AA984" s="30" t="s">
        <v>26</v>
      </c>
      <c r="AB984" s="30" t="s">
        <v>24</v>
      </c>
      <c r="AC984" s="27"/>
      <c r="AD984" s="31" t="s">
        <v>25</v>
      </c>
      <c r="AE984" s="32" t="str">
        <f t="shared" si="77"/>
        <v>✓ OK</v>
      </c>
      <c r="AF984" s="33" t="s">
        <v>27</v>
      </c>
      <c r="AG984" s="33" t="s">
        <v>23</v>
      </c>
      <c r="AH984" s="33" t="s">
        <v>24</v>
      </c>
      <c r="AI984" s="33" t="s">
        <v>25</v>
      </c>
      <c r="AJ984" s="33" t="s">
        <v>26</v>
      </c>
      <c r="AK984" s="33" t="s">
        <v>24</v>
      </c>
      <c r="AL984" s="27"/>
      <c r="AM984" s="34" t="s">
        <v>25</v>
      </c>
      <c r="AN984" s="35" t="str">
        <f t="shared" si="78"/>
        <v>✓ OK</v>
      </c>
      <c r="AO984" s="36"/>
      <c r="AP984" s="36"/>
      <c r="AQ984" s="36"/>
      <c r="AR984" s="36"/>
      <c r="AS984" s="36"/>
      <c r="AT984" s="36"/>
      <c r="AU984" s="27"/>
      <c r="AV984" s="37"/>
      <c r="AW984" s="38" t="str">
        <f t="shared" si="79"/>
        <v/>
      </c>
    </row>
    <row r="985" spans="1:49" ht="18" customHeight="1" x14ac:dyDescent="0.3">
      <c r="A985" s="23">
        <v>981</v>
      </c>
      <c r="B985" s="24" t="s">
        <v>3810</v>
      </c>
      <c r="C985" s="25" t="s">
        <v>3811</v>
      </c>
      <c r="D985" s="23" t="s">
        <v>2819</v>
      </c>
      <c r="E985" s="43">
        <v>46126</v>
      </c>
      <c r="F985" s="26" t="s">
        <v>23</v>
      </c>
      <c r="G985" s="26" t="s">
        <v>24</v>
      </c>
      <c r="H985" s="26" t="s">
        <v>25</v>
      </c>
      <c r="I985" s="26" t="s">
        <v>26</v>
      </c>
      <c r="J985" s="26" t="s">
        <v>24</v>
      </c>
      <c r="K985" s="27"/>
      <c r="L985" s="28" t="s">
        <v>25</v>
      </c>
      <c r="M985" s="29" t="str">
        <f t="shared" si="75"/>
        <v>✓ OK</v>
      </c>
      <c r="N985" s="43">
        <v>46193</v>
      </c>
      <c r="O985" s="26" t="s">
        <v>23</v>
      </c>
      <c r="P985" s="26" t="s">
        <v>24</v>
      </c>
      <c r="Q985" s="26" t="s">
        <v>25</v>
      </c>
      <c r="R985" s="26" t="s">
        <v>26</v>
      </c>
      <c r="S985" s="26" t="s">
        <v>24</v>
      </c>
      <c r="T985" s="27"/>
      <c r="U985" s="28" t="s">
        <v>25</v>
      </c>
      <c r="V985" s="29" t="str">
        <f t="shared" si="76"/>
        <v>✓ OK</v>
      </c>
      <c r="W985" s="45">
        <v>46248</v>
      </c>
      <c r="X985" s="30" t="s">
        <v>23</v>
      </c>
      <c r="Y985" s="30" t="s">
        <v>24</v>
      </c>
      <c r="Z985" s="30" t="s">
        <v>25</v>
      </c>
      <c r="AA985" s="30" t="s">
        <v>26</v>
      </c>
      <c r="AB985" s="30" t="s">
        <v>24</v>
      </c>
      <c r="AC985" s="27"/>
      <c r="AD985" s="31" t="s">
        <v>25</v>
      </c>
      <c r="AE985" s="32" t="str">
        <f t="shared" si="77"/>
        <v>✓ OK</v>
      </c>
      <c r="AF985" s="33" t="s">
        <v>27</v>
      </c>
      <c r="AG985" s="33" t="s">
        <v>23</v>
      </c>
      <c r="AH985" s="33" t="s">
        <v>24</v>
      </c>
      <c r="AI985" s="33" t="s">
        <v>25</v>
      </c>
      <c r="AJ985" s="33" t="s">
        <v>26</v>
      </c>
      <c r="AK985" s="33" t="s">
        <v>24</v>
      </c>
      <c r="AL985" s="27"/>
      <c r="AM985" s="34" t="s">
        <v>25</v>
      </c>
      <c r="AN985" s="35" t="str">
        <f t="shared" si="78"/>
        <v>✓ OK</v>
      </c>
      <c r="AO985" s="36"/>
      <c r="AP985" s="36"/>
      <c r="AQ985" s="36"/>
      <c r="AR985" s="36"/>
      <c r="AS985" s="36"/>
      <c r="AT985" s="36"/>
      <c r="AU985" s="27"/>
      <c r="AV985" s="37"/>
      <c r="AW985" s="38" t="str">
        <f t="shared" si="79"/>
        <v/>
      </c>
    </row>
    <row r="986" spans="1:49" ht="18" customHeight="1" x14ac:dyDescent="0.3">
      <c r="A986" s="39">
        <v>982</v>
      </c>
      <c r="B986" s="40" t="s">
        <v>3812</v>
      </c>
      <c r="C986" s="41" t="s">
        <v>3813</v>
      </c>
      <c r="D986" s="39" t="s">
        <v>2819</v>
      </c>
      <c r="E986" s="43">
        <v>46126</v>
      </c>
      <c r="F986" s="26" t="s">
        <v>23</v>
      </c>
      <c r="G986" s="26" t="s">
        <v>24</v>
      </c>
      <c r="H986" s="26" t="s">
        <v>25</v>
      </c>
      <c r="I986" s="26" t="s">
        <v>26</v>
      </c>
      <c r="J986" s="26" t="s">
        <v>24</v>
      </c>
      <c r="K986" s="27"/>
      <c r="L986" s="28" t="s">
        <v>25</v>
      </c>
      <c r="M986" s="29" t="str">
        <f t="shared" si="75"/>
        <v>✓ OK</v>
      </c>
      <c r="N986" s="43">
        <v>46193</v>
      </c>
      <c r="O986" s="26" t="s">
        <v>23</v>
      </c>
      <c r="P986" s="26" t="s">
        <v>24</v>
      </c>
      <c r="Q986" s="26" t="s">
        <v>25</v>
      </c>
      <c r="R986" s="26" t="s">
        <v>26</v>
      </c>
      <c r="S986" s="26" t="s">
        <v>24</v>
      </c>
      <c r="T986" s="27"/>
      <c r="U986" s="28" t="s">
        <v>25</v>
      </c>
      <c r="V986" s="29" t="str">
        <f t="shared" si="76"/>
        <v>✓ OK</v>
      </c>
      <c r="W986" s="45">
        <v>46248</v>
      </c>
      <c r="X986" s="30" t="s">
        <v>23</v>
      </c>
      <c r="Y986" s="30" t="s">
        <v>24</v>
      </c>
      <c r="Z986" s="30" t="s">
        <v>25</v>
      </c>
      <c r="AA986" s="30" t="s">
        <v>26</v>
      </c>
      <c r="AB986" s="30" t="s">
        <v>24</v>
      </c>
      <c r="AC986" s="27"/>
      <c r="AD986" s="31" t="s">
        <v>25</v>
      </c>
      <c r="AE986" s="32" t="str">
        <f t="shared" si="77"/>
        <v>✓ OK</v>
      </c>
      <c r="AF986" s="33" t="s">
        <v>27</v>
      </c>
      <c r="AG986" s="33" t="s">
        <v>23</v>
      </c>
      <c r="AH986" s="33" t="s">
        <v>24</v>
      </c>
      <c r="AI986" s="33" t="s">
        <v>25</v>
      </c>
      <c r="AJ986" s="33" t="s">
        <v>26</v>
      </c>
      <c r="AK986" s="33" t="s">
        <v>24</v>
      </c>
      <c r="AL986" s="27"/>
      <c r="AM986" s="34" t="s">
        <v>25</v>
      </c>
      <c r="AN986" s="35" t="str">
        <f t="shared" si="78"/>
        <v>✓ OK</v>
      </c>
      <c r="AO986" s="36"/>
      <c r="AP986" s="36"/>
      <c r="AQ986" s="36"/>
      <c r="AR986" s="36"/>
      <c r="AS986" s="36"/>
      <c r="AT986" s="36"/>
      <c r="AU986" s="27"/>
      <c r="AV986" s="37"/>
      <c r="AW986" s="38" t="str">
        <f t="shared" si="79"/>
        <v/>
      </c>
    </row>
    <row r="987" spans="1:49" ht="18" customHeight="1" x14ac:dyDescent="0.3">
      <c r="A987" s="23">
        <v>983</v>
      </c>
      <c r="B987" s="24" t="s">
        <v>3814</v>
      </c>
      <c r="C987" s="25" t="s">
        <v>3815</v>
      </c>
      <c r="D987" s="23" t="s">
        <v>2819</v>
      </c>
      <c r="E987" s="43">
        <v>46126</v>
      </c>
      <c r="F987" s="26" t="s">
        <v>23</v>
      </c>
      <c r="G987" s="26" t="s">
        <v>24</v>
      </c>
      <c r="H987" s="26" t="s">
        <v>25</v>
      </c>
      <c r="I987" s="26" t="s">
        <v>26</v>
      </c>
      <c r="J987" s="26" t="s">
        <v>24</v>
      </c>
      <c r="K987" s="27"/>
      <c r="L987" s="28" t="s">
        <v>25</v>
      </c>
      <c r="M987" s="29" t="str">
        <f t="shared" si="75"/>
        <v>✓ OK</v>
      </c>
      <c r="N987" s="43">
        <v>46193</v>
      </c>
      <c r="O987" s="26" t="s">
        <v>23</v>
      </c>
      <c r="P987" s="26" t="s">
        <v>24</v>
      </c>
      <c r="Q987" s="26" t="s">
        <v>25</v>
      </c>
      <c r="R987" s="26" t="s">
        <v>26</v>
      </c>
      <c r="S987" s="26" t="s">
        <v>24</v>
      </c>
      <c r="T987" s="27"/>
      <c r="U987" s="28" t="s">
        <v>25</v>
      </c>
      <c r="V987" s="29" t="str">
        <f t="shared" si="76"/>
        <v>✓ OK</v>
      </c>
      <c r="W987" s="45">
        <v>46248</v>
      </c>
      <c r="X987" s="30" t="s">
        <v>23</v>
      </c>
      <c r="Y987" s="30" t="s">
        <v>24</v>
      </c>
      <c r="Z987" s="30" t="s">
        <v>25</v>
      </c>
      <c r="AA987" s="30" t="s">
        <v>26</v>
      </c>
      <c r="AB987" s="30" t="s">
        <v>24</v>
      </c>
      <c r="AC987" s="27"/>
      <c r="AD987" s="31" t="s">
        <v>25</v>
      </c>
      <c r="AE987" s="32" t="str">
        <f t="shared" si="77"/>
        <v>✓ OK</v>
      </c>
      <c r="AF987" s="33" t="s">
        <v>27</v>
      </c>
      <c r="AG987" s="33" t="s">
        <v>23</v>
      </c>
      <c r="AH987" s="33" t="s">
        <v>24</v>
      </c>
      <c r="AI987" s="33" t="s">
        <v>25</v>
      </c>
      <c r="AJ987" s="33" t="s">
        <v>26</v>
      </c>
      <c r="AK987" s="33" t="s">
        <v>24</v>
      </c>
      <c r="AL987" s="27"/>
      <c r="AM987" s="34" t="s">
        <v>25</v>
      </c>
      <c r="AN987" s="35" t="str">
        <f t="shared" si="78"/>
        <v>✓ OK</v>
      </c>
      <c r="AO987" s="36"/>
      <c r="AP987" s="36"/>
      <c r="AQ987" s="36"/>
      <c r="AR987" s="36"/>
      <c r="AS987" s="36"/>
      <c r="AT987" s="36"/>
      <c r="AU987" s="27"/>
      <c r="AV987" s="37"/>
      <c r="AW987" s="38" t="str">
        <f t="shared" si="79"/>
        <v/>
      </c>
    </row>
    <row r="988" spans="1:49" ht="18" customHeight="1" x14ac:dyDescent="0.3">
      <c r="A988" s="39">
        <v>984</v>
      </c>
      <c r="B988" s="40" t="s">
        <v>3816</v>
      </c>
      <c r="C988" s="41" t="s">
        <v>3817</v>
      </c>
      <c r="D988" s="39" t="s">
        <v>2819</v>
      </c>
      <c r="E988" s="43">
        <v>46126</v>
      </c>
      <c r="F988" s="26" t="s">
        <v>23</v>
      </c>
      <c r="G988" s="26" t="s">
        <v>24</v>
      </c>
      <c r="H988" s="26" t="s">
        <v>25</v>
      </c>
      <c r="I988" s="26" t="s">
        <v>26</v>
      </c>
      <c r="J988" s="26" t="s">
        <v>24</v>
      </c>
      <c r="K988" s="27"/>
      <c r="L988" s="28" t="s">
        <v>25</v>
      </c>
      <c r="M988" s="29" t="str">
        <f t="shared" si="75"/>
        <v>✓ OK</v>
      </c>
      <c r="N988" s="43">
        <v>46193</v>
      </c>
      <c r="O988" s="26" t="s">
        <v>23</v>
      </c>
      <c r="P988" s="26" t="s">
        <v>24</v>
      </c>
      <c r="Q988" s="26" t="s">
        <v>25</v>
      </c>
      <c r="R988" s="26" t="s">
        <v>26</v>
      </c>
      <c r="S988" s="26" t="s">
        <v>24</v>
      </c>
      <c r="T988" s="27"/>
      <c r="U988" s="28" t="s">
        <v>25</v>
      </c>
      <c r="V988" s="29" t="str">
        <f t="shared" si="76"/>
        <v>✓ OK</v>
      </c>
      <c r="W988" s="45">
        <v>46248</v>
      </c>
      <c r="X988" s="30" t="s">
        <v>23</v>
      </c>
      <c r="Y988" s="30" t="s">
        <v>24</v>
      </c>
      <c r="Z988" s="30" t="s">
        <v>25</v>
      </c>
      <c r="AA988" s="30" t="s">
        <v>26</v>
      </c>
      <c r="AB988" s="30" t="s">
        <v>24</v>
      </c>
      <c r="AC988" s="27"/>
      <c r="AD988" s="31" t="s">
        <v>25</v>
      </c>
      <c r="AE988" s="32" t="str">
        <f t="shared" si="77"/>
        <v>✓ OK</v>
      </c>
      <c r="AF988" s="33" t="s">
        <v>27</v>
      </c>
      <c r="AG988" s="33" t="s">
        <v>23</v>
      </c>
      <c r="AH988" s="33" t="s">
        <v>24</v>
      </c>
      <c r="AI988" s="33" t="s">
        <v>25</v>
      </c>
      <c r="AJ988" s="33" t="s">
        <v>26</v>
      </c>
      <c r="AK988" s="33" t="s">
        <v>24</v>
      </c>
      <c r="AL988" s="27"/>
      <c r="AM988" s="34" t="s">
        <v>25</v>
      </c>
      <c r="AN988" s="35" t="str">
        <f t="shared" si="78"/>
        <v>✓ OK</v>
      </c>
      <c r="AO988" s="36"/>
      <c r="AP988" s="36"/>
      <c r="AQ988" s="36"/>
      <c r="AR988" s="36"/>
      <c r="AS988" s="36"/>
      <c r="AT988" s="36"/>
      <c r="AU988" s="27"/>
      <c r="AV988" s="37"/>
      <c r="AW988" s="38" t="str">
        <f t="shared" si="79"/>
        <v/>
      </c>
    </row>
    <row r="989" spans="1:49" ht="18" customHeight="1" x14ac:dyDescent="0.3">
      <c r="A989" s="23">
        <v>985</v>
      </c>
      <c r="B989" s="24" t="s">
        <v>3818</v>
      </c>
      <c r="C989" s="25" t="s">
        <v>3819</v>
      </c>
      <c r="D989" s="23" t="s">
        <v>2819</v>
      </c>
      <c r="E989" s="43">
        <v>46126</v>
      </c>
      <c r="F989" s="26" t="s">
        <v>23</v>
      </c>
      <c r="G989" s="26" t="s">
        <v>24</v>
      </c>
      <c r="H989" s="26" t="s">
        <v>25</v>
      </c>
      <c r="I989" s="26" t="s">
        <v>26</v>
      </c>
      <c r="J989" s="26" t="s">
        <v>24</v>
      </c>
      <c r="K989" s="27"/>
      <c r="L989" s="28" t="s">
        <v>25</v>
      </c>
      <c r="M989" s="29" t="str">
        <f t="shared" si="75"/>
        <v>✓ OK</v>
      </c>
      <c r="N989" s="43">
        <v>46193</v>
      </c>
      <c r="O989" s="26" t="s">
        <v>23</v>
      </c>
      <c r="P989" s="26" t="s">
        <v>24</v>
      </c>
      <c r="Q989" s="26" t="s">
        <v>25</v>
      </c>
      <c r="R989" s="26" t="s">
        <v>26</v>
      </c>
      <c r="S989" s="26" t="s">
        <v>24</v>
      </c>
      <c r="T989" s="27"/>
      <c r="U989" s="28" t="s">
        <v>25</v>
      </c>
      <c r="V989" s="29" t="str">
        <f t="shared" si="76"/>
        <v>✓ OK</v>
      </c>
      <c r="W989" s="45">
        <v>46248</v>
      </c>
      <c r="X989" s="30" t="s">
        <v>23</v>
      </c>
      <c r="Y989" s="30" t="s">
        <v>24</v>
      </c>
      <c r="Z989" s="30" t="s">
        <v>25</v>
      </c>
      <c r="AA989" s="30" t="s">
        <v>26</v>
      </c>
      <c r="AB989" s="30" t="s">
        <v>24</v>
      </c>
      <c r="AC989" s="27"/>
      <c r="AD989" s="31" t="s">
        <v>25</v>
      </c>
      <c r="AE989" s="32" t="str">
        <f t="shared" si="77"/>
        <v>✓ OK</v>
      </c>
      <c r="AF989" s="33" t="s">
        <v>27</v>
      </c>
      <c r="AG989" s="33" t="s">
        <v>23</v>
      </c>
      <c r="AH989" s="33" t="s">
        <v>24</v>
      </c>
      <c r="AI989" s="33" t="s">
        <v>25</v>
      </c>
      <c r="AJ989" s="33" t="s">
        <v>26</v>
      </c>
      <c r="AK989" s="33" t="s">
        <v>24</v>
      </c>
      <c r="AL989" s="27"/>
      <c r="AM989" s="34" t="s">
        <v>25</v>
      </c>
      <c r="AN989" s="35" t="str">
        <f t="shared" si="78"/>
        <v>✓ OK</v>
      </c>
      <c r="AO989" s="36"/>
      <c r="AP989" s="36"/>
      <c r="AQ989" s="36"/>
      <c r="AR989" s="36"/>
      <c r="AS989" s="36"/>
      <c r="AT989" s="36"/>
      <c r="AU989" s="27"/>
      <c r="AV989" s="37"/>
      <c r="AW989" s="38" t="str">
        <f t="shared" si="79"/>
        <v/>
      </c>
    </row>
    <row r="990" spans="1:49" ht="18" customHeight="1" x14ac:dyDescent="0.3">
      <c r="A990" s="39">
        <v>986</v>
      </c>
      <c r="B990" s="40" t="s">
        <v>3820</v>
      </c>
      <c r="C990" s="41" t="s">
        <v>3821</v>
      </c>
      <c r="D990" s="39" t="s">
        <v>2819</v>
      </c>
      <c r="E990" s="43">
        <v>46126</v>
      </c>
      <c r="F990" s="26" t="s">
        <v>23</v>
      </c>
      <c r="G990" s="26" t="s">
        <v>24</v>
      </c>
      <c r="H990" s="26" t="s">
        <v>25</v>
      </c>
      <c r="I990" s="26" t="s">
        <v>26</v>
      </c>
      <c r="J990" s="26" t="s">
        <v>24</v>
      </c>
      <c r="K990" s="27"/>
      <c r="L990" s="28" t="s">
        <v>25</v>
      </c>
      <c r="M990" s="29" t="str">
        <f t="shared" si="75"/>
        <v>✓ OK</v>
      </c>
      <c r="N990" s="43">
        <v>46193</v>
      </c>
      <c r="O990" s="26" t="s">
        <v>23</v>
      </c>
      <c r="P990" s="26" t="s">
        <v>24</v>
      </c>
      <c r="Q990" s="26" t="s">
        <v>25</v>
      </c>
      <c r="R990" s="26" t="s">
        <v>26</v>
      </c>
      <c r="S990" s="26" t="s">
        <v>24</v>
      </c>
      <c r="T990" s="27"/>
      <c r="U990" s="28" t="s">
        <v>25</v>
      </c>
      <c r="V990" s="29" t="str">
        <f t="shared" si="76"/>
        <v>✓ OK</v>
      </c>
      <c r="W990" s="45">
        <v>46248</v>
      </c>
      <c r="X990" s="30" t="s">
        <v>23</v>
      </c>
      <c r="Y990" s="30" t="s">
        <v>24</v>
      </c>
      <c r="Z990" s="30" t="s">
        <v>25</v>
      </c>
      <c r="AA990" s="30" t="s">
        <v>26</v>
      </c>
      <c r="AB990" s="30" t="s">
        <v>24</v>
      </c>
      <c r="AC990" s="27"/>
      <c r="AD990" s="31" t="s">
        <v>25</v>
      </c>
      <c r="AE990" s="32" t="str">
        <f t="shared" si="77"/>
        <v>✓ OK</v>
      </c>
      <c r="AF990" s="33" t="s">
        <v>27</v>
      </c>
      <c r="AG990" s="33" t="s">
        <v>23</v>
      </c>
      <c r="AH990" s="33" t="s">
        <v>24</v>
      </c>
      <c r="AI990" s="33" t="s">
        <v>25</v>
      </c>
      <c r="AJ990" s="33" t="s">
        <v>26</v>
      </c>
      <c r="AK990" s="33" t="s">
        <v>24</v>
      </c>
      <c r="AL990" s="27"/>
      <c r="AM990" s="34" t="s">
        <v>25</v>
      </c>
      <c r="AN990" s="35" t="str">
        <f t="shared" si="78"/>
        <v>✓ OK</v>
      </c>
      <c r="AO990" s="36"/>
      <c r="AP990" s="36"/>
      <c r="AQ990" s="36"/>
      <c r="AR990" s="36"/>
      <c r="AS990" s="36"/>
      <c r="AT990" s="36"/>
      <c r="AU990" s="27"/>
      <c r="AV990" s="37"/>
      <c r="AW990" s="38" t="str">
        <f t="shared" si="79"/>
        <v/>
      </c>
    </row>
    <row r="991" spans="1:49" ht="18" customHeight="1" x14ac:dyDescent="0.3">
      <c r="A991" s="23">
        <v>987</v>
      </c>
      <c r="B991" s="24" t="s">
        <v>3822</v>
      </c>
      <c r="C991" s="25" t="s">
        <v>3823</v>
      </c>
      <c r="D991" s="23" t="s">
        <v>2819</v>
      </c>
      <c r="E991" s="43">
        <v>46126</v>
      </c>
      <c r="F991" s="26" t="s">
        <v>23</v>
      </c>
      <c r="G991" s="26" t="s">
        <v>24</v>
      </c>
      <c r="H991" s="26" t="s">
        <v>25</v>
      </c>
      <c r="I991" s="26" t="s">
        <v>26</v>
      </c>
      <c r="J991" s="26" t="s">
        <v>24</v>
      </c>
      <c r="K991" s="27"/>
      <c r="L991" s="28" t="s">
        <v>25</v>
      </c>
      <c r="M991" s="29" t="str">
        <f t="shared" si="75"/>
        <v>✓ OK</v>
      </c>
      <c r="N991" s="43">
        <v>46193</v>
      </c>
      <c r="O991" s="26" t="s">
        <v>23</v>
      </c>
      <c r="P991" s="26" t="s">
        <v>24</v>
      </c>
      <c r="Q991" s="26" t="s">
        <v>25</v>
      </c>
      <c r="R991" s="26" t="s">
        <v>26</v>
      </c>
      <c r="S991" s="26" t="s">
        <v>24</v>
      </c>
      <c r="T991" s="27"/>
      <c r="U991" s="28" t="s">
        <v>25</v>
      </c>
      <c r="V991" s="29" t="str">
        <f t="shared" si="76"/>
        <v>✓ OK</v>
      </c>
      <c r="W991" s="45">
        <v>46248</v>
      </c>
      <c r="X991" s="30" t="s">
        <v>23</v>
      </c>
      <c r="Y991" s="30" t="s">
        <v>24</v>
      </c>
      <c r="Z991" s="30" t="s">
        <v>25</v>
      </c>
      <c r="AA991" s="30" t="s">
        <v>26</v>
      </c>
      <c r="AB991" s="30" t="s">
        <v>24</v>
      </c>
      <c r="AC991" s="27"/>
      <c r="AD991" s="31" t="s">
        <v>25</v>
      </c>
      <c r="AE991" s="32" t="str">
        <f t="shared" si="77"/>
        <v>✓ OK</v>
      </c>
      <c r="AF991" s="33" t="s">
        <v>27</v>
      </c>
      <c r="AG991" s="33" t="s">
        <v>23</v>
      </c>
      <c r="AH991" s="33" t="s">
        <v>24</v>
      </c>
      <c r="AI991" s="33" t="s">
        <v>25</v>
      </c>
      <c r="AJ991" s="33" t="s">
        <v>26</v>
      </c>
      <c r="AK991" s="33" t="s">
        <v>24</v>
      </c>
      <c r="AL991" s="27"/>
      <c r="AM991" s="34" t="s">
        <v>25</v>
      </c>
      <c r="AN991" s="35" t="str">
        <f t="shared" si="78"/>
        <v>✓ OK</v>
      </c>
      <c r="AO991" s="36"/>
      <c r="AP991" s="36"/>
      <c r="AQ991" s="36"/>
      <c r="AR991" s="36"/>
      <c r="AS991" s="36"/>
      <c r="AT991" s="36"/>
      <c r="AU991" s="27"/>
      <c r="AV991" s="37"/>
      <c r="AW991" s="38" t="str">
        <f t="shared" si="79"/>
        <v/>
      </c>
    </row>
    <row r="992" spans="1:49" ht="18" customHeight="1" x14ac:dyDescent="0.3">
      <c r="A992" s="39">
        <v>988</v>
      </c>
      <c r="B992" s="40" t="s">
        <v>3824</v>
      </c>
      <c r="C992" s="41" t="s">
        <v>3825</v>
      </c>
      <c r="D992" s="39" t="s">
        <v>2819</v>
      </c>
      <c r="E992" s="43">
        <v>46126</v>
      </c>
      <c r="F992" s="26" t="s">
        <v>23</v>
      </c>
      <c r="G992" s="26" t="s">
        <v>24</v>
      </c>
      <c r="H992" s="26" t="s">
        <v>25</v>
      </c>
      <c r="I992" s="26" t="s">
        <v>26</v>
      </c>
      <c r="J992" s="26" t="s">
        <v>24</v>
      </c>
      <c r="K992" s="27"/>
      <c r="L992" s="28" t="s">
        <v>25</v>
      </c>
      <c r="M992" s="29" t="str">
        <f t="shared" si="75"/>
        <v>✓ OK</v>
      </c>
      <c r="N992" s="43">
        <v>46193</v>
      </c>
      <c r="O992" s="26" t="s">
        <v>23</v>
      </c>
      <c r="P992" s="26" t="s">
        <v>24</v>
      </c>
      <c r="Q992" s="26" t="s">
        <v>25</v>
      </c>
      <c r="R992" s="26" t="s">
        <v>26</v>
      </c>
      <c r="S992" s="26" t="s">
        <v>24</v>
      </c>
      <c r="T992" s="27"/>
      <c r="U992" s="28" t="s">
        <v>25</v>
      </c>
      <c r="V992" s="29" t="str">
        <f t="shared" si="76"/>
        <v>✓ OK</v>
      </c>
      <c r="W992" s="45">
        <v>46248</v>
      </c>
      <c r="X992" s="30" t="s">
        <v>23</v>
      </c>
      <c r="Y992" s="30" t="s">
        <v>24</v>
      </c>
      <c r="Z992" s="30" t="s">
        <v>25</v>
      </c>
      <c r="AA992" s="30" t="s">
        <v>26</v>
      </c>
      <c r="AB992" s="30" t="s">
        <v>24</v>
      </c>
      <c r="AC992" s="27"/>
      <c r="AD992" s="31" t="s">
        <v>25</v>
      </c>
      <c r="AE992" s="32" t="str">
        <f t="shared" si="77"/>
        <v>✓ OK</v>
      </c>
      <c r="AF992" s="33" t="s">
        <v>27</v>
      </c>
      <c r="AG992" s="33" t="s">
        <v>23</v>
      </c>
      <c r="AH992" s="33" t="s">
        <v>24</v>
      </c>
      <c r="AI992" s="33" t="s">
        <v>25</v>
      </c>
      <c r="AJ992" s="33" t="s">
        <v>26</v>
      </c>
      <c r="AK992" s="33" t="s">
        <v>24</v>
      </c>
      <c r="AL992" s="27"/>
      <c r="AM992" s="34" t="s">
        <v>25</v>
      </c>
      <c r="AN992" s="35" t="str">
        <f t="shared" si="78"/>
        <v>✓ OK</v>
      </c>
      <c r="AO992" s="36"/>
      <c r="AP992" s="36"/>
      <c r="AQ992" s="36"/>
      <c r="AR992" s="36"/>
      <c r="AS992" s="36"/>
      <c r="AT992" s="36"/>
      <c r="AU992" s="27"/>
      <c r="AV992" s="37"/>
      <c r="AW992" s="38" t="str">
        <f t="shared" si="79"/>
        <v/>
      </c>
    </row>
    <row r="993" spans="1:49" ht="18" customHeight="1" x14ac:dyDescent="0.3">
      <c r="A993" s="23">
        <v>989</v>
      </c>
      <c r="B993" s="24" t="s">
        <v>3826</v>
      </c>
      <c r="C993" s="25" t="s">
        <v>3827</v>
      </c>
      <c r="D993" s="23" t="s">
        <v>2819</v>
      </c>
      <c r="E993" s="43">
        <v>46126</v>
      </c>
      <c r="F993" s="26" t="s">
        <v>23</v>
      </c>
      <c r="G993" s="26" t="s">
        <v>24</v>
      </c>
      <c r="H993" s="26" t="s">
        <v>25</v>
      </c>
      <c r="I993" s="26" t="s">
        <v>26</v>
      </c>
      <c r="J993" s="26" t="s">
        <v>24</v>
      </c>
      <c r="K993" s="27"/>
      <c r="L993" s="28" t="s">
        <v>25</v>
      </c>
      <c r="M993" s="29" t="str">
        <f t="shared" si="75"/>
        <v>✓ OK</v>
      </c>
      <c r="N993" s="43">
        <v>46193</v>
      </c>
      <c r="O993" s="26" t="s">
        <v>23</v>
      </c>
      <c r="P993" s="26" t="s">
        <v>24</v>
      </c>
      <c r="Q993" s="26" t="s">
        <v>25</v>
      </c>
      <c r="R993" s="26" t="s">
        <v>26</v>
      </c>
      <c r="S993" s="26" t="s">
        <v>24</v>
      </c>
      <c r="T993" s="27"/>
      <c r="U993" s="28" t="s">
        <v>25</v>
      </c>
      <c r="V993" s="29" t="str">
        <f t="shared" si="76"/>
        <v>✓ OK</v>
      </c>
      <c r="W993" s="45">
        <v>46248</v>
      </c>
      <c r="X993" s="30" t="s">
        <v>23</v>
      </c>
      <c r="Y993" s="30" t="s">
        <v>24</v>
      </c>
      <c r="Z993" s="30" t="s">
        <v>25</v>
      </c>
      <c r="AA993" s="30" t="s">
        <v>26</v>
      </c>
      <c r="AB993" s="30" t="s">
        <v>24</v>
      </c>
      <c r="AC993" s="27"/>
      <c r="AD993" s="31" t="s">
        <v>25</v>
      </c>
      <c r="AE993" s="32" t="str">
        <f t="shared" si="77"/>
        <v>✓ OK</v>
      </c>
      <c r="AF993" s="33" t="s">
        <v>27</v>
      </c>
      <c r="AG993" s="33" t="s">
        <v>23</v>
      </c>
      <c r="AH993" s="33" t="s">
        <v>24</v>
      </c>
      <c r="AI993" s="33" t="s">
        <v>25</v>
      </c>
      <c r="AJ993" s="33" t="s">
        <v>26</v>
      </c>
      <c r="AK993" s="33" t="s">
        <v>24</v>
      </c>
      <c r="AL993" s="27"/>
      <c r="AM993" s="34" t="s">
        <v>25</v>
      </c>
      <c r="AN993" s="35" t="str">
        <f t="shared" si="78"/>
        <v>✓ OK</v>
      </c>
      <c r="AO993" s="36"/>
      <c r="AP993" s="36"/>
      <c r="AQ993" s="36"/>
      <c r="AR993" s="36"/>
      <c r="AS993" s="36"/>
      <c r="AT993" s="36"/>
      <c r="AU993" s="27"/>
      <c r="AV993" s="37"/>
      <c r="AW993" s="38" t="str">
        <f t="shared" si="79"/>
        <v/>
      </c>
    </row>
    <row r="994" spans="1:49" ht="18" customHeight="1" x14ac:dyDescent="0.3">
      <c r="A994" s="39">
        <v>990</v>
      </c>
      <c r="B994" s="40" t="s">
        <v>3828</v>
      </c>
      <c r="C994" s="41" t="s">
        <v>3829</v>
      </c>
      <c r="D994" s="39" t="s">
        <v>2819</v>
      </c>
      <c r="E994" s="43">
        <v>46126</v>
      </c>
      <c r="F994" s="26" t="s">
        <v>23</v>
      </c>
      <c r="G994" s="26" t="s">
        <v>24</v>
      </c>
      <c r="H994" s="26" t="s">
        <v>25</v>
      </c>
      <c r="I994" s="26" t="s">
        <v>26</v>
      </c>
      <c r="J994" s="26" t="s">
        <v>24</v>
      </c>
      <c r="K994" s="27"/>
      <c r="L994" s="28" t="s">
        <v>25</v>
      </c>
      <c r="M994" s="29" t="str">
        <f t="shared" si="75"/>
        <v>✓ OK</v>
      </c>
      <c r="N994" s="43">
        <v>46193</v>
      </c>
      <c r="O994" s="26" t="s">
        <v>23</v>
      </c>
      <c r="P994" s="26" t="s">
        <v>24</v>
      </c>
      <c r="Q994" s="26" t="s">
        <v>25</v>
      </c>
      <c r="R994" s="26" t="s">
        <v>26</v>
      </c>
      <c r="S994" s="26" t="s">
        <v>24</v>
      </c>
      <c r="T994" s="27"/>
      <c r="U994" s="28" t="s">
        <v>25</v>
      </c>
      <c r="V994" s="29" t="str">
        <f t="shared" si="76"/>
        <v>✓ OK</v>
      </c>
      <c r="W994" s="45">
        <v>46248</v>
      </c>
      <c r="X994" s="30" t="s">
        <v>23</v>
      </c>
      <c r="Y994" s="30" t="s">
        <v>24</v>
      </c>
      <c r="Z994" s="30" t="s">
        <v>25</v>
      </c>
      <c r="AA994" s="30" t="s">
        <v>26</v>
      </c>
      <c r="AB994" s="30" t="s">
        <v>24</v>
      </c>
      <c r="AC994" s="27"/>
      <c r="AD994" s="31" t="s">
        <v>25</v>
      </c>
      <c r="AE994" s="32" t="str">
        <f t="shared" si="77"/>
        <v>✓ OK</v>
      </c>
      <c r="AF994" s="33" t="s">
        <v>27</v>
      </c>
      <c r="AG994" s="33" t="s">
        <v>23</v>
      </c>
      <c r="AH994" s="33" t="s">
        <v>24</v>
      </c>
      <c r="AI994" s="33" t="s">
        <v>25</v>
      </c>
      <c r="AJ994" s="33" t="s">
        <v>26</v>
      </c>
      <c r="AK994" s="33" t="s">
        <v>24</v>
      </c>
      <c r="AL994" s="27"/>
      <c r="AM994" s="34" t="s">
        <v>25</v>
      </c>
      <c r="AN994" s="35" t="str">
        <f t="shared" si="78"/>
        <v>✓ OK</v>
      </c>
      <c r="AO994" s="36"/>
      <c r="AP994" s="36"/>
      <c r="AQ994" s="36"/>
      <c r="AR994" s="36"/>
      <c r="AS994" s="36"/>
      <c r="AT994" s="36"/>
      <c r="AU994" s="27"/>
      <c r="AV994" s="37"/>
      <c r="AW994" s="38" t="str">
        <f t="shared" si="79"/>
        <v/>
      </c>
    </row>
    <row r="995" spans="1:49" ht="18" customHeight="1" x14ac:dyDescent="0.3">
      <c r="A995" s="23">
        <v>991</v>
      </c>
      <c r="B995" s="24" t="s">
        <v>3830</v>
      </c>
      <c r="C995" s="25" t="s">
        <v>3831</v>
      </c>
      <c r="D995" s="23" t="s">
        <v>2819</v>
      </c>
      <c r="E995" s="43">
        <v>46126</v>
      </c>
      <c r="F995" s="26" t="s">
        <v>23</v>
      </c>
      <c r="G995" s="26" t="s">
        <v>24</v>
      </c>
      <c r="H995" s="26" t="s">
        <v>25</v>
      </c>
      <c r="I995" s="26" t="s">
        <v>26</v>
      </c>
      <c r="J995" s="26" t="s">
        <v>24</v>
      </c>
      <c r="K995" s="27"/>
      <c r="L995" s="28" t="s">
        <v>25</v>
      </c>
      <c r="M995" s="29" t="str">
        <f t="shared" si="75"/>
        <v>✓ OK</v>
      </c>
      <c r="N995" s="43">
        <v>46193</v>
      </c>
      <c r="O995" s="26" t="s">
        <v>23</v>
      </c>
      <c r="P995" s="26" t="s">
        <v>24</v>
      </c>
      <c r="Q995" s="26" t="s">
        <v>25</v>
      </c>
      <c r="R995" s="26" t="s">
        <v>26</v>
      </c>
      <c r="S995" s="26" t="s">
        <v>24</v>
      </c>
      <c r="T995" s="27"/>
      <c r="U995" s="28" t="s">
        <v>25</v>
      </c>
      <c r="V995" s="29" t="str">
        <f t="shared" si="76"/>
        <v>✓ OK</v>
      </c>
      <c r="W995" s="45">
        <v>46248</v>
      </c>
      <c r="X995" s="30" t="s">
        <v>23</v>
      </c>
      <c r="Y995" s="30" t="s">
        <v>24</v>
      </c>
      <c r="Z995" s="30" t="s">
        <v>25</v>
      </c>
      <c r="AA995" s="30" t="s">
        <v>26</v>
      </c>
      <c r="AB995" s="30" t="s">
        <v>24</v>
      </c>
      <c r="AC995" s="27"/>
      <c r="AD995" s="31" t="s">
        <v>25</v>
      </c>
      <c r="AE995" s="32" t="str">
        <f t="shared" si="77"/>
        <v>✓ OK</v>
      </c>
      <c r="AF995" s="33" t="s">
        <v>27</v>
      </c>
      <c r="AG995" s="33" t="s">
        <v>23</v>
      </c>
      <c r="AH995" s="33" t="s">
        <v>24</v>
      </c>
      <c r="AI995" s="33" t="s">
        <v>25</v>
      </c>
      <c r="AJ995" s="33" t="s">
        <v>26</v>
      </c>
      <c r="AK995" s="33" t="s">
        <v>24</v>
      </c>
      <c r="AL995" s="27"/>
      <c r="AM995" s="34" t="s">
        <v>25</v>
      </c>
      <c r="AN995" s="35" t="str">
        <f t="shared" si="78"/>
        <v>✓ OK</v>
      </c>
      <c r="AO995" s="36"/>
      <c r="AP995" s="36"/>
      <c r="AQ995" s="36"/>
      <c r="AR995" s="36"/>
      <c r="AS995" s="36"/>
      <c r="AT995" s="36"/>
      <c r="AU995" s="27"/>
      <c r="AV995" s="37"/>
      <c r="AW995" s="38" t="str">
        <f t="shared" si="79"/>
        <v/>
      </c>
    </row>
    <row r="996" spans="1:49" ht="18" customHeight="1" x14ac:dyDescent="0.3">
      <c r="A996" s="39">
        <v>992</v>
      </c>
      <c r="B996" s="40" t="s">
        <v>3832</v>
      </c>
      <c r="C996" s="41" t="s">
        <v>3833</v>
      </c>
      <c r="D996" s="39" t="s">
        <v>2819</v>
      </c>
      <c r="E996" s="43">
        <v>46126</v>
      </c>
      <c r="F996" s="26" t="s">
        <v>23</v>
      </c>
      <c r="G996" s="26" t="s">
        <v>24</v>
      </c>
      <c r="H996" s="26" t="s">
        <v>25</v>
      </c>
      <c r="I996" s="26" t="s">
        <v>26</v>
      </c>
      <c r="J996" s="26" t="s">
        <v>24</v>
      </c>
      <c r="K996" s="27"/>
      <c r="L996" s="28" t="s">
        <v>25</v>
      </c>
      <c r="M996" s="29" t="str">
        <f t="shared" si="75"/>
        <v>✓ OK</v>
      </c>
      <c r="N996" s="43">
        <v>46193</v>
      </c>
      <c r="O996" s="26" t="s">
        <v>23</v>
      </c>
      <c r="P996" s="26" t="s">
        <v>24</v>
      </c>
      <c r="Q996" s="26" t="s">
        <v>25</v>
      </c>
      <c r="R996" s="26" t="s">
        <v>26</v>
      </c>
      <c r="S996" s="26" t="s">
        <v>24</v>
      </c>
      <c r="T996" s="27"/>
      <c r="U996" s="28" t="s">
        <v>25</v>
      </c>
      <c r="V996" s="29" t="str">
        <f t="shared" si="76"/>
        <v>✓ OK</v>
      </c>
      <c r="W996" s="45">
        <v>46248</v>
      </c>
      <c r="X996" s="30" t="s">
        <v>23</v>
      </c>
      <c r="Y996" s="30" t="s">
        <v>24</v>
      </c>
      <c r="Z996" s="30" t="s">
        <v>25</v>
      </c>
      <c r="AA996" s="30" t="s">
        <v>26</v>
      </c>
      <c r="AB996" s="30" t="s">
        <v>24</v>
      </c>
      <c r="AC996" s="27"/>
      <c r="AD996" s="31" t="s">
        <v>25</v>
      </c>
      <c r="AE996" s="32" t="str">
        <f t="shared" si="77"/>
        <v>✓ OK</v>
      </c>
      <c r="AF996" s="33" t="s">
        <v>27</v>
      </c>
      <c r="AG996" s="33" t="s">
        <v>23</v>
      </c>
      <c r="AH996" s="33" t="s">
        <v>24</v>
      </c>
      <c r="AI996" s="33" t="s">
        <v>25</v>
      </c>
      <c r="AJ996" s="33" t="s">
        <v>26</v>
      </c>
      <c r="AK996" s="33" t="s">
        <v>24</v>
      </c>
      <c r="AL996" s="27"/>
      <c r="AM996" s="34" t="s">
        <v>25</v>
      </c>
      <c r="AN996" s="35" t="str">
        <f t="shared" si="78"/>
        <v>✓ OK</v>
      </c>
      <c r="AO996" s="36"/>
      <c r="AP996" s="36"/>
      <c r="AQ996" s="36"/>
      <c r="AR996" s="36"/>
      <c r="AS996" s="36"/>
      <c r="AT996" s="36"/>
      <c r="AU996" s="27"/>
      <c r="AV996" s="37"/>
      <c r="AW996" s="38" t="str">
        <f t="shared" si="79"/>
        <v/>
      </c>
    </row>
    <row r="997" spans="1:49" ht="18" customHeight="1" x14ac:dyDescent="0.3">
      <c r="A997" s="23">
        <v>993</v>
      </c>
      <c r="B997" s="24" t="s">
        <v>3834</v>
      </c>
      <c r="C997" s="25" t="s">
        <v>3835</v>
      </c>
      <c r="D997" s="23" t="s">
        <v>2819</v>
      </c>
      <c r="E997" s="43">
        <v>46126</v>
      </c>
      <c r="F997" s="26" t="s">
        <v>23</v>
      </c>
      <c r="G997" s="26" t="s">
        <v>24</v>
      </c>
      <c r="H997" s="26" t="s">
        <v>25</v>
      </c>
      <c r="I997" s="26" t="s">
        <v>26</v>
      </c>
      <c r="J997" s="26" t="s">
        <v>24</v>
      </c>
      <c r="K997" s="27"/>
      <c r="L997" s="28" t="s">
        <v>25</v>
      </c>
      <c r="M997" s="29" t="str">
        <f t="shared" si="75"/>
        <v>✓ OK</v>
      </c>
      <c r="N997" s="43">
        <v>46193</v>
      </c>
      <c r="O997" s="26" t="s">
        <v>23</v>
      </c>
      <c r="P997" s="26" t="s">
        <v>24</v>
      </c>
      <c r="Q997" s="26" t="s">
        <v>25</v>
      </c>
      <c r="R997" s="26" t="s">
        <v>26</v>
      </c>
      <c r="S997" s="26" t="s">
        <v>24</v>
      </c>
      <c r="T997" s="27"/>
      <c r="U997" s="28" t="s">
        <v>25</v>
      </c>
      <c r="V997" s="29" t="str">
        <f t="shared" si="76"/>
        <v>✓ OK</v>
      </c>
      <c r="W997" s="45">
        <v>46248</v>
      </c>
      <c r="X997" s="30" t="s">
        <v>23</v>
      </c>
      <c r="Y997" s="30" t="s">
        <v>24</v>
      </c>
      <c r="Z997" s="30" t="s">
        <v>25</v>
      </c>
      <c r="AA997" s="30" t="s">
        <v>26</v>
      </c>
      <c r="AB997" s="30" t="s">
        <v>24</v>
      </c>
      <c r="AC997" s="27"/>
      <c r="AD997" s="31" t="s">
        <v>25</v>
      </c>
      <c r="AE997" s="32" t="str">
        <f t="shared" si="77"/>
        <v>✓ OK</v>
      </c>
      <c r="AF997" s="33" t="s">
        <v>27</v>
      </c>
      <c r="AG997" s="33" t="s">
        <v>23</v>
      </c>
      <c r="AH997" s="33" t="s">
        <v>24</v>
      </c>
      <c r="AI997" s="33" t="s">
        <v>25</v>
      </c>
      <c r="AJ997" s="33" t="s">
        <v>26</v>
      </c>
      <c r="AK997" s="33" t="s">
        <v>24</v>
      </c>
      <c r="AL997" s="27"/>
      <c r="AM997" s="34" t="s">
        <v>25</v>
      </c>
      <c r="AN997" s="35" t="str">
        <f t="shared" si="78"/>
        <v>✓ OK</v>
      </c>
      <c r="AO997" s="36"/>
      <c r="AP997" s="36"/>
      <c r="AQ997" s="36"/>
      <c r="AR997" s="36"/>
      <c r="AS997" s="36"/>
      <c r="AT997" s="36"/>
      <c r="AU997" s="27"/>
      <c r="AV997" s="37"/>
      <c r="AW997" s="38" t="str">
        <f t="shared" si="79"/>
        <v/>
      </c>
    </row>
    <row r="998" spans="1:49" ht="18" customHeight="1" x14ac:dyDescent="0.3">
      <c r="A998" s="39">
        <v>994</v>
      </c>
      <c r="B998" s="40" t="s">
        <v>3836</v>
      </c>
      <c r="C998" s="41" t="s">
        <v>3837</v>
      </c>
      <c r="D998" s="39" t="s">
        <v>2819</v>
      </c>
      <c r="E998" s="43">
        <v>46126</v>
      </c>
      <c r="F998" s="26" t="s">
        <v>23</v>
      </c>
      <c r="G998" s="26" t="s">
        <v>24</v>
      </c>
      <c r="H998" s="26" t="s">
        <v>25</v>
      </c>
      <c r="I998" s="26" t="s">
        <v>26</v>
      </c>
      <c r="J998" s="26" t="s">
        <v>24</v>
      </c>
      <c r="K998" s="27"/>
      <c r="L998" s="28" t="s">
        <v>25</v>
      </c>
      <c r="M998" s="29" t="str">
        <f t="shared" si="75"/>
        <v>✓ OK</v>
      </c>
      <c r="N998" s="43">
        <v>46193</v>
      </c>
      <c r="O998" s="26" t="s">
        <v>23</v>
      </c>
      <c r="P998" s="26" t="s">
        <v>24</v>
      </c>
      <c r="Q998" s="26" t="s">
        <v>25</v>
      </c>
      <c r="R998" s="26" t="s">
        <v>26</v>
      </c>
      <c r="S998" s="26" t="s">
        <v>24</v>
      </c>
      <c r="T998" s="27"/>
      <c r="U998" s="28" t="s">
        <v>25</v>
      </c>
      <c r="V998" s="29" t="str">
        <f t="shared" si="76"/>
        <v>✓ OK</v>
      </c>
      <c r="W998" s="45">
        <v>46248</v>
      </c>
      <c r="X998" s="30" t="s">
        <v>23</v>
      </c>
      <c r="Y998" s="30" t="s">
        <v>24</v>
      </c>
      <c r="Z998" s="30" t="s">
        <v>25</v>
      </c>
      <c r="AA998" s="30" t="s">
        <v>26</v>
      </c>
      <c r="AB998" s="30" t="s">
        <v>24</v>
      </c>
      <c r="AC998" s="27"/>
      <c r="AD998" s="31" t="s">
        <v>25</v>
      </c>
      <c r="AE998" s="32" t="str">
        <f t="shared" si="77"/>
        <v>✓ OK</v>
      </c>
      <c r="AF998" s="33" t="s">
        <v>27</v>
      </c>
      <c r="AG998" s="33" t="s">
        <v>23</v>
      </c>
      <c r="AH998" s="33" t="s">
        <v>24</v>
      </c>
      <c r="AI998" s="33" t="s">
        <v>25</v>
      </c>
      <c r="AJ998" s="33" t="s">
        <v>26</v>
      </c>
      <c r="AK998" s="33" t="s">
        <v>24</v>
      </c>
      <c r="AL998" s="27"/>
      <c r="AM998" s="34" t="s">
        <v>25</v>
      </c>
      <c r="AN998" s="35" t="str">
        <f t="shared" si="78"/>
        <v>✓ OK</v>
      </c>
      <c r="AO998" s="36"/>
      <c r="AP998" s="36"/>
      <c r="AQ998" s="36"/>
      <c r="AR998" s="36"/>
      <c r="AS998" s="36"/>
      <c r="AT998" s="36"/>
      <c r="AU998" s="27"/>
      <c r="AV998" s="37"/>
      <c r="AW998" s="38" t="str">
        <f t="shared" si="79"/>
        <v/>
      </c>
    </row>
    <row r="999" spans="1:49" ht="18" customHeight="1" x14ac:dyDescent="0.3">
      <c r="A999" s="23">
        <v>995</v>
      </c>
      <c r="B999" s="24" t="s">
        <v>3838</v>
      </c>
      <c r="C999" s="25" t="s">
        <v>3839</v>
      </c>
      <c r="D999" s="23" t="s">
        <v>2819</v>
      </c>
      <c r="E999" s="43">
        <v>46126</v>
      </c>
      <c r="F999" s="26" t="s">
        <v>23</v>
      </c>
      <c r="G999" s="26" t="s">
        <v>24</v>
      </c>
      <c r="H999" s="26" t="s">
        <v>25</v>
      </c>
      <c r="I999" s="26" t="s">
        <v>26</v>
      </c>
      <c r="J999" s="26" t="s">
        <v>24</v>
      </c>
      <c r="K999" s="27"/>
      <c r="L999" s="28" t="s">
        <v>25</v>
      </c>
      <c r="M999" s="29" t="str">
        <f t="shared" si="75"/>
        <v>✓ OK</v>
      </c>
      <c r="N999" s="43">
        <v>46193</v>
      </c>
      <c r="O999" s="26" t="s">
        <v>23</v>
      </c>
      <c r="P999" s="26" t="s">
        <v>24</v>
      </c>
      <c r="Q999" s="26" t="s">
        <v>25</v>
      </c>
      <c r="R999" s="26" t="s">
        <v>26</v>
      </c>
      <c r="S999" s="26" t="s">
        <v>24</v>
      </c>
      <c r="T999" s="27"/>
      <c r="U999" s="28" t="s">
        <v>25</v>
      </c>
      <c r="V999" s="29" t="str">
        <f t="shared" si="76"/>
        <v>✓ OK</v>
      </c>
      <c r="W999" s="45">
        <v>46248</v>
      </c>
      <c r="X999" s="30" t="s">
        <v>23</v>
      </c>
      <c r="Y999" s="30" t="s">
        <v>24</v>
      </c>
      <c r="Z999" s="30" t="s">
        <v>25</v>
      </c>
      <c r="AA999" s="30" t="s">
        <v>26</v>
      </c>
      <c r="AB999" s="30" t="s">
        <v>24</v>
      </c>
      <c r="AC999" s="27"/>
      <c r="AD999" s="31" t="s">
        <v>25</v>
      </c>
      <c r="AE999" s="32" t="str">
        <f t="shared" si="77"/>
        <v>✓ OK</v>
      </c>
      <c r="AF999" s="33" t="s">
        <v>27</v>
      </c>
      <c r="AG999" s="33" t="s">
        <v>23</v>
      </c>
      <c r="AH999" s="33" t="s">
        <v>24</v>
      </c>
      <c r="AI999" s="33" t="s">
        <v>25</v>
      </c>
      <c r="AJ999" s="33" t="s">
        <v>26</v>
      </c>
      <c r="AK999" s="33" t="s">
        <v>24</v>
      </c>
      <c r="AL999" s="27"/>
      <c r="AM999" s="34" t="s">
        <v>25</v>
      </c>
      <c r="AN999" s="35" t="str">
        <f t="shared" si="78"/>
        <v>✓ OK</v>
      </c>
      <c r="AO999" s="36"/>
      <c r="AP999" s="36"/>
      <c r="AQ999" s="36"/>
      <c r="AR999" s="36"/>
      <c r="AS999" s="36"/>
      <c r="AT999" s="36"/>
      <c r="AU999" s="27"/>
      <c r="AV999" s="37"/>
      <c r="AW999" s="38" t="str">
        <f t="shared" si="79"/>
        <v/>
      </c>
    </row>
    <row r="1000" spans="1:49" ht="18" customHeight="1" x14ac:dyDescent="0.3">
      <c r="A1000" s="39">
        <v>996</v>
      </c>
      <c r="B1000" s="40" t="s">
        <v>3840</v>
      </c>
      <c r="C1000" s="41" t="s">
        <v>3841</v>
      </c>
      <c r="D1000" s="39" t="s">
        <v>2819</v>
      </c>
      <c r="E1000" s="43">
        <v>46126</v>
      </c>
      <c r="F1000" s="26" t="s">
        <v>23</v>
      </c>
      <c r="G1000" s="26" t="s">
        <v>24</v>
      </c>
      <c r="H1000" s="26" t="s">
        <v>25</v>
      </c>
      <c r="I1000" s="26" t="s">
        <v>26</v>
      </c>
      <c r="J1000" s="26" t="s">
        <v>24</v>
      </c>
      <c r="K1000" s="27"/>
      <c r="L1000" s="28" t="s">
        <v>25</v>
      </c>
      <c r="M1000" s="29" t="str">
        <f t="shared" si="75"/>
        <v>✓ OK</v>
      </c>
      <c r="N1000" s="43">
        <v>46193</v>
      </c>
      <c r="O1000" s="26" t="s">
        <v>23</v>
      </c>
      <c r="P1000" s="26" t="s">
        <v>24</v>
      </c>
      <c r="Q1000" s="26" t="s">
        <v>25</v>
      </c>
      <c r="R1000" s="26" t="s">
        <v>26</v>
      </c>
      <c r="S1000" s="26" t="s">
        <v>24</v>
      </c>
      <c r="T1000" s="27"/>
      <c r="U1000" s="28" t="s">
        <v>25</v>
      </c>
      <c r="V1000" s="29" t="str">
        <f t="shared" si="76"/>
        <v>✓ OK</v>
      </c>
      <c r="W1000" s="45">
        <v>46248</v>
      </c>
      <c r="X1000" s="30" t="s">
        <v>23</v>
      </c>
      <c r="Y1000" s="30" t="s">
        <v>24</v>
      </c>
      <c r="Z1000" s="30" t="s">
        <v>25</v>
      </c>
      <c r="AA1000" s="30" t="s">
        <v>26</v>
      </c>
      <c r="AB1000" s="30" t="s">
        <v>24</v>
      </c>
      <c r="AC1000" s="27"/>
      <c r="AD1000" s="31" t="s">
        <v>25</v>
      </c>
      <c r="AE1000" s="32" t="str">
        <f t="shared" si="77"/>
        <v>✓ OK</v>
      </c>
      <c r="AF1000" s="33" t="s">
        <v>27</v>
      </c>
      <c r="AG1000" s="33" t="s">
        <v>23</v>
      </c>
      <c r="AH1000" s="33" t="s">
        <v>24</v>
      </c>
      <c r="AI1000" s="33" t="s">
        <v>25</v>
      </c>
      <c r="AJ1000" s="33" t="s">
        <v>26</v>
      </c>
      <c r="AK1000" s="33" t="s">
        <v>24</v>
      </c>
      <c r="AL1000" s="27"/>
      <c r="AM1000" s="34" t="s">
        <v>25</v>
      </c>
      <c r="AN1000" s="35" t="str">
        <f t="shared" si="78"/>
        <v>✓ OK</v>
      </c>
      <c r="AO1000" s="36"/>
      <c r="AP1000" s="36"/>
      <c r="AQ1000" s="36"/>
      <c r="AR1000" s="36"/>
      <c r="AS1000" s="36"/>
      <c r="AT1000" s="36"/>
      <c r="AU1000" s="27"/>
      <c r="AV1000" s="37"/>
      <c r="AW1000" s="38" t="str">
        <f t="shared" si="79"/>
        <v/>
      </c>
    </row>
    <row r="1001" spans="1:49" ht="18" customHeight="1" x14ac:dyDescent="0.3">
      <c r="A1001" s="23">
        <v>997</v>
      </c>
      <c r="B1001" s="24" t="s">
        <v>3842</v>
      </c>
      <c r="C1001" s="25" t="s">
        <v>3843</v>
      </c>
      <c r="D1001" s="23" t="s">
        <v>2819</v>
      </c>
      <c r="E1001" s="43">
        <v>46126</v>
      </c>
      <c r="F1001" s="26" t="s">
        <v>23</v>
      </c>
      <c r="G1001" s="26" t="s">
        <v>24</v>
      </c>
      <c r="H1001" s="26" t="s">
        <v>25</v>
      </c>
      <c r="I1001" s="26" t="s">
        <v>26</v>
      </c>
      <c r="J1001" s="26" t="s">
        <v>24</v>
      </c>
      <c r="K1001" s="27"/>
      <c r="L1001" s="28" t="s">
        <v>25</v>
      </c>
      <c r="M1001" s="29" t="str">
        <f t="shared" si="75"/>
        <v>✓ OK</v>
      </c>
      <c r="N1001" s="43">
        <v>46193</v>
      </c>
      <c r="O1001" s="26" t="s">
        <v>23</v>
      </c>
      <c r="P1001" s="26" t="s">
        <v>24</v>
      </c>
      <c r="Q1001" s="26" t="s">
        <v>25</v>
      </c>
      <c r="R1001" s="26" t="s">
        <v>26</v>
      </c>
      <c r="S1001" s="26" t="s">
        <v>24</v>
      </c>
      <c r="T1001" s="27"/>
      <c r="U1001" s="28" t="s">
        <v>25</v>
      </c>
      <c r="V1001" s="29" t="str">
        <f t="shared" si="76"/>
        <v>✓ OK</v>
      </c>
      <c r="W1001" s="45">
        <v>46248</v>
      </c>
      <c r="X1001" s="30" t="s">
        <v>23</v>
      </c>
      <c r="Y1001" s="30" t="s">
        <v>24</v>
      </c>
      <c r="Z1001" s="30" t="s">
        <v>25</v>
      </c>
      <c r="AA1001" s="30" t="s">
        <v>26</v>
      </c>
      <c r="AB1001" s="30" t="s">
        <v>24</v>
      </c>
      <c r="AC1001" s="27"/>
      <c r="AD1001" s="31" t="s">
        <v>25</v>
      </c>
      <c r="AE1001" s="32" t="str">
        <f t="shared" si="77"/>
        <v>✓ OK</v>
      </c>
      <c r="AF1001" s="33" t="s">
        <v>27</v>
      </c>
      <c r="AG1001" s="33" t="s">
        <v>23</v>
      </c>
      <c r="AH1001" s="33" t="s">
        <v>24</v>
      </c>
      <c r="AI1001" s="33" t="s">
        <v>25</v>
      </c>
      <c r="AJ1001" s="33" t="s">
        <v>26</v>
      </c>
      <c r="AK1001" s="33" t="s">
        <v>24</v>
      </c>
      <c r="AL1001" s="27"/>
      <c r="AM1001" s="34" t="s">
        <v>25</v>
      </c>
      <c r="AN1001" s="35" t="str">
        <f t="shared" si="78"/>
        <v>✓ OK</v>
      </c>
      <c r="AO1001" s="36"/>
      <c r="AP1001" s="36"/>
      <c r="AQ1001" s="36"/>
      <c r="AR1001" s="36"/>
      <c r="AS1001" s="36"/>
      <c r="AT1001" s="36"/>
      <c r="AU1001" s="27"/>
      <c r="AV1001" s="37"/>
      <c r="AW1001" s="38" t="str">
        <f t="shared" si="79"/>
        <v/>
      </c>
    </row>
    <row r="1002" spans="1:49" ht="18" customHeight="1" x14ac:dyDescent="0.3">
      <c r="A1002" s="39">
        <v>998</v>
      </c>
      <c r="B1002" s="40" t="s">
        <v>3844</v>
      </c>
      <c r="C1002" s="41" t="s">
        <v>3845</v>
      </c>
      <c r="D1002" s="39" t="s">
        <v>2819</v>
      </c>
      <c r="E1002" s="43">
        <v>46126</v>
      </c>
      <c r="F1002" s="26" t="s">
        <v>23</v>
      </c>
      <c r="G1002" s="26" t="s">
        <v>24</v>
      </c>
      <c r="H1002" s="26" t="s">
        <v>25</v>
      </c>
      <c r="I1002" s="26" t="s">
        <v>26</v>
      </c>
      <c r="J1002" s="26" t="s">
        <v>24</v>
      </c>
      <c r="K1002" s="27"/>
      <c r="L1002" s="28" t="s">
        <v>25</v>
      </c>
      <c r="M1002" s="29" t="str">
        <f t="shared" si="75"/>
        <v>✓ OK</v>
      </c>
      <c r="N1002" s="43">
        <v>46193</v>
      </c>
      <c r="O1002" s="26" t="s">
        <v>23</v>
      </c>
      <c r="P1002" s="26" t="s">
        <v>24</v>
      </c>
      <c r="Q1002" s="26" t="s">
        <v>25</v>
      </c>
      <c r="R1002" s="26" t="s">
        <v>26</v>
      </c>
      <c r="S1002" s="26" t="s">
        <v>24</v>
      </c>
      <c r="T1002" s="27"/>
      <c r="U1002" s="28" t="s">
        <v>25</v>
      </c>
      <c r="V1002" s="29" t="str">
        <f t="shared" si="76"/>
        <v>✓ OK</v>
      </c>
      <c r="W1002" s="45">
        <v>46248</v>
      </c>
      <c r="X1002" s="30" t="s">
        <v>23</v>
      </c>
      <c r="Y1002" s="30" t="s">
        <v>24</v>
      </c>
      <c r="Z1002" s="30" t="s">
        <v>25</v>
      </c>
      <c r="AA1002" s="30" t="s">
        <v>26</v>
      </c>
      <c r="AB1002" s="30" t="s">
        <v>24</v>
      </c>
      <c r="AC1002" s="27"/>
      <c r="AD1002" s="31" t="s">
        <v>25</v>
      </c>
      <c r="AE1002" s="32" t="str">
        <f t="shared" si="77"/>
        <v>✓ OK</v>
      </c>
      <c r="AF1002" s="33" t="s">
        <v>27</v>
      </c>
      <c r="AG1002" s="33" t="s">
        <v>23</v>
      </c>
      <c r="AH1002" s="33" t="s">
        <v>24</v>
      </c>
      <c r="AI1002" s="33" t="s">
        <v>25</v>
      </c>
      <c r="AJ1002" s="33" t="s">
        <v>26</v>
      </c>
      <c r="AK1002" s="33" t="s">
        <v>24</v>
      </c>
      <c r="AL1002" s="27"/>
      <c r="AM1002" s="34" t="s">
        <v>25</v>
      </c>
      <c r="AN1002" s="35" t="str">
        <f t="shared" si="78"/>
        <v>✓ OK</v>
      </c>
      <c r="AO1002" s="36"/>
      <c r="AP1002" s="36"/>
      <c r="AQ1002" s="36"/>
      <c r="AR1002" s="36"/>
      <c r="AS1002" s="36"/>
      <c r="AT1002" s="36"/>
      <c r="AU1002" s="27"/>
      <c r="AV1002" s="37"/>
      <c r="AW1002" s="38" t="str">
        <f t="shared" si="79"/>
        <v/>
      </c>
    </row>
    <row r="1003" spans="1:49" ht="18" customHeight="1" x14ac:dyDescent="0.3">
      <c r="A1003" s="23">
        <v>999</v>
      </c>
      <c r="B1003" s="24" t="s">
        <v>3846</v>
      </c>
      <c r="C1003" s="25" t="s">
        <v>3847</v>
      </c>
      <c r="D1003" s="23" t="s">
        <v>2819</v>
      </c>
      <c r="E1003" s="43">
        <v>46126</v>
      </c>
      <c r="F1003" s="26" t="s">
        <v>23</v>
      </c>
      <c r="G1003" s="26" t="s">
        <v>24</v>
      </c>
      <c r="H1003" s="26" t="s">
        <v>25</v>
      </c>
      <c r="I1003" s="26" t="s">
        <v>26</v>
      </c>
      <c r="J1003" s="26" t="s">
        <v>24</v>
      </c>
      <c r="K1003" s="27"/>
      <c r="L1003" s="28" t="s">
        <v>25</v>
      </c>
      <c r="M1003" s="29" t="str">
        <f t="shared" si="75"/>
        <v>✓ OK</v>
      </c>
      <c r="N1003" s="43">
        <v>46193</v>
      </c>
      <c r="O1003" s="26" t="s">
        <v>23</v>
      </c>
      <c r="P1003" s="26" t="s">
        <v>24</v>
      </c>
      <c r="Q1003" s="26" t="s">
        <v>25</v>
      </c>
      <c r="R1003" s="26" t="s">
        <v>26</v>
      </c>
      <c r="S1003" s="26" t="s">
        <v>24</v>
      </c>
      <c r="T1003" s="27"/>
      <c r="U1003" s="28" t="s">
        <v>25</v>
      </c>
      <c r="V1003" s="29" t="str">
        <f t="shared" si="76"/>
        <v>✓ OK</v>
      </c>
      <c r="W1003" s="45">
        <v>46248</v>
      </c>
      <c r="X1003" s="30" t="s">
        <v>23</v>
      </c>
      <c r="Y1003" s="30" t="s">
        <v>24</v>
      </c>
      <c r="Z1003" s="30" t="s">
        <v>25</v>
      </c>
      <c r="AA1003" s="30" t="s">
        <v>26</v>
      </c>
      <c r="AB1003" s="30" t="s">
        <v>24</v>
      </c>
      <c r="AC1003" s="27"/>
      <c r="AD1003" s="31" t="s">
        <v>25</v>
      </c>
      <c r="AE1003" s="32" t="str">
        <f t="shared" si="77"/>
        <v>✓ OK</v>
      </c>
      <c r="AF1003" s="33" t="s">
        <v>27</v>
      </c>
      <c r="AG1003" s="33" t="s">
        <v>23</v>
      </c>
      <c r="AH1003" s="33" t="s">
        <v>24</v>
      </c>
      <c r="AI1003" s="33" t="s">
        <v>25</v>
      </c>
      <c r="AJ1003" s="33" t="s">
        <v>26</v>
      </c>
      <c r="AK1003" s="33" t="s">
        <v>24</v>
      </c>
      <c r="AL1003" s="27"/>
      <c r="AM1003" s="34" t="s">
        <v>25</v>
      </c>
      <c r="AN1003" s="35" t="str">
        <f t="shared" si="78"/>
        <v>✓ OK</v>
      </c>
      <c r="AO1003" s="36"/>
      <c r="AP1003" s="36"/>
      <c r="AQ1003" s="36"/>
      <c r="AR1003" s="36"/>
      <c r="AS1003" s="36"/>
      <c r="AT1003" s="36"/>
      <c r="AU1003" s="27"/>
      <c r="AV1003" s="37"/>
      <c r="AW1003" s="38" t="str">
        <f t="shared" si="79"/>
        <v/>
      </c>
    </row>
    <row r="1004" spans="1:49" ht="18" customHeight="1" x14ac:dyDescent="0.3">
      <c r="A1004" s="39">
        <v>1000</v>
      </c>
      <c r="B1004" s="40" t="s">
        <v>3848</v>
      </c>
      <c r="C1004" s="41" t="s">
        <v>3849</v>
      </c>
      <c r="D1004" s="39" t="s">
        <v>2819</v>
      </c>
      <c r="E1004" s="43">
        <v>46126</v>
      </c>
      <c r="F1004" s="26" t="s">
        <v>23</v>
      </c>
      <c r="G1004" s="26" t="s">
        <v>24</v>
      </c>
      <c r="H1004" s="26" t="s">
        <v>25</v>
      </c>
      <c r="I1004" s="26" t="s">
        <v>26</v>
      </c>
      <c r="J1004" s="26" t="s">
        <v>24</v>
      </c>
      <c r="K1004" s="27"/>
      <c r="L1004" s="28" t="s">
        <v>25</v>
      </c>
      <c r="M1004" s="29" t="str">
        <f t="shared" si="75"/>
        <v>✓ OK</v>
      </c>
      <c r="N1004" s="43">
        <v>46193</v>
      </c>
      <c r="O1004" s="26" t="s">
        <v>23</v>
      </c>
      <c r="P1004" s="26" t="s">
        <v>24</v>
      </c>
      <c r="Q1004" s="26" t="s">
        <v>25</v>
      </c>
      <c r="R1004" s="26" t="s">
        <v>26</v>
      </c>
      <c r="S1004" s="26" t="s">
        <v>24</v>
      </c>
      <c r="T1004" s="27"/>
      <c r="U1004" s="28" t="s">
        <v>25</v>
      </c>
      <c r="V1004" s="29" t="str">
        <f t="shared" si="76"/>
        <v>✓ OK</v>
      </c>
      <c r="W1004" s="45">
        <v>46248</v>
      </c>
      <c r="X1004" s="30" t="s">
        <v>23</v>
      </c>
      <c r="Y1004" s="30" t="s">
        <v>24</v>
      </c>
      <c r="Z1004" s="30" t="s">
        <v>25</v>
      </c>
      <c r="AA1004" s="30" t="s">
        <v>26</v>
      </c>
      <c r="AB1004" s="30" t="s">
        <v>24</v>
      </c>
      <c r="AC1004" s="27"/>
      <c r="AD1004" s="31" t="s">
        <v>25</v>
      </c>
      <c r="AE1004" s="32" t="str">
        <f t="shared" si="77"/>
        <v>✓ OK</v>
      </c>
      <c r="AF1004" s="33" t="s">
        <v>27</v>
      </c>
      <c r="AG1004" s="33" t="s">
        <v>23</v>
      </c>
      <c r="AH1004" s="33" t="s">
        <v>24</v>
      </c>
      <c r="AI1004" s="33" t="s">
        <v>25</v>
      </c>
      <c r="AJ1004" s="33" t="s">
        <v>26</v>
      </c>
      <c r="AK1004" s="33" t="s">
        <v>24</v>
      </c>
      <c r="AL1004" s="27"/>
      <c r="AM1004" s="34" t="s">
        <v>25</v>
      </c>
      <c r="AN1004" s="35" t="str">
        <f t="shared" si="78"/>
        <v>✓ OK</v>
      </c>
      <c r="AO1004" s="36"/>
      <c r="AP1004" s="36"/>
      <c r="AQ1004" s="36"/>
      <c r="AR1004" s="36"/>
      <c r="AS1004" s="36"/>
      <c r="AT1004" s="36"/>
      <c r="AU1004" s="27"/>
      <c r="AV1004" s="37"/>
      <c r="AW1004" s="38" t="str">
        <f t="shared" si="79"/>
        <v/>
      </c>
    </row>
    <row r="1005" spans="1:49" ht="18" customHeight="1" x14ac:dyDescent="0.3">
      <c r="A1005" s="23">
        <v>1001</v>
      </c>
      <c r="B1005" s="24" t="s">
        <v>3850</v>
      </c>
      <c r="C1005" s="25" t="s">
        <v>3851</v>
      </c>
      <c r="D1005" s="23" t="s">
        <v>2819</v>
      </c>
      <c r="E1005" s="43">
        <v>46126</v>
      </c>
      <c r="F1005" s="26" t="s">
        <v>23</v>
      </c>
      <c r="G1005" s="26" t="s">
        <v>24</v>
      </c>
      <c r="H1005" s="26" t="s">
        <v>25</v>
      </c>
      <c r="I1005" s="26" t="s">
        <v>26</v>
      </c>
      <c r="J1005" s="26" t="s">
        <v>24</v>
      </c>
      <c r="K1005" s="27"/>
      <c r="L1005" s="28" t="s">
        <v>25</v>
      </c>
      <c r="M1005" s="29" t="str">
        <f t="shared" si="75"/>
        <v>✓ OK</v>
      </c>
      <c r="N1005" s="43">
        <v>46193</v>
      </c>
      <c r="O1005" s="26" t="s">
        <v>23</v>
      </c>
      <c r="P1005" s="26" t="s">
        <v>24</v>
      </c>
      <c r="Q1005" s="26" t="s">
        <v>25</v>
      </c>
      <c r="R1005" s="26" t="s">
        <v>26</v>
      </c>
      <c r="S1005" s="26" t="s">
        <v>24</v>
      </c>
      <c r="T1005" s="27"/>
      <c r="U1005" s="28" t="s">
        <v>25</v>
      </c>
      <c r="V1005" s="29" t="str">
        <f t="shared" si="76"/>
        <v>✓ OK</v>
      </c>
      <c r="W1005" s="45">
        <v>46248</v>
      </c>
      <c r="X1005" s="30" t="s">
        <v>23</v>
      </c>
      <c r="Y1005" s="30" t="s">
        <v>24</v>
      </c>
      <c r="Z1005" s="30" t="s">
        <v>25</v>
      </c>
      <c r="AA1005" s="30" t="s">
        <v>26</v>
      </c>
      <c r="AB1005" s="30" t="s">
        <v>24</v>
      </c>
      <c r="AC1005" s="27"/>
      <c r="AD1005" s="31" t="s">
        <v>25</v>
      </c>
      <c r="AE1005" s="32" t="str">
        <f t="shared" si="77"/>
        <v>✓ OK</v>
      </c>
      <c r="AF1005" s="33" t="s">
        <v>27</v>
      </c>
      <c r="AG1005" s="33" t="s">
        <v>23</v>
      </c>
      <c r="AH1005" s="33" t="s">
        <v>24</v>
      </c>
      <c r="AI1005" s="33" t="s">
        <v>25</v>
      </c>
      <c r="AJ1005" s="33" t="s">
        <v>26</v>
      </c>
      <c r="AK1005" s="33" t="s">
        <v>24</v>
      </c>
      <c r="AL1005" s="27"/>
      <c r="AM1005" s="34" t="s">
        <v>25</v>
      </c>
      <c r="AN1005" s="35" t="str">
        <f t="shared" si="78"/>
        <v>✓ OK</v>
      </c>
      <c r="AO1005" s="36"/>
      <c r="AP1005" s="36"/>
      <c r="AQ1005" s="36"/>
      <c r="AR1005" s="36"/>
      <c r="AS1005" s="36"/>
      <c r="AT1005" s="36"/>
      <c r="AU1005" s="27"/>
      <c r="AV1005" s="37"/>
      <c r="AW1005" s="38" t="str">
        <f t="shared" si="79"/>
        <v/>
      </c>
    </row>
    <row r="1006" spans="1:49" ht="18" customHeight="1" x14ac:dyDescent="0.3">
      <c r="A1006" s="39">
        <v>1002</v>
      </c>
      <c r="B1006" s="40" t="s">
        <v>3852</v>
      </c>
      <c r="C1006" s="41" t="s">
        <v>3853</v>
      </c>
      <c r="D1006" s="39" t="s">
        <v>2819</v>
      </c>
      <c r="E1006" s="43">
        <v>46126</v>
      </c>
      <c r="F1006" s="26" t="s">
        <v>23</v>
      </c>
      <c r="G1006" s="26" t="s">
        <v>24</v>
      </c>
      <c r="H1006" s="26" t="s">
        <v>25</v>
      </c>
      <c r="I1006" s="26" t="s">
        <v>26</v>
      </c>
      <c r="J1006" s="26" t="s">
        <v>24</v>
      </c>
      <c r="K1006" s="27"/>
      <c r="L1006" s="28" t="s">
        <v>25</v>
      </c>
      <c r="M1006" s="29" t="str">
        <f t="shared" si="75"/>
        <v>✓ OK</v>
      </c>
      <c r="N1006" s="43">
        <v>46193</v>
      </c>
      <c r="O1006" s="26" t="s">
        <v>23</v>
      </c>
      <c r="P1006" s="26" t="s">
        <v>24</v>
      </c>
      <c r="Q1006" s="26" t="s">
        <v>25</v>
      </c>
      <c r="R1006" s="26" t="s">
        <v>26</v>
      </c>
      <c r="S1006" s="26" t="s">
        <v>24</v>
      </c>
      <c r="T1006" s="27"/>
      <c r="U1006" s="28" t="s">
        <v>25</v>
      </c>
      <c r="V1006" s="29" t="str">
        <f t="shared" si="76"/>
        <v>✓ OK</v>
      </c>
      <c r="W1006" s="45">
        <v>46248</v>
      </c>
      <c r="X1006" s="30" t="s">
        <v>23</v>
      </c>
      <c r="Y1006" s="30" t="s">
        <v>24</v>
      </c>
      <c r="Z1006" s="30" t="s">
        <v>25</v>
      </c>
      <c r="AA1006" s="30" t="s">
        <v>26</v>
      </c>
      <c r="AB1006" s="30" t="s">
        <v>24</v>
      </c>
      <c r="AC1006" s="27"/>
      <c r="AD1006" s="31" t="s">
        <v>25</v>
      </c>
      <c r="AE1006" s="32" t="str">
        <f t="shared" si="77"/>
        <v>✓ OK</v>
      </c>
      <c r="AF1006" s="33" t="s">
        <v>27</v>
      </c>
      <c r="AG1006" s="33" t="s">
        <v>23</v>
      </c>
      <c r="AH1006" s="33" t="s">
        <v>24</v>
      </c>
      <c r="AI1006" s="33" t="s">
        <v>25</v>
      </c>
      <c r="AJ1006" s="33" t="s">
        <v>26</v>
      </c>
      <c r="AK1006" s="33" t="s">
        <v>24</v>
      </c>
      <c r="AL1006" s="27"/>
      <c r="AM1006" s="34" t="s">
        <v>25</v>
      </c>
      <c r="AN1006" s="35" t="str">
        <f t="shared" si="78"/>
        <v>✓ OK</v>
      </c>
      <c r="AO1006" s="36"/>
      <c r="AP1006" s="36"/>
      <c r="AQ1006" s="36"/>
      <c r="AR1006" s="36"/>
      <c r="AS1006" s="36"/>
      <c r="AT1006" s="36"/>
      <c r="AU1006" s="27"/>
      <c r="AV1006" s="37"/>
      <c r="AW1006" s="38" t="str">
        <f t="shared" si="79"/>
        <v/>
      </c>
    </row>
    <row r="1007" spans="1:49" ht="18" customHeight="1" x14ac:dyDescent="0.3">
      <c r="A1007" s="23">
        <v>1003</v>
      </c>
      <c r="B1007" s="24" t="s">
        <v>3854</v>
      </c>
      <c r="C1007" s="25" t="s">
        <v>3855</v>
      </c>
      <c r="D1007" s="23" t="s">
        <v>2819</v>
      </c>
      <c r="E1007" s="43">
        <v>46126</v>
      </c>
      <c r="F1007" s="26" t="s">
        <v>23</v>
      </c>
      <c r="G1007" s="26" t="s">
        <v>24</v>
      </c>
      <c r="H1007" s="26" t="s">
        <v>25</v>
      </c>
      <c r="I1007" s="26" t="s">
        <v>26</v>
      </c>
      <c r="J1007" s="26" t="s">
        <v>24</v>
      </c>
      <c r="K1007" s="27"/>
      <c r="L1007" s="28" t="s">
        <v>25</v>
      </c>
      <c r="M1007" s="29" t="str">
        <f t="shared" si="75"/>
        <v>✓ OK</v>
      </c>
      <c r="N1007" s="43">
        <v>46193</v>
      </c>
      <c r="O1007" s="26" t="s">
        <v>23</v>
      </c>
      <c r="P1007" s="26" t="s">
        <v>24</v>
      </c>
      <c r="Q1007" s="26" t="s">
        <v>25</v>
      </c>
      <c r="R1007" s="26" t="s">
        <v>26</v>
      </c>
      <c r="S1007" s="26" t="s">
        <v>24</v>
      </c>
      <c r="T1007" s="27"/>
      <c r="U1007" s="28" t="s">
        <v>25</v>
      </c>
      <c r="V1007" s="29" t="str">
        <f t="shared" si="76"/>
        <v>✓ OK</v>
      </c>
      <c r="W1007" s="45">
        <v>46248</v>
      </c>
      <c r="X1007" s="30" t="s">
        <v>23</v>
      </c>
      <c r="Y1007" s="30" t="s">
        <v>24</v>
      </c>
      <c r="Z1007" s="30" t="s">
        <v>25</v>
      </c>
      <c r="AA1007" s="30" t="s">
        <v>26</v>
      </c>
      <c r="AB1007" s="30" t="s">
        <v>24</v>
      </c>
      <c r="AC1007" s="27"/>
      <c r="AD1007" s="31" t="s">
        <v>25</v>
      </c>
      <c r="AE1007" s="32" t="str">
        <f t="shared" si="77"/>
        <v>✓ OK</v>
      </c>
      <c r="AF1007" s="33" t="s">
        <v>27</v>
      </c>
      <c r="AG1007" s="33" t="s">
        <v>23</v>
      </c>
      <c r="AH1007" s="33" t="s">
        <v>24</v>
      </c>
      <c r="AI1007" s="33" t="s">
        <v>25</v>
      </c>
      <c r="AJ1007" s="33" t="s">
        <v>26</v>
      </c>
      <c r="AK1007" s="33" t="s">
        <v>24</v>
      </c>
      <c r="AL1007" s="27"/>
      <c r="AM1007" s="34" t="s">
        <v>25</v>
      </c>
      <c r="AN1007" s="35" t="str">
        <f t="shared" si="78"/>
        <v>✓ OK</v>
      </c>
      <c r="AO1007" s="36"/>
      <c r="AP1007" s="36"/>
      <c r="AQ1007" s="36"/>
      <c r="AR1007" s="36"/>
      <c r="AS1007" s="36"/>
      <c r="AT1007" s="36"/>
      <c r="AU1007" s="27"/>
      <c r="AV1007" s="37"/>
      <c r="AW1007" s="38" t="str">
        <f t="shared" si="79"/>
        <v/>
      </c>
    </row>
    <row r="1008" spans="1:49" ht="18" customHeight="1" x14ac:dyDescent="0.3">
      <c r="A1008" s="39">
        <v>1004</v>
      </c>
      <c r="B1008" s="40" t="s">
        <v>3856</v>
      </c>
      <c r="C1008" s="41" t="s">
        <v>3857</v>
      </c>
      <c r="D1008" s="39" t="s">
        <v>2819</v>
      </c>
      <c r="E1008" s="43">
        <v>46126</v>
      </c>
      <c r="F1008" s="26" t="s">
        <v>23</v>
      </c>
      <c r="G1008" s="26" t="s">
        <v>24</v>
      </c>
      <c r="H1008" s="26" t="s">
        <v>25</v>
      </c>
      <c r="I1008" s="26" t="s">
        <v>26</v>
      </c>
      <c r="J1008" s="26" t="s">
        <v>24</v>
      </c>
      <c r="K1008" s="27"/>
      <c r="L1008" s="28" t="s">
        <v>25</v>
      </c>
      <c r="M1008" s="29" t="str">
        <f t="shared" si="75"/>
        <v>✓ OK</v>
      </c>
      <c r="N1008" s="43">
        <v>46193</v>
      </c>
      <c r="O1008" s="26" t="s">
        <v>23</v>
      </c>
      <c r="P1008" s="26" t="s">
        <v>24</v>
      </c>
      <c r="Q1008" s="26" t="s">
        <v>25</v>
      </c>
      <c r="R1008" s="26" t="s">
        <v>26</v>
      </c>
      <c r="S1008" s="26" t="s">
        <v>24</v>
      </c>
      <c r="T1008" s="27"/>
      <c r="U1008" s="28" t="s">
        <v>25</v>
      </c>
      <c r="V1008" s="29" t="str">
        <f t="shared" si="76"/>
        <v>✓ OK</v>
      </c>
      <c r="W1008" s="45">
        <v>46248</v>
      </c>
      <c r="X1008" s="30" t="s">
        <v>23</v>
      </c>
      <c r="Y1008" s="30" t="s">
        <v>24</v>
      </c>
      <c r="Z1008" s="30" t="s">
        <v>25</v>
      </c>
      <c r="AA1008" s="30" t="s">
        <v>26</v>
      </c>
      <c r="AB1008" s="30" t="s">
        <v>24</v>
      </c>
      <c r="AC1008" s="27"/>
      <c r="AD1008" s="31" t="s">
        <v>25</v>
      </c>
      <c r="AE1008" s="32" t="str">
        <f t="shared" si="77"/>
        <v>✓ OK</v>
      </c>
      <c r="AF1008" s="33" t="s">
        <v>27</v>
      </c>
      <c r="AG1008" s="33" t="s">
        <v>23</v>
      </c>
      <c r="AH1008" s="33" t="s">
        <v>24</v>
      </c>
      <c r="AI1008" s="33" t="s">
        <v>25</v>
      </c>
      <c r="AJ1008" s="33" t="s">
        <v>26</v>
      </c>
      <c r="AK1008" s="33" t="s">
        <v>24</v>
      </c>
      <c r="AL1008" s="27"/>
      <c r="AM1008" s="34" t="s">
        <v>25</v>
      </c>
      <c r="AN1008" s="35" t="str">
        <f t="shared" si="78"/>
        <v>✓ OK</v>
      </c>
      <c r="AO1008" s="36"/>
      <c r="AP1008" s="36"/>
      <c r="AQ1008" s="36"/>
      <c r="AR1008" s="36"/>
      <c r="AS1008" s="36"/>
      <c r="AT1008" s="36"/>
      <c r="AU1008" s="27"/>
      <c r="AV1008" s="37"/>
      <c r="AW1008" s="38" t="str">
        <f t="shared" si="79"/>
        <v/>
      </c>
    </row>
    <row r="1009" spans="1:49" ht="18" customHeight="1" x14ac:dyDescent="0.3">
      <c r="A1009" s="23">
        <v>1005</v>
      </c>
      <c r="B1009" s="24" t="s">
        <v>3858</v>
      </c>
      <c r="C1009" s="25" t="s">
        <v>3859</v>
      </c>
      <c r="D1009" s="23" t="s">
        <v>2819</v>
      </c>
      <c r="E1009" s="43">
        <v>46126</v>
      </c>
      <c r="F1009" s="26" t="s">
        <v>23</v>
      </c>
      <c r="G1009" s="26" t="s">
        <v>24</v>
      </c>
      <c r="H1009" s="26" t="s">
        <v>25</v>
      </c>
      <c r="I1009" s="26" t="s">
        <v>26</v>
      </c>
      <c r="J1009" s="26" t="s">
        <v>24</v>
      </c>
      <c r="K1009" s="27"/>
      <c r="L1009" s="28" t="s">
        <v>25</v>
      </c>
      <c r="M1009" s="29" t="str">
        <f t="shared" si="75"/>
        <v>✓ OK</v>
      </c>
      <c r="N1009" s="43">
        <v>46193</v>
      </c>
      <c r="O1009" s="26" t="s">
        <v>23</v>
      </c>
      <c r="P1009" s="26" t="s">
        <v>24</v>
      </c>
      <c r="Q1009" s="26" t="s">
        <v>25</v>
      </c>
      <c r="R1009" s="26" t="s">
        <v>26</v>
      </c>
      <c r="S1009" s="26" t="s">
        <v>24</v>
      </c>
      <c r="T1009" s="27"/>
      <c r="U1009" s="28" t="s">
        <v>25</v>
      </c>
      <c r="V1009" s="29" t="str">
        <f t="shared" si="76"/>
        <v>✓ OK</v>
      </c>
      <c r="W1009" s="45">
        <v>46248</v>
      </c>
      <c r="X1009" s="30" t="s">
        <v>23</v>
      </c>
      <c r="Y1009" s="30" t="s">
        <v>24</v>
      </c>
      <c r="Z1009" s="30" t="s">
        <v>25</v>
      </c>
      <c r="AA1009" s="30" t="s">
        <v>26</v>
      </c>
      <c r="AB1009" s="30" t="s">
        <v>24</v>
      </c>
      <c r="AC1009" s="27"/>
      <c r="AD1009" s="31" t="s">
        <v>25</v>
      </c>
      <c r="AE1009" s="32" t="str">
        <f t="shared" si="77"/>
        <v>✓ OK</v>
      </c>
      <c r="AF1009" s="33" t="s">
        <v>27</v>
      </c>
      <c r="AG1009" s="33" t="s">
        <v>23</v>
      </c>
      <c r="AH1009" s="33" t="s">
        <v>24</v>
      </c>
      <c r="AI1009" s="33" t="s">
        <v>25</v>
      </c>
      <c r="AJ1009" s="33" t="s">
        <v>26</v>
      </c>
      <c r="AK1009" s="33" t="s">
        <v>24</v>
      </c>
      <c r="AL1009" s="27"/>
      <c r="AM1009" s="34" t="s">
        <v>25</v>
      </c>
      <c r="AN1009" s="35" t="str">
        <f t="shared" si="78"/>
        <v>✓ OK</v>
      </c>
      <c r="AO1009" s="36"/>
      <c r="AP1009" s="36"/>
      <c r="AQ1009" s="36"/>
      <c r="AR1009" s="36"/>
      <c r="AS1009" s="36"/>
      <c r="AT1009" s="36"/>
      <c r="AU1009" s="27"/>
      <c r="AV1009" s="37"/>
      <c r="AW1009" s="38" t="str">
        <f t="shared" si="79"/>
        <v/>
      </c>
    </row>
    <row r="1010" spans="1:49" ht="18" customHeight="1" x14ac:dyDescent="0.3">
      <c r="A1010" s="39">
        <v>1006</v>
      </c>
      <c r="B1010" s="40" t="s">
        <v>3860</v>
      </c>
      <c r="C1010" s="41" t="s">
        <v>3861</v>
      </c>
      <c r="D1010" s="39" t="s">
        <v>2819</v>
      </c>
      <c r="E1010" s="43">
        <v>46126</v>
      </c>
      <c r="F1010" s="26" t="s">
        <v>23</v>
      </c>
      <c r="G1010" s="26" t="s">
        <v>24</v>
      </c>
      <c r="H1010" s="26" t="s">
        <v>25</v>
      </c>
      <c r="I1010" s="26" t="s">
        <v>26</v>
      </c>
      <c r="J1010" s="26" t="s">
        <v>24</v>
      </c>
      <c r="K1010" s="27"/>
      <c r="L1010" s="28" t="s">
        <v>25</v>
      </c>
      <c r="M1010" s="29" t="str">
        <f t="shared" si="75"/>
        <v>✓ OK</v>
      </c>
      <c r="N1010" s="43">
        <v>46193</v>
      </c>
      <c r="O1010" s="26" t="s">
        <v>23</v>
      </c>
      <c r="P1010" s="26" t="s">
        <v>24</v>
      </c>
      <c r="Q1010" s="26" t="s">
        <v>25</v>
      </c>
      <c r="R1010" s="26" t="s">
        <v>26</v>
      </c>
      <c r="S1010" s="26" t="s">
        <v>24</v>
      </c>
      <c r="T1010" s="27"/>
      <c r="U1010" s="28" t="s">
        <v>25</v>
      </c>
      <c r="V1010" s="29" t="str">
        <f t="shared" si="76"/>
        <v>✓ OK</v>
      </c>
      <c r="W1010" s="45">
        <v>46248</v>
      </c>
      <c r="X1010" s="30" t="s">
        <v>23</v>
      </c>
      <c r="Y1010" s="30" t="s">
        <v>24</v>
      </c>
      <c r="Z1010" s="30" t="s">
        <v>25</v>
      </c>
      <c r="AA1010" s="30" t="s">
        <v>26</v>
      </c>
      <c r="AB1010" s="30" t="s">
        <v>24</v>
      </c>
      <c r="AC1010" s="27"/>
      <c r="AD1010" s="31" t="s">
        <v>25</v>
      </c>
      <c r="AE1010" s="32" t="str">
        <f t="shared" si="77"/>
        <v>✓ OK</v>
      </c>
      <c r="AF1010" s="33" t="s">
        <v>27</v>
      </c>
      <c r="AG1010" s="33" t="s">
        <v>23</v>
      </c>
      <c r="AH1010" s="33" t="s">
        <v>24</v>
      </c>
      <c r="AI1010" s="33" t="s">
        <v>25</v>
      </c>
      <c r="AJ1010" s="33" t="s">
        <v>26</v>
      </c>
      <c r="AK1010" s="33" t="s">
        <v>24</v>
      </c>
      <c r="AL1010" s="27"/>
      <c r="AM1010" s="34" t="s">
        <v>25</v>
      </c>
      <c r="AN1010" s="35" t="str">
        <f t="shared" si="78"/>
        <v>✓ OK</v>
      </c>
      <c r="AO1010" s="36"/>
      <c r="AP1010" s="36"/>
      <c r="AQ1010" s="36"/>
      <c r="AR1010" s="36"/>
      <c r="AS1010" s="36"/>
      <c r="AT1010" s="36"/>
      <c r="AU1010" s="27"/>
      <c r="AV1010" s="37"/>
      <c r="AW1010" s="38" t="str">
        <f t="shared" si="79"/>
        <v/>
      </c>
    </row>
    <row r="1011" spans="1:49" ht="18" customHeight="1" x14ac:dyDescent="0.3">
      <c r="A1011" s="23">
        <v>1007</v>
      </c>
      <c r="B1011" s="24" t="s">
        <v>3862</v>
      </c>
      <c r="C1011" s="25" t="s">
        <v>3863</v>
      </c>
      <c r="D1011" s="23" t="s">
        <v>2819</v>
      </c>
      <c r="E1011" s="43">
        <v>46126</v>
      </c>
      <c r="F1011" s="26" t="s">
        <v>23</v>
      </c>
      <c r="G1011" s="26" t="s">
        <v>24</v>
      </c>
      <c r="H1011" s="26" t="s">
        <v>25</v>
      </c>
      <c r="I1011" s="26" t="s">
        <v>26</v>
      </c>
      <c r="J1011" s="26" t="s">
        <v>24</v>
      </c>
      <c r="K1011" s="27"/>
      <c r="L1011" s="28" t="s">
        <v>25</v>
      </c>
      <c r="M1011" s="29" t="str">
        <f t="shared" si="75"/>
        <v>✓ OK</v>
      </c>
      <c r="N1011" s="43">
        <v>46193</v>
      </c>
      <c r="O1011" s="26" t="s">
        <v>23</v>
      </c>
      <c r="P1011" s="26" t="s">
        <v>24</v>
      </c>
      <c r="Q1011" s="26" t="s">
        <v>25</v>
      </c>
      <c r="R1011" s="26" t="s">
        <v>26</v>
      </c>
      <c r="S1011" s="26" t="s">
        <v>24</v>
      </c>
      <c r="T1011" s="27"/>
      <c r="U1011" s="28" t="s">
        <v>25</v>
      </c>
      <c r="V1011" s="29" t="str">
        <f t="shared" si="76"/>
        <v>✓ OK</v>
      </c>
      <c r="W1011" s="45">
        <v>46248</v>
      </c>
      <c r="X1011" s="30" t="s">
        <v>23</v>
      </c>
      <c r="Y1011" s="30" t="s">
        <v>24</v>
      </c>
      <c r="Z1011" s="30" t="s">
        <v>25</v>
      </c>
      <c r="AA1011" s="30" t="s">
        <v>26</v>
      </c>
      <c r="AB1011" s="30" t="s">
        <v>24</v>
      </c>
      <c r="AC1011" s="27"/>
      <c r="AD1011" s="31" t="s">
        <v>25</v>
      </c>
      <c r="AE1011" s="32" t="str">
        <f t="shared" si="77"/>
        <v>✓ OK</v>
      </c>
      <c r="AF1011" s="33" t="s">
        <v>27</v>
      </c>
      <c r="AG1011" s="33" t="s">
        <v>23</v>
      </c>
      <c r="AH1011" s="33" t="s">
        <v>24</v>
      </c>
      <c r="AI1011" s="33" t="s">
        <v>25</v>
      </c>
      <c r="AJ1011" s="33" t="s">
        <v>26</v>
      </c>
      <c r="AK1011" s="33" t="s">
        <v>24</v>
      </c>
      <c r="AL1011" s="27"/>
      <c r="AM1011" s="34" t="s">
        <v>25</v>
      </c>
      <c r="AN1011" s="35" t="str">
        <f t="shared" si="78"/>
        <v>✓ OK</v>
      </c>
      <c r="AO1011" s="36"/>
      <c r="AP1011" s="36"/>
      <c r="AQ1011" s="36"/>
      <c r="AR1011" s="36"/>
      <c r="AS1011" s="36"/>
      <c r="AT1011" s="36"/>
      <c r="AU1011" s="27"/>
      <c r="AV1011" s="37"/>
      <c r="AW1011" s="38" t="str">
        <f t="shared" si="79"/>
        <v/>
      </c>
    </row>
    <row r="1012" spans="1:49" ht="18" customHeight="1" x14ac:dyDescent="0.3">
      <c r="A1012" s="39">
        <v>1008</v>
      </c>
      <c r="B1012" s="40" t="s">
        <v>3864</v>
      </c>
      <c r="C1012" s="41" t="s">
        <v>3865</v>
      </c>
      <c r="D1012" s="39" t="s">
        <v>2819</v>
      </c>
      <c r="E1012" s="43">
        <v>46126</v>
      </c>
      <c r="F1012" s="26" t="s">
        <v>23</v>
      </c>
      <c r="G1012" s="26" t="s">
        <v>24</v>
      </c>
      <c r="H1012" s="26" t="s">
        <v>25</v>
      </c>
      <c r="I1012" s="26" t="s">
        <v>26</v>
      </c>
      <c r="J1012" s="26" t="s">
        <v>24</v>
      </c>
      <c r="K1012" s="27"/>
      <c r="L1012" s="28" t="s">
        <v>25</v>
      </c>
      <c r="M1012" s="29" t="str">
        <f t="shared" si="75"/>
        <v>✓ OK</v>
      </c>
      <c r="N1012" s="43">
        <v>46193</v>
      </c>
      <c r="O1012" s="26" t="s">
        <v>23</v>
      </c>
      <c r="P1012" s="26" t="s">
        <v>24</v>
      </c>
      <c r="Q1012" s="26" t="s">
        <v>25</v>
      </c>
      <c r="R1012" s="26" t="s">
        <v>26</v>
      </c>
      <c r="S1012" s="26" t="s">
        <v>24</v>
      </c>
      <c r="T1012" s="27"/>
      <c r="U1012" s="28" t="s">
        <v>25</v>
      </c>
      <c r="V1012" s="29" t="str">
        <f t="shared" si="76"/>
        <v>✓ OK</v>
      </c>
      <c r="W1012" s="45">
        <v>46248</v>
      </c>
      <c r="X1012" s="30" t="s">
        <v>23</v>
      </c>
      <c r="Y1012" s="30" t="s">
        <v>24</v>
      </c>
      <c r="Z1012" s="30" t="s">
        <v>25</v>
      </c>
      <c r="AA1012" s="30" t="s">
        <v>26</v>
      </c>
      <c r="AB1012" s="30" t="s">
        <v>24</v>
      </c>
      <c r="AC1012" s="27"/>
      <c r="AD1012" s="31" t="s">
        <v>25</v>
      </c>
      <c r="AE1012" s="32" t="str">
        <f t="shared" si="77"/>
        <v>✓ OK</v>
      </c>
      <c r="AF1012" s="33" t="s">
        <v>27</v>
      </c>
      <c r="AG1012" s="33" t="s">
        <v>23</v>
      </c>
      <c r="AH1012" s="33" t="s">
        <v>24</v>
      </c>
      <c r="AI1012" s="33" t="s">
        <v>25</v>
      </c>
      <c r="AJ1012" s="33" t="s">
        <v>26</v>
      </c>
      <c r="AK1012" s="33" t="s">
        <v>24</v>
      </c>
      <c r="AL1012" s="27"/>
      <c r="AM1012" s="34" t="s">
        <v>25</v>
      </c>
      <c r="AN1012" s="35" t="str">
        <f t="shared" si="78"/>
        <v>✓ OK</v>
      </c>
      <c r="AO1012" s="36"/>
      <c r="AP1012" s="36"/>
      <c r="AQ1012" s="36"/>
      <c r="AR1012" s="36"/>
      <c r="AS1012" s="36"/>
      <c r="AT1012" s="36"/>
      <c r="AU1012" s="27"/>
      <c r="AV1012" s="37"/>
      <c r="AW1012" s="38" t="str">
        <f t="shared" si="79"/>
        <v/>
      </c>
    </row>
    <row r="1013" spans="1:49" ht="18" customHeight="1" x14ac:dyDescent="0.3">
      <c r="A1013" s="23">
        <v>1009</v>
      </c>
      <c r="B1013" s="24" t="s">
        <v>3866</v>
      </c>
      <c r="C1013" s="25" t="s">
        <v>3867</v>
      </c>
      <c r="D1013" s="23" t="s">
        <v>2819</v>
      </c>
      <c r="E1013" s="43">
        <v>46126</v>
      </c>
      <c r="F1013" s="26" t="s">
        <v>23</v>
      </c>
      <c r="G1013" s="26" t="s">
        <v>24</v>
      </c>
      <c r="H1013" s="26" t="s">
        <v>25</v>
      </c>
      <c r="I1013" s="26" t="s">
        <v>26</v>
      </c>
      <c r="J1013" s="26" t="s">
        <v>24</v>
      </c>
      <c r="K1013" s="27"/>
      <c r="L1013" s="28" t="s">
        <v>25</v>
      </c>
      <c r="M1013" s="29" t="str">
        <f t="shared" si="75"/>
        <v>✓ OK</v>
      </c>
      <c r="N1013" s="43">
        <v>46193</v>
      </c>
      <c r="O1013" s="26" t="s">
        <v>23</v>
      </c>
      <c r="P1013" s="26" t="s">
        <v>24</v>
      </c>
      <c r="Q1013" s="26" t="s">
        <v>25</v>
      </c>
      <c r="R1013" s="26" t="s">
        <v>26</v>
      </c>
      <c r="S1013" s="26" t="s">
        <v>24</v>
      </c>
      <c r="T1013" s="27"/>
      <c r="U1013" s="28" t="s">
        <v>25</v>
      </c>
      <c r="V1013" s="29" t="str">
        <f t="shared" si="76"/>
        <v>✓ OK</v>
      </c>
      <c r="W1013" s="45">
        <v>46248</v>
      </c>
      <c r="X1013" s="30" t="s">
        <v>23</v>
      </c>
      <c r="Y1013" s="30" t="s">
        <v>24</v>
      </c>
      <c r="Z1013" s="30" t="s">
        <v>25</v>
      </c>
      <c r="AA1013" s="30" t="s">
        <v>26</v>
      </c>
      <c r="AB1013" s="30" t="s">
        <v>24</v>
      </c>
      <c r="AC1013" s="27"/>
      <c r="AD1013" s="31" t="s">
        <v>25</v>
      </c>
      <c r="AE1013" s="32" t="str">
        <f t="shared" si="77"/>
        <v>✓ OK</v>
      </c>
      <c r="AF1013" s="33" t="s">
        <v>27</v>
      </c>
      <c r="AG1013" s="33" t="s">
        <v>23</v>
      </c>
      <c r="AH1013" s="33" t="s">
        <v>24</v>
      </c>
      <c r="AI1013" s="33" t="s">
        <v>25</v>
      </c>
      <c r="AJ1013" s="33" t="s">
        <v>26</v>
      </c>
      <c r="AK1013" s="33" t="s">
        <v>24</v>
      </c>
      <c r="AL1013" s="27"/>
      <c r="AM1013" s="34" t="s">
        <v>25</v>
      </c>
      <c r="AN1013" s="35" t="str">
        <f t="shared" si="78"/>
        <v>✓ OK</v>
      </c>
      <c r="AO1013" s="36"/>
      <c r="AP1013" s="36"/>
      <c r="AQ1013" s="36"/>
      <c r="AR1013" s="36"/>
      <c r="AS1013" s="36"/>
      <c r="AT1013" s="36"/>
      <c r="AU1013" s="27"/>
      <c r="AV1013" s="37"/>
      <c r="AW1013" s="38" t="str">
        <f t="shared" si="79"/>
        <v/>
      </c>
    </row>
    <row r="1014" spans="1:49" ht="18" customHeight="1" x14ac:dyDescent="0.3">
      <c r="A1014" s="39">
        <v>1010</v>
      </c>
      <c r="B1014" s="40" t="s">
        <v>3868</v>
      </c>
      <c r="C1014" s="41" t="s">
        <v>3869</v>
      </c>
      <c r="D1014" s="39" t="s">
        <v>2819</v>
      </c>
      <c r="E1014" s="43">
        <v>46126</v>
      </c>
      <c r="F1014" s="26" t="s">
        <v>23</v>
      </c>
      <c r="G1014" s="26" t="s">
        <v>24</v>
      </c>
      <c r="H1014" s="26" t="s">
        <v>25</v>
      </c>
      <c r="I1014" s="26" t="s">
        <v>26</v>
      </c>
      <c r="J1014" s="26" t="s">
        <v>24</v>
      </c>
      <c r="K1014" s="27"/>
      <c r="L1014" s="28" t="s">
        <v>25</v>
      </c>
      <c r="M1014" s="29" t="str">
        <f t="shared" si="75"/>
        <v>✓ OK</v>
      </c>
      <c r="N1014" s="43">
        <v>46193</v>
      </c>
      <c r="O1014" s="26" t="s">
        <v>23</v>
      </c>
      <c r="P1014" s="26" t="s">
        <v>24</v>
      </c>
      <c r="Q1014" s="26" t="s">
        <v>25</v>
      </c>
      <c r="R1014" s="26" t="s">
        <v>26</v>
      </c>
      <c r="S1014" s="26" t="s">
        <v>24</v>
      </c>
      <c r="T1014" s="27"/>
      <c r="U1014" s="28" t="s">
        <v>25</v>
      </c>
      <c r="V1014" s="29" t="str">
        <f t="shared" si="76"/>
        <v>✓ OK</v>
      </c>
      <c r="W1014" s="45">
        <v>46248</v>
      </c>
      <c r="X1014" s="30" t="s">
        <v>23</v>
      </c>
      <c r="Y1014" s="30" t="s">
        <v>24</v>
      </c>
      <c r="Z1014" s="30" t="s">
        <v>25</v>
      </c>
      <c r="AA1014" s="30" t="s">
        <v>26</v>
      </c>
      <c r="AB1014" s="30" t="s">
        <v>24</v>
      </c>
      <c r="AC1014" s="27"/>
      <c r="AD1014" s="31" t="s">
        <v>25</v>
      </c>
      <c r="AE1014" s="32" t="str">
        <f t="shared" si="77"/>
        <v>✓ OK</v>
      </c>
      <c r="AF1014" s="33" t="s">
        <v>27</v>
      </c>
      <c r="AG1014" s="33" t="s">
        <v>23</v>
      </c>
      <c r="AH1014" s="33" t="s">
        <v>24</v>
      </c>
      <c r="AI1014" s="33" t="s">
        <v>25</v>
      </c>
      <c r="AJ1014" s="33" t="s">
        <v>26</v>
      </c>
      <c r="AK1014" s="33" t="s">
        <v>24</v>
      </c>
      <c r="AL1014" s="27"/>
      <c r="AM1014" s="34" t="s">
        <v>25</v>
      </c>
      <c r="AN1014" s="35" t="str">
        <f t="shared" si="78"/>
        <v>✓ OK</v>
      </c>
      <c r="AO1014" s="36"/>
      <c r="AP1014" s="36"/>
      <c r="AQ1014" s="36"/>
      <c r="AR1014" s="36"/>
      <c r="AS1014" s="36"/>
      <c r="AT1014" s="36"/>
      <c r="AU1014" s="27"/>
      <c r="AV1014" s="37"/>
      <c r="AW1014" s="38" t="str">
        <f t="shared" si="79"/>
        <v/>
      </c>
    </row>
    <row r="1015" spans="1:49" ht="18" customHeight="1" x14ac:dyDescent="0.3">
      <c r="A1015" s="23">
        <v>1011</v>
      </c>
      <c r="B1015" s="24" t="s">
        <v>3870</v>
      </c>
      <c r="C1015" s="25" t="s">
        <v>3871</v>
      </c>
      <c r="D1015" s="23" t="s">
        <v>2819</v>
      </c>
      <c r="E1015" s="43">
        <v>46126</v>
      </c>
      <c r="F1015" s="26" t="s">
        <v>23</v>
      </c>
      <c r="G1015" s="26" t="s">
        <v>24</v>
      </c>
      <c r="H1015" s="26" t="s">
        <v>25</v>
      </c>
      <c r="I1015" s="26" t="s">
        <v>26</v>
      </c>
      <c r="J1015" s="26" t="s">
        <v>24</v>
      </c>
      <c r="K1015" s="27"/>
      <c r="L1015" s="28" t="s">
        <v>25</v>
      </c>
      <c r="M1015" s="29" t="str">
        <f t="shared" si="75"/>
        <v>✓ OK</v>
      </c>
      <c r="N1015" s="43">
        <v>46193</v>
      </c>
      <c r="O1015" s="26" t="s">
        <v>23</v>
      </c>
      <c r="P1015" s="26" t="s">
        <v>24</v>
      </c>
      <c r="Q1015" s="26" t="s">
        <v>25</v>
      </c>
      <c r="R1015" s="26" t="s">
        <v>26</v>
      </c>
      <c r="S1015" s="26" t="s">
        <v>24</v>
      </c>
      <c r="T1015" s="27"/>
      <c r="U1015" s="28" t="s">
        <v>25</v>
      </c>
      <c r="V1015" s="29" t="str">
        <f t="shared" si="76"/>
        <v>✓ OK</v>
      </c>
      <c r="W1015" s="45">
        <v>46248</v>
      </c>
      <c r="X1015" s="30" t="s">
        <v>23</v>
      </c>
      <c r="Y1015" s="30" t="s">
        <v>24</v>
      </c>
      <c r="Z1015" s="30" t="s">
        <v>25</v>
      </c>
      <c r="AA1015" s="30" t="s">
        <v>26</v>
      </c>
      <c r="AB1015" s="30" t="s">
        <v>24</v>
      </c>
      <c r="AC1015" s="27"/>
      <c r="AD1015" s="31" t="s">
        <v>25</v>
      </c>
      <c r="AE1015" s="32" t="str">
        <f t="shared" si="77"/>
        <v>✓ OK</v>
      </c>
      <c r="AF1015" s="33" t="s">
        <v>27</v>
      </c>
      <c r="AG1015" s="33" t="s">
        <v>23</v>
      </c>
      <c r="AH1015" s="33" t="s">
        <v>24</v>
      </c>
      <c r="AI1015" s="33" t="s">
        <v>25</v>
      </c>
      <c r="AJ1015" s="33" t="s">
        <v>26</v>
      </c>
      <c r="AK1015" s="33" t="s">
        <v>24</v>
      </c>
      <c r="AL1015" s="27"/>
      <c r="AM1015" s="34" t="s">
        <v>25</v>
      </c>
      <c r="AN1015" s="35" t="str">
        <f t="shared" si="78"/>
        <v>✓ OK</v>
      </c>
      <c r="AO1015" s="36"/>
      <c r="AP1015" s="36"/>
      <c r="AQ1015" s="36"/>
      <c r="AR1015" s="36"/>
      <c r="AS1015" s="36"/>
      <c r="AT1015" s="36"/>
      <c r="AU1015" s="27"/>
      <c r="AV1015" s="37"/>
      <c r="AW1015" s="38" t="str">
        <f t="shared" si="79"/>
        <v/>
      </c>
    </row>
    <row r="1016" spans="1:49" ht="18" customHeight="1" x14ac:dyDescent="0.3">
      <c r="A1016" s="39">
        <v>1012</v>
      </c>
      <c r="B1016" s="40" t="s">
        <v>3872</v>
      </c>
      <c r="C1016" s="41" t="s">
        <v>3873</v>
      </c>
      <c r="D1016" s="39" t="s">
        <v>2819</v>
      </c>
      <c r="E1016" s="43">
        <v>46126</v>
      </c>
      <c r="F1016" s="26" t="s">
        <v>23</v>
      </c>
      <c r="G1016" s="26" t="s">
        <v>24</v>
      </c>
      <c r="H1016" s="26" t="s">
        <v>25</v>
      </c>
      <c r="I1016" s="26" t="s">
        <v>26</v>
      </c>
      <c r="J1016" s="26" t="s">
        <v>24</v>
      </c>
      <c r="K1016" s="27"/>
      <c r="L1016" s="28" t="s">
        <v>25</v>
      </c>
      <c r="M1016" s="29" t="str">
        <f t="shared" si="75"/>
        <v>✓ OK</v>
      </c>
      <c r="N1016" s="43">
        <v>46193</v>
      </c>
      <c r="O1016" s="26" t="s">
        <v>23</v>
      </c>
      <c r="P1016" s="26" t="s">
        <v>24</v>
      </c>
      <c r="Q1016" s="26" t="s">
        <v>25</v>
      </c>
      <c r="R1016" s="26" t="s">
        <v>26</v>
      </c>
      <c r="S1016" s="26" t="s">
        <v>24</v>
      </c>
      <c r="T1016" s="27"/>
      <c r="U1016" s="28" t="s">
        <v>25</v>
      </c>
      <c r="V1016" s="29" t="str">
        <f t="shared" si="76"/>
        <v>✓ OK</v>
      </c>
      <c r="W1016" s="45">
        <v>46248</v>
      </c>
      <c r="X1016" s="30" t="s">
        <v>23</v>
      </c>
      <c r="Y1016" s="30" t="s">
        <v>24</v>
      </c>
      <c r="Z1016" s="30" t="s">
        <v>25</v>
      </c>
      <c r="AA1016" s="30" t="s">
        <v>26</v>
      </c>
      <c r="AB1016" s="30" t="s">
        <v>24</v>
      </c>
      <c r="AC1016" s="27"/>
      <c r="AD1016" s="31" t="s">
        <v>25</v>
      </c>
      <c r="AE1016" s="32" t="str">
        <f t="shared" si="77"/>
        <v>✓ OK</v>
      </c>
      <c r="AF1016" s="33" t="s">
        <v>27</v>
      </c>
      <c r="AG1016" s="33" t="s">
        <v>23</v>
      </c>
      <c r="AH1016" s="33" t="s">
        <v>24</v>
      </c>
      <c r="AI1016" s="33" t="s">
        <v>25</v>
      </c>
      <c r="AJ1016" s="33" t="s">
        <v>26</v>
      </c>
      <c r="AK1016" s="33" t="s">
        <v>24</v>
      </c>
      <c r="AL1016" s="27"/>
      <c r="AM1016" s="34" t="s">
        <v>25</v>
      </c>
      <c r="AN1016" s="35" t="str">
        <f t="shared" si="78"/>
        <v>✓ OK</v>
      </c>
      <c r="AO1016" s="36"/>
      <c r="AP1016" s="36"/>
      <c r="AQ1016" s="36"/>
      <c r="AR1016" s="36"/>
      <c r="AS1016" s="36"/>
      <c r="AT1016" s="36"/>
      <c r="AU1016" s="27"/>
      <c r="AV1016" s="37"/>
      <c r="AW1016" s="38" t="str">
        <f t="shared" si="79"/>
        <v/>
      </c>
    </row>
    <row r="1017" spans="1:49" ht="18" customHeight="1" x14ac:dyDescent="0.3">
      <c r="A1017" s="23">
        <v>1013</v>
      </c>
      <c r="B1017" s="24" t="s">
        <v>3874</v>
      </c>
      <c r="C1017" s="25" t="s">
        <v>3875</v>
      </c>
      <c r="D1017" s="23" t="s">
        <v>2819</v>
      </c>
      <c r="E1017" s="43">
        <v>46126</v>
      </c>
      <c r="F1017" s="26" t="s">
        <v>23</v>
      </c>
      <c r="G1017" s="26" t="s">
        <v>24</v>
      </c>
      <c r="H1017" s="26" t="s">
        <v>25</v>
      </c>
      <c r="I1017" s="26" t="s">
        <v>26</v>
      </c>
      <c r="J1017" s="26" t="s">
        <v>24</v>
      </c>
      <c r="K1017" s="27"/>
      <c r="L1017" s="28" t="s">
        <v>25</v>
      </c>
      <c r="M1017" s="29" t="str">
        <f t="shared" si="75"/>
        <v>✓ OK</v>
      </c>
      <c r="N1017" s="43">
        <v>46193</v>
      </c>
      <c r="O1017" s="26" t="s">
        <v>23</v>
      </c>
      <c r="P1017" s="26" t="s">
        <v>24</v>
      </c>
      <c r="Q1017" s="26" t="s">
        <v>25</v>
      </c>
      <c r="R1017" s="26" t="s">
        <v>26</v>
      </c>
      <c r="S1017" s="26" t="s">
        <v>24</v>
      </c>
      <c r="T1017" s="27"/>
      <c r="U1017" s="28" t="s">
        <v>25</v>
      </c>
      <c r="V1017" s="29" t="str">
        <f t="shared" si="76"/>
        <v>✓ OK</v>
      </c>
      <c r="W1017" s="45">
        <v>46248</v>
      </c>
      <c r="X1017" s="30" t="s">
        <v>23</v>
      </c>
      <c r="Y1017" s="30" t="s">
        <v>24</v>
      </c>
      <c r="Z1017" s="30" t="s">
        <v>25</v>
      </c>
      <c r="AA1017" s="30" t="s">
        <v>26</v>
      </c>
      <c r="AB1017" s="30" t="s">
        <v>24</v>
      </c>
      <c r="AC1017" s="27"/>
      <c r="AD1017" s="31" t="s">
        <v>25</v>
      </c>
      <c r="AE1017" s="32" t="str">
        <f t="shared" si="77"/>
        <v>✓ OK</v>
      </c>
      <c r="AF1017" s="33" t="s">
        <v>27</v>
      </c>
      <c r="AG1017" s="33" t="s">
        <v>23</v>
      </c>
      <c r="AH1017" s="33" t="s">
        <v>24</v>
      </c>
      <c r="AI1017" s="33" t="s">
        <v>25</v>
      </c>
      <c r="AJ1017" s="33" t="s">
        <v>26</v>
      </c>
      <c r="AK1017" s="33" t="s">
        <v>24</v>
      </c>
      <c r="AL1017" s="27"/>
      <c r="AM1017" s="34" t="s">
        <v>25</v>
      </c>
      <c r="AN1017" s="35" t="str">
        <f t="shared" si="78"/>
        <v>✓ OK</v>
      </c>
      <c r="AO1017" s="36"/>
      <c r="AP1017" s="36"/>
      <c r="AQ1017" s="36"/>
      <c r="AR1017" s="36"/>
      <c r="AS1017" s="36"/>
      <c r="AT1017" s="36"/>
      <c r="AU1017" s="27"/>
      <c r="AV1017" s="37"/>
      <c r="AW1017" s="38" t="str">
        <f t="shared" si="79"/>
        <v/>
      </c>
    </row>
    <row r="1018" spans="1:49" ht="18" customHeight="1" x14ac:dyDescent="0.3">
      <c r="A1018" s="39">
        <v>1014</v>
      </c>
      <c r="B1018" s="40" t="s">
        <v>3876</v>
      </c>
      <c r="C1018" s="41" t="s">
        <v>3877</v>
      </c>
      <c r="D1018" s="39" t="s">
        <v>2819</v>
      </c>
      <c r="E1018" s="43">
        <v>46126</v>
      </c>
      <c r="F1018" s="26" t="s">
        <v>23</v>
      </c>
      <c r="G1018" s="26" t="s">
        <v>24</v>
      </c>
      <c r="H1018" s="26" t="s">
        <v>25</v>
      </c>
      <c r="I1018" s="26" t="s">
        <v>26</v>
      </c>
      <c r="J1018" s="26" t="s">
        <v>24</v>
      </c>
      <c r="K1018" s="27"/>
      <c r="L1018" s="28" t="s">
        <v>25</v>
      </c>
      <c r="M1018" s="29" t="str">
        <f t="shared" si="75"/>
        <v>✓ OK</v>
      </c>
      <c r="N1018" s="43">
        <v>46193</v>
      </c>
      <c r="O1018" s="26" t="s">
        <v>23</v>
      </c>
      <c r="P1018" s="26" t="s">
        <v>24</v>
      </c>
      <c r="Q1018" s="26" t="s">
        <v>25</v>
      </c>
      <c r="R1018" s="26" t="s">
        <v>26</v>
      </c>
      <c r="S1018" s="26" t="s">
        <v>24</v>
      </c>
      <c r="T1018" s="27"/>
      <c r="U1018" s="28" t="s">
        <v>25</v>
      </c>
      <c r="V1018" s="29" t="str">
        <f t="shared" si="76"/>
        <v>✓ OK</v>
      </c>
      <c r="W1018" s="45">
        <v>46248</v>
      </c>
      <c r="X1018" s="30" t="s">
        <v>23</v>
      </c>
      <c r="Y1018" s="30" t="s">
        <v>24</v>
      </c>
      <c r="Z1018" s="30" t="s">
        <v>25</v>
      </c>
      <c r="AA1018" s="30" t="s">
        <v>26</v>
      </c>
      <c r="AB1018" s="30" t="s">
        <v>24</v>
      </c>
      <c r="AC1018" s="27"/>
      <c r="AD1018" s="31" t="s">
        <v>25</v>
      </c>
      <c r="AE1018" s="32" t="str">
        <f t="shared" si="77"/>
        <v>✓ OK</v>
      </c>
      <c r="AF1018" s="33" t="s">
        <v>27</v>
      </c>
      <c r="AG1018" s="33" t="s">
        <v>23</v>
      </c>
      <c r="AH1018" s="33" t="s">
        <v>24</v>
      </c>
      <c r="AI1018" s="33" t="s">
        <v>25</v>
      </c>
      <c r="AJ1018" s="33" t="s">
        <v>26</v>
      </c>
      <c r="AK1018" s="33" t="s">
        <v>24</v>
      </c>
      <c r="AL1018" s="27"/>
      <c r="AM1018" s="34" t="s">
        <v>25</v>
      </c>
      <c r="AN1018" s="35" t="str">
        <f t="shared" si="78"/>
        <v>✓ OK</v>
      </c>
      <c r="AO1018" s="36"/>
      <c r="AP1018" s="36"/>
      <c r="AQ1018" s="36"/>
      <c r="AR1018" s="36"/>
      <c r="AS1018" s="36"/>
      <c r="AT1018" s="36"/>
      <c r="AU1018" s="27"/>
      <c r="AV1018" s="37"/>
      <c r="AW1018" s="38" t="str">
        <f t="shared" si="79"/>
        <v/>
      </c>
    </row>
    <row r="1019" spans="1:49" ht="18" customHeight="1" x14ac:dyDescent="0.3">
      <c r="A1019" s="23">
        <v>1015</v>
      </c>
      <c r="B1019" s="24" t="s">
        <v>3878</v>
      </c>
      <c r="C1019" s="25" t="s">
        <v>3879</v>
      </c>
      <c r="D1019" s="23" t="s">
        <v>2819</v>
      </c>
      <c r="E1019" s="43">
        <v>46126</v>
      </c>
      <c r="F1019" s="26" t="s">
        <v>23</v>
      </c>
      <c r="G1019" s="26" t="s">
        <v>24</v>
      </c>
      <c r="H1019" s="26" t="s">
        <v>25</v>
      </c>
      <c r="I1019" s="26" t="s">
        <v>26</v>
      </c>
      <c r="J1019" s="26" t="s">
        <v>24</v>
      </c>
      <c r="K1019" s="27"/>
      <c r="L1019" s="28" t="s">
        <v>25</v>
      </c>
      <c r="M1019" s="29" t="str">
        <f t="shared" si="75"/>
        <v>✓ OK</v>
      </c>
      <c r="N1019" s="43">
        <v>46193</v>
      </c>
      <c r="O1019" s="26" t="s">
        <v>23</v>
      </c>
      <c r="P1019" s="26" t="s">
        <v>24</v>
      </c>
      <c r="Q1019" s="26" t="s">
        <v>25</v>
      </c>
      <c r="R1019" s="26" t="s">
        <v>26</v>
      </c>
      <c r="S1019" s="26" t="s">
        <v>24</v>
      </c>
      <c r="T1019" s="27"/>
      <c r="U1019" s="28" t="s">
        <v>25</v>
      </c>
      <c r="V1019" s="29" t="str">
        <f t="shared" si="76"/>
        <v>✓ OK</v>
      </c>
      <c r="W1019" s="45">
        <v>46248</v>
      </c>
      <c r="X1019" s="30" t="s">
        <v>23</v>
      </c>
      <c r="Y1019" s="30" t="s">
        <v>24</v>
      </c>
      <c r="Z1019" s="30" t="s">
        <v>25</v>
      </c>
      <c r="AA1019" s="30" t="s">
        <v>26</v>
      </c>
      <c r="AB1019" s="30" t="s">
        <v>24</v>
      </c>
      <c r="AC1019" s="27"/>
      <c r="AD1019" s="31" t="s">
        <v>25</v>
      </c>
      <c r="AE1019" s="32" t="str">
        <f t="shared" si="77"/>
        <v>✓ OK</v>
      </c>
      <c r="AF1019" s="33" t="s">
        <v>27</v>
      </c>
      <c r="AG1019" s="33" t="s">
        <v>23</v>
      </c>
      <c r="AH1019" s="33" t="s">
        <v>24</v>
      </c>
      <c r="AI1019" s="33" t="s">
        <v>25</v>
      </c>
      <c r="AJ1019" s="33" t="s">
        <v>26</v>
      </c>
      <c r="AK1019" s="33" t="s">
        <v>24</v>
      </c>
      <c r="AL1019" s="27"/>
      <c r="AM1019" s="34" t="s">
        <v>25</v>
      </c>
      <c r="AN1019" s="35" t="str">
        <f t="shared" si="78"/>
        <v>✓ OK</v>
      </c>
      <c r="AO1019" s="36"/>
      <c r="AP1019" s="36"/>
      <c r="AQ1019" s="36"/>
      <c r="AR1019" s="36"/>
      <c r="AS1019" s="36"/>
      <c r="AT1019" s="36"/>
      <c r="AU1019" s="27"/>
      <c r="AV1019" s="37"/>
      <c r="AW1019" s="38" t="str">
        <f t="shared" si="79"/>
        <v/>
      </c>
    </row>
    <row r="1020" spans="1:49" ht="18" customHeight="1" x14ac:dyDescent="0.3">
      <c r="A1020" s="39">
        <v>1016</v>
      </c>
      <c r="B1020" s="40" t="s">
        <v>3880</v>
      </c>
      <c r="C1020" s="41" t="s">
        <v>3881</v>
      </c>
      <c r="D1020" s="39" t="s">
        <v>2819</v>
      </c>
      <c r="E1020" s="43">
        <v>46126</v>
      </c>
      <c r="F1020" s="26" t="s">
        <v>23</v>
      </c>
      <c r="G1020" s="26" t="s">
        <v>24</v>
      </c>
      <c r="H1020" s="26" t="s">
        <v>25</v>
      </c>
      <c r="I1020" s="26" t="s">
        <v>26</v>
      </c>
      <c r="J1020" s="26" t="s">
        <v>24</v>
      </c>
      <c r="K1020" s="27"/>
      <c r="L1020" s="28" t="s">
        <v>25</v>
      </c>
      <c r="M1020" s="29" t="str">
        <f t="shared" si="75"/>
        <v>✓ OK</v>
      </c>
      <c r="N1020" s="43">
        <v>46193</v>
      </c>
      <c r="O1020" s="26" t="s">
        <v>23</v>
      </c>
      <c r="P1020" s="26" t="s">
        <v>24</v>
      </c>
      <c r="Q1020" s="26" t="s">
        <v>25</v>
      </c>
      <c r="R1020" s="26" t="s">
        <v>26</v>
      </c>
      <c r="S1020" s="26" t="s">
        <v>24</v>
      </c>
      <c r="T1020" s="27"/>
      <c r="U1020" s="28" t="s">
        <v>25</v>
      </c>
      <c r="V1020" s="29" t="str">
        <f t="shared" si="76"/>
        <v>✓ OK</v>
      </c>
      <c r="W1020" s="45">
        <v>46248</v>
      </c>
      <c r="X1020" s="30" t="s">
        <v>23</v>
      </c>
      <c r="Y1020" s="30" t="s">
        <v>24</v>
      </c>
      <c r="Z1020" s="30" t="s">
        <v>25</v>
      </c>
      <c r="AA1020" s="30" t="s">
        <v>26</v>
      </c>
      <c r="AB1020" s="30" t="s">
        <v>24</v>
      </c>
      <c r="AC1020" s="27"/>
      <c r="AD1020" s="31" t="s">
        <v>25</v>
      </c>
      <c r="AE1020" s="32" t="str">
        <f t="shared" si="77"/>
        <v>✓ OK</v>
      </c>
      <c r="AF1020" s="33" t="s">
        <v>27</v>
      </c>
      <c r="AG1020" s="33" t="s">
        <v>23</v>
      </c>
      <c r="AH1020" s="33" t="s">
        <v>24</v>
      </c>
      <c r="AI1020" s="33" t="s">
        <v>25</v>
      </c>
      <c r="AJ1020" s="33" t="s">
        <v>26</v>
      </c>
      <c r="AK1020" s="33" t="s">
        <v>24</v>
      </c>
      <c r="AL1020" s="27"/>
      <c r="AM1020" s="34" t="s">
        <v>25</v>
      </c>
      <c r="AN1020" s="35" t="str">
        <f t="shared" si="78"/>
        <v>✓ OK</v>
      </c>
      <c r="AO1020" s="36"/>
      <c r="AP1020" s="36"/>
      <c r="AQ1020" s="36"/>
      <c r="AR1020" s="36"/>
      <c r="AS1020" s="36"/>
      <c r="AT1020" s="36"/>
      <c r="AU1020" s="27"/>
      <c r="AV1020" s="37"/>
      <c r="AW1020" s="38" t="str">
        <f t="shared" si="79"/>
        <v/>
      </c>
    </row>
    <row r="1021" spans="1:49" ht="18" customHeight="1" x14ac:dyDescent="0.3">
      <c r="A1021" s="23">
        <v>1017</v>
      </c>
      <c r="B1021" s="24" t="s">
        <v>3882</v>
      </c>
      <c r="C1021" s="25" t="s">
        <v>3883</v>
      </c>
      <c r="D1021" s="23" t="s">
        <v>2819</v>
      </c>
      <c r="E1021" s="43">
        <v>46126</v>
      </c>
      <c r="F1021" s="26" t="s">
        <v>23</v>
      </c>
      <c r="G1021" s="26" t="s">
        <v>24</v>
      </c>
      <c r="H1021" s="26" t="s">
        <v>25</v>
      </c>
      <c r="I1021" s="26" t="s">
        <v>26</v>
      </c>
      <c r="J1021" s="26" t="s">
        <v>24</v>
      </c>
      <c r="K1021" s="27"/>
      <c r="L1021" s="28" t="s">
        <v>25</v>
      </c>
      <c r="M1021" s="29" t="str">
        <f t="shared" si="75"/>
        <v>✓ OK</v>
      </c>
      <c r="N1021" s="43">
        <v>46193</v>
      </c>
      <c r="O1021" s="26" t="s">
        <v>23</v>
      </c>
      <c r="P1021" s="26" t="s">
        <v>24</v>
      </c>
      <c r="Q1021" s="26" t="s">
        <v>25</v>
      </c>
      <c r="R1021" s="26" t="s">
        <v>26</v>
      </c>
      <c r="S1021" s="26" t="s">
        <v>24</v>
      </c>
      <c r="T1021" s="27"/>
      <c r="U1021" s="28" t="s">
        <v>25</v>
      </c>
      <c r="V1021" s="29" t="str">
        <f t="shared" si="76"/>
        <v>✓ OK</v>
      </c>
      <c r="W1021" s="45">
        <v>46248</v>
      </c>
      <c r="X1021" s="30" t="s">
        <v>23</v>
      </c>
      <c r="Y1021" s="30" t="s">
        <v>24</v>
      </c>
      <c r="Z1021" s="30" t="s">
        <v>25</v>
      </c>
      <c r="AA1021" s="30" t="s">
        <v>26</v>
      </c>
      <c r="AB1021" s="30" t="s">
        <v>24</v>
      </c>
      <c r="AC1021" s="27"/>
      <c r="AD1021" s="31" t="s">
        <v>25</v>
      </c>
      <c r="AE1021" s="32" t="str">
        <f t="shared" si="77"/>
        <v>✓ OK</v>
      </c>
      <c r="AF1021" s="33" t="s">
        <v>27</v>
      </c>
      <c r="AG1021" s="33" t="s">
        <v>23</v>
      </c>
      <c r="AH1021" s="33" t="s">
        <v>24</v>
      </c>
      <c r="AI1021" s="33" t="s">
        <v>25</v>
      </c>
      <c r="AJ1021" s="33" t="s">
        <v>26</v>
      </c>
      <c r="AK1021" s="33" t="s">
        <v>24</v>
      </c>
      <c r="AL1021" s="27"/>
      <c r="AM1021" s="34" t="s">
        <v>25</v>
      </c>
      <c r="AN1021" s="35" t="str">
        <f t="shared" si="78"/>
        <v>✓ OK</v>
      </c>
      <c r="AO1021" s="36"/>
      <c r="AP1021" s="36"/>
      <c r="AQ1021" s="36"/>
      <c r="AR1021" s="36"/>
      <c r="AS1021" s="36"/>
      <c r="AT1021" s="36"/>
      <c r="AU1021" s="27"/>
      <c r="AV1021" s="37"/>
      <c r="AW1021" s="38" t="str">
        <f t="shared" si="79"/>
        <v/>
      </c>
    </row>
    <row r="1022" spans="1:49" ht="18" customHeight="1" x14ac:dyDescent="0.3">
      <c r="A1022" s="39">
        <v>1018</v>
      </c>
      <c r="B1022" s="40" t="s">
        <v>3884</v>
      </c>
      <c r="C1022" s="41" t="s">
        <v>3885</v>
      </c>
      <c r="D1022" s="39" t="s">
        <v>2819</v>
      </c>
      <c r="E1022" s="43">
        <v>46126</v>
      </c>
      <c r="F1022" s="26" t="s">
        <v>23</v>
      </c>
      <c r="G1022" s="26" t="s">
        <v>24</v>
      </c>
      <c r="H1022" s="26" t="s">
        <v>25</v>
      </c>
      <c r="I1022" s="26" t="s">
        <v>26</v>
      </c>
      <c r="J1022" s="26" t="s">
        <v>24</v>
      </c>
      <c r="K1022" s="27"/>
      <c r="L1022" s="28" t="s">
        <v>25</v>
      </c>
      <c r="M1022" s="29" t="str">
        <f t="shared" si="75"/>
        <v>✓ OK</v>
      </c>
      <c r="N1022" s="43">
        <v>46193</v>
      </c>
      <c r="O1022" s="26" t="s">
        <v>23</v>
      </c>
      <c r="P1022" s="26" t="s">
        <v>24</v>
      </c>
      <c r="Q1022" s="26" t="s">
        <v>25</v>
      </c>
      <c r="R1022" s="26" t="s">
        <v>26</v>
      </c>
      <c r="S1022" s="26" t="s">
        <v>24</v>
      </c>
      <c r="T1022" s="27"/>
      <c r="U1022" s="28" t="s">
        <v>25</v>
      </c>
      <c r="V1022" s="29" t="str">
        <f t="shared" si="76"/>
        <v>✓ OK</v>
      </c>
      <c r="W1022" s="45">
        <v>46248</v>
      </c>
      <c r="X1022" s="30" t="s">
        <v>23</v>
      </c>
      <c r="Y1022" s="30" t="s">
        <v>24</v>
      </c>
      <c r="Z1022" s="30" t="s">
        <v>25</v>
      </c>
      <c r="AA1022" s="30" t="s">
        <v>26</v>
      </c>
      <c r="AB1022" s="30" t="s">
        <v>24</v>
      </c>
      <c r="AC1022" s="27"/>
      <c r="AD1022" s="31" t="s">
        <v>25</v>
      </c>
      <c r="AE1022" s="32" t="str">
        <f t="shared" si="77"/>
        <v>✓ OK</v>
      </c>
      <c r="AF1022" s="33" t="s">
        <v>27</v>
      </c>
      <c r="AG1022" s="33" t="s">
        <v>23</v>
      </c>
      <c r="AH1022" s="33" t="s">
        <v>24</v>
      </c>
      <c r="AI1022" s="33" t="s">
        <v>25</v>
      </c>
      <c r="AJ1022" s="33" t="s">
        <v>26</v>
      </c>
      <c r="AK1022" s="33" t="s">
        <v>24</v>
      </c>
      <c r="AL1022" s="27"/>
      <c r="AM1022" s="34" t="s">
        <v>25</v>
      </c>
      <c r="AN1022" s="35" t="str">
        <f t="shared" si="78"/>
        <v>✓ OK</v>
      </c>
      <c r="AO1022" s="36"/>
      <c r="AP1022" s="36"/>
      <c r="AQ1022" s="36"/>
      <c r="AR1022" s="36"/>
      <c r="AS1022" s="36"/>
      <c r="AT1022" s="36"/>
      <c r="AU1022" s="27"/>
      <c r="AV1022" s="37"/>
      <c r="AW1022" s="38" t="str">
        <f t="shared" si="79"/>
        <v/>
      </c>
    </row>
    <row r="1023" spans="1:49" ht="18" customHeight="1" x14ac:dyDescent="0.3">
      <c r="A1023" s="23">
        <v>1019</v>
      </c>
      <c r="B1023" s="24" t="s">
        <v>3886</v>
      </c>
      <c r="C1023" s="25" t="s">
        <v>3887</v>
      </c>
      <c r="D1023" s="23" t="s">
        <v>2819</v>
      </c>
      <c r="E1023" s="43">
        <v>46126</v>
      </c>
      <c r="F1023" s="26" t="s">
        <v>23</v>
      </c>
      <c r="G1023" s="26" t="s">
        <v>24</v>
      </c>
      <c r="H1023" s="26" t="s">
        <v>25</v>
      </c>
      <c r="I1023" s="26" t="s">
        <v>26</v>
      </c>
      <c r="J1023" s="26" t="s">
        <v>24</v>
      </c>
      <c r="K1023" s="27"/>
      <c r="L1023" s="28" t="s">
        <v>25</v>
      </c>
      <c r="M1023" s="29" t="str">
        <f t="shared" si="75"/>
        <v>✓ OK</v>
      </c>
      <c r="N1023" s="43">
        <v>46193</v>
      </c>
      <c r="O1023" s="26" t="s">
        <v>23</v>
      </c>
      <c r="P1023" s="26" t="s">
        <v>24</v>
      </c>
      <c r="Q1023" s="26" t="s">
        <v>25</v>
      </c>
      <c r="R1023" s="26" t="s">
        <v>26</v>
      </c>
      <c r="S1023" s="26" t="s">
        <v>24</v>
      </c>
      <c r="T1023" s="27"/>
      <c r="U1023" s="28" t="s">
        <v>25</v>
      </c>
      <c r="V1023" s="29" t="str">
        <f t="shared" si="76"/>
        <v>✓ OK</v>
      </c>
      <c r="W1023" s="45">
        <v>46248</v>
      </c>
      <c r="X1023" s="30" t="s">
        <v>23</v>
      </c>
      <c r="Y1023" s="30" t="s">
        <v>24</v>
      </c>
      <c r="Z1023" s="30" t="s">
        <v>25</v>
      </c>
      <c r="AA1023" s="30" t="s">
        <v>26</v>
      </c>
      <c r="AB1023" s="30" t="s">
        <v>24</v>
      </c>
      <c r="AC1023" s="27"/>
      <c r="AD1023" s="31" t="s">
        <v>25</v>
      </c>
      <c r="AE1023" s="32" t="str">
        <f t="shared" si="77"/>
        <v>✓ OK</v>
      </c>
      <c r="AF1023" s="33" t="s">
        <v>27</v>
      </c>
      <c r="AG1023" s="33" t="s">
        <v>23</v>
      </c>
      <c r="AH1023" s="33" t="s">
        <v>24</v>
      </c>
      <c r="AI1023" s="33" t="s">
        <v>25</v>
      </c>
      <c r="AJ1023" s="33" t="s">
        <v>26</v>
      </c>
      <c r="AK1023" s="33" t="s">
        <v>24</v>
      </c>
      <c r="AL1023" s="27"/>
      <c r="AM1023" s="34" t="s">
        <v>25</v>
      </c>
      <c r="AN1023" s="35" t="str">
        <f t="shared" si="78"/>
        <v>✓ OK</v>
      </c>
      <c r="AO1023" s="36"/>
      <c r="AP1023" s="36"/>
      <c r="AQ1023" s="36"/>
      <c r="AR1023" s="36"/>
      <c r="AS1023" s="36"/>
      <c r="AT1023" s="36"/>
      <c r="AU1023" s="27"/>
      <c r="AV1023" s="37"/>
      <c r="AW1023" s="38" t="str">
        <f t="shared" si="79"/>
        <v/>
      </c>
    </row>
    <row r="1024" spans="1:49" ht="18" customHeight="1" x14ac:dyDescent="0.3">
      <c r="A1024" s="39">
        <v>1020</v>
      </c>
      <c r="B1024" s="40" t="s">
        <v>3888</v>
      </c>
      <c r="C1024" s="41" t="s">
        <v>3889</v>
      </c>
      <c r="D1024" s="39" t="s">
        <v>2819</v>
      </c>
      <c r="E1024" s="43">
        <v>46126</v>
      </c>
      <c r="F1024" s="26" t="s">
        <v>23</v>
      </c>
      <c r="G1024" s="26" t="s">
        <v>24</v>
      </c>
      <c r="H1024" s="26" t="s">
        <v>25</v>
      </c>
      <c r="I1024" s="26" t="s">
        <v>26</v>
      </c>
      <c r="J1024" s="26" t="s">
        <v>24</v>
      </c>
      <c r="K1024" s="27"/>
      <c r="L1024" s="28" t="s">
        <v>25</v>
      </c>
      <c r="M1024" s="29" t="str">
        <f t="shared" si="75"/>
        <v>✓ OK</v>
      </c>
      <c r="N1024" s="43">
        <v>46193</v>
      </c>
      <c r="O1024" s="26" t="s">
        <v>23</v>
      </c>
      <c r="P1024" s="26" t="s">
        <v>24</v>
      </c>
      <c r="Q1024" s="26" t="s">
        <v>25</v>
      </c>
      <c r="R1024" s="26" t="s">
        <v>26</v>
      </c>
      <c r="S1024" s="26" t="s">
        <v>24</v>
      </c>
      <c r="T1024" s="27"/>
      <c r="U1024" s="28" t="s">
        <v>25</v>
      </c>
      <c r="V1024" s="29" t="str">
        <f t="shared" si="76"/>
        <v>✓ OK</v>
      </c>
      <c r="W1024" s="45">
        <v>46248</v>
      </c>
      <c r="X1024" s="30" t="s">
        <v>23</v>
      </c>
      <c r="Y1024" s="30" t="s">
        <v>24</v>
      </c>
      <c r="Z1024" s="30" t="s">
        <v>25</v>
      </c>
      <c r="AA1024" s="30" t="s">
        <v>26</v>
      </c>
      <c r="AB1024" s="30" t="s">
        <v>24</v>
      </c>
      <c r="AC1024" s="27"/>
      <c r="AD1024" s="31" t="s">
        <v>25</v>
      </c>
      <c r="AE1024" s="32" t="str">
        <f t="shared" si="77"/>
        <v>✓ OK</v>
      </c>
      <c r="AF1024" s="33" t="s">
        <v>27</v>
      </c>
      <c r="AG1024" s="33" t="s">
        <v>23</v>
      </c>
      <c r="AH1024" s="33" t="s">
        <v>24</v>
      </c>
      <c r="AI1024" s="33" t="s">
        <v>25</v>
      </c>
      <c r="AJ1024" s="33" t="s">
        <v>26</v>
      </c>
      <c r="AK1024" s="33" t="s">
        <v>24</v>
      </c>
      <c r="AL1024" s="27"/>
      <c r="AM1024" s="34" t="s">
        <v>25</v>
      </c>
      <c r="AN1024" s="35" t="str">
        <f t="shared" si="78"/>
        <v>✓ OK</v>
      </c>
      <c r="AO1024" s="36"/>
      <c r="AP1024" s="36"/>
      <c r="AQ1024" s="36"/>
      <c r="AR1024" s="36"/>
      <c r="AS1024" s="36"/>
      <c r="AT1024" s="36"/>
      <c r="AU1024" s="27"/>
      <c r="AV1024" s="37"/>
      <c r="AW1024" s="38" t="str">
        <f t="shared" si="79"/>
        <v/>
      </c>
    </row>
    <row r="1025" spans="1:49" ht="18" customHeight="1" x14ac:dyDescent="0.3">
      <c r="A1025" s="23">
        <v>1021</v>
      </c>
      <c r="B1025" s="24" t="s">
        <v>3890</v>
      </c>
      <c r="C1025" s="25" t="s">
        <v>3891</v>
      </c>
      <c r="D1025" s="23" t="s">
        <v>2819</v>
      </c>
      <c r="E1025" s="43">
        <v>46126</v>
      </c>
      <c r="F1025" s="26" t="s">
        <v>23</v>
      </c>
      <c r="G1025" s="26" t="s">
        <v>24</v>
      </c>
      <c r="H1025" s="26" t="s">
        <v>25</v>
      </c>
      <c r="I1025" s="26" t="s">
        <v>26</v>
      </c>
      <c r="J1025" s="26" t="s">
        <v>24</v>
      </c>
      <c r="K1025" s="27"/>
      <c r="L1025" s="28" t="s">
        <v>25</v>
      </c>
      <c r="M1025" s="29" t="str">
        <f t="shared" si="75"/>
        <v>✓ OK</v>
      </c>
      <c r="N1025" s="43">
        <v>46193</v>
      </c>
      <c r="O1025" s="26" t="s">
        <v>23</v>
      </c>
      <c r="P1025" s="26" t="s">
        <v>24</v>
      </c>
      <c r="Q1025" s="26" t="s">
        <v>25</v>
      </c>
      <c r="R1025" s="26" t="s">
        <v>26</v>
      </c>
      <c r="S1025" s="26" t="s">
        <v>24</v>
      </c>
      <c r="T1025" s="27"/>
      <c r="U1025" s="28" t="s">
        <v>25</v>
      </c>
      <c r="V1025" s="29" t="str">
        <f t="shared" si="76"/>
        <v>✓ OK</v>
      </c>
      <c r="W1025" s="45">
        <v>46248</v>
      </c>
      <c r="X1025" s="30" t="s">
        <v>23</v>
      </c>
      <c r="Y1025" s="30" t="s">
        <v>24</v>
      </c>
      <c r="Z1025" s="30" t="s">
        <v>25</v>
      </c>
      <c r="AA1025" s="30" t="s">
        <v>26</v>
      </c>
      <c r="AB1025" s="30" t="s">
        <v>24</v>
      </c>
      <c r="AC1025" s="27"/>
      <c r="AD1025" s="31" t="s">
        <v>25</v>
      </c>
      <c r="AE1025" s="32" t="str">
        <f t="shared" si="77"/>
        <v>✓ OK</v>
      </c>
      <c r="AF1025" s="33" t="s">
        <v>27</v>
      </c>
      <c r="AG1025" s="33" t="s">
        <v>23</v>
      </c>
      <c r="AH1025" s="33" t="s">
        <v>24</v>
      </c>
      <c r="AI1025" s="33" t="s">
        <v>25</v>
      </c>
      <c r="AJ1025" s="33" t="s">
        <v>26</v>
      </c>
      <c r="AK1025" s="33" t="s">
        <v>24</v>
      </c>
      <c r="AL1025" s="27"/>
      <c r="AM1025" s="34" t="s">
        <v>25</v>
      </c>
      <c r="AN1025" s="35" t="str">
        <f t="shared" si="78"/>
        <v>✓ OK</v>
      </c>
      <c r="AO1025" s="36"/>
      <c r="AP1025" s="36"/>
      <c r="AQ1025" s="36"/>
      <c r="AR1025" s="36"/>
      <c r="AS1025" s="36"/>
      <c r="AT1025" s="36"/>
      <c r="AU1025" s="27"/>
      <c r="AV1025" s="37"/>
      <c r="AW1025" s="38" t="str">
        <f t="shared" si="79"/>
        <v/>
      </c>
    </row>
    <row r="1026" spans="1:49" ht="18" customHeight="1" x14ac:dyDescent="0.3">
      <c r="A1026" s="39">
        <v>1022</v>
      </c>
      <c r="B1026" s="40" t="s">
        <v>3892</v>
      </c>
      <c r="C1026" s="41" t="s">
        <v>3893</v>
      </c>
      <c r="D1026" s="39" t="s">
        <v>2819</v>
      </c>
      <c r="E1026" s="43">
        <v>46126</v>
      </c>
      <c r="F1026" s="26" t="s">
        <v>23</v>
      </c>
      <c r="G1026" s="26" t="s">
        <v>24</v>
      </c>
      <c r="H1026" s="26" t="s">
        <v>25</v>
      </c>
      <c r="I1026" s="26" t="s">
        <v>26</v>
      </c>
      <c r="J1026" s="26" t="s">
        <v>24</v>
      </c>
      <c r="K1026" s="27"/>
      <c r="L1026" s="28" t="s">
        <v>25</v>
      </c>
      <c r="M1026" s="29" t="str">
        <f t="shared" si="75"/>
        <v>✓ OK</v>
      </c>
      <c r="N1026" s="43">
        <v>46193</v>
      </c>
      <c r="O1026" s="26" t="s">
        <v>23</v>
      </c>
      <c r="P1026" s="26" t="s">
        <v>24</v>
      </c>
      <c r="Q1026" s="26" t="s">
        <v>25</v>
      </c>
      <c r="R1026" s="26" t="s">
        <v>26</v>
      </c>
      <c r="S1026" s="26" t="s">
        <v>24</v>
      </c>
      <c r="T1026" s="27"/>
      <c r="U1026" s="28" t="s">
        <v>25</v>
      </c>
      <c r="V1026" s="29" t="str">
        <f t="shared" si="76"/>
        <v>✓ OK</v>
      </c>
      <c r="W1026" s="45">
        <v>46248</v>
      </c>
      <c r="X1026" s="30" t="s">
        <v>23</v>
      </c>
      <c r="Y1026" s="30" t="s">
        <v>24</v>
      </c>
      <c r="Z1026" s="30" t="s">
        <v>25</v>
      </c>
      <c r="AA1026" s="30" t="s">
        <v>26</v>
      </c>
      <c r="AB1026" s="30" t="s">
        <v>24</v>
      </c>
      <c r="AC1026" s="27"/>
      <c r="AD1026" s="31" t="s">
        <v>25</v>
      </c>
      <c r="AE1026" s="32" t="str">
        <f t="shared" si="77"/>
        <v>✓ OK</v>
      </c>
      <c r="AF1026" s="33" t="s">
        <v>27</v>
      </c>
      <c r="AG1026" s="33" t="s">
        <v>23</v>
      </c>
      <c r="AH1026" s="33" t="s">
        <v>24</v>
      </c>
      <c r="AI1026" s="33" t="s">
        <v>25</v>
      </c>
      <c r="AJ1026" s="33" t="s">
        <v>26</v>
      </c>
      <c r="AK1026" s="33" t="s">
        <v>24</v>
      </c>
      <c r="AL1026" s="27"/>
      <c r="AM1026" s="34" t="s">
        <v>25</v>
      </c>
      <c r="AN1026" s="35" t="str">
        <f t="shared" si="78"/>
        <v>✓ OK</v>
      </c>
      <c r="AO1026" s="36"/>
      <c r="AP1026" s="36"/>
      <c r="AQ1026" s="36"/>
      <c r="AR1026" s="36"/>
      <c r="AS1026" s="36"/>
      <c r="AT1026" s="36"/>
      <c r="AU1026" s="27"/>
      <c r="AV1026" s="37"/>
      <c r="AW1026" s="38" t="str">
        <f t="shared" si="79"/>
        <v/>
      </c>
    </row>
    <row r="1027" spans="1:49" ht="18" customHeight="1" x14ac:dyDescent="0.3">
      <c r="A1027" s="23">
        <v>1023</v>
      </c>
      <c r="B1027" s="24" t="s">
        <v>3894</v>
      </c>
      <c r="C1027" s="25" t="s">
        <v>3895</v>
      </c>
      <c r="D1027" s="23" t="s">
        <v>2819</v>
      </c>
      <c r="E1027" s="43">
        <v>46126</v>
      </c>
      <c r="F1027" s="26" t="s">
        <v>23</v>
      </c>
      <c r="G1027" s="26" t="s">
        <v>24</v>
      </c>
      <c r="H1027" s="26" t="s">
        <v>25</v>
      </c>
      <c r="I1027" s="26" t="s">
        <v>26</v>
      </c>
      <c r="J1027" s="26" t="s">
        <v>24</v>
      </c>
      <c r="K1027" s="27"/>
      <c r="L1027" s="28" t="s">
        <v>25</v>
      </c>
      <c r="M1027" s="29" t="str">
        <f t="shared" si="75"/>
        <v>✓ OK</v>
      </c>
      <c r="N1027" s="43">
        <v>46193</v>
      </c>
      <c r="O1027" s="26" t="s">
        <v>23</v>
      </c>
      <c r="P1027" s="26" t="s">
        <v>24</v>
      </c>
      <c r="Q1027" s="26" t="s">
        <v>25</v>
      </c>
      <c r="R1027" s="26" t="s">
        <v>26</v>
      </c>
      <c r="S1027" s="26" t="s">
        <v>24</v>
      </c>
      <c r="T1027" s="27"/>
      <c r="U1027" s="28" t="s">
        <v>25</v>
      </c>
      <c r="V1027" s="29" t="str">
        <f t="shared" si="76"/>
        <v>✓ OK</v>
      </c>
      <c r="W1027" s="45">
        <v>46248</v>
      </c>
      <c r="X1027" s="30" t="s">
        <v>23</v>
      </c>
      <c r="Y1027" s="30" t="s">
        <v>24</v>
      </c>
      <c r="Z1027" s="30" t="s">
        <v>25</v>
      </c>
      <c r="AA1027" s="30" t="s">
        <v>26</v>
      </c>
      <c r="AB1027" s="30" t="s">
        <v>24</v>
      </c>
      <c r="AC1027" s="27"/>
      <c r="AD1027" s="31" t="s">
        <v>25</v>
      </c>
      <c r="AE1027" s="32" t="str">
        <f t="shared" si="77"/>
        <v>✓ OK</v>
      </c>
      <c r="AF1027" s="33" t="s">
        <v>27</v>
      </c>
      <c r="AG1027" s="33" t="s">
        <v>23</v>
      </c>
      <c r="AH1027" s="33" t="s">
        <v>24</v>
      </c>
      <c r="AI1027" s="33" t="s">
        <v>25</v>
      </c>
      <c r="AJ1027" s="33" t="s">
        <v>26</v>
      </c>
      <c r="AK1027" s="33" t="s">
        <v>24</v>
      </c>
      <c r="AL1027" s="27"/>
      <c r="AM1027" s="34" t="s">
        <v>25</v>
      </c>
      <c r="AN1027" s="35" t="str">
        <f t="shared" si="78"/>
        <v>✓ OK</v>
      </c>
      <c r="AO1027" s="36"/>
      <c r="AP1027" s="36"/>
      <c r="AQ1027" s="36"/>
      <c r="AR1027" s="36"/>
      <c r="AS1027" s="36"/>
      <c r="AT1027" s="36"/>
      <c r="AU1027" s="27"/>
      <c r="AV1027" s="37"/>
      <c r="AW1027" s="38" t="str">
        <f t="shared" si="79"/>
        <v/>
      </c>
    </row>
    <row r="1028" spans="1:49" ht="18" customHeight="1" x14ac:dyDescent="0.3">
      <c r="A1028" s="39">
        <v>1024</v>
      </c>
      <c r="B1028" s="40" t="s">
        <v>3896</v>
      </c>
      <c r="C1028" s="41" t="s">
        <v>3897</v>
      </c>
      <c r="D1028" s="39" t="s">
        <v>2819</v>
      </c>
      <c r="E1028" s="43">
        <v>46126</v>
      </c>
      <c r="F1028" s="26" t="s">
        <v>23</v>
      </c>
      <c r="G1028" s="26" t="s">
        <v>24</v>
      </c>
      <c r="H1028" s="26" t="s">
        <v>25</v>
      </c>
      <c r="I1028" s="26" t="s">
        <v>26</v>
      </c>
      <c r="J1028" s="26" t="s">
        <v>24</v>
      </c>
      <c r="K1028" s="27"/>
      <c r="L1028" s="28" t="s">
        <v>25</v>
      </c>
      <c r="M1028" s="29" t="str">
        <f t="shared" si="75"/>
        <v>✓ OK</v>
      </c>
      <c r="N1028" s="43">
        <v>46193</v>
      </c>
      <c r="O1028" s="26" t="s">
        <v>23</v>
      </c>
      <c r="P1028" s="26" t="s">
        <v>24</v>
      </c>
      <c r="Q1028" s="26" t="s">
        <v>25</v>
      </c>
      <c r="R1028" s="26" t="s">
        <v>26</v>
      </c>
      <c r="S1028" s="26" t="s">
        <v>24</v>
      </c>
      <c r="T1028" s="27"/>
      <c r="U1028" s="28" t="s">
        <v>25</v>
      </c>
      <c r="V1028" s="29" t="str">
        <f t="shared" si="76"/>
        <v>✓ OK</v>
      </c>
      <c r="W1028" s="45">
        <v>46248</v>
      </c>
      <c r="X1028" s="30" t="s">
        <v>23</v>
      </c>
      <c r="Y1028" s="30" t="s">
        <v>24</v>
      </c>
      <c r="Z1028" s="30" t="s">
        <v>25</v>
      </c>
      <c r="AA1028" s="30" t="s">
        <v>26</v>
      </c>
      <c r="AB1028" s="30" t="s">
        <v>24</v>
      </c>
      <c r="AC1028" s="27"/>
      <c r="AD1028" s="31" t="s">
        <v>25</v>
      </c>
      <c r="AE1028" s="32" t="str">
        <f t="shared" si="77"/>
        <v>✓ OK</v>
      </c>
      <c r="AF1028" s="33" t="s">
        <v>27</v>
      </c>
      <c r="AG1028" s="33" t="s">
        <v>23</v>
      </c>
      <c r="AH1028" s="33" t="s">
        <v>24</v>
      </c>
      <c r="AI1028" s="33" t="s">
        <v>25</v>
      </c>
      <c r="AJ1028" s="33" t="s">
        <v>26</v>
      </c>
      <c r="AK1028" s="33" t="s">
        <v>24</v>
      </c>
      <c r="AL1028" s="27"/>
      <c r="AM1028" s="34" t="s">
        <v>25</v>
      </c>
      <c r="AN1028" s="35" t="str">
        <f t="shared" si="78"/>
        <v>✓ OK</v>
      </c>
      <c r="AO1028" s="36"/>
      <c r="AP1028" s="36"/>
      <c r="AQ1028" s="36"/>
      <c r="AR1028" s="36"/>
      <c r="AS1028" s="36"/>
      <c r="AT1028" s="36"/>
      <c r="AU1028" s="27"/>
      <c r="AV1028" s="37"/>
      <c r="AW1028" s="38" t="str">
        <f t="shared" si="79"/>
        <v/>
      </c>
    </row>
    <row r="1029" spans="1:49" ht="18" customHeight="1" x14ac:dyDescent="0.3">
      <c r="A1029" s="23">
        <v>1025</v>
      </c>
      <c r="B1029" s="24" t="s">
        <v>3898</v>
      </c>
      <c r="C1029" s="25" t="s">
        <v>3899</v>
      </c>
      <c r="D1029" s="23" t="s">
        <v>2819</v>
      </c>
      <c r="E1029" s="43">
        <v>46126</v>
      </c>
      <c r="F1029" s="26" t="s">
        <v>23</v>
      </c>
      <c r="G1029" s="26" t="s">
        <v>24</v>
      </c>
      <c r="H1029" s="26" t="s">
        <v>25</v>
      </c>
      <c r="I1029" s="26" t="s">
        <v>26</v>
      </c>
      <c r="J1029" s="26" t="s">
        <v>24</v>
      </c>
      <c r="K1029" s="27"/>
      <c r="L1029" s="28" t="s">
        <v>25</v>
      </c>
      <c r="M1029" s="29" t="str">
        <f t="shared" ref="M1029:M1092" si="80">IF(E1029="","",IF(H1029="Yes","❌ Disc",IF(G1029="No","⚠ Missing",IF(J1029="Yes","✓ OK","⚠ Check"))))</f>
        <v>✓ OK</v>
      </c>
      <c r="N1029" s="43">
        <v>46193</v>
      </c>
      <c r="O1029" s="26" t="s">
        <v>23</v>
      </c>
      <c r="P1029" s="26" t="s">
        <v>24</v>
      </c>
      <c r="Q1029" s="26" t="s">
        <v>25</v>
      </c>
      <c r="R1029" s="26" t="s">
        <v>26</v>
      </c>
      <c r="S1029" s="26" t="s">
        <v>24</v>
      </c>
      <c r="T1029" s="27"/>
      <c r="U1029" s="28" t="s">
        <v>25</v>
      </c>
      <c r="V1029" s="29" t="str">
        <f t="shared" ref="V1029:V1092" si="81">IF(N1029="","",IF(Q1029="Yes","❌ Disc",IF(P1029="No","⚠ Missing",IF(S1029="Yes","✓ OK","⚠ Check"))))</f>
        <v>✓ OK</v>
      </c>
      <c r="W1029" s="45">
        <v>46248</v>
      </c>
      <c r="X1029" s="30" t="s">
        <v>23</v>
      </c>
      <c r="Y1029" s="30" t="s">
        <v>24</v>
      </c>
      <c r="Z1029" s="30" t="s">
        <v>25</v>
      </c>
      <c r="AA1029" s="30" t="s">
        <v>26</v>
      </c>
      <c r="AB1029" s="30" t="s">
        <v>24</v>
      </c>
      <c r="AC1029" s="27"/>
      <c r="AD1029" s="31" t="s">
        <v>25</v>
      </c>
      <c r="AE1029" s="32" t="str">
        <f t="shared" ref="AE1029:AE1092" si="82">IF(W1029="","",IF(Z1029="Yes","❌ Disc",IF(Y1029="No","⚠ Missing",IF(AB1029="Yes","✓ OK","⚠ Check"))))</f>
        <v>✓ OK</v>
      </c>
      <c r="AF1029" s="33" t="s">
        <v>27</v>
      </c>
      <c r="AG1029" s="33" t="s">
        <v>23</v>
      </c>
      <c r="AH1029" s="33" t="s">
        <v>24</v>
      </c>
      <c r="AI1029" s="33" t="s">
        <v>25</v>
      </c>
      <c r="AJ1029" s="33" t="s">
        <v>26</v>
      </c>
      <c r="AK1029" s="33" t="s">
        <v>24</v>
      </c>
      <c r="AL1029" s="27"/>
      <c r="AM1029" s="34" t="s">
        <v>25</v>
      </c>
      <c r="AN1029" s="35" t="str">
        <f t="shared" ref="AN1029:AN1092" si="83">IF(AF1029="","",IF(AI1029="Yes","❌ Disc",IF(AH1029="No","⚠ Missing",IF(AK1029="Yes","✓ OK","⚠ Check"))))</f>
        <v>✓ OK</v>
      </c>
      <c r="AO1029" s="36"/>
      <c r="AP1029" s="36"/>
      <c r="AQ1029" s="36"/>
      <c r="AR1029" s="36"/>
      <c r="AS1029" s="36"/>
      <c r="AT1029" s="36"/>
      <c r="AU1029" s="27"/>
      <c r="AV1029" s="37"/>
      <c r="AW1029" s="38" t="str">
        <f t="shared" ref="AW1029:AW1092" si="84">IF(AO1029="","",IF(AR1029="Yes","❌ Disc",IF(AQ1029="No","⚠ Missing",IF(AT1029="Yes","✓ OK","⚠ Check"))))</f>
        <v/>
      </c>
    </row>
    <row r="1030" spans="1:49" ht="18" customHeight="1" x14ac:dyDescent="0.3">
      <c r="A1030" s="39">
        <v>1026</v>
      </c>
      <c r="B1030" s="40" t="s">
        <v>3900</v>
      </c>
      <c r="C1030" s="41" t="s">
        <v>3901</v>
      </c>
      <c r="D1030" s="39" t="s">
        <v>2819</v>
      </c>
      <c r="E1030" s="43">
        <v>46126</v>
      </c>
      <c r="F1030" s="26" t="s">
        <v>23</v>
      </c>
      <c r="G1030" s="26" t="s">
        <v>24</v>
      </c>
      <c r="H1030" s="26" t="s">
        <v>25</v>
      </c>
      <c r="I1030" s="26" t="s">
        <v>26</v>
      </c>
      <c r="J1030" s="26" t="s">
        <v>24</v>
      </c>
      <c r="K1030" s="27"/>
      <c r="L1030" s="28" t="s">
        <v>25</v>
      </c>
      <c r="M1030" s="29" t="str">
        <f t="shared" si="80"/>
        <v>✓ OK</v>
      </c>
      <c r="N1030" s="43">
        <v>46193</v>
      </c>
      <c r="O1030" s="26" t="s">
        <v>23</v>
      </c>
      <c r="P1030" s="26" t="s">
        <v>24</v>
      </c>
      <c r="Q1030" s="26" t="s">
        <v>25</v>
      </c>
      <c r="R1030" s="26" t="s">
        <v>26</v>
      </c>
      <c r="S1030" s="26" t="s">
        <v>24</v>
      </c>
      <c r="T1030" s="27"/>
      <c r="U1030" s="28" t="s">
        <v>25</v>
      </c>
      <c r="V1030" s="29" t="str">
        <f t="shared" si="81"/>
        <v>✓ OK</v>
      </c>
      <c r="W1030" s="45">
        <v>46248</v>
      </c>
      <c r="X1030" s="30" t="s">
        <v>23</v>
      </c>
      <c r="Y1030" s="30" t="s">
        <v>24</v>
      </c>
      <c r="Z1030" s="30" t="s">
        <v>25</v>
      </c>
      <c r="AA1030" s="30" t="s">
        <v>26</v>
      </c>
      <c r="AB1030" s="30" t="s">
        <v>24</v>
      </c>
      <c r="AC1030" s="27"/>
      <c r="AD1030" s="31" t="s">
        <v>25</v>
      </c>
      <c r="AE1030" s="32" t="str">
        <f t="shared" si="82"/>
        <v>✓ OK</v>
      </c>
      <c r="AF1030" s="33" t="s">
        <v>27</v>
      </c>
      <c r="AG1030" s="33" t="s">
        <v>23</v>
      </c>
      <c r="AH1030" s="33" t="s">
        <v>24</v>
      </c>
      <c r="AI1030" s="33" t="s">
        <v>25</v>
      </c>
      <c r="AJ1030" s="33" t="s">
        <v>26</v>
      </c>
      <c r="AK1030" s="33" t="s">
        <v>24</v>
      </c>
      <c r="AL1030" s="27"/>
      <c r="AM1030" s="34" t="s">
        <v>25</v>
      </c>
      <c r="AN1030" s="35" t="str">
        <f t="shared" si="83"/>
        <v>✓ OK</v>
      </c>
      <c r="AO1030" s="36"/>
      <c r="AP1030" s="36"/>
      <c r="AQ1030" s="36"/>
      <c r="AR1030" s="36"/>
      <c r="AS1030" s="36"/>
      <c r="AT1030" s="36"/>
      <c r="AU1030" s="27"/>
      <c r="AV1030" s="37"/>
      <c r="AW1030" s="38" t="str">
        <f t="shared" si="84"/>
        <v/>
      </c>
    </row>
    <row r="1031" spans="1:49" ht="18" customHeight="1" x14ac:dyDescent="0.3">
      <c r="A1031" s="23">
        <v>1027</v>
      </c>
      <c r="B1031" s="24" t="s">
        <v>3902</v>
      </c>
      <c r="C1031" s="25" t="s">
        <v>3903</v>
      </c>
      <c r="D1031" s="23" t="s">
        <v>2819</v>
      </c>
      <c r="E1031" s="43">
        <v>46126</v>
      </c>
      <c r="F1031" s="26" t="s">
        <v>23</v>
      </c>
      <c r="G1031" s="26" t="s">
        <v>24</v>
      </c>
      <c r="H1031" s="26" t="s">
        <v>25</v>
      </c>
      <c r="I1031" s="26" t="s">
        <v>26</v>
      </c>
      <c r="J1031" s="26" t="s">
        <v>24</v>
      </c>
      <c r="K1031" s="27"/>
      <c r="L1031" s="28" t="s">
        <v>25</v>
      </c>
      <c r="M1031" s="29" t="str">
        <f t="shared" si="80"/>
        <v>✓ OK</v>
      </c>
      <c r="N1031" s="43">
        <v>46193</v>
      </c>
      <c r="O1031" s="26" t="s">
        <v>23</v>
      </c>
      <c r="P1031" s="26" t="s">
        <v>24</v>
      </c>
      <c r="Q1031" s="26" t="s">
        <v>25</v>
      </c>
      <c r="R1031" s="26" t="s">
        <v>26</v>
      </c>
      <c r="S1031" s="26" t="s">
        <v>24</v>
      </c>
      <c r="T1031" s="27"/>
      <c r="U1031" s="28" t="s">
        <v>25</v>
      </c>
      <c r="V1031" s="29" t="str">
        <f t="shared" si="81"/>
        <v>✓ OK</v>
      </c>
      <c r="W1031" s="45">
        <v>46248</v>
      </c>
      <c r="X1031" s="30" t="s">
        <v>23</v>
      </c>
      <c r="Y1031" s="30" t="s">
        <v>24</v>
      </c>
      <c r="Z1031" s="30" t="s">
        <v>25</v>
      </c>
      <c r="AA1031" s="30" t="s">
        <v>26</v>
      </c>
      <c r="AB1031" s="30" t="s">
        <v>24</v>
      </c>
      <c r="AC1031" s="27"/>
      <c r="AD1031" s="31" t="s">
        <v>25</v>
      </c>
      <c r="AE1031" s="32" t="str">
        <f t="shared" si="82"/>
        <v>✓ OK</v>
      </c>
      <c r="AF1031" s="33" t="s">
        <v>27</v>
      </c>
      <c r="AG1031" s="33" t="s">
        <v>23</v>
      </c>
      <c r="AH1031" s="33" t="s">
        <v>24</v>
      </c>
      <c r="AI1031" s="33" t="s">
        <v>25</v>
      </c>
      <c r="AJ1031" s="33" t="s">
        <v>26</v>
      </c>
      <c r="AK1031" s="33" t="s">
        <v>24</v>
      </c>
      <c r="AL1031" s="27"/>
      <c r="AM1031" s="34" t="s">
        <v>25</v>
      </c>
      <c r="AN1031" s="35" t="str">
        <f t="shared" si="83"/>
        <v>✓ OK</v>
      </c>
      <c r="AO1031" s="36"/>
      <c r="AP1031" s="36"/>
      <c r="AQ1031" s="36"/>
      <c r="AR1031" s="36"/>
      <c r="AS1031" s="36"/>
      <c r="AT1031" s="36"/>
      <c r="AU1031" s="27"/>
      <c r="AV1031" s="37"/>
      <c r="AW1031" s="38" t="str">
        <f t="shared" si="84"/>
        <v/>
      </c>
    </row>
    <row r="1032" spans="1:49" ht="18" customHeight="1" x14ac:dyDescent="0.3">
      <c r="A1032" s="39">
        <v>1028</v>
      </c>
      <c r="B1032" s="40" t="s">
        <v>3904</v>
      </c>
      <c r="C1032" s="41" t="s">
        <v>3905</v>
      </c>
      <c r="D1032" s="39" t="s">
        <v>2819</v>
      </c>
      <c r="E1032" s="43">
        <v>46126</v>
      </c>
      <c r="F1032" s="26" t="s">
        <v>23</v>
      </c>
      <c r="G1032" s="26" t="s">
        <v>24</v>
      </c>
      <c r="H1032" s="26" t="s">
        <v>25</v>
      </c>
      <c r="I1032" s="26" t="s">
        <v>26</v>
      </c>
      <c r="J1032" s="26" t="s">
        <v>24</v>
      </c>
      <c r="K1032" s="27"/>
      <c r="L1032" s="28" t="s">
        <v>25</v>
      </c>
      <c r="M1032" s="29" t="str">
        <f t="shared" si="80"/>
        <v>✓ OK</v>
      </c>
      <c r="N1032" s="43">
        <v>46193</v>
      </c>
      <c r="O1032" s="26" t="s">
        <v>23</v>
      </c>
      <c r="P1032" s="26" t="s">
        <v>24</v>
      </c>
      <c r="Q1032" s="26" t="s">
        <v>25</v>
      </c>
      <c r="R1032" s="26" t="s">
        <v>26</v>
      </c>
      <c r="S1032" s="26" t="s">
        <v>24</v>
      </c>
      <c r="T1032" s="27"/>
      <c r="U1032" s="28" t="s">
        <v>25</v>
      </c>
      <c r="V1032" s="29" t="str">
        <f t="shared" si="81"/>
        <v>✓ OK</v>
      </c>
      <c r="W1032" s="45">
        <v>46248</v>
      </c>
      <c r="X1032" s="30" t="s">
        <v>23</v>
      </c>
      <c r="Y1032" s="30" t="s">
        <v>24</v>
      </c>
      <c r="Z1032" s="30" t="s">
        <v>25</v>
      </c>
      <c r="AA1032" s="30" t="s">
        <v>26</v>
      </c>
      <c r="AB1032" s="30" t="s">
        <v>24</v>
      </c>
      <c r="AC1032" s="27"/>
      <c r="AD1032" s="31" t="s">
        <v>25</v>
      </c>
      <c r="AE1032" s="32" t="str">
        <f t="shared" si="82"/>
        <v>✓ OK</v>
      </c>
      <c r="AF1032" s="33" t="s">
        <v>27</v>
      </c>
      <c r="AG1032" s="33" t="s">
        <v>23</v>
      </c>
      <c r="AH1032" s="33" t="s">
        <v>24</v>
      </c>
      <c r="AI1032" s="33" t="s">
        <v>25</v>
      </c>
      <c r="AJ1032" s="33" t="s">
        <v>26</v>
      </c>
      <c r="AK1032" s="33" t="s">
        <v>24</v>
      </c>
      <c r="AL1032" s="27"/>
      <c r="AM1032" s="34" t="s">
        <v>25</v>
      </c>
      <c r="AN1032" s="35" t="str">
        <f t="shared" si="83"/>
        <v>✓ OK</v>
      </c>
      <c r="AO1032" s="36"/>
      <c r="AP1032" s="36"/>
      <c r="AQ1032" s="36"/>
      <c r="AR1032" s="36"/>
      <c r="AS1032" s="36"/>
      <c r="AT1032" s="36"/>
      <c r="AU1032" s="27"/>
      <c r="AV1032" s="37"/>
      <c r="AW1032" s="38" t="str">
        <f t="shared" si="84"/>
        <v/>
      </c>
    </row>
    <row r="1033" spans="1:49" ht="18" customHeight="1" x14ac:dyDescent="0.3">
      <c r="A1033" s="23">
        <v>1029</v>
      </c>
      <c r="B1033" s="24" t="s">
        <v>3906</v>
      </c>
      <c r="C1033" s="25" t="s">
        <v>3907</v>
      </c>
      <c r="D1033" s="23" t="s">
        <v>2819</v>
      </c>
      <c r="E1033" s="43">
        <v>46126</v>
      </c>
      <c r="F1033" s="26" t="s">
        <v>23</v>
      </c>
      <c r="G1033" s="26" t="s">
        <v>24</v>
      </c>
      <c r="H1033" s="26" t="s">
        <v>25</v>
      </c>
      <c r="I1033" s="26" t="s">
        <v>26</v>
      </c>
      <c r="J1033" s="26" t="s">
        <v>24</v>
      </c>
      <c r="K1033" s="27"/>
      <c r="L1033" s="28" t="s">
        <v>25</v>
      </c>
      <c r="M1033" s="29" t="str">
        <f t="shared" si="80"/>
        <v>✓ OK</v>
      </c>
      <c r="N1033" s="43">
        <v>46193</v>
      </c>
      <c r="O1033" s="26" t="s">
        <v>23</v>
      </c>
      <c r="P1033" s="26" t="s">
        <v>24</v>
      </c>
      <c r="Q1033" s="26" t="s">
        <v>25</v>
      </c>
      <c r="R1033" s="26" t="s">
        <v>26</v>
      </c>
      <c r="S1033" s="26" t="s">
        <v>24</v>
      </c>
      <c r="T1033" s="27"/>
      <c r="U1033" s="28" t="s">
        <v>25</v>
      </c>
      <c r="V1033" s="29" t="str">
        <f t="shared" si="81"/>
        <v>✓ OK</v>
      </c>
      <c r="W1033" s="45">
        <v>46248</v>
      </c>
      <c r="X1033" s="30" t="s">
        <v>23</v>
      </c>
      <c r="Y1033" s="30" t="s">
        <v>24</v>
      </c>
      <c r="Z1033" s="30" t="s">
        <v>25</v>
      </c>
      <c r="AA1033" s="30" t="s">
        <v>26</v>
      </c>
      <c r="AB1033" s="30" t="s">
        <v>24</v>
      </c>
      <c r="AC1033" s="27"/>
      <c r="AD1033" s="31" t="s">
        <v>25</v>
      </c>
      <c r="AE1033" s="32" t="str">
        <f t="shared" si="82"/>
        <v>✓ OK</v>
      </c>
      <c r="AF1033" s="33" t="s">
        <v>27</v>
      </c>
      <c r="AG1033" s="33" t="s">
        <v>23</v>
      </c>
      <c r="AH1033" s="33" t="s">
        <v>24</v>
      </c>
      <c r="AI1033" s="33" t="s">
        <v>25</v>
      </c>
      <c r="AJ1033" s="33" t="s">
        <v>26</v>
      </c>
      <c r="AK1033" s="33" t="s">
        <v>24</v>
      </c>
      <c r="AL1033" s="27"/>
      <c r="AM1033" s="34" t="s">
        <v>25</v>
      </c>
      <c r="AN1033" s="35" t="str">
        <f t="shared" si="83"/>
        <v>✓ OK</v>
      </c>
      <c r="AO1033" s="36"/>
      <c r="AP1033" s="36"/>
      <c r="AQ1033" s="36"/>
      <c r="AR1033" s="36"/>
      <c r="AS1033" s="36"/>
      <c r="AT1033" s="36"/>
      <c r="AU1033" s="27"/>
      <c r="AV1033" s="37"/>
      <c r="AW1033" s="38" t="str">
        <f t="shared" si="84"/>
        <v/>
      </c>
    </row>
    <row r="1034" spans="1:49" ht="18" customHeight="1" x14ac:dyDescent="0.3">
      <c r="A1034" s="39">
        <v>1030</v>
      </c>
      <c r="B1034" s="40" t="s">
        <v>3908</v>
      </c>
      <c r="C1034" s="41" t="s">
        <v>3909</v>
      </c>
      <c r="D1034" s="39" t="s">
        <v>2819</v>
      </c>
      <c r="E1034" s="43">
        <v>46126</v>
      </c>
      <c r="F1034" s="26" t="s">
        <v>23</v>
      </c>
      <c r="G1034" s="26" t="s">
        <v>24</v>
      </c>
      <c r="H1034" s="26" t="s">
        <v>25</v>
      </c>
      <c r="I1034" s="26" t="s">
        <v>26</v>
      </c>
      <c r="J1034" s="26" t="s">
        <v>24</v>
      </c>
      <c r="K1034" s="27"/>
      <c r="L1034" s="28" t="s">
        <v>25</v>
      </c>
      <c r="M1034" s="29" t="str">
        <f t="shared" si="80"/>
        <v>✓ OK</v>
      </c>
      <c r="N1034" s="43">
        <v>46193</v>
      </c>
      <c r="O1034" s="26" t="s">
        <v>23</v>
      </c>
      <c r="P1034" s="26" t="s">
        <v>24</v>
      </c>
      <c r="Q1034" s="26" t="s">
        <v>25</v>
      </c>
      <c r="R1034" s="26" t="s">
        <v>26</v>
      </c>
      <c r="S1034" s="26" t="s">
        <v>24</v>
      </c>
      <c r="T1034" s="27"/>
      <c r="U1034" s="28" t="s">
        <v>25</v>
      </c>
      <c r="V1034" s="29" t="str">
        <f t="shared" si="81"/>
        <v>✓ OK</v>
      </c>
      <c r="W1034" s="45">
        <v>46248</v>
      </c>
      <c r="X1034" s="30" t="s">
        <v>23</v>
      </c>
      <c r="Y1034" s="30" t="s">
        <v>24</v>
      </c>
      <c r="Z1034" s="30" t="s">
        <v>25</v>
      </c>
      <c r="AA1034" s="30" t="s">
        <v>26</v>
      </c>
      <c r="AB1034" s="30" t="s">
        <v>24</v>
      </c>
      <c r="AC1034" s="27"/>
      <c r="AD1034" s="31" t="s">
        <v>25</v>
      </c>
      <c r="AE1034" s="32" t="str">
        <f t="shared" si="82"/>
        <v>✓ OK</v>
      </c>
      <c r="AF1034" s="33" t="s">
        <v>27</v>
      </c>
      <c r="AG1034" s="33" t="s">
        <v>23</v>
      </c>
      <c r="AH1034" s="33" t="s">
        <v>24</v>
      </c>
      <c r="AI1034" s="33" t="s">
        <v>25</v>
      </c>
      <c r="AJ1034" s="33" t="s">
        <v>26</v>
      </c>
      <c r="AK1034" s="33" t="s">
        <v>24</v>
      </c>
      <c r="AL1034" s="27"/>
      <c r="AM1034" s="34" t="s">
        <v>25</v>
      </c>
      <c r="AN1034" s="35" t="str">
        <f t="shared" si="83"/>
        <v>✓ OK</v>
      </c>
      <c r="AO1034" s="36"/>
      <c r="AP1034" s="36"/>
      <c r="AQ1034" s="36"/>
      <c r="AR1034" s="36"/>
      <c r="AS1034" s="36"/>
      <c r="AT1034" s="36"/>
      <c r="AU1034" s="27"/>
      <c r="AV1034" s="37"/>
      <c r="AW1034" s="38" t="str">
        <f t="shared" si="84"/>
        <v/>
      </c>
    </row>
    <row r="1035" spans="1:49" ht="18" customHeight="1" x14ac:dyDescent="0.3">
      <c r="A1035" s="23">
        <v>1031</v>
      </c>
      <c r="B1035" s="24" t="s">
        <v>3910</v>
      </c>
      <c r="C1035" s="25" t="s">
        <v>3911</v>
      </c>
      <c r="D1035" s="23" t="s">
        <v>2819</v>
      </c>
      <c r="E1035" s="43">
        <v>46126</v>
      </c>
      <c r="F1035" s="26" t="s">
        <v>23</v>
      </c>
      <c r="G1035" s="26" t="s">
        <v>24</v>
      </c>
      <c r="H1035" s="26" t="s">
        <v>25</v>
      </c>
      <c r="I1035" s="26" t="s">
        <v>26</v>
      </c>
      <c r="J1035" s="26" t="s">
        <v>24</v>
      </c>
      <c r="K1035" s="27"/>
      <c r="L1035" s="28" t="s">
        <v>25</v>
      </c>
      <c r="M1035" s="29" t="str">
        <f t="shared" si="80"/>
        <v>✓ OK</v>
      </c>
      <c r="N1035" s="43">
        <v>46193</v>
      </c>
      <c r="O1035" s="26" t="s">
        <v>23</v>
      </c>
      <c r="P1035" s="26" t="s">
        <v>24</v>
      </c>
      <c r="Q1035" s="26" t="s">
        <v>25</v>
      </c>
      <c r="R1035" s="26" t="s">
        <v>26</v>
      </c>
      <c r="S1035" s="26" t="s">
        <v>24</v>
      </c>
      <c r="T1035" s="27"/>
      <c r="U1035" s="28" t="s">
        <v>25</v>
      </c>
      <c r="V1035" s="29" t="str">
        <f t="shared" si="81"/>
        <v>✓ OK</v>
      </c>
      <c r="W1035" s="45">
        <v>46248</v>
      </c>
      <c r="X1035" s="30" t="s">
        <v>23</v>
      </c>
      <c r="Y1035" s="30" t="s">
        <v>24</v>
      </c>
      <c r="Z1035" s="30" t="s">
        <v>25</v>
      </c>
      <c r="AA1035" s="30" t="s">
        <v>26</v>
      </c>
      <c r="AB1035" s="30" t="s">
        <v>24</v>
      </c>
      <c r="AC1035" s="27"/>
      <c r="AD1035" s="31" t="s">
        <v>25</v>
      </c>
      <c r="AE1035" s="32" t="str">
        <f t="shared" si="82"/>
        <v>✓ OK</v>
      </c>
      <c r="AF1035" s="33" t="s">
        <v>27</v>
      </c>
      <c r="AG1035" s="33" t="s">
        <v>23</v>
      </c>
      <c r="AH1035" s="33" t="s">
        <v>24</v>
      </c>
      <c r="AI1035" s="33" t="s">
        <v>25</v>
      </c>
      <c r="AJ1035" s="33" t="s">
        <v>26</v>
      </c>
      <c r="AK1035" s="33" t="s">
        <v>24</v>
      </c>
      <c r="AL1035" s="27"/>
      <c r="AM1035" s="34" t="s">
        <v>25</v>
      </c>
      <c r="AN1035" s="35" t="str">
        <f t="shared" si="83"/>
        <v>✓ OK</v>
      </c>
      <c r="AO1035" s="36"/>
      <c r="AP1035" s="36"/>
      <c r="AQ1035" s="36"/>
      <c r="AR1035" s="36"/>
      <c r="AS1035" s="36"/>
      <c r="AT1035" s="36"/>
      <c r="AU1035" s="27"/>
      <c r="AV1035" s="37"/>
      <c r="AW1035" s="38" t="str">
        <f t="shared" si="84"/>
        <v/>
      </c>
    </row>
    <row r="1036" spans="1:49" ht="18" customHeight="1" x14ac:dyDescent="0.3">
      <c r="A1036" s="39">
        <v>1032</v>
      </c>
      <c r="B1036" s="40" t="s">
        <v>3912</v>
      </c>
      <c r="C1036" s="41" t="s">
        <v>3913</v>
      </c>
      <c r="D1036" s="39" t="s">
        <v>2819</v>
      </c>
      <c r="E1036" s="43">
        <v>46126</v>
      </c>
      <c r="F1036" s="26" t="s">
        <v>23</v>
      </c>
      <c r="G1036" s="26" t="s">
        <v>24</v>
      </c>
      <c r="H1036" s="26" t="s">
        <v>25</v>
      </c>
      <c r="I1036" s="26" t="s">
        <v>26</v>
      </c>
      <c r="J1036" s="26" t="s">
        <v>24</v>
      </c>
      <c r="K1036" s="27"/>
      <c r="L1036" s="28" t="s">
        <v>25</v>
      </c>
      <c r="M1036" s="29" t="str">
        <f t="shared" si="80"/>
        <v>✓ OK</v>
      </c>
      <c r="N1036" s="43">
        <v>46193</v>
      </c>
      <c r="O1036" s="26" t="s">
        <v>23</v>
      </c>
      <c r="P1036" s="26" t="s">
        <v>24</v>
      </c>
      <c r="Q1036" s="26" t="s">
        <v>25</v>
      </c>
      <c r="R1036" s="26" t="s">
        <v>26</v>
      </c>
      <c r="S1036" s="26" t="s">
        <v>24</v>
      </c>
      <c r="T1036" s="27"/>
      <c r="U1036" s="28" t="s">
        <v>25</v>
      </c>
      <c r="V1036" s="29" t="str">
        <f t="shared" si="81"/>
        <v>✓ OK</v>
      </c>
      <c r="W1036" s="45">
        <v>46248</v>
      </c>
      <c r="X1036" s="30" t="s">
        <v>23</v>
      </c>
      <c r="Y1036" s="30" t="s">
        <v>24</v>
      </c>
      <c r="Z1036" s="30" t="s">
        <v>25</v>
      </c>
      <c r="AA1036" s="30" t="s">
        <v>26</v>
      </c>
      <c r="AB1036" s="30" t="s">
        <v>24</v>
      </c>
      <c r="AC1036" s="27"/>
      <c r="AD1036" s="31" t="s">
        <v>25</v>
      </c>
      <c r="AE1036" s="32" t="str">
        <f t="shared" si="82"/>
        <v>✓ OK</v>
      </c>
      <c r="AF1036" s="33" t="s">
        <v>27</v>
      </c>
      <c r="AG1036" s="33" t="s">
        <v>23</v>
      </c>
      <c r="AH1036" s="33" t="s">
        <v>24</v>
      </c>
      <c r="AI1036" s="33" t="s">
        <v>25</v>
      </c>
      <c r="AJ1036" s="33" t="s">
        <v>26</v>
      </c>
      <c r="AK1036" s="33" t="s">
        <v>24</v>
      </c>
      <c r="AL1036" s="27"/>
      <c r="AM1036" s="34" t="s">
        <v>25</v>
      </c>
      <c r="AN1036" s="35" t="str">
        <f t="shared" si="83"/>
        <v>✓ OK</v>
      </c>
      <c r="AO1036" s="36"/>
      <c r="AP1036" s="36"/>
      <c r="AQ1036" s="36"/>
      <c r="AR1036" s="36"/>
      <c r="AS1036" s="36"/>
      <c r="AT1036" s="36"/>
      <c r="AU1036" s="27"/>
      <c r="AV1036" s="37"/>
      <c r="AW1036" s="38" t="str">
        <f t="shared" si="84"/>
        <v/>
      </c>
    </row>
    <row r="1037" spans="1:49" ht="18" customHeight="1" x14ac:dyDescent="0.3">
      <c r="A1037" s="23">
        <v>1033</v>
      </c>
      <c r="B1037" s="24" t="s">
        <v>3914</v>
      </c>
      <c r="C1037" s="25" t="s">
        <v>3915</v>
      </c>
      <c r="D1037" s="23" t="s">
        <v>2819</v>
      </c>
      <c r="E1037" s="43">
        <v>46126</v>
      </c>
      <c r="F1037" s="26" t="s">
        <v>23</v>
      </c>
      <c r="G1037" s="26" t="s">
        <v>24</v>
      </c>
      <c r="H1037" s="26" t="s">
        <v>25</v>
      </c>
      <c r="I1037" s="26" t="s">
        <v>26</v>
      </c>
      <c r="J1037" s="26" t="s">
        <v>24</v>
      </c>
      <c r="K1037" s="27"/>
      <c r="L1037" s="28" t="s">
        <v>25</v>
      </c>
      <c r="M1037" s="29" t="str">
        <f t="shared" si="80"/>
        <v>✓ OK</v>
      </c>
      <c r="N1037" s="43">
        <v>46193</v>
      </c>
      <c r="O1037" s="26" t="s">
        <v>23</v>
      </c>
      <c r="P1037" s="26" t="s">
        <v>24</v>
      </c>
      <c r="Q1037" s="26" t="s">
        <v>25</v>
      </c>
      <c r="R1037" s="26" t="s">
        <v>26</v>
      </c>
      <c r="S1037" s="26" t="s">
        <v>24</v>
      </c>
      <c r="T1037" s="27"/>
      <c r="U1037" s="28" t="s">
        <v>25</v>
      </c>
      <c r="V1037" s="29" t="str">
        <f t="shared" si="81"/>
        <v>✓ OK</v>
      </c>
      <c r="W1037" s="45">
        <v>46248</v>
      </c>
      <c r="X1037" s="30" t="s">
        <v>23</v>
      </c>
      <c r="Y1037" s="30" t="s">
        <v>24</v>
      </c>
      <c r="Z1037" s="30" t="s">
        <v>25</v>
      </c>
      <c r="AA1037" s="30" t="s">
        <v>26</v>
      </c>
      <c r="AB1037" s="30" t="s">
        <v>24</v>
      </c>
      <c r="AC1037" s="27"/>
      <c r="AD1037" s="31" t="s">
        <v>25</v>
      </c>
      <c r="AE1037" s="32" t="str">
        <f t="shared" si="82"/>
        <v>✓ OK</v>
      </c>
      <c r="AF1037" s="33" t="s">
        <v>27</v>
      </c>
      <c r="AG1037" s="33" t="s">
        <v>23</v>
      </c>
      <c r="AH1037" s="33" t="s">
        <v>24</v>
      </c>
      <c r="AI1037" s="33" t="s">
        <v>25</v>
      </c>
      <c r="AJ1037" s="33" t="s">
        <v>26</v>
      </c>
      <c r="AK1037" s="33" t="s">
        <v>24</v>
      </c>
      <c r="AL1037" s="27"/>
      <c r="AM1037" s="34" t="s">
        <v>25</v>
      </c>
      <c r="AN1037" s="35" t="str">
        <f t="shared" si="83"/>
        <v>✓ OK</v>
      </c>
      <c r="AO1037" s="36"/>
      <c r="AP1037" s="36"/>
      <c r="AQ1037" s="36"/>
      <c r="AR1037" s="36"/>
      <c r="AS1037" s="36"/>
      <c r="AT1037" s="36"/>
      <c r="AU1037" s="27"/>
      <c r="AV1037" s="37"/>
      <c r="AW1037" s="38" t="str">
        <f t="shared" si="84"/>
        <v/>
      </c>
    </row>
    <row r="1038" spans="1:49" ht="18" customHeight="1" x14ac:dyDescent="0.3">
      <c r="A1038" s="39">
        <v>1034</v>
      </c>
      <c r="B1038" s="40" t="s">
        <v>3916</v>
      </c>
      <c r="C1038" s="41" t="s">
        <v>3917</v>
      </c>
      <c r="D1038" s="39" t="s">
        <v>2819</v>
      </c>
      <c r="E1038" s="43">
        <v>46126</v>
      </c>
      <c r="F1038" s="26" t="s">
        <v>23</v>
      </c>
      <c r="G1038" s="26" t="s">
        <v>24</v>
      </c>
      <c r="H1038" s="26" t="s">
        <v>25</v>
      </c>
      <c r="I1038" s="26" t="s">
        <v>26</v>
      </c>
      <c r="J1038" s="26" t="s">
        <v>24</v>
      </c>
      <c r="K1038" s="27"/>
      <c r="L1038" s="28" t="s">
        <v>25</v>
      </c>
      <c r="M1038" s="29" t="str">
        <f t="shared" si="80"/>
        <v>✓ OK</v>
      </c>
      <c r="N1038" s="43">
        <v>46193</v>
      </c>
      <c r="O1038" s="26" t="s">
        <v>23</v>
      </c>
      <c r="P1038" s="26" t="s">
        <v>24</v>
      </c>
      <c r="Q1038" s="26" t="s">
        <v>25</v>
      </c>
      <c r="R1038" s="26" t="s">
        <v>26</v>
      </c>
      <c r="S1038" s="26" t="s">
        <v>24</v>
      </c>
      <c r="T1038" s="27"/>
      <c r="U1038" s="28" t="s">
        <v>25</v>
      </c>
      <c r="V1038" s="29" t="str">
        <f t="shared" si="81"/>
        <v>✓ OK</v>
      </c>
      <c r="W1038" s="45">
        <v>46248</v>
      </c>
      <c r="X1038" s="30" t="s">
        <v>23</v>
      </c>
      <c r="Y1038" s="30" t="s">
        <v>24</v>
      </c>
      <c r="Z1038" s="30" t="s">
        <v>25</v>
      </c>
      <c r="AA1038" s="30" t="s">
        <v>26</v>
      </c>
      <c r="AB1038" s="30" t="s">
        <v>24</v>
      </c>
      <c r="AC1038" s="27"/>
      <c r="AD1038" s="31" t="s">
        <v>25</v>
      </c>
      <c r="AE1038" s="32" t="str">
        <f t="shared" si="82"/>
        <v>✓ OK</v>
      </c>
      <c r="AF1038" s="33" t="s">
        <v>27</v>
      </c>
      <c r="AG1038" s="33" t="s">
        <v>23</v>
      </c>
      <c r="AH1038" s="33" t="s">
        <v>24</v>
      </c>
      <c r="AI1038" s="33" t="s">
        <v>25</v>
      </c>
      <c r="AJ1038" s="33" t="s">
        <v>26</v>
      </c>
      <c r="AK1038" s="33" t="s">
        <v>24</v>
      </c>
      <c r="AL1038" s="27"/>
      <c r="AM1038" s="34" t="s">
        <v>25</v>
      </c>
      <c r="AN1038" s="35" t="str">
        <f t="shared" si="83"/>
        <v>✓ OK</v>
      </c>
      <c r="AO1038" s="36"/>
      <c r="AP1038" s="36"/>
      <c r="AQ1038" s="36"/>
      <c r="AR1038" s="36"/>
      <c r="AS1038" s="36"/>
      <c r="AT1038" s="36"/>
      <c r="AU1038" s="27"/>
      <c r="AV1038" s="37"/>
      <c r="AW1038" s="38" t="str">
        <f t="shared" si="84"/>
        <v/>
      </c>
    </row>
    <row r="1039" spans="1:49" ht="18" customHeight="1" x14ac:dyDescent="0.3">
      <c r="A1039" s="23">
        <v>1035</v>
      </c>
      <c r="B1039" s="24" t="s">
        <v>3918</v>
      </c>
      <c r="C1039" s="25" t="s">
        <v>3919</v>
      </c>
      <c r="D1039" s="23" t="s">
        <v>2819</v>
      </c>
      <c r="E1039" s="43">
        <v>46126</v>
      </c>
      <c r="F1039" s="26" t="s">
        <v>23</v>
      </c>
      <c r="G1039" s="26" t="s">
        <v>24</v>
      </c>
      <c r="H1039" s="26" t="s">
        <v>25</v>
      </c>
      <c r="I1039" s="26" t="s">
        <v>26</v>
      </c>
      <c r="J1039" s="26" t="s">
        <v>24</v>
      </c>
      <c r="K1039" s="27"/>
      <c r="L1039" s="28" t="s">
        <v>25</v>
      </c>
      <c r="M1039" s="29" t="str">
        <f t="shared" si="80"/>
        <v>✓ OK</v>
      </c>
      <c r="N1039" s="43">
        <v>46193</v>
      </c>
      <c r="O1039" s="26" t="s">
        <v>23</v>
      </c>
      <c r="P1039" s="26" t="s">
        <v>24</v>
      </c>
      <c r="Q1039" s="26" t="s">
        <v>25</v>
      </c>
      <c r="R1039" s="26" t="s">
        <v>26</v>
      </c>
      <c r="S1039" s="26" t="s">
        <v>24</v>
      </c>
      <c r="T1039" s="27"/>
      <c r="U1039" s="28" t="s">
        <v>25</v>
      </c>
      <c r="V1039" s="29" t="str">
        <f t="shared" si="81"/>
        <v>✓ OK</v>
      </c>
      <c r="W1039" s="45">
        <v>46248</v>
      </c>
      <c r="X1039" s="30" t="s">
        <v>23</v>
      </c>
      <c r="Y1039" s="30" t="s">
        <v>24</v>
      </c>
      <c r="Z1039" s="30" t="s">
        <v>25</v>
      </c>
      <c r="AA1039" s="30" t="s">
        <v>26</v>
      </c>
      <c r="AB1039" s="30" t="s">
        <v>24</v>
      </c>
      <c r="AC1039" s="27"/>
      <c r="AD1039" s="31" t="s">
        <v>25</v>
      </c>
      <c r="AE1039" s="32" t="str">
        <f t="shared" si="82"/>
        <v>✓ OK</v>
      </c>
      <c r="AF1039" s="33" t="s">
        <v>27</v>
      </c>
      <c r="AG1039" s="33" t="s">
        <v>23</v>
      </c>
      <c r="AH1039" s="33" t="s">
        <v>24</v>
      </c>
      <c r="AI1039" s="33" t="s">
        <v>25</v>
      </c>
      <c r="AJ1039" s="33" t="s">
        <v>26</v>
      </c>
      <c r="AK1039" s="33" t="s">
        <v>24</v>
      </c>
      <c r="AL1039" s="27"/>
      <c r="AM1039" s="34" t="s">
        <v>25</v>
      </c>
      <c r="AN1039" s="35" t="str">
        <f t="shared" si="83"/>
        <v>✓ OK</v>
      </c>
      <c r="AO1039" s="36"/>
      <c r="AP1039" s="36"/>
      <c r="AQ1039" s="36"/>
      <c r="AR1039" s="36"/>
      <c r="AS1039" s="36"/>
      <c r="AT1039" s="36"/>
      <c r="AU1039" s="27"/>
      <c r="AV1039" s="37"/>
      <c r="AW1039" s="38" t="str">
        <f t="shared" si="84"/>
        <v/>
      </c>
    </row>
    <row r="1040" spans="1:49" ht="18" customHeight="1" x14ac:dyDescent="0.3">
      <c r="A1040" s="39">
        <v>1036</v>
      </c>
      <c r="B1040" s="40" t="s">
        <v>3920</v>
      </c>
      <c r="C1040" s="41" t="s">
        <v>3921</v>
      </c>
      <c r="D1040" s="39" t="s">
        <v>2819</v>
      </c>
      <c r="E1040" s="43">
        <v>46126</v>
      </c>
      <c r="F1040" s="26" t="s">
        <v>23</v>
      </c>
      <c r="G1040" s="26" t="s">
        <v>24</v>
      </c>
      <c r="H1040" s="26" t="s">
        <v>25</v>
      </c>
      <c r="I1040" s="26" t="s">
        <v>26</v>
      </c>
      <c r="J1040" s="26" t="s">
        <v>24</v>
      </c>
      <c r="K1040" s="27"/>
      <c r="L1040" s="28" t="s">
        <v>25</v>
      </c>
      <c r="M1040" s="29" t="str">
        <f t="shared" si="80"/>
        <v>✓ OK</v>
      </c>
      <c r="N1040" s="43">
        <v>46193</v>
      </c>
      <c r="O1040" s="26" t="s">
        <v>23</v>
      </c>
      <c r="P1040" s="26" t="s">
        <v>24</v>
      </c>
      <c r="Q1040" s="26" t="s">
        <v>25</v>
      </c>
      <c r="R1040" s="26" t="s">
        <v>26</v>
      </c>
      <c r="S1040" s="26" t="s">
        <v>24</v>
      </c>
      <c r="T1040" s="27"/>
      <c r="U1040" s="28" t="s">
        <v>25</v>
      </c>
      <c r="V1040" s="29" t="str">
        <f t="shared" si="81"/>
        <v>✓ OK</v>
      </c>
      <c r="W1040" s="45">
        <v>46248</v>
      </c>
      <c r="X1040" s="30" t="s">
        <v>23</v>
      </c>
      <c r="Y1040" s="30" t="s">
        <v>24</v>
      </c>
      <c r="Z1040" s="30" t="s">
        <v>25</v>
      </c>
      <c r="AA1040" s="30" t="s">
        <v>26</v>
      </c>
      <c r="AB1040" s="30" t="s">
        <v>24</v>
      </c>
      <c r="AC1040" s="27"/>
      <c r="AD1040" s="31" t="s">
        <v>25</v>
      </c>
      <c r="AE1040" s="32" t="str">
        <f t="shared" si="82"/>
        <v>✓ OK</v>
      </c>
      <c r="AF1040" s="33" t="s">
        <v>27</v>
      </c>
      <c r="AG1040" s="33" t="s">
        <v>23</v>
      </c>
      <c r="AH1040" s="33" t="s">
        <v>24</v>
      </c>
      <c r="AI1040" s="33" t="s">
        <v>25</v>
      </c>
      <c r="AJ1040" s="33" t="s">
        <v>26</v>
      </c>
      <c r="AK1040" s="33" t="s">
        <v>24</v>
      </c>
      <c r="AL1040" s="27"/>
      <c r="AM1040" s="34" t="s">
        <v>25</v>
      </c>
      <c r="AN1040" s="35" t="str">
        <f t="shared" si="83"/>
        <v>✓ OK</v>
      </c>
      <c r="AO1040" s="36"/>
      <c r="AP1040" s="36"/>
      <c r="AQ1040" s="36"/>
      <c r="AR1040" s="36"/>
      <c r="AS1040" s="36"/>
      <c r="AT1040" s="36"/>
      <c r="AU1040" s="27"/>
      <c r="AV1040" s="37"/>
      <c r="AW1040" s="38" t="str">
        <f t="shared" si="84"/>
        <v/>
      </c>
    </row>
    <row r="1041" spans="1:49" ht="18" customHeight="1" x14ac:dyDescent="0.3">
      <c r="A1041" s="23">
        <v>1037</v>
      </c>
      <c r="B1041" s="24" t="s">
        <v>3922</v>
      </c>
      <c r="C1041" s="25" t="s">
        <v>3923</v>
      </c>
      <c r="D1041" s="23" t="s">
        <v>2819</v>
      </c>
      <c r="E1041" s="43">
        <v>46126</v>
      </c>
      <c r="F1041" s="26" t="s">
        <v>23</v>
      </c>
      <c r="G1041" s="26" t="s">
        <v>24</v>
      </c>
      <c r="H1041" s="26" t="s">
        <v>25</v>
      </c>
      <c r="I1041" s="26" t="s">
        <v>26</v>
      </c>
      <c r="J1041" s="26" t="s">
        <v>24</v>
      </c>
      <c r="K1041" s="27"/>
      <c r="L1041" s="28" t="s">
        <v>25</v>
      </c>
      <c r="M1041" s="29" t="str">
        <f t="shared" si="80"/>
        <v>✓ OK</v>
      </c>
      <c r="N1041" s="43">
        <v>46193</v>
      </c>
      <c r="O1041" s="26" t="s">
        <v>23</v>
      </c>
      <c r="P1041" s="26" t="s">
        <v>24</v>
      </c>
      <c r="Q1041" s="26" t="s">
        <v>25</v>
      </c>
      <c r="R1041" s="26" t="s">
        <v>26</v>
      </c>
      <c r="S1041" s="26" t="s">
        <v>24</v>
      </c>
      <c r="T1041" s="27"/>
      <c r="U1041" s="28" t="s">
        <v>25</v>
      </c>
      <c r="V1041" s="29" t="str">
        <f t="shared" si="81"/>
        <v>✓ OK</v>
      </c>
      <c r="W1041" s="45">
        <v>46248</v>
      </c>
      <c r="X1041" s="30" t="s">
        <v>23</v>
      </c>
      <c r="Y1041" s="30" t="s">
        <v>24</v>
      </c>
      <c r="Z1041" s="30" t="s">
        <v>25</v>
      </c>
      <c r="AA1041" s="30" t="s">
        <v>26</v>
      </c>
      <c r="AB1041" s="30" t="s">
        <v>24</v>
      </c>
      <c r="AC1041" s="27"/>
      <c r="AD1041" s="31" t="s">
        <v>25</v>
      </c>
      <c r="AE1041" s="32" t="str">
        <f t="shared" si="82"/>
        <v>✓ OK</v>
      </c>
      <c r="AF1041" s="33" t="s">
        <v>27</v>
      </c>
      <c r="AG1041" s="33" t="s">
        <v>23</v>
      </c>
      <c r="AH1041" s="33" t="s">
        <v>24</v>
      </c>
      <c r="AI1041" s="33" t="s">
        <v>25</v>
      </c>
      <c r="AJ1041" s="33" t="s">
        <v>26</v>
      </c>
      <c r="AK1041" s="33" t="s">
        <v>24</v>
      </c>
      <c r="AL1041" s="27"/>
      <c r="AM1041" s="34" t="s">
        <v>25</v>
      </c>
      <c r="AN1041" s="35" t="str">
        <f t="shared" si="83"/>
        <v>✓ OK</v>
      </c>
      <c r="AO1041" s="36"/>
      <c r="AP1041" s="36"/>
      <c r="AQ1041" s="36"/>
      <c r="AR1041" s="36"/>
      <c r="AS1041" s="36"/>
      <c r="AT1041" s="36"/>
      <c r="AU1041" s="27"/>
      <c r="AV1041" s="37"/>
      <c r="AW1041" s="38" t="str">
        <f t="shared" si="84"/>
        <v/>
      </c>
    </row>
    <row r="1042" spans="1:49" ht="18" customHeight="1" x14ac:dyDescent="0.3">
      <c r="A1042" s="39">
        <v>1038</v>
      </c>
      <c r="B1042" s="40" t="s">
        <v>3924</v>
      </c>
      <c r="C1042" s="41" t="s">
        <v>3925</v>
      </c>
      <c r="D1042" s="39" t="s">
        <v>2819</v>
      </c>
      <c r="E1042" s="43">
        <v>46126</v>
      </c>
      <c r="F1042" s="26" t="s">
        <v>23</v>
      </c>
      <c r="G1042" s="26" t="s">
        <v>24</v>
      </c>
      <c r="H1042" s="26" t="s">
        <v>25</v>
      </c>
      <c r="I1042" s="26" t="s">
        <v>26</v>
      </c>
      <c r="J1042" s="26" t="s">
        <v>24</v>
      </c>
      <c r="K1042" s="27"/>
      <c r="L1042" s="28" t="s">
        <v>25</v>
      </c>
      <c r="M1042" s="29" t="str">
        <f t="shared" si="80"/>
        <v>✓ OK</v>
      </c>
      <c r="N1042" s="43">
        <v>46193</v>
      </c>
      <c r="O1042" s="26" t="s">
        <v>23</v>
      </c>
      <c r="P1042" s="26" t="s">
        <v>24</v>
      </c>
      <c r="Q1042" s="26" t="s">
        <v>25</v>
      </c>
      <c r="R1042" s="26" t="s">
        <v>26</v>
      </c>
      <c r="S1042" s="26" t="s">
        <v>24</v>
      </c>
      <c r="T1042" s="27"/>
      <c r="U1042" s="28" t="s">
        <v>25</v>
      </c>
      <c r="V1042" s="29" t="str">
        <f t="shared" si="81"/>
        <v>✓ OK</v>
      </c>
      <c r="W1042" s="45">
        <v>46248</v>
      </c>
      <c r="X1042" s="30" t="s">
        <v>23</v>
      </c>
      <c r="Y1042" s="30" t="s">
        <v>24</v>
      </c>
      <c r="Z1042" s="30" t="s">
        <v>25</v>
      </c>
      <c r="AA1042" s="30" t="s">
        <v>26</v>
      </c>
      <c r="AB1042" s="30" t="s">
        <v>24</v>
      </c>
      <c r="AC1042" s="27"/>
      <c r="AD1042" s="31" t="s">
        <v>25</v>
      </c>
      <c r="AE1042" s="32" t="str">
        <f t="shared" si="82"/>
        <v>✓ OK</v>
      </c>
      <c r="AF1042" s="33" t="s">
        <v>27</v>
      </c>
      <c r="AG1042" s="33" t="s">
        <v>23</v>
      </c>
      <c r="AH1042" s="33" t="s">
        <v>24</v>
      </c>
      <c r="AI1042" s="33" t="s">
        <v>25</v>
      </c>
      <c r="AJ1042" s="33" t="s">
        <v>26</v>
      </c>
      <c r="AK1042" s="33" t="s">
        <v>24</v>
      </c>
      <c r="AL1042" s="27"/>
      <c r="AM1042" s="34" t="s">
        <v>25</v>
      </c>
      <c r="AN1042" s="35" t="str">
        <f t="shared" si="83"/>
        <v>✓ OK</v>
      </c>
      <c r="AO1042" s="36"/>
      <c r="AP1042" s="36"/>
      <c r="AQ1042" s="36"/>
      <c r="AR1042" s="36"/>
      <c r="AS1042" s="36"/>
      <c r="AT1042" s="36"/>
      <c r="AU1042" s="27"/>
      <c r="AV1042" s="37"/>
      <c r="AW1042" s="38" t="str">
        <f t="shared" si="84"/>
        <v/>
      </c>
    </row>
    <row r="1043" spans="1:49" ht="18" customHeight="1" x14ac:dyDescent="0.3">
      <c r="A1043" s="23">
        <v>1039</v>
      </c>
      <c r="B1043" s="24" t="s">
        <v>3926</v>
      </c>
      <c r="C1043" s="25" t="s">
        <v>3927</v>
      </c>
      <c r="D1043" s="23" t="s">
        <v>2819</v>
      </c>
      <c r="E1043" s="43">
        <v>46126</v>
      </c>
      <c r="F1043" s="26" t="s">
        <v>23</v>
      </c>
      <c r="G1043" s="26" t="s">
        <v>24</v>
      </c>
      <c r="H1043" s="26" t="s">
        <v>25</v>
      </c>
      <c r="I1043" s="26" t="s">
        <v>26</v>
      </c>
      <c r="J1043" s="26" t="s">
        <v>24</v>
      </c>
      <c r="K1043" s="27"/>
      <c r="L1043" s="28" t="s">
        <v>25</v>
      </c>
      <c r="M1043" s="29" t="str">
        <f t="shared" si="80"/>
        <v>✓ OK</v>
      </c>
      <c r="N1043" s="43">
        <v>46193</v>
      </c>
      <c r="O1043" s="26" t="s">
        <v>23</v>
      </c>
      <c r="P1043" s="26" t="s">
        <v>24</v>
      </c>
      <c r="Q1043" s="26" t="s">
        <v>25</v>
      </c>
      <c r="R1043" s="26" t="s">
        <v>26</v>
      </c>
      <c r="S1043" s="26" t="s">
        <v>24</v>
      </c>
      <c r="T1043" s="27"/>
      <c r="U1043" s="28" t="s">
        <v>25</v>
      </c>
      <c r="V1043" s="29" t="str">
        <f t="shared" si="81"/>
        <v>✓ OK</v>
      </c>
      <c r="W1043" s="45">
        <v>46248</v>
      </c>
      <c r="X1043" s="30" t="s">
        <v>23</v>
      </c>
      <c r="Y1043" s="30" t="s">
        <v>24</v>
      </c>
      <c r="Z1043" s="30" t="s">
        <v>25</v>
      </c>
      <c r="AA1043" s="30" t="s">
        <v>26</v>
      </c>
      <c r="AB1043" s="30" t="s">
        <v>24</v>
      </c>
      <c r="AC1043" s="27"/>
      <c r="AD1043" s="31" t="s">
        <v>25</v>
      </c>
      <c r="AE1043" s="32" t="str">
        <f t="shared" si="82"/>
        <v>✓ OK</v>
      </c>
      <c r="AF1043" s="33" t="s">
        <v>27</v>
      </c>
      <c r="AG1043" s="33" t="s">
        <v>23</v>
      </c>
      <c r="AH1043" s="33" t="s">
        <v>24</v>
      </c>
      <c r="AI1043" s="33" t="s">
        <v>25</v>
      </c>
      <c r="AJ1043" s="33" t="s">
        <v>26</v>
      </c>
      <c r="AK1043" s="33" t="s">
        <v>24</v>
      </c>
      <c r="AL1043" s="27"/>
      <c r="AM1043" s="34" t="s">
        <v>25</v>
      </c>
      <c r="AN1043" s="35" t="str">
        <f t="shared" si="83"/>
        <v>✓ OK</v>
      </c>
      <c r="AO1043" s="36"/>
      <c r="AP1043" s="36"/>
      <c r="AQ1043" s="36"/>
      <c r="AR1043" s="36"/>
      <c r="AS1043" s="36"/>
      <c r="AT1043" s="36"/>
      <c r="AU1043" s="27"/>
      <c r="AV1043" s="37"/>
      <c r="AW1043" s="38" t="str">
        <f t="shared" si="84"/>
        <v/>
      </c>
    </row>
    <row r="1044" spans="1:49" ht="18" customHeight="1" x14ac:dyDescent="0.3">
      <c r="A1044" s="39">
        <v>1040</v>
      </c>
      <c r="B1044" s="40" t="s">
        <v>3928</v>
      </c>
      <c r="C1044" s="41" t="s">
        <v>3929</v>
      </c>
      <c r="D1044" s="39" t="s">
        <v>2819</v>
      </c>
      <c r="E1044" s="43">
        <v>46126</v>
      </c>
      <c r="F1044" s="26" t="s">
        <v>23</v>
      </c>
      <c r="G1044" s="26" t="s">
        <v>24</v>
      </c>
      <c r="H1044" s="26" t="s">
        <v>25</v>
      </c>
      <c r="I1044" s="26" t="s">
        <v>26</v>
      </c>
      <c r="J1044" s="26" t="s">
        <v>24</v>
      </c>
      <c r="K1044" s="27"/>
      <c r="L1044" s="28" t="s">
        <v>25</v>
      </c>
      <c r="M1044" s="29" t="str">
        <f t="shared" si="80"/>
        <v>✓ OK</v>
      </c>
      <c r="N1044" s="43">
        <v>46193</v>
      </c>
      <c r="O1044" s="26" t="s">
        <v>23</v>
      </c>
      <c r="P1044" s="26" t="s">
        <v>24</v>
      </c>
      <c r="Q1044" s="26" t="s">
        <v>25</v>
      </c>
      <c r="R1044" s="26" t="s">
        <v>26</v>
      </c>
      <c r="S1044" s="26" t="s">
        <v>24</v>
      </c>
      <c r="T1044" s="27"/>
      <c r="U1044" s="28" t="s">
        <v>25</v>
      </c>
      <c r="V1044" s="29" t="str">
        <f t="shared" si="81"/>
        <v>✓ OK</v>
      </c>
      <c r="W1044" s="45">
        <v>46248</v>
      </c>
      <c r="X1044" s="30" t="s">
        <v>23</v>
      </c>
      <c r="Y1044" s="30" t="s">
        <v>24</v>
      </c>
      <c r="Z1044" s="30" t="s">
        <v>25</v>
      </c>
      <c r="AA1044" s="30" t="s">
        <v>26</v>
      </c>
      <c r="AB1044" s="30" t="s">
        <v>24</v>
      </c>
      <c r="AC1044" s="27"/>
      <c r="AD1044" s="31" t="s">
        <v>25</v>
      </c>
      <c r="AE1044" s="32" t="str">
        <f t="shared" si="82"/>
        <v>✓ OK</v>
      </c>
      <c r="AF1044" s="33" t="s">
        <v>27</v>
      </c>
      <c r="AG1044" s="33" t="s">
        <v>23</v>
      </c>
      <c r="AH1044" s="33" t="s">
        <v>24</v>
      </c>
      <c r="AI1044" s="33" t="s">
        <v>25</v>
      </c>
      <c r="AJ1044" s="33" t="s">
        <v>26</v>
      </c>
      <c r="AK1044" s="33" t="s">
        <v>24</v>
      </c>
      <c r="AL1044" s="27"/>
      <c r="AM1044" s="34" t="s">
        <v>25</v>
      </c>
      <c r="AN1044" s="35" t="str">
        <f t="shared" si="83"/>
        <v>✓ OK</v>
      </c>
      <c r="AO1044" s="36"/>
      <c r="AP1044" s="36"/>
      <c r="AQ1044" s="36"/>
      <c r="AR1044" s="36"/>
      <c r="AS1044" s="36"/>
      <c r="AT1044" s="36"/>
      <c r="AU1044" s="27"/>
      <c r="AV1044" s="37"/>
      <c r="AW1044" s="38" t="str">
        <f t="shared" si="84"/>
        <v/>
      </c>
    </row>
    <row r="1045" spans="1:49" ht="18" customHeight="1" x14ac:dyDescent="0.3">
      <c r="A1045" s="23">
        <v>1041</v>
      </c>
      <c r="B1045" s="24" t="s">
        <v>3930</v>
      </c>
      <c r="C1045" s="25" t="s">
        <v>3931</v>
      </c>
      <c r="D1045" s="23" t="s">
        <v>2819</v>
      </c>
      <c r="E1045" s="43">
        <v>46126</v>
      </c>
      <c r="F1045" s="26" t="s">
        <v>23</v>
      </c>
      <c r="G1045" s="26" t="s">
        <v>24</v>
      </c>
      <c r="H1045" s="26" t="s">
        <v>25</v>
      </c>
      <c r="I1045" s="26" t="s">
        <v>26</v>
      </c>
      <c r="J1045" s="26" t="s">
        <v>24</v>
      </c>
      <c r="K1045" s="27"/>
      <c r="L1045" s="28" t="s">
        <v>25</v>
      </c>
      <c r="M1045" s="29" t="str">
        <f t="shared" si="80"/>
        <v>✓ OK</v>
      </c>
      <c r="N1045" s="43">
        <v>46193</v>
      </c>
      <c r="O1045" s="26" t="s">
        <v>23</v>
      </c>
      <c r="P1045" s="26" t="s">
        <v>24</v>
      </c>
      <c r="Q1045" s="26" t="s">
        <v>25</v>
      </c>
      <c r="R1045" s="26" t="s">
        <v>26</v>
      </c>
      <c r="S1045" s="26" t="s">
        <v>24</v>
      </c>
      <c r="T1045" s="27"/>
      <c r="U1045" s="28" t="s">
        <v>25</v>
      </c>
      <c r="V1045" s="29" t="str">
        <f t="shared" si="81"/>
        <v>✓ OK</v>
      </c>
      <c r="W1045" s="45">
        <v>46248</v>
      </c>
      <c r="X1045" s="30" t="s">
        <v>23</v>
      </c>
      <c r="Y1045" s="30" t="s">
        <v>24</v>
      </c>
      <c r="Z1045" s="30" t="s">
        <v>25</v>
      </c>
      <c r="AA1045" s="30" t="s">
        <v>26</v>
      </c>
      <c r="AB1045" s="30" t="s">
        <v>24</v>
      </c>
      <c r="AC1045" s="27"/>
      <c r="AD1045" s="31" t="s">
        <v>25</v>
      </c>
      <c r="AE1045" s="32" t="str">
        <f t="shared" si="82"/>
        <v>✓ OK</v>
      </c>
      <c r="AF1045" s="33" t="s">
        <v>27</v>
      </c>
      <c r="AG1045" s="33" t="s">
        <v>23</v>
      </c>
      <c r="AH1045" s="33" t="s">
        <v>24</v>
      </c>
      <c r="AI1045" s="33" t="s">
        <v>25</v>
      </c>
      <c r="AJ1045" s="33" t="s">
        <v>26</v>
      </c>
      <c r="AK1045" s="33" t="s">
        <v>24</v>
      </c>
      <c r="AL1045" s="27"/>
      <c r="AM1045" s="34" t="s">
        <v>25</v>
      </c>
      <c r="AN1045" s="35" t="str">
        <f t="shared" si="83"/>
        <v>✓ OK</v>
      </c>
      <c r="AO1045" s="36"/>
      <c r="AP1045" s="36"/>
      <c r="AQ1045" s="36"/>
      <c r="AR1045" s="36"/>
      <c r="AS1045" s="36"/>
      <c r="AT1045" s="36"/>
      <c r="AU1045" s="27"/>
      <c r="AV1045" s="37"/>
      <c r="AW1045" s="38" t="str">
        <f t="shared" si="84"/>
        <v/>
      </c>
    </row>
    <row r="1046" spans="1:49" ht="18" customHeight="1" x14ac:dyDescent="0.3">
      <c r="A1046" s="39">
        <v>1042</v>
      </c>
      <c r="B1046" s="40" t="s">
        <v>3932</v>
      </c>
      <c r="C1046" s="41" t="s">
        <v>3933</v>
      </c>
      <c r="D1046" s="39" t="s">
        <v>2819</v>
      </c>
      <c r="E1046" s="43">
        <v>46126</v>
      </c>
      <c r="F1046" s="26" t="s">
        <v>23</v>
      </c>
      <c r="G1046" s="26" t="s">
        <v>24</v>
      </c>
      <c r="H1046" s="26" t="s">
        <v>25</v>
      </c>
      <c r="I1046" s="26" t="s">
        <v>26</v>
      </c>
      <c r="J1046" s="26" t="s">
        <v>24</v>
      </c>
      <c r="K1046" s="27"/>
      <c r="L1046" s="28" t="s">
        <v>25</v>
      </c>
      <c r="M1046" s="29" t="str">
        <f t="shared" si="80"/>
        <v>✓ OK</v>
      </c>
      <c r="N1046" s="43">
        <v>46193</v>
      </c>
      <c r="O1046" s="26" t="s">
        <v>23</v>
      </c>
      <c r="P1046" s="26" t="s">
        <v>24</v>
      </c>
      <c r="Q1046" s="26" t="s">
        <v>25</v>
      </c>
      <c r="R1046" s="26" t="s">
        <v>26</v>
      </c>
      <c r="S1046" s="26" t="s">
        <v>24</v>
      </c>
      <c r="T1046" s="27"/>
      <c r="U1046" s="28" t="s">
        <v>25</v>
      </c>
      <c r="V1046" s="29" t="str">
        <f t="shared" si="81"/>
        <v>✓ OK</v>
      </c>
      <c r="W1046" s="45">
        <v>46248</v>
      </c>
      <c r="X1046" s="30" t="s">
        <v>23</v>
      </c>
      <c r="Y1046" s="30" t="s">
        <v>24</v>
      </c>
      <c r="Z1046" s="30" t="s">
        <v>25</v>
      </c>
      <c r="AA1046" s="30" t="s">
        <v>26</v>
      </c>
      <c r="AB1046" s="30" t="s">
        <v>24</v>
      </c>
      <c r="AC1046" s="27"/>
      <c r="AD1046" s="31" t="s">
        <v>25</v>
      </c>
      <c r="AE1046" s="32" t="str">
        <f t="shared" si="82"/>
        <v>✓ OK</v>
      </c>
      <c r="AF1046" s="33" t="s">
        <v>27</v>
      </c>
      <c r="AG1046" s="33" t="s">
        <v>23</v>
      </c>
      <c r="AH1046" s="33" t="s">
        <v>24</v>
      </c>
      <c r="AI1046" s="33" t="s">
        <v>25</v>
      </c>
      <c r="AJ1046" s="33" t="s">
        <v>26</v>
      </c>
      <c r="AK1046" s="33" t="s">
        <v>24</v>
      </c>
      <c r="AL1046" s="27"/>
      <c r="AM1046" s="34" t="s">
        <v>25</v>
      </c>
      <c r="AN1046" s="35" t="str">
        <f t="shared" si="83"/>
        <v>✓ OK</v>
      </c>
      <c r="AO1046" s="36"/>
      <c r="AP1046" s="36"/>
      <c r="AQ1046" s="36"/>
      <c r="AR1046" s="36"/>
      <c r="AS1046" s="36"/>
      <c r="AT1046" s="36"/>
      <c r="AU1046" s="27"/>
      <c r="AV1046" s="37"/>
      <c r="AW1046" s="38" t="str">
        <f t="shared" si="84"/>
        <v/>
      </c>
    </row>
    <row r="1047" spans="1:49" ht="18" customHeight="1" x14ac:dyDescent="0.3">
      <c r="A1047" s="23">
        <v>1043</v>
      </c>
      <c r="B1047" s="24" t="s">
        <v>3934</v>
      </c>
      <c r="C1047" s="25" t="s">
        <v>3935</v>
      </c>
      <c r="D1047" s="23" t="s">
        <v>2819</v>
      </c>
      <c r="E1047" s="43">
        <v>46126</v>
      </c>
      <c r="F1047" s="26" t="s">
        <v>23</v>
      </c>
      <c r="G1047" s="26" t="s">
        <v>24</v>
      </c>
      <c r="H1047" s="26" t="s">
        <v>25</v>
      </c>
      <c r="I1047" s="26" t="s">
        <v>26</v>
      </c>
      <c r="J1047" s="26" t="s">
        <v>24</v>
      </c>
      <c r="K1047" s="27"/>
      <c r="L1047" s="28" t="s">
        <v>25</v>
      </c>
      <c r="M1047" s="29" t="str">
        <f t="shared" si="80"/>
        <v>✓ OK</v>
      </c>
      <c r="N1047" s="43">
        <v>46193</v>
      </c>
      <c r="O1047" s="26" t="s">
        <v>23</v>
      </c>
      <c r="P1047" s="26" t="s">
        <v>24</v>
      </c>
      <c r="Q1047" s="26" t="s">
        <v>25</v>
      </c>
      <c r="R1047" s="26" t="s">
        <v>26</v>
      </c>
      <c r="S1047" s="26" t="s">
        <v>24</v>
      </c>
      <c r="T1047" s="27"/>
      <c r="U1047" s="28" t="s">
        <v>25</v>
      </c>
      <c r="V1047" s="29" t="str">
        <f t="shared" si="81"/>
        <v>✓ OK</v>
      </c>
      <c r="W1047" s="45">
        <v>46248</v>
      </c>
      <c r="X1047" s="30" t="s">
        <v>23</v>
      </c>
      <c r="Y1047" s="30" t="s">
        <v>24</v>
      </c>
      <c r="Z1047" s="30" t="s">
        <v>25</v>
      </c>
      <c r="AA1047" s="30" t="s">
        <v>26</v>
      </c>
      <c r="AB1047" s="30" t="s">
        <v>24</v>
      </c>
      <c r="AC1047" s="27"/>
      <c r="AD1047" s="31" t="s">
        <v>25</v>
      </c>
      <c r="AE1047" s="32" t="str">
        <f t="shared" si="82"/>
        <v>✓ OK</v>
      </c>
      <c r="AF1047" s="33" t="s">
        <v>27</v>
      </c>
      <c r="AG1047" s="33" t="s">
        <v>23</v>
      </c>
      <c r="AH1047" s="33" t="s">
        <v>24</v>
      </c>
      <c r="AI1047" s="33" t="s">
        <v>25</v>
      </c>
      <c r="AJ1047" s="33" t="s">
        <v>26</v>
      </c>
      <c r="AK1047" s="33" t="s">
        <v>24</v>
      </c>
      <c r="AL1047" s="27"/>
      <c r="AM1047" s="34" t="s">
        <v>25</v>
      </c>
      <c r="AN1047" s="35" t="str">
        <f t="shared" si="83"/>
        <v>✓ OK</v>
      </c>
      <c r="AO1047" s="36"/>
      <c r="AP1047" s="36"/>
      <c r="AQ1047" s="36"/>
      <c r="AR1047" s="36"/>
      <c r="AS1047" s="36"/>
      <c r="AT1047" s="36"/>
      <c r="AU1047" s="27"/>
      <c r="AV1047" s="37"/>
      <c r="AW1047" s="38" t="str">
        <f t="shared" si="84"/>
        <v/>
      </c>
    </row>
    <row r="1048" spans="1:49" ht="18" customHeight="1" x14ac:dyDescent="0.3">
      <c r="A1048" s="39">
        <v>1044</v>
      </c>
      <c r="B1048" s="40" t="s">
        <v>3936</v>
      </c>
      <c r="C1048" s="41" t="s">
        <v>3937</v>
      </c>
      <c r="D1048" s="39" t="s">
        <v>2819</v>
      </c>
      <c r="E1048" s="43">
        <v>46126</v>
      </c>
      <c r="F1048" s="26" t="s">
        <v>23</v>
      </c>
      <c r="G1048" s="26" t="s">
        <v>24</v>
      </c>
      <c r="H1048" s="26" t="s">
        <v>25</v>
      </c>
      <c r="I1048" s="26" t="s">
        <v>26</v>
      </c>
      <c r="J1048" s="26" t="s">
        <v>24</v>
      </c>
      <c r="K1048" s="27"/>
      <c r="L1048" s="28" t="s">
        <v>25</v>
      </c>
      <c r="M1048" s="29" t="str">
        <f t="shared" si="80"/>
        <v>✓ OK</v>
      </c>
      <c r="N1048" s="43">
        <v>46193</v>
      </c>
      <c r="O1048" s="26" t="s">
        <v>23</v>
      </c>
      <c r="P1048" s="26" t="s">
        <v>24</v>
      </c>
      <c r="Q1048" s="26" t="s">
        <v>25</v>
      </c>
      <c r="R1048" s="26" t="s">
        <v>26</v>
      </c>
      <c r="S1048" s="26" t="s">
        <v>24</v>
      </c>
      <c r="T1048" s="27"/>
      <c r="U1048" s="28" t="s">
        <v>25</v>
      </c>
      <c r="V1048" s="29" t="str">
        <f t="shared" si="81"/>
        <v>✓ OK</v>
      </c>
      <c r="W1048" s="45">
        <v>46248</v>
      </c>
      <c r="X1048" s="30" t="s">
        <v>23</v>
      </c>
      <c r="Y1048" s="30" t="s">
        <v>24</v>
      </c>
      <c r="Z1048" s="30" t="s">
        <v>25</v>
      </c>
      <c r="AA1048" s="30" t="s">
        <v>26</v>
      </c>
      <c r="AB1048" s="30" t="s">
        <v>24</v>
      </c>
      <c r="AC1048" s="27"/>
      <c r="AD1048" s="31" t="s">
        <v>25</v>
      </c>
      <c r="AE1048" s="32" t="str">
        <f t="shared" si="82"/>
        <v>✓ OK</v>
      </c>
      <c r="AF1048" s="33" t="s">
        <v>27</v>
      </c>
      <c r="AG1048" s="33" t="s">
        <v>23</v>
      </c>
      <c r="AH1048" s="33" t="s">
        <v>24</v>
      </c>
      <c r="AI1048" s="33" t="s">
        <v>25</v>
      </c>
      <c r="AJ1048" s="33" t="s">
        <v>26</v>
      </c>
      <c r="AK1048" s="33" t="s">
        <v>24</v>
      </c>
      <c r="AL1048" s="27"/>
      <c r="AM1048" s="34" t="s">
        <v>25</v>
      </c>
      <c r="AN1048" s="35" t="str">
        <f t="shared" si="83"/>
        <v>✓ OK</v>
      </c>
      <c r="AO1048" s="36"/>
      <c r="AP1048" s="36"/>
      <c r="AQ1048" s="36"/>
      <c r="AR1048" s="36"/>
      <c r="AS1048" s="36"/>
      <c r="AT1048" s="36"/>
      <c r="AU1048" s="27"/>
      <c r="AV1048" s="37"/>
      <c r="AW1048" s="38" t="str">
        <f t="shared" si="84"/>
        <v/>
      </c>
    </row>
    <row r="1049" spans="1:49" ht="18" customHeight="1" x14ac:dyDescent="0.3">
      <c r="A1049" s="23">
        <v>1045</v>
      </c>
      <c r="B1049" s="24" t="s">
        <v>3938</v>
      </c>
      <c r="C1049" s="25" t="s">
        <v>3939</v>
      </c>
      <c r="D1049" s="23" t="s">
        <v>2819</v>
      </c>
      <c r="E1049" s="43">
        <v>46126</v>
      </c>
      <c r="F1049" s="26" t="s">
        <v>23</v>
      </c>
      <c r="G1049" s="26" t="s">
        <v>24</v>
      </c>
      <c r="H1049" s="26" t="s">
        <v>25</v>
      </c>
      <c r="I1049" s="26" t="s">
        <v>26</v>
      </c>
      <c r="J1049" s="26" t="s">
        <v>24</v>
      </c>
      <c r="K1049" s="27"/>
      <c r="L1049" s="28" t="s">
        <v>25</v>
      </c>
      <c r="M1049" s="29" t="str">
        <f t="shared" si="80"/>
        <v>✓ OK</v>
      </c>
      <c r="N1049" s="43">
        <v>46193</v>
      </c>
      <c r="O1049" s="26" t="s">
        <v>23</v>
      </c>
      <c r="P1049" s="26" t="s">
        <v>24</v>
      </c>
      <c r="Q1049" s="26" t="s">
        <v>25</v>
      </c>
      <c r="R1049" s="26" t="s">
        <v>26</v>
      </c>
      <c r="S1049" s="26" t="s">
        <v>24</v>
      </c>
      <c r="T1049" s="27"/>
      <c r="U1049" s="28" t="s">
        <v>25</v>
      </c>
      <c r="V1049" s="29" t="str">
        <f t="shared" si="81"/>
        <v>✓ OK</v>
      </c>
      <c r="W1049" s="45">
        <v>46248</v>
      </c>
      <c r="X1049" s="30" t="s">
        <v>23</v>
      </c>
      <c r="Y1049" s="30" t="s">
        <v>24</v>
      </c>
      <c r="Z1049" s="30" t="s">
        <v>25</v>
      </c>
      <c r="AA1049" s="30" t="s">
        <v>26</v>
      </c>
      <c r="AB1049" s="30" t="s">
        <v>24</v>
      </c>
      <c r="AC1049" s="27"/>
      <c r="AD1049" s="31" t="s">
        <v>25</v>
      </c>
      <c r="AE1049" s="32" t="str">
        <f t="shared" si="82"/>
        <v>✓ OK</v>
      </c>
      <c r="AF1049" s="33" t="s">
        <v>27</v>
      </c>
      <c r="AG1049" s="33" t="s">
        <v>23</v>
      </c>
      <c r="AH1049" s="33" t="s">
        <v>24</v>
      </c>
      <c r="AI1049" s="33" t="s">
        <v>25</v>
      </c>
      <c r="AJ1049" s="33" t="s">
        <v>26</v>
      </c>
      <c r="AK1049" s="33" t="s">
        <v>24</v>
      </c>
      <c r="AL1049" s="27"/>
      <c r="AM1049" s="34" t="s">
        <v>25</v>
      </c>
      <c r="AN1049" s="35" t="str">
        <f t="shared" si="83"/>
        <v>✓ OK</v>
      </c>
      <c r="AO1049" s="36"/>
      <c r="AP1049" s="36"/>
      <c r="AQ1049" s="36"/>
      <c r="AR1049" s="36"/>
      <c r="AS1049" s="36"/>
      <c r="AT1049" s="36"/>
      <c r="AU1049" s="27"/>
      <c r="AV1049" s="37"/>
      <c r="AW1049" s="38" t="str">
        <f t="shared" si="84"/>
        <v/>
      </c>
    </row>
    <row r="1050" spans="1:49" ht="18" customHeight="1" x14ac:dyDescent="0.3">
      <c r="A1050" s="39">
        <v>1046</v>
      </c>
      <c r="B1050" s="40" t="s">
        <v>3940</v>
      </c>
      <c r="C1050" s="41" t="s">
        <v>3941</v>
      </c>
      <c r="D1050" s="39" t="s">
        <v>2819</v>
      </c>
      <c r="E1050" s="43">
        <v>46126</v>
      </c>
      <c r="F1050" s="26" t="s">
        <v>23</v>
      </c>
      <c r="G1050" s="26" t="s">
        <v>24</v>
      </c>
      <c r="H1050" s="26" t="s">
        <v>25</v>
      </c>
      <c r="I1050" s="26" t="s">
        <v>26</v>
      </c>
      <c r="J1050" s="26" t="s">
        <v>24</v>
      </c>
      <c r="K1050" s="27"/>
      <c r="L1050" s="28" t="s">
        <v>25</v>
      </c>
      <c r="M1050" s="29" t="str">
        <f t="shared" si="80"/>
        <v>✓ OK</v>
      </c>
      <c r="N1050" s="43">
        <v>46193</v>
      </c>
      <c r="O1050" s="26" t="s">
        <v>23</v>
      </c>
      <c r="P1050" s="26" t="s">
        <v>24</v>
      </c>
      <c r="Q1050" s="26" t="s">
        <v>25</v>
      </c>
      <c r="R1050" s="26" t="s">
        <v>26</v>
      </c>
      <c r="S1050" s="26" t="s">
        <v>24</v>
      </c>
      <c r="T1050" s="27"/>
      <c r="U1050" s="28" t="s">
        <v>25</v>
      </c>
      <c r="V1050" s="29" t="str">
        <f t="shared" si="81"/>
        <v>✓ OK</v>
      </c>
      <c r="W1050" s="45">
        <v>46248</v>
      </c>
      <c r="X1050" s="30" t="s">
        <v>23</v>
      </c>
      <c r="Y1050" s="30" t="s">
        <v>24</v>
      </c>
      <c r="Z1050" s="30" t="s">
        <v>25</v>
      </c>
      <c r="AA1050" s="30" t="s">
        <v>26</v>
      </c>
      <c r="AB1050" s="30" t="s">
        <v>24</v>
      </c>
      <c r="AC1050" s="27"/>
      <c r="AD1050" s="31" t="s">
        <v>25</v>
      </c>
      <c r="AE1050" s="32" t="str">
        <f t="shared" si="82"/>
        <v>✓ OK</v>
      </c>
      <c r="AF1050" s="33" t="s">
        <v>27</v>
      </c>
      <c r="AG1050" s="33" t="s">
        <v>23</v>
      </c>
      <c r="AH1050" s="33" t="s">
        <v>24</v>
      </c>
      <c r="AI1050" s="33" t="s">
        <v>25</v>
      </c>
      <c r="AJ1050" s="33" t="s">
        <v>26</v>
      </c>
      <c r="AK1050" s="33" t="s">
        <v>24</v>
      </c>
      <c r="AL1050" s="27"/>
      <c r="AM1050" s="34" t="s">
        <v>25</v>
      </c>
      <c r="AN1050" s="35" t="str">
        <f t="shared" si="83"/>
        <v>✓ OK</v>
      </c>
      <c r="AO1050" s="36"/>
      <c r="AP1050" s="36"/>
      <c r="AQ1050" s="36"/>
      <c r="AR1050" s="36"/>
      <c r="AS1050" s="36"/>
      <c r="AT1050" s="36"/>
      <c r="AU1050" s="27"/>
      <c r="AV1050" s="37"/>
      <c r="AW1050" s="38" t="str">
        <f t="shared" si="84"/>
        <v/>
      </c>
    </row>
    <row r="1051" spans="1:49" ht="18" customHeight="1" x14ac:dyDescent="0.3">
      <c r="A1051" s="23">
        <v>1047</v>
      </c>
      <c r="B1051" s="24" t="s">
        <v>3942</v>
      </c>
      <c r="C1051" s="25" t="s">
        <v>3943</v>
      </c>
      <c r="D1051" s="23" t="s">
        <v>2819</v>
      </c>
      <c r="E1051" s="43">
        <v>46126</v>
      </c>
      <c r="F1051" s="26" t="s">
        <v>23</v>
      </c>
      <c r="G1051" s="26" t="s">
        <v>24</v>
      </c>
      <c r="H1051" s="26" t="s">
        <v>25</v>
      </c>
      <c r="I1051" s="26" t="s">
        <v>26</v>
      </c>
      <c r="J1051" s="26" t="s">
        <v>24</v>
      </c>
      <c r="K1051" s="27"/>
      <c r="L1051" s="28" t="s">
        <v>25</v>
      </c>
      <c r="M1051" s="29" t="str">
        <f t="shared" si="80"/>
        <v>✓ OK</v>
      </c>
      <c r="N1051" s="43">
        <v>46193</v>
      </c>
      <c r="O1051" s="26" t="s">
        <v>23</v>
      </c>
      <c r="P1051" s="26" t="s">
        <v>24</v>
      </c>
      <c r="Q1051" s="26" t="s">
        <v>25</v>
      </c>
      <c r="R1051" s="26" t="s">
        <v>26</v>
      </c>
      <c r="S1051" s="26" t="s">
        <v>24</v>
      </c>
      <c r="T1051" s="27"/>
      <c r="U1051" s="28" t="s">
        <v>25</v>
      </c>
      <c r="V1051" s="29" t="str">
        <f t="shared" si="81"/>
        <v>✓ OK</v>
      </c>
      <c r="W1051" s="45">
        <v>46248</v>
      </c>
      <c r="X1051" s="30" t="s">
        <v>23</v>
      </c>
      <c r="Y1051" s="30" t="s">
        <v>24</v>
      </c>
      <c r="Z1051" s="30" t="s">
        <v>25</v>
      </c>
      <c r="AA1051" s="30" t="s">
        <v>26</v>
      </c>
      <c r="AB1051" s="30" t="s">
        <v>24</v>
      </c>
      <c r="AC1051" s="27"/>
      <c r="AD1051" s="31" t="s">
        <v>25</v>
      </c>
      <c r="AE1051" s="32" t="str">
        <f t="shared" si="82"/>
        <v>✓ OK</v>
      </c>
      <c r="AF1051" s="33" t="s">
        <v>27</v>
      </c>
      <c r="AG1051" s="33" t="s">
        <v>23</v>
      </c>
      <c r="AH1051" s="33" t="s">
        <v>24</v>
      </c>
      <c r="AI1051" s="33" t="s">
        <v>25</v>
      </c>
      <c r="AJ1051" s="33" t="s">
        <v>26</v>
      </c>
      <c r="AK1051" s="33" t="s">
        <v>24</v>
      </c>
      <c r="AL1051" s="27"/>
      <c r="AM1051" s="34" t="s">
        <v>25</v>
      </c>
      <c r="AN1051" s="35" t="str">
        <f t="shared" si="83"/>
        <v>✓ OK</v>
      </c>
      <c r="AO1051" s="36"/>
      <c r="AP1051" s="36"/>
      <c r="AQ1051" s="36"/>
      <c r="AR1051" s="36"/>
      <c r="AS1051" s="36"/>
      <c r="AT1051" s="36"/>
      <c r="AU1051" s="27"/>
      <c r="AV1051" s="37"/>
      <c r="AW1051" s="38" t="str">
        <f t="shared" si="84"/>
        <v/>
      </c>
    </row>
    <row r="1052" spans="1:49" ht="18" customHeight="1" x14ac:dyDescent="0.3">
      <c r="A1052" s="39">
        <v>1048</v>
      </c>
      <c r="B1052" s="40" t="s">
        <v>3944</v>
      </c>
      <c r="C1052" s="41" t="s">
        <v>3945</v>
      </c>
      <c r="D1052" s="39" t="s">
        <v>2819</v>
      </c>
      <c r="E1052" s="43">
        <v>46126</v>
      </c>
      <c r="F1052" s="26" t="s">
        <v>23</v>
      </c>
      <c r="G1052" s="26" t="s">
        <v>24</v>
      </c>
      <c r="H1052" s="26" t="s">
        <v>25</v>
      </c>
      <c r="I1052" s="26" t="s">
        <v>26</v>
      </c>
      <c r="J1052" s="26" t="s">
        <v>24</v>
      </c>
      <c r="K1052" s="27"/>
      <c r="L1052" s="28" t="s">
        <v>25</v>
      </c>
      <c r="M1052" s="29" t="str">
        <f t="shared" si="80"/>
        <v>✓ OK</v>
      </c>
      <c r="N1052" s="43">
        <v>46193</v>
      </c>
      <c r="O1052" s="26" t="s">
        <v>23</v>
      </c>
      <c r="P1052" s="26" t="s">
        <v>24</v>
      </c>
      <c r="Q1052" s="26" t="s">
        <v>25</v>
      </c>
      <c r="R1052" s="26" t="s">
        <v>26</v>
      </c>
      <c r="S1052" s="26" t="s">
        <v>24</v>
      </c>
      <c r="T1052" s="27"/>
      <c r="U1052" s="28" t="s">
        <v>25</v>
      </c>
      <c r="V1052" s="29" t="str">
        <f t="shared" si="81"/>
        <v>✓ OK</v>
      </c>
      <c r="W1052" s="45">
        <v>46248</v>
      </c>
      <c r="X1052" s="30" t="s">
        <v>23</v>
      </c>
      <c r="Y1052" s="30" t="s">
        <v>24</v>
      </c>
      <c r="Z1052" s="30" t="s">
        <v>25</v>
      </c>
      <c r="AA1052" s="30" t="s">
        <v>26</v>
      </c>
      <c r="AB1052" s="30" t="s">
        <v>24</v>
      </c>
      <c r="AC1052" s="27"/>
      <c r="AD1052" s="31" t="s">
        <v>25</v>
      </c>
      <c r="AE1052" s="32" t="str">
        <f t="shared" si="82"/>
        <v>✓ OK</v>
      </c>
      <c r="AF1052" s="33" t="s">
        <v>27</v>
      </c>
      <c r="AG1052" s="33" t="s">
        <v>23</v>
      </c>
      <c r="AH1052" s="33" t="s">
        <v>24</v>
      </c>
      <c r="AI1052" s="33" t="s">
        <v>25</v>
      </c>
      <c r="AJ1052" s="33" t="s">
        <v>26</v>
      </c>
      <c r="AK1052" s="33" t="s">
        <v>24</v>
      </c>
      <c r="AL1052" s="27"/>
      <c r="AM1052" s="34" t="s">
        <v>25</v>
      </c>
      <c r="AN1052" s="35" t="str">
        <f t="shared" si="83"/>
        <v>✓ OK</v>
      </c>
      <c r="AO1052" s="36"/>
      <c r="AP1052" s="36"/>
      <c r="AQ1052" s="36"/>
      <c r="AR1052" s="36"/>
      <c r="AS1052" s="36"/>
      <c r="AT1052" s="36"/>
      <c r="AU1052" s="27"/>
      <c r="AV1052" s="37"/>
      <c r="AW1052" s="38" t="str">
        <f t="shared" si="84"/>
        <v/>
      </c>
    </row>
    <row r="1053" spans="1:49" ht="18" customHeight="1" x14ac:dyDescent="0.3">
      <c r="A1053" s="23">
        <v>1049</v>
      </c>
      <c r="B1053" s="24" t="s">
        <v>3946</v>
      </c>
      <c r="C1053" s="25" t="s">
        <v>3947</v>
      </c>
      <c r="D1053" s="23" t="s">
        <v>2819</v>
      </c>
      <c r="E1053" s="43">
        <v>46126</v>
      </c>
      <c r="F1053" s="26" t="s">
        <v>23</v>
      </c>
      <c r="G1053" s="26" t="s">
        <v>24</v>
      </c>
      <c r="H1053" s="26" t="s">
        <v>25</v>
      </c>
      <c r="I1053" s="26" t="s">
        <v>26</v>
      </c>
      <c r="J1053" s="26" t="s">
        <v>24</v>
      </c>
      <c r="K1053" s="27"/>
      <c r="L1053" s="28" t="s">
        <v>25</v>
      </c>
      <c r="M1053" s="29" t="str">
        <f t="shared" si="80"/>
        <v>✓ OK</v>
      </c>
      <c r="N1053" s="43">
        <v>46193</v>
      </c>
      <c r="O1053" s="26" t="s">
        <v>23</v>
      </c>
      <c r="P1053" s="26" t="s">
        <v>24</v>
      </c>
      <c r="Q1053" s="26" t="s">
        <v>25</v>
      </c>
      <c r="R1053" s="26" t="s">
        <v>26</v>
      </c>
      <c r="S1053" s="26" t="s">
        <v>24</v>
      </c>
      <c r="T1053" s="27"/>
      <c r="U1053" s="28" t="s">
        <v>25</v>
      </c>
      <c r="V1053" s="29" t="str">
        <f t="shared" si="81"/>
        <v>✓ OK</v>
      </c>
      <c r="W1053" s="45">
        <v>46248</v>
      </c>
      <c r="X1053" s="30" t="s">
        <v>23</v>
      </c>
      <c r="Y1053" s="30" t="s">
        <v>24</v>
      </c>
      <c r="Z1053" s="30" t="s">
        <v>25</v>
      </c>
      <c r="AA1053" s="30" t="s">
        <v>26</v>
      </c>
      <c r="AB1053" s="30" t="s">
        <v>24</v>
      </c>
      <c r="AC1053" s="27"/>
      <c r="AD1053" s="31" t="s">
        <v>25</v>
      </c>
      <c r="AE1053" s="32" t="str">
        <f t="shared" si="82"/>
        <v>✓ OK</v>
      </c>
      <c r="AF1053" s="33" t="s">
        <v>27</v>
      </c>
      <c r="AG1053" s="33" t="s">
        <v>23</v>
      </c>
      <c r="AH1053" s="33" t="s">
        <v>24</v>
      </c>
      <c r="AI1053" s="33" t="s">
        <v>25</v>
      </c>
      <c r="AJ1053" s="33" t="s">
        <v>26</v>
      </c>
      <c r="AK1053" s="33" t="s">
        <v>24</v>
      </c>
      <c r="AL1053" s="27"/>
      <c r="AM1053" s="34" t="s">
        <v>25</v>
      </c>
      <c r="AN1053" s="35" t="str">
        <f t="shared" si="83"/>
        <v>✓ OK</v>
      </c>
      <c r="AO1053" s="36"/>
      <c r="AP1053" s="36"/>
      <c r="AQ1053" s="36"/>
      <c r="AR1053" s="36"/>
      <c r="AS1053" s="36"/>
      <c r="AT1053" s="36"/>
      <c r="AU1053" s="27"/>
      <c r="AV1053" s="37"/>
      <c r="AW1053" s="38" t="str">
        <f t="shared" si="84"/>
        <v/>
      </c>
    </row>
    <row r="1054" spans="1:49" ht="18" customHeight="1" x14ac:dyDescent="0.3">
      <c r="A1054" s="39">
        <v>1050</v>
      </c>
      <c r="B1054" s="40" t="s">
        <v>3948</v>
      </c>
      <c r="C1054" s="41" t="s">
        <v>3949</v>
      </c>
      <c r="D1054" s="39" t="s">
        <v>2819</v>
      </c>
      <c r="E1054" s="43">
        <v>46126</v>
      </c>
      <c r="F1054" s="26" t="s">
        <v>23</v>
      </c>
      <c r="G1054" s="26" t="s">
        <v>24</v>
      </c>
      <c r="H1054" s="26" t="s">
        <v>25</v>
      </c>
      <c r="I1054" s="26" t="s">
        <v>26</v>
      </c>
      <c r="J1054" s="26" t="s">
        <v>24</v>
      </c>
      <c r="K1054" s="27"/>
      <c r="L1054" s="28" t="s">
        <v>25</v>
      </c>
      <c r="M1054" s="29" t="str">
        <f t="shared" si="80"/>
        <v>✓ OK</v>
      </c>
      <c r="N1054" s="43">
        <v>46193</v>
      </c>
      <c r="O1054" s="26" t="s">
        <v>23</v>
      </c>
      <c r="P1054" s="26" t="s">
        <v>24</v>
      </c>
      <c r="Q1054" s="26" t="s">
        <v>25</v>
      </c>
      <c r="R1054" s="26" t="s">
        <v>26</v>
      </c>
      <c r="S1054" s="26" t="s">
        <v>24</v>
      </c>
      <c r="T1054" s="27"/>
      <c r="U1054" s="28" t="s">
        <v>25</v>
      </c>
      <c r="V1054" s="29" t="str">
        <f t="shared" si="81"/>
        <v>✓ OK</v>
      </c>
      <c r="W1054" s="45">
        <v>46248</v>
      </c>
      <c r="X1054" s="30" t="s">
        <v>23</v>
      </c>
      <c r="Y1054" s="30" t="s">
        <v>24</v>
      </c>
      <c r="Z1054" s="30" t="s">
        <v>25</v>
      </c>
      <c r="AA1054" s="30" t="s">
        <v>26</v>
      </c>
      <c r="AB1054" s="30" t="s">
        <v>24</v>
      </c>
      <c r="AC1054" s="27"/>
      <c r="AD1054" s="31" t="s">
        <v>25</v>
      </c>
      <c r="AE1054" s="32" t="str">
        <f t="shared" si="82"/>
        <v>✓ OK</v>
      </c>
      <c r="AF1054" s="33" t="s">
        <v>27</v>
      </c>
      <c r="AG1054" s="33" t="s">
        <v>23</v>
      </c>
      <c r="AH1054" s="33" t="s">
        <v>24</v>
      </c>
      <c r="AI1054" s="33" t="s">
        <v>25</v>
      </c>
      <c r="AJ1054" s="33" t="s">
        <v>26</v>
      </c>
      <c r="AK1054" s="33" t="s">
        <v>24</v>
      </c>
      <c r="AL1054" s="27"/>
      <c r="AM1054" s="34" t="s">
        <v>25</v>
      </c>
      <c r="AN1054" s="35" t="str">
        <f t="shared" si="83"/>
        <v>✓ OK</v>
      </c>
      <c r="AO1054" s="36"/>
      <c r="AP1054" s="36"/>
      <c r="AQ1054" s="36"/>
      <c r="AR1054" s="36"/>
      <c r="AS1054" s="36"/>
      <c r="AT1054" s="36"/>
      <c r="AU1054" s="27"/>
      <c r="AV1054" s="37"/>
      <c r="AW1054" s="38" t="str">
        <f t="shared" si="84"/>
        <v/>
      </c>
    </row>
    <row r="1055" spans="1:49" ht="18" customHeight="1" x14ac:dyDescent="0.3">
      <c r="A1055" s="23">
        <v>1051</v>
      </c>
      <c r="B1055" s="24" t="s">
        <v>3950</v>
      </c>
      <c r="C1055" s="25" t="s">
        <v>3951</v>
      </c>
      <c r="D1055" s="23" t="s">
        <v>2819</v>
      </c>
      <c r="E1055" s="43">
        <v>46126</v>
      </c>
      <c r="F1055" s="26" t="s">
        <v>23</v>
      </c>
      <c r="G1055" s="26" t="s">
        <v>24</v>
      </c>
      <c r="H1055" s="26" t="s">
        <v>25</v>
      </c>
      <c r="I1055" s="26" t="s">
        <v>26</v>
      </c>
      <c r="J1055" s="26" t="s">
        <v>24</v>
      </c>
      <c r="K1055" s="27"/>
      <c r="L1055" s="28" t="s">
        <v>25</v>
      </c>
      <c r="M1055" s="29" t="str">
        <f t="shared" si="80"/>
        <v>✓ OK</v>
      </c>
      <c r="N1055" s="43">
        <v>46193</v>
      </c>
      <c r="O1055" s="26" t="s">
        <v>23</v>
      </c>
      <c r="P1055" s="26" t="s">
        <v>24</v>
      </c>
      <c r="Q1055" s="26" t="s">
        <v>25</v>
      </c>
      <c r="R1055" s="26" t="s">
        <v>26</v>
      </c>
      <c r="S1055" s="26" t="s">
        <v>24</v>
      </c>
      <c r="T1055" s="27"/>
      <c r="U1055" s="28" t="s">
        <v>25</v>
      </c>
      <c r="V1055" s="29" t="str">
        <f t="shared" si="81"/>
        <v>✓ OK</v>
      </c>
      <c r="W1055" s="45">
        <v>46248</v>
      </c>
      <c r="X1055" s="30" t="s">
        <v>23</v>
      </c>
      <c r="Y1055" s="30" t="s">
        <v>24</v>
      </c>
      <c r="Z1055" s="30" t="s">
        <v>25</v>
      </c>
      <c r="AA1055" s="30" t="s">
        <v>26</v>
      </c>
      <c r="AB1055" s="30" t="s">
        <v>24</v>
      </c>
      <c r="AC1055" s="27"/>
      <c r="AD1055" s="31" t="s">
        <v>25</v>
      </c>
      <c r="AE1055" s="32" t="str">
        <f t="shared" si="82"/>
        <v>✓ OK</v>
      </c>
      <c r="AF1055" s="33" t="s">
        <v>27</v>
      </c>
      <c r="AG1055" s="33" t="s">
        <v>23</v>
      </c>
      <c r="AH1055" s="33" t="s">
        <v>24</v>
      </c>
      <c r="AI1055" s="33" t="s">
        <v>25</v>
      </c>
      <c r="AJ1055" s="33" t="s">
        <v>26</v>
      </c>
      <c r="AK1055" s="33" t="s">
        <v>24</v>
      </c>
      <c r="AL1055" s="27"/>
      <c r="AM1055" s="34" t="s">
        <v>25</v>
      </c>
      <c r="AN1055" s="35" t="str">
        <f t="shared" si="83"/>
        <v>✓ OK</v>
      </c>
      <c r="AO1055" s="36"/>
      <c r="AP1055" s="36"/>
      <c r="AQ1055" s="36"/>
      <c r="AR1055" s="36"/>
      <c r="AS1055" s="36"/>
      <c r="AT1055" s="36"/>
      <c r="AU1055" s="27"/>
      <c r="AV1055" s="37"/>
      <c r="AW1055" s="38" t="str">
        <f t="shared" si="84"/>
        <v/>
      </c>
    </row>
    <row r="1056" spans="1:49" ht="18" customHeight="1" x14ac:dyDescent="0.3">
      <c r="A1056" s="39">
        <v>1052</v>
      </c>
      <c r="B1056" s="40" t="s">
        <v>3952</v>
      </c>
      <c r="C1056" s="41" t="s">
        <v>3953</v>
      </c>
      <c r="D1056" s="39" t="s">
        <v>2819</v>
      </c>
      <c r="E1056" s="43">
        <v>46126</v>
      </c>
      <c r="F1056" s="26" t="s">
        <v>23</v>
      </c>
      <c r="G1056" s="26" t="s">
        <v>24</v>
      </c>
      <c r="H1056" s="26" t="s">
        <v>25</v>
      </c>
      <c r="I1056" s="26" t="s">
        <v>26</v>
      </c>
      <c r="J1056" s="26" t="s">
        <v>24</v>
      </c>
      <c r="K1056" s="27"/>
      <c r="L1056" s="28" t="s">
        <v>25</v>
      </c>
      <c r="M1056" s="29" t="str">
        <f t="shared" si="80"/>
        <v>✓ OK</v>
      </c>
      <c r="N1056" s="43">
        <v>46193</v>
      </c>
      <c r="O1056" s="26" t="s">
        <v>23</v>
      </c>
      <c r="P1056" s="26" t="s">
        <v>24</v>
      </c>
      <c r="Q1056" s="26" t="s">
        <v>25</v>
      </c>
      <c r="R1056" s="26" t="s">
        <v>26</v>
      </c>
      <c r="S1056" s="26" t="s">
        <v>24</v>
      </c>
      <c r="T1056" s="27"/>
      <c r="U1056" s="28" t="s">
        <v>25</v>
      </c>
      <c r="V1056" s="29" t="str">
        <f t="shared" si="81"/>
        <v>✓ OK</v>
      </c>
      <c r="W1056" s="45">
        <v>46248</v>
      </c>
      <c r="X1056" s="30" t="s">
        <v>23</v>
      </c>
      <c r="Y1056" s="30" t="s">
        <v>24</v>
      </c>
      <c r="Z1056" s="30" t="s">
        <v>25</v>
      </c>
      <c r="AA1056" s="30" t="s">
        <v>26</v>
      </c>
      <c r="AB1056" s="30" t="s">
        <v>24</v>
      </c>
      <c r="AC1056" s="27"/>
      <c r="AD1056" s="31" t="s">
        <v>25</v>
      </c>
      <c r="AE1056" s="32" t="str">
        <f t="shared" si="82"/>
        <v>✓ OK</v>
      </c>
      <c r="AF1056" s="33" t="s">
        <v>27</v>
      </c>
      <c r="AG1056" s="33" t="s">
        <v>23</v>
      </c>
      <c r="AH1056" s="33" t="s">
        <v>24</v>
      </c>
      <c r="AI1056" s="33" t="s">
        <v>25</v>
      </c>
      <c r="AJ1056" s="33" t="s">
        <v>26</v>
      </c>
      <c r="AK1056" s="33" t="s">
        <v>24</v>
      </c>
      <c r="AL1056" s="27"/>
      <c r="AM1056" s="34" t="s">
        <v>25</v>
      </c>
      <c r="AN1056" s="35" t="str">
        <f t="shared" si="83"/>
        <v>✓ OK</v>
      </c>
      <c r="AO1056" s="36"/>
      <c r="AP1056" s="36"/>
      <c r="AQ1056" s="36"/>
      <c r="AR1056" s="36"/>
      <c r="AS1056" s="36"/>
      <c r="AT1056" s="36"/>
      <c r="AU1056" s="27"/>
      <c r="AV1056" s="37"/>
      <c r="AW1056" s="38" t="str">
        <f t="shared" si="84"/>
        <v/>
      </c>
    </row>
    <row r="1057" spans="1:49" ht="18" customHeight="1" x14ac:dyDescent="0.3">
      <c r="A1057" s="23">
        <v>1053</v>
      </c>
      <c r="B1057" s="24" t="s">
        <v>3954</v>
      </c>
      <c r="C1057" s="25" t="s">
        <v>3955</v>
      </c>
      <c r="D1057" s="23" t="s">
        <v>2819</v>
      </c>
      <c r="E1057" s="43">
        <v>46126</v>
      </c>
      <c r="F1057" s="26" t="s">
        <v>23</v>
      </c>
      <c r="G1057" s="26" t="s">
        <v>24</v>
      </c>
      <c r="H1057" s="26" t="s">
        <v>25</v>
      </c>
      <c r="I1057" s="26" t="s">
        <v>26</v>
      </c>
      <c r="J1057" s="26" t="s">
        <v>24</v>
      </c>
      <c r="K1057" s="27"/>
      <c r="L1057" s="28" t="s">
        <v>25</v>
      </c>
      <c r="M1057" s="29" t="str">
        <f t="shared" si="80"/>
        <v>✓ OK</v>
      </c>
      <c r="N1057" s="43">
        <v>46193</v>
      </c>
      <c r="O1057" s="26" t="s">
        <v>23</v>
      </c>
      <c r="P1057" s="26" t="s">
        <v>24</v>
      </c>
      <c r="Q1057" s="26" t="s">
        <v>25</v>
      </c>
      <c r="R1057" s="26" t="s">
        <v>26</v>
      </c>
      <c r="S1057" s="26" t="s">
        <v>24</v>
      </c>
      <c r="T1057" s="27"/>
      <c r="U1057" s="28" t="s">
        <v>25</v>
      </c>
      <c r="V1057" s="29" t="str">
        <f t="shared" si="81"/>
        <v>✓ OK</v>
      </c>
      <c r="W1057" s="45">
        <v>46248</v>
      </c>
      <c r="X1057" s="30" t="s">
        <v>23</v>
      </c>
      <c r="Y1057" s="30" t="s">
        <v>24</v>
      </c>
      <c r="Z1057" s="30" t="s">
        <v>25</v>
      </c>
      <c r="AA1057" s="30" t="s">
        <v>26</v>
      </c>
      <c r="AB1057" s="30" t="s">
        <v>24</v>
      </c>
      <c r="AC1057" s="27"/>
      <c r="AD1057" s="31" t="s">
        <v>25</v>
      </c>
      <c r="AE1057" s="32" t="str">
        <f t="shared" si="82"/>
        <v>✓ OK</v>
      </c>
      <c r="AF1057" s="33" t="s">
        <v>27</v>
      </c>
      <c r="AG1057" s="33" t="s">
        <v>23</v>
      </c>
      <c r="AH1057" s="33" t="s">
        <v>24</v>
      </c>
      <c r="AI1057" s="33" t="s">
        <v>25</v>
      </c>
      <c r="AJ1057" s="33" t="s">
        <v>26</v>
      </c>
      <c r="AK1057" s="33" t="s">
        <v>24</v>
      </c>
      <c r="AL1057" s="27"/>
      <c r="AM1057" s="34" t="s">
        <v>25</v>
      </c>
      <c r="AN1057" s="35" t="str">
        <f t="shared" si="83"/>
        <v>✓ OK</v>
      </c>
      <c r="AO1057" s="36"/>
      <c r="AP1057" s="36"/>
      <c r="AQ1057" s="36"/>
      <c r="AR1057" s="36"/>
      <c r="AS1057" s="36"/>
      <c r="AT1057" s="36"/>
      <c r="AU1057" s="27"/>
      <c r="AV1057" s="37"/>
      <c r="AW1057" s="38" t="str">
        <f t="shared" si="84"/>
        <v/>
      </c>
    </row>
    <row r="1058" spans="1:49" ht="18" customHeight="1" x14ac:dyDescent="0.3">
      <c r="A1058" s="39">
        <v>1054</v>
      </c>
      <c r="B1058" s="40" t="s">
        <v>3956</v>
      </c>
      <c r="C1058" s="41" t="s">
        <v>3957</v>
      </c>
      <c r="D1058" s="39" t="s">
        <v>2819</v>
      </c>
      <c r="E1058" s="43">
        <v>46126</v>
      </c>
      <c r="F1058" s="26" t="s">
        <v>23</v>
      </c>
      <c r="G1058" s="26" t="s">
        <v>24</v>
      </c>
      <c r="H1058" s="26" t="s">
        <v>25</v>
      </c>
      <c r="I1058" s="26" t="s">
        <v>26</v>
      </c>
      <c r="J1058" s="26" t="s">
        <v>24</v>
      </c>
      <c r="K1058" s="27"/>
      <c r="L1058" s="28" t="s">
        <v>25</v>
      </c>
      <c r="M1058" s="29" t="str">
        <f t="shared" si="80"/>
        <v>✓ OK</v>
      </c>
      <c r="N1058" s="43">
        <v>46193</v>
      </c>
      <c r="O1058" s="26" t="s">
        <v>23</v>
      </c>
      <c r="P1058" s="26" t="s">
        <v>24</v>
      </c>
      <c r="Q1058" s="26" t="s">
        <v>25</v>
      </c>
      <c r="R1058" s="26" t="s">
        <v>26</v>
      </c>
      <c r="S1058" s="26" t="s">
        <v>24</v>
      </c>
      <c r="T1058" s="27"/>
      <c r="U1058" s="28" t="s">
        <v>25</v>
      </c>
      <c r="V1058" s="29" t="str">
        <f t="shared" si="81"/>
        <v>✓ OK</v>
      </c>
      <c r="W1058" s="45">
        <v>46248</v>
      </c>
      <c r="X1058" s="30" t="s">
        <v>23</v>
      </c>
      <c r="Y1058" s="30" t="s">
        <v>24</v>
      </c>
      <c r="Z1058" s="30" t="s">
        <v>25</v>
      </c>
      <c r="AA1058" s="30" t="s">
        <v>26</v>
      </c>
      <c r="AB1058" s="30" t="s">
        <v>24</v>
      </c>
      <c r="AC1058" s="27"/>
      <c r="AD1058" s="31" t="s">
        <v>25</v>
      </c>
      <c r="AE1058" s="32" t="str">
        <f t="shared" si="82"/>
        <v>✓ OK</v>
      </c>
      <c r="AF1058" s="33" t="s">
        <v>27</v>
      </c>
      <c r="AG1058" s="33" t="s">
        <v>23</v>
      </c>
      <c r="AH1058" s="33" t="s">
        <v>24</v>
      </c>
      <c r="AI1058" s="33" t="s">
        <v>25</v>
      </c>
      <c r="AJ1058" s="33" t="s">
        <v>26</v>
      </c>
      <c r="AK1058" s="33" t="s">
        <v>24</v>
      </c>
      <c r="AL1058" s="27"/>
      <c r="AM1058" s="34" t="s">
        <v>25</v>
      </c>
      <c r="AN1058" s="35" t="str">
        <f t="shared" si="83"/>
        <v>✓ OK</v>
      </c>
      <c r="AO1058" s="36"/>
      <c r="AP1058" s="36"/>
      <c r="AQ1058" s="36"/>
      <c r="AR1058" s="36"/>
      <c r="AS1058" s="36"/>
      <c r="AT1058" s="36"/>
      <c r="AU1058" s="27"/>
      <c r="AV1058" s="37"/>
      <c r="AW1058" s="38" t="str">
        <f t="shared" si="84"/>
        <v/>
      </c>
    </row>
    <row r="1059" spans="1:49" ht="18" customHeight="1" x14ac:dyDescent="0.3">
      <c r="A1059" s="23">
        <v>1055</v>
      </c>
      <c r="B1059" s="24" t="s">
        <v>3958</v>
      </c>
      <c r="C1059" s="25" t="s">
        <v>3959</v>
      </c>
      <c r="D1059" s="23" t="s">
        <v>2819</v>
      </c>
      <c r="E1059" s="43">
        <v>46126</v>
      </c>
      <c r="F1059" s="26" t="s">
        <v>23</v>
      </c>
      <c r="G1059" s="26" t="s">
        <v>24</v>
      </c>
      <c r="H1059" s="26" t="s">
        <v>25</v>
      </c>
      <c r="I1059" s="26" t="s">
        <v>26</v>
      </c>
      <c r="J1059" s="26" t="s">
        <v>24</v>
      </c>
      <c r="K1059" s="27"/>
      <c r="L1059" s="28" t="s">
        <v>25</v>
      </c>
      <c r="M1059" s="29" t="str">
        <f t="shared" si="80"/>
        <v>✓ OK</v>
      </c>
      <c r="N1059" s="43">
        <v>46193</v>
      </c>
      <c r="O1059" s="26" t="s">
        <v>23</v>
      </c>
      <c r="P1059" s="26" t="s">
        <v>24</v>
      </c>
      <c r="Q1059" s="26" t="s">
        <v>25</v>
      </c>
      <c r="R1059" s="26" t="s">
        <v>26</v>
      </c>
      <c r="S1059" s="26" t="s">
        <v>24</v>
      </c>
      <c r="T1059" s="27"/>
      <c r="U1059" s="28" t="s">
        <v>25</v>
      </c>
      <c r="V1059" s="29" t="str">
        <f t="shared" si="81"/>
        <v>✓ OK</v>
      </c>
      <c r="W1059" s="45">
        <v>46248</v>
      </c>
      <c r="X1059" s="30" t="s">
        <v>23</v>
      </c>
      <c r="Y1059" s="30" t="s">
        <v>24</v>
      </c>
      <c r="Z1059" s="30" t="s">
        <v>25</v>
      </c>
      <c r="AA1059" s="30" t="s">
        <v>26</v>
      </c>
      <c r="AB1059" s="30" t="s">
        <v>24</v>
      </c>
      <c r="AC1059" s="27"/>
      <c r="AD1059" s="31" t="s">
        <v>25</v>
      </c>
      <c r="AE1059" s="32" t="str">
        <f t="shared" si="82"/>
        <v>✓ OK</v>
      </c>
      <c r="AF1059" s="33" t="s">
        <v>27</v>
      </c>
      <c r="AG1059" s="33" t="s">
        <v>23</v>
      </c>
      <c r="AH1059" s="33" t="s">
        <v>24</v>
      </c>
      <c r="AI1059" s="33" t="s">
        <v>25</v>
      </c>
      <c r="AJ1059" s="33" t="s">
        <v>26</v>
      </c>
      <c r="AK1059" s="33" t="s">
        <v>24</v>
      </c>
      <c r="AL1059" s="27"/>
      <c r="AM1059" s="34" t="s">
        <v>25</v>
      </c>
      <c r="AN1059" s="35" t="str">
        <f t="shared" si="83"/>
        <v>✓ OK</v>
      </c>
      <c r="AO1059" s="36"/>
      <c r="AP1059" s="36"/>
      <c r="AQ1059" s="36"/>
      <c r="AR1059" s="36"/>
      <c r="AS1059" s="36"/>
      <c r="AT1059" s="36"/>
      <c r="AU1059" s="27"/>
      <c r="AV1059" s="37"/>
      <c r="AW1059" s="38" t="str">
        <f t="shared" si="84"/>
        <v/>
      </c>
    </row>
    <row r="1060" spans="1:49" ht="18" customHeight="1" x14ac:dyDescent="0.3">
      <c r="A1060" s="39">
        <v>1056</v>
      </c>
      <c r="B1060" s="40" t="s">
        <v>3960</v>
      </c>
      <c r="C1060" s="41" t="s">
        <v>3961</v>
      </c>
      <c r="D1060" s="39" t="s">
        <v>2819</v>
      </c>
      <c r="E1060" s="43">
        <v>46126</v>
      </c>
      <c r="F1060" s="26" t="s">
        <v>23</v>
      </c>
      <c r="G1060" s="26" t="s">
        <v>24</v>
      </c>
      <c r="H1060" s="26" t="s">
        <v>25</v>
      </c>
      <c r="I1060" s="26" t="s">
        <v>26</v>
      </c>
      <c r="J1060" s="26" t="s">
        <v>24</v>
      </c>
      <c r="K1060" s="27"/>
      <c r="L1060" s="28" t="s">
        <v>25</v>
      </c>
      <c r="M1060" s="29" t="str">
        <f t="shared" si="80"/>
        <v>✓ OK</v>
      </c>
      <c r="N1060" s="43">
        <v>46193</v>
      </c>
      <c r="O1060" s="26" t="s">
        <v>23</v>
      </c>
      <c r="P1060" s="26" t="s">
        <v>24</v>
      </c>
      <c r="Q1060" s="26" t="s">
        <v>25</v>
      </c>
      <c r="R1060" s="26" t="s">
        <v>26</v>
      </c>
      <c r="S1060" s="26" t="s">
        <v>24</v>
      </c>
      <c r="T1060" s="27"/>
      <c r="U1060" s="28" t="s">
        <v>25</v>
      </c>
      <c r="V1060" s="29" t="str">
        <f t="shared" si="81"/>
        <v>✓ OK</v>
      </c>
      <c r="W1060" s="45">
        <v>46248</v>
      </c>
      <c r="X1060" s="30" t="s">
        <v>23</v>
      </c>
      <c r="Y1060" s="30" t="s">
        <v>24</v>
      </c>
      <c r="Z1060" s="30" t="s">
        <v>25</v>
      </c>
      <c r="AA1060" s="30" t="s">
        <v>26</v>
      </c>
      <c r="AB1060" s="30" t="s">
        <v>24</v>
      </c>
      <c r="AC1060" s="27"/>
      <c r="AD1060" s="31" t="s">
        <v>25</v>
      </c>
      <c r="AE1060" s="32" t="str">
        <f t="shared" si="82"/>
        <v>✓ OK</v>
      </c>
      <c r="AF1060" s="33" t="s">
        <v>27</v>
      </c>
      <c r="AG1060" s="33" t="s">
        <v>23</v>
      </c>
      <c r="AH1060" s="33" t="s">
        <v>24</v>
      </c>
      <c r="AI1060" s="33" t="s">
        <v>25</v>
      </c>
      <c r="AJ1060" s="33" t="s">
        <v>26</v>
      </c>
      <c r="AK1060" s="33" t="s">
        <v>24</v>
      </c>
      <c r="AL1060" s="27"/>
      <c r="AM1060" s="34" t="s">
        <v>25</v>
      </c>
      <c r="AN1060" s="35" t="str">
        <f t="shared" si="83"/>
        <v>✓ OK</v>
      </c>
      <c r="AO1060" s="36"/>
      <c r="AP1060" s="36"/>
      <c r="AQ1060" s="36"/>
      <c r="AR1060" s="36"/>
      <c r="AS1060" s="36"/>
      <c r="AT1060" s="36"/>
      <c r="AU1060" s="27"/>
      <c r="AV1060" s="37"/>
      <c r="AW1060" s="38" t="str">
        <f t="shared" si="84"/>
        <v/>
      </c>
    </row>
    <row r="1061" spans="1:49" ht="18" customHeight="1" x14ac:dyDescent="0.3">
      <c r="A1061" s="23">
        <v>1057</v>
      </c>
      <c r="B1061" s="24" t="s">
        <v>3962</v>
      </c>
      <c r="C1061" s="25" t="s">
        <v>3963</v>
      </c>
      <c r="D1061" s="23" t="s">
        <v>2819</v>
      </c>
      <c r="E1061" s="43">
        <v>46126</v>
      </c>
      <c r="F1061" s="26" t="s">
        <v>23</v>
      </c>
      <c r="G1061" s="26" t="s">
        <v>24</v>
      </c>
      <c r="H1061" s="26" t="s">
        <v>25</v>
      </c>
      <c r="I1061" s="26" t="s">
        <v>26</v>
      </c>
      <c r="J1061" s="26" t="s">
        <v>24</v>
      </c>
      <c r="K1061" s="27"/>
      <c r="L1061" s="28" t="s">
        <v>25</v>
      </c>
      <c r="M1061" s="29" t="str">
        <f t="shared" si="80"/>
        <v>✓ OK</v>
      </c>
      <c r="N1061" s="43">
        <v>46193</v>
      </c>
      <c r="O1061" s="26" t="s">
        <v>23</v>
      </c>
      <c r="P1061" s="26" t="s">
        <v>24</v>
      </c>
      <c r="Q1061" s="26" t="s">
        <v>25</v>
      </c>
      <c r="R1061" s="26" t="s">
        <v>26</v>
      </c>
      <c r="S1061" s="26" t="s">
        <v>24</v>
      </c>
      <c r="T1061" s="27"/>
      <c r="U1061" s="28" t="s">
        <v>25</v>
      </c>
      <c r="V1061" s="29" t="str">
        <f t="shared" si="81"/>
        <v>✓ OK</v>
      </c>
      <c r="W1061" s="45">
        <v>46248</v>
      </c>
      <c r="X1061" s="30" t="s">
        <v>23</v>
      </c>
      <c r="Y1061" s="30" t="s">
        <v>24</v>
      </c>
      <c r="Z1061" s="30" t="s">
        <v>25</v>
      </c>
      <c r="AA1061" s="30" t="s">
        <v>26</v>
      </c>
      <c r="AB1061" s="30" t="s">
        <v>24</v>
      </c>
      <c r="AC1061" s="27"/>
      <c r="AD1061" s="31" t="s">
        <v>25</v>
      </c>
      <c r="AE1061" s="32" t="str">
        <f t="shared" si="82"/>
        <v>✓ OK</v>
      </c>
      <c r="AF1061" s="33" t="s">
        <v>27</v>
      </c>
      <c r="AG1061" s="33" t="s">
        <v>23</v>
      </c>
      <c r="AH1061" s="33" t="s">
        <v>24</v>
      </c>
      <c r="AI1061" s="33" t="s">
        <v>25</v>
      </c>
      <c r="AJ1061" s="33" t="s">
        <v>26</v>
      </c>
      <c r="AK1061" s="33" t="s">
        <v>24</v>
      </c>
      <c r="AL1061" s="27"/>
      <c r="AM1061" s="34" t="s">
        <v>25</v>
      </c>
      <c r="AN1061" s="35" t="str">
        <f t="shared" si="83"/>
        <v>✓ OK</v>
      </c>
      <c r="AO1061" s="36"/>
      <c r="AP1061" s="36"/>
      <c r="AQ1061" s="36"/>
      <c r="AR1061" s="36"/>
      <c r="AS1061" s="36"/>
      <c r="AT1061" s="36"/>
      <c r="AU1061" s="27"/>
      <c r="AV1061" s="37"/>
      <c r="AW1061" s="38" t="str">
        <f t="shared" si="84"/>
        <v/>
      </c>
    </row>
    <row r="1062" spans="1:49" ht="18" customHeight="1" x14ac:dyDescent="0.3">
      <c r="A1062" s="39">
        <v>1058</v>
      </c>
      <c r="B1062" s="40" t="s">
        <v>3964</v>
      </c>
      <c r="C1062" s="41" t="s">
        <v>3965</v>
      </c>
      <c r="D1062" s="39" t="s">
        <v>2819</v>
      </c>
      <c r="E1062" s="43">
        <v>46126</v>
      </c>
      <c r="F1062" s="26" t="s">
        <v>23</v>
      </c>
      <c r="G1062" s="26" t="s">
        <v>24</v>
      </c>
      <c r="H1062" s="26" t="s">
        <v>25</v>
      </c>
      <c r="I1062" s="26" t="s">
        <v>26</v>
      </c>
      <c r="J1062" s="26" t="s">
        <v>24</v>
      </c>
      <c r="K1062" s="27"/>
      <c r="L1062" s="28" t="s">
        <v>25</v>
      </c>
      <c r="M1062" s="29" t="str">
        <f t="shared" si="80"/>
        <v>✓ OK</v>
      </c>
      <c r="N1062" s="43">
        <v>46193</v>
      </c>
      <c r="O1062" s="26" t="s">
        <v>23</v>
      </c>
      <c r="P1062" s="26" t="s">
        <v>24</v>
      </c>
      <c r="Q1062" s="26" t="s">
        <v>25</v>
      </c>
      <c r="R1062" s="26" t="s">
        <v>26</v>
      </c>
      <c r="S1062" s="26" t="s">
        <v>24</v>
      </c>
      <c r="T1062" s="27"/>
      <c r="U1062" s="28" t="s">
        <v>25</v>
      </c>
      <c r="V1062" s="29" t="str">
        <f t="shared" si="81"/>
        <v>✓ OK</v>
      </c>
      <c r="W1062" s="45">
        <v>46248</v>
      </c>
      <c r="X1062" s="30" t="s">
        <v>23</v>
      </c>
      <c r="Y1062" s="30" t="s">
        <v>24</v>
      </c>
      <c r="Z1062" s="30" t="s">
        <v>25</v>
      </c>
      <c r="AA1062" s="30" t="s">
        <v>26</v>
      </c>
      <c r="AB1062" s="30" t="s">
        <v>24</v>
      </c>
      <c r="AC1062" s="27"/>
      <c r="AD1062" s="31" t="s">
        <v>25</v>
      </c>
      <c r="AE1062" s="32" t="str">
        <f t="shared" si="82"/>
        <v>✓ OK</v>
      </c>
      <c r="AF1062" s="33" t="s">
        <v>27</v>
      </c>
      <c r="AG1062" s="33" t="s">
        <v>23</v>
      </c>
      <c r="AH1062" s="33" t="s">
        <v>24</v>
      </c>
      <c r="AI1062" s="33" t="s">
        <v>25</v>
      </c>
      <c r="AJ1062" s="33" t="s">
        <v>26</v>
      </c>
      <c r="AK1062" s="33" t="s">
        <v>24</v>
      </c>
      <c r="AL1062" s="27"/>
      <c r="AM1062" s="34" t="s">
        <v>25</v>
      </c>
      <c r="AN1062" s="35" t="str">
        <f t="shared" si="83"/>
        <v>✓ OK</v>
      </c>
      <c r="AO1062" s="36"/>
      <c r="AP1062" s="36"/>
      <c r="AQ1062" s="36"/>
      <c r="AR1062" s="36"/>
      <c r="AS1062" s="36"/>
      <c r="AT1062" s="36"/>
      <c r="AU1062" s="27"/>
      <c r="AV1062" s="37"/>
      <c r="AW1062" s="38" t="str">
        <f t="shared" si="84"/>
        <v/>
      </c>
    </row>
    <row r="1063" spans="1:49" ht="18" customHeight="1" x14ac:dyDescent="0.3">
      <c r="A1063" s="23">
        <v>1059</v>
      </c>
      <c r="B1063" s="24" t="s">
        <v>3966</v>
      </c>
      <c r="C1063" s="25" t="s">
        <v>3967</v>
      </c>
      <c r="D1063" s="23" t="s">
        <v>2819</v>
      </c>
      <c r="E1063" s="43">
        <v>46126</v>
      </c>
      <c r="F1063" s="26" t="s">
        <v>23</v>
      </c>
      <c r="G1063" s="26" t="s">
        <v>24</v>
      </c>
      <c r="H1063" s="26" t="s">
        <v>25</v>
      </c>
      <c r="I1063" s="26" t="s">
        <v>26</v>
      </c>
      <c r="J1063" s="26" t="s">
        <v>24</v>
      </c>
      <c r="K1063" s="27"/>
      <c r="L1063" s="28" t="s">
        <v>25</v>
      </c>
      <c r="M1063" s="29" t="str">
        <f t="shared" si="80"/>
        <v>✓ OK</v>
      </c>
      <c r="N1063" s="43">
        <v>46193</v>
      </c>
      <c r="O1063" s="26" t="s">
        <v>23</v>
      </c>
      <c r="P1063" s="26" t="s">
        <v>24</v>
      </c>
      <c r="Q1063" s="26" t="s">
        <v>25</v>
      </c>
      <c r="R1063" s="26" t="s">
        <v>26</v>
      </c>
      <c r="S1063" s="26" t="s">
        <v>24</v>
      </c>
      <c r="T1063" s="27"/>
      <c r="U1063" s="28" t="s">
        <v>25</v>
      </c>
      <c r="V1063" s="29" t="str">
        <f t="shared" si="81"/>
        <v>✓ OK</v>
      </c>
      <c r="W1063" s="45">
        <v>46248</v>
      </c>
      <c r="X1063" s="30" t="s">
        <v>23</v>
      </c>
      <c r="Y1063" s="30" t="s">
        <v>24</v>
      </c>
      <c r="Z1063" s="30" t="s">
        <v>25</v>
      </c>
      <c r="AA1063" s="30" t="s">
        <v>26</v>
      </c>
      <c r="AB1063" s="30" t="s">
        <v>24</v>
      </c>
      <c r="AC1063" s="27"/>
      <c r="AD1063" s="31" t="s">
        <v>25</v>
      </c>
      <c r="AE1063" s="32" t="str">
        <f t="shared" si="82"/>
        <v>✓ OK</v>
      </c>
      <c r="AF1063" s="33" t="s">
        <v>27</v>
      </c>
      <c r="AG1063" s="33" t="s">
        <v>23</v>
      </c>
      <c r="AH1063" s="33" t="s">
        <v>24</v>
      </c>
      <c r="AI1063" s="33" t="s">
        <v>25</v>
      </c>
      <c r="AJ1063" s="33" t="s">
        <v>26</v>
      </c>
      <c r="AK1063" s="33" t="s">
        <v>24</v>
      </c>
      <c r="AL1063" s="27"/>
      <c r="AM1063" s="34" t="s">
        <v>25</v>
      </c>
      <c r="AN1063" s="35" t="str">
        <f t="shared" si="83"/>
        <v>✓ OK</v>
      </c>
      <c r="AO1063" s="36"/>
      <c r="AP1063" s="36"/>
      <c r="AQ1063" s="36"/>
      <c r="AR1063" s="36"/>
      <c r="AS1063" s="36"/>
      <c r="AT1063" s="36"/>
      <c r="AU1063" s="27"/>
      <c r="AV1063" s="37"/>
      <c r="AW1063" s="38" t="str">
        <f t="shared" si="84"/>
        <v/>
      </c>
    </row>
    <row r="1064" spans="1:49" ht="18" customHeight="1" x14ac:dyDescent="0.3">
      <c r="A1064" s="39">
        <v>1060</v>
      </c>
      <c r="B1064" s="40" t="s">
        <v>3968</v>
      </c>
      <c r="C1064" s="41" t="s">
        <v>3969</v>
      </c>
      <c r="D1064" s="39" t="s">
        <v>2819</v>
      </c>
      <c r="E1064" s="43">
        <v>46126</v>
      </c>
      <c r="F1064" s="26" t="s">
        <v>23</v>
      </c>
      <c r="G1064" s="26" t="s">
        <v>24</v>
      </c>
      <c r="H1064" s="26" t="s">
        <v>25</v>
      </c>
      <c r="I1064" s="26" t="s">
        <v>26</v>
      </c>
      <c r="J1064" s="26" t="s">
        <v>24</v>
      </c>
      <c r="K1064" s="27"/>
      <c r="L1064" s="28" t="s">
        <v>25</v>
      </c>
      <c r="M1064" s="29" t="str">
        <f t="shared" si="80"/>
        <v>✓ OK</v>
      </c>
      <c r="N1064" s="43">
        <v>46193</v>
      </c>
      <c r="O1064" s="26" t="s">
        <v>23</v>
      </c>
      <c r="P1064" s="26" t="s">
        <v>24</v>
      </c>
      <c r="Q1064" s="26" t="s">
        <v>25</v>
      </c>
      <c r="R1064" s="26" t="s">
        <v>26</v>
      </c>
      <c r="S1064" s="26" t="s">
        <v>24</v>
      </c>
      <c r="T1064" s="27"/>
      <c r="U1064" s="28" t="s">
        <v>25</v>
      </c>
      <c r="V1064" s="29" t="str">
        <f t="shared" si="81"/>
        <v>✓ OK</v>
      </c>
      <c r="W1064" s="45">
        <v>46248</v>
      </c>
      <c r="X1064" s="30" t="s">
        <v>23</v>
      </c>
      <c r="Y1064" s="30" t="s">
        <v>24</v>
      </c>
      <c r="Z1064" s="30" t="s">
        <v>25</v>
      </c>
      <c r="AA1064" s="30" t="s">
        <v>26</v>
      </c>
      <c r="AB1064" s="30" t="s">
        <v>24</v>
      </c>
      <c r="AC1064" s="27"/>
      <c r="AD1064" s="31" t="s">
        <v>25</v>
      </c>
      <c r="AE1064" s="32" t="str">
        <f t="shared" si="82"/>
        <v>✓ OK</v>
      </c>
      <c r="AF1064" s="33" t="s">
        <v>27</v>
      </c>
      <c r="AG1064" s="33" t="s">
        <v>23</v>
      </c>
      <c r="AH1064" s="33" t="s">
        <v>24</v>
      </c>
      <c r="AI1064" s="33" t="s">
        <v>25</v>
      </c>
      <c r="AJ1064" s="33" t="s">
        <v>26</v>
      </c>
      <c r="AK1064" s="33" t="s">
        <v>24</v>
      </c>
      <c r="AL1064" s="27"/>
      <c r="AM1064" s="34" t="s">
        <v>25</v>
      </c>
      <c r="AN1064" s="35" t="str">
        <f t="shared" si="83"/>
        <v>✓ OK</v>
      </c>
      <c r="AO1064" s="36"/>
      <c r="AP1064" s="36"/>
      <c r="AQ1064" s="36"/>
      <c r="AR1064" s="36"/>
      <c r="AS1064" s="36"/>
      <c r="AT1064" s="36"/>
      <c r="AU1064" s="27"/>
      <c r="AV1064" s="37"/>
      <c r="AW1064" s="38" t="str">
        <f t="shared" si="84"/>
        <v/>
      </c>
    </row>
    <row r="1065" spans="1:49" ht="18" customHeight="1" x14ac:dyDescent="0.3">
      <c r="A1065" s="23">
        <v>1061</v>
      </c>
      <c r="B1065" s="24" t="s">
        <v>3970</v>
      </c>
      <c r="C1065" s="25" t="s">
        <v>3971</v>
      </c>
      <c r="D1065" s="23" t="s">
        <v>2819</v>
      </c>
      <c r="E1065" s="43">
        <v>46126</v>
      </c>
      <c r="F1065" s="26" t="s">
        <v>23</v>
      </c>
      <c r="G1065" s="26" t="s">
        <v>24</v>
      </c>
      <c r="H1065" s="26" t="s">
        <v>25</v>
      </c>
      <c r="I1065" s="26" t="s">
        <v>26</v>
      </c>
      <c r="J1065" s="26" t="s">
        <v>24</v>
      </c>
      <c r="K1065" s="27"/>
      <c r="L1065" s="28" t="s">
        <v>25</v>
      </c>
      <c r="M1065" s="29" t="str">
        <f t="shared" si="80"/>
        <v>✓ OK</v>
      </c>
      <c r="N1065" s="43">
        <v>46193</v>
      </c>
      <c r="O1065" s="26" t="s">
        <v>23</v>
      </c>
      <c r="P1065" s="26" t="s">
        <v>24</v>
      </c>
      <c r="Q1065" s="26" t="s">
        <v>25</v>
      </c>
      <c r="R1065" s="26" t="s">
        <v>26</v>
      </c>
      <c r="S1065" s="26" t="s">
        <v>24</v>
      </c>
      <c r="T1065" s="27"/>
      <c r="U1065" s="28" t="s">
        <v>25</v>
      </c>
      <c r="V1065" s="29" t="str">
        <f t="shared" si="81"/>
        <v>✓ OK</v>
      </c>
      <c r="W1065" s="45">
        <v>46248</v>
      </c>
      <c r="X1065" s="30" t="s">
        <v>23</v>
      </c>
      <c r="Y1065" s="30" t="s">
        <v>24</v>
      </c>
      <c r="Z1065" s="30" t="s">
        <v>25</v>
      </c>
      <c r="AA1065" s="30" t="s">
        <v>26</v>
      </c>
      <c r="AB1065" s="30" t="s">
        <v>24</v>
      </c>
      <c r="AC1065" s="27"/>
      <c r="AD1065" s="31" t="s">
        <v>25</v>
      </c>
      <c r="AE1065" s="32" t="str">
        <f t="shared" si="82"/>
        <v>✓ OK</v>
      </c>
      <c r="AF1065" s="33" t="s">
        <v>27</v>
      </c>
      <c r="AG1065" s="33" t="s">
        <v>23</v>
      </c>
      <c r="AH1065" s="33" t="s">
        <v>24</v>
      </c>
      <c r="AI1065" s="33" t="s">
        <v>25</v>
      </c>
      <c r="AJ1065" s="33" t="s">
        <v>26</v>
      </c>
      <c r="AK1065" s="33" t="s">
        <v>24</v>
      </c>
      <c r="AL1065" s="27"/>
      <c r="AM1065" s="34" t="s">
        <v>25</v>
      </c>
      <c r="AN1065" s="35" t="str">
        <f t="shared" si="83"/>
        <v>✓ OK</v>
      </c>
      <c r="AO1065" s="36"/>
      <c r="AP1065" s="36"/>
      <c r="AQ1065" s="36"/>
      <c r="AR1065" s="36"/>
      <c r="AS1065" s="36"/>
      <c r="AT1065" s="36"/>
      <c r="AU1065" s="27"/>
      <c r="AV1065" s="37"/>
      <c r="AW1065" s="38" t="str">
        <f t="shared" si="84"/>
        <v/>
      </c>
    </row>
    <row r="1066" spans="1:49" ht="18" customHeight="1" x14ac:dyDescent="0.3">
      <c r="A1066" s="39">
        <v>1062</v>
      </c>
      <c r="B1066" s="40" t="s">
        <v>3972</v>
      </c>
      <c r="C1066" s="41" t="s">
        <v>3973</v>
      </c>
      <c r="D1066" s="39" t="s">
        <v>2819</v>
      </c>
      <c r="E1066" s="43">
        <v>46126</v>
      </c>
      <c r="F1066" s="26" t="s">
        <v>23</v>
      </c>
      <c r="G1066" s="26" t="s">
        <v>24</v>
      </c>
      <c r="H1066" s="26" t="s">
        <v>25</v>
      </c>
      <c r="I1066" s="26" t="s">
        <v>26</v>
      </c>
      <c r="J1066" s="26" t="s">
        <v>24</v>
      </c>
      <c r="K1066" s="27"/>
      <c r="L1066" s="28" t="s">
        <v>25</v>
      </c>
      <c r="M1066" s="29" t="str">
        <f t="shared" si="80"/>
        <v>✓ OK</v>
      </c>
      <c r="N1066" s="43">
        <v>46193</v>
      </c>
      <c r="O1066" s="26" t="s">
        <v>23</v>
      </c>
      <c r="P1066" s="26" t="s">
        <v>24</v>
      </c>
      <c r="Q1066" s="26" t="s">
        <v>25</v>
      </c>
      <c r="R1066" s="26" t="s">
        <v>26</v>
      </c>
      <c r="S1066" s="26" t="s">
        <v>24</v>
      </c>
      <c r="T1066" s="27"/>
      <c r="U1066" s="28" t="s">
        <v>25</v>
      </c>
      <c r="V1066" s="29" t="str">
        <f t="shared" si="81"/>
        <v>✓ OK</v>
      </c>
      <c r="W1066" s="45">
        <v>46248</v>
      </c>
      <c r="X1066" s="30" t="s">
        <v>23</v>
      </c>
      <c r="Y1066" s="30" t="s">
        <v>24</v>
      </c>
      <c r="Z1066" s="30" t="s">
        <v>25</v>
      </c>
      <c r="AA1066" s="30" t="s">
        <v>26</v>
      </c>
      <c r="AB1066" s="30" t="s">
        <v>24</v>
      </c>
      <c r="AC1066" s="27"/>
      <c r="AD1066" s="31" t="s">
        <v>25</v>
      </c>
      <c r="AE1066" s="32" t="str">
        <f t="shared" si="82"/>
        <v>✓ OK</v>
      </c>
      <c r="AF1066" s="33" t="s">
        <v>27</v>
      </c>
      <c r="AG1066" s="33" t="s">
        <v>23</v>
      </c>
      <c r="AH1066" s="33" t="s">
        <v>24</v>
      </c>
      <c r="AI1066" s="33" t="s">
        <v>25</v>
      </c>
      <c r="AJ1066" s="33" t="s">
        <v>26</v>
      </c>
      <c r="AK1066" s="33" t="s">
        <v>24</v>
      </c>
      <c r="AL1066" s="27"/>
      <c r="AM1066" s="34" t="s">
        <v>25</v>
      </c>
      <c r="AN1066" s="35" t="str">
        <f t="shared" si="83"/>
        <v>✓ OK</v>
      </c>
      <c r="AO1066" s="36"/>
      <c r="AP1066" s="36"/>
      <c r="AQ1066" s="36"/>
      <c r="AR1066" s="36"/>
      <c r="AS1066" s="36"/>
      <c r="AT1066" s="36"/>
      <c r="AU1066" s="27"/>
      <c r="AV1066" s="37"/>
      <c r="AW1066" s="38" t="str">
        <f t="shared" si="84"/>
        <v/>
      </c>
    </row>
    <row r="1067" spans="1:49" ht="18" customHeight="1" x14ac:dyDescent="0.3">
      <c r="A1067" s="23">
        <v>1063</v>
      </c>
      <c r="B1067" s="24" t="s">
        <v>3974</v>
      </c>
      <c r="C1067" s="25" t="s">
        <v>3975</v>
      </c>
      <c r="D1067" s="23" t="s">
        <v>2819</v>
      </c>
      <c r="E1067" s="43">
        <v>46126</v>
      </c>
      <c r="F1067" s="26" t="s">
        <v>23</v>
      </c>
      <c r="G1067" s="26" t="s">
        <v>24</v>
      </c>
      <c r="H1067" s="26" t="s">
        <v>25</v>
      </c>
      <c r="I1067" s="26" t="s">
        <v>26</v>
      </c>
      <c r="J1067" s="26" t="s">
        <v>24</v>
      </c>
      <c r="K1067" s="27"/>
      <c r="L1067" s="28" t="s">
        <v>25</v>
      </c>
      <c r="M1067" s="29" t="str">
        <f t="shared" si="80"/>
        <v>✓ OK</v>
      </c>
      <c r="N1067" s="43">
        <v>46193</v>
      </c>
      <c r="O1067" s="26" t="s">
        <v>23</v>
      </c>
      <c r="P1067" s="26" t="s">
        <v>24</v>
      </c>
      <c r="Q1067" s="26" t="s">
        <v>25</v>
      </c>
      <c r="R1067" s="26" t="s">
        <v>26</v>
      </c>
      <c r="S1067" s="26" t="s">
        <v>24</v>
      </c>
      <c r="T1067" s="27"/>
      <c r="U1067" s="28" t="s">
        <v>25</v>
      </c>
      <c r="V1067" s="29" t="str">
        <f t="shared" si="81"/>
        <v>✓ OK</v>
      </c>
      <c r="W1067" s="45">
        <v>46248</v>
      </c>
      <c r="X1067" s="30" t="s">
        <v>23</v>
      </c>
      <c r="Y1067" s="30" t="s">
        <v>24</v>
      </c>
      <c r="Z1067" s="30" t="s">
        <v>25</v>
      </c>
      <c r="AA1067" s="30" t="s">
        <v>26</v>
      </c>
      <c r="AB1067" s="30" t="s">
        <v>24</v>
      </c>
      <c r="AC1067" s="27"/>
      <c r="AD1067" s="31" t="s">
        <v>25</v>
      </c>
      <c r="AE1067" s="32" t="str">
        <f t="shared" si="82"/>
        <v>✓ OK</v>
      </c>
      <c r="AF1067" s="33" t="s">
        <v>27</v>
      </c>
      <c r="AG1067" s="33" t="s">
        <v>23</v>
      </c>
      <c r="AH1067" s="33" t="s">
        <v>24</v>
      </c>
      <c r="AI1067" s="33" t="s">
        <v>25</v>
      </c>
      <c r="AJ1067" s="33" t="s">
        <v>26</v>
      </c>
      <c r="AK1067" s="33" t="s">
        <v>24</v>
      </c>
      <c r="AL1067" s="27"/>
      <c r="AM1067" s="34" t="s">
        <v>25</v>
      </c>
      <c r="AN1067" s="35" t="str">
        <f t="shared" si="83"/>
        <v>✓ OK</v>
      </c>
      <c r="AO1067" s="36"/>
      <c r="AP1067" s="36"/>
      <c r="AQ1067" s="36"/>
      <c r="AR1067" s="36"/>
      <c r="AS1067" s="36"/>
      <c r="AT1067" s="36"/>
      <c r="AU1067" s="27"/>
      <c r="AV1067" s="37"/>
      <c r="AW1067" s="38" t="str">
        <f t="shared" si="84"/>
        <v/>
      </c>
    </row>
    <row r="1068" spans="1:49" ht="18" customHeight="1" x14ac:dyDescent="0.3">
      <c r="A1068" s="39">
        <v>1064</v>
      </c>
      <c r="B1068" s="40" t="s">
        <v>3976</v>
      </c>
      <c r="C1068" s="41" t="s">
        <v>3977</v>
      </c>
      <c r="D1068" s="39" t="s">
        <v>2819</v>
      </c>
      <c r="E1068" s="43">
        <v>46126</v>
      </c>
      <c r="F1068" s="26" t="s">
        <v>23</v>
      </c>
      <c r="G1068" s="26" t="s">
        <v>24</v>
      </c>
      <c r="H1068" s="26" t="s">
        <v>25</v>
      </c>
      <c r="I1068" s="26" t="s">
        <v>26</v>
      </c>
      <c r="J1068" s="26" t="s">
        <v>24</v>
      </c>
      <c r="K1068" s="27"/>
      <c r="L1068" s="28" t="s">
        <v>25</v>
      </c>
      <c r="M1068" s="29" t="str">
        <f t="shared" si="80"/>
        <v>✓ OK</v>
      </c>
      <c r="N1068" s="43">
        <v>46193</v>
      </c>
      <c r="O1068" s="26" t="s">
        <v>23</v>
      </c>
      <c r="P1068" s="26" t="s">
        <v>24</v>
      </c>
      <c r="Q1068" s="26" t="s">
        <v>25</v>
      </c>
      <c r="R1068" s="26" t="s">
        <v>26</v>
      </c>
      <c r="S1068" s="26" t="s">
        <v>24</v>
      </c>
      <c r="T1068" s="27"/>
      <c r="U1068" s="28" t="s">
        <v>25</v>
      </c>
      <c r="V1068" s="29" t="str">
        <f t="shared" si="81"/>
        <v>✓ OK</v>
      </c>
      <c r="W1068" s="45">
        <v>46248</v>
      </c>
      <c r="X1068" s="30" t="s">
        <v>23</v>
      </c>
      <c r="Y1068" s="30" t="s">
        <v>24</v>
      </c>
      <c r="Z1068" s="30" t="s">
        <v>25</v>
      </c>
      <c r="AA1068" s="30" t="s">
        <v>26</v>
      </c>
      <c r="AB1068" s="30" t="s">
        <v>24</v>
      </c>
      <c r="AC1068" s="27"/>
      <c r="AD1068" s="31" t="s">
        <v>25</v>
      </c>
      <c r="AE1068" s="32" t="str">
        <f t="shared" si="82"/>
        <v>✓ OK</v>
      </c>
      <c r="AF1068" s="33" t="s">
        <v>27</v>
      </c>
      <c r="AG1068" s="33" t="s">
        <v>23</v>
      </c>
      <c r="AH1068" s="33" t="s">
        <v>24</v>
      </c>
      <c r="AI1068" s="33" t="s">
        <v>25</v>
      </c>
      <c r="AJ1068" s="33" t="s">
        <v>26</v>
      </c>
      <c r="AK1068" s="33" t="s">
        <v>24</v>
      </c>
      <c r="AL1068" s="27"/>
      <c r="AM1068" s="34" t="s">
        <v>25</v>
      </c>
      <c r="AN1068" s="35" t="str">
        <f t="shared" si="83"/>
        <v>✓ OK</v>
      </c>
      <c r="AO1068" s="36"/>
      <c r="AP1068" s="36"/>
      <c r="AQ1068" s="36"/>
      <c r="AR1068" s="36"/>
      <c r="AS1068" s="36"/>
      <c r="AT1068" s="36"/>
      <c r="AU1068" s="27"/>
      <c r="AV1068" s="37"/>
      <c r="AW1068" s="38" t="str">
        <f t="shared" si="84"/>
        <v/>
      </c>
    </row>
    <row r="1069" spans="1:49" ht="18" customHeight="1" x14ac:dyDescent="0.3">
      <c r="A1069" s="23">
        <v>1065</v>
      </c>
      <c r="B1069" s="24" t="s">
        <v>3978</v>
      </c>
      <c r="C1069" s="25" t="s">
        <v>3979</v>
      </c>
      <c r="D1069" s="23" t="s">
        <v>2819</v>
      </c>
      <c r="E1069" s="43">
        <v>46126</v>
      </c>
      <c r="F1069" s="26" t="s">
        <v>23</v>
      </c>
      <c r="G1069" s="26" t="s">
        <v>24</v>
      </c>
      <c r="H1069" s="26" t="s">
        <v>25</v>
      </c>
      <c r="I1069" s="26" t="s">
        <v>26</v>
      </c>
      <c r="J1069" s="26" t="s">
        <v>24</v>
      </c>
      <c r="K1069" s="27"/>
      <c r="L1069" s="28" t="s">
        <v>25</v>
      </c>
      <c r="M1069" s="29" t="str">
        <f t="shared" si="80"/>
        <v>✓ OK</v>
      </c>
      <c r="N1069" s="43">
        <v>46193</v>
      </c>
      <c r="O1069" s="26" t="s">
        <v>23</v>
      </c>
      <c r="P1069" s="26" t="s">
        <v>24</v>
      </c>
      <c r="Q1069" s="26" t="s">
        <v>25</v>
      </c>
      <c r="R1069" s="26" t="s">
        <v>26</v>
      </c>
      <c r="S1069" s="26" t="s">
        <v>24</v>
      </c>
      <c r="T1069" s="27"/>
      <c r="U1069" s="28" t="s">
        <v>25</v>
      </c>
      <c r="V1069" s="29" t="str">
        <f t="shared" si="81"/>
        <v>✓ OK</v>
      </c>
      <c r="W1069" s="45">
        <v>46248</v>
      </c>
      <c r="X1069" s="30" t="s">
        <v>23</v>
      </c>
      <c r="Y1069" s="30" t="s">
        <v>24</v>
      </c>
      <c r="Z1069" s="30" t="s">
        <v>25</v>
      </c>
      <c r="AA1069" s="30" t="s">
        <v>26</v>
      </c>
      <c r="AB1069" s="30" t="s">
        <v>24</v>
      </c>
      <c r="AC1069" s="27"/>
      <c r="AD1069" s="31" t="s">
        <v>25</v>
      </c>
      <c r="AE1069" s="32" t="str">
        <f t="shared" si="82"/>
        <v>✓ OK</v>
      </c>
      <c r="AF1069" s="33" t="s">
        <v>27</v>
      </c>
      <c r="AG1069" s="33" t="s">
        <v>23</v>
      </c>
      <c r="AH1069" s="33" t="s">
        <v>24</v>
      </c>
      <c r="AI1069" s="33" t="s">
        <v>25</v>
      </c>
      <c r="AJ1069" s="33" t="s">
        <v>26</v>
      </c>
      <c r="AK1069" s="33" t="s">
        <v>24</v>
      </c>
      <c r="AL1069" s="27"/>
      <c r="AM1069" s="34" t="s">
        <v>25</v>
      </c>
      <c r="AN1069" s="35" t="str">
        <f t="shared" si="83"/>
        <v>✓ OK</v>
      </c>
      <c r="AO1069" s="36"/>
      <c r="AP1069" s="36"/>
      <c r="AQ1069" s="36"/>
      <c r="AR1069" s="36"/>
      <c r="AS1069" s="36"/>
      <c r="AT1069" s="36"/>
      <c r="AU1069" s="27"/>
      <c r="AV1069" s="37"/>
      <c r="AW1069" s="38" t="str">
        <f t="shared" si="84"/>
        <v/>
      </c>
    </row>
    <row r="1070" spans="1:49" ht="18" customHeight="1" x14ac:dyDescent="0.3">
      <c r="A1070" s="39">
        <v>1066</v>
      </c>
      <c r="B1070" s="40" t="s">
        <v>3980</v>
      </c>
      <c r="C1070" s="41" t="s">
        <v>3981</v>
      </c>
      <c r="D1070" s="39" t="s">
        <v>2819</v>
      </c>
      <c r="E1070" s="43">
        <v>46126</v>
      </c>
      <c r="F1070" s="26" t="s">
        <v>23</v>
      </c>
      <c r="G1070" s="26" t="s">
        <v>24</v>
      </c>
      <c r="H1070" s="26" t="s">
        <v>25</v>
      </c>
      <c r="I1070" s="26" t="s">
        <v>26</v>
      </c>
      <c r="J1070" s="26" t="s">
        <v>24</v>
      </c>
      <c r="K1070" s="27"/>
      <c r="L1070" s="28" t="s">
        <v>25</v>
      </c>
      <c r="M1070" s="29" t="str">
        <f t="shared" si="80"/>
        <v>✓ OK</v>
      </c>
      <c r="N1070" s="43">
        <v>46193</v>
      </c>
      <c r="O1070" s="26" t="s">
        <v>23</v>
      </c>
      <c r="P1070" s="26" t="s">
        <v>24</v>
      </c>
      <c r="Q1070" s="26" t="s">
        <v>25</v>
      </c>
      <c r="R1070" s="26" t="s">
        <v>26</v>
      </c>
      <c r="S1070" s="26" t="s">
        <v>24</v>
      </c>
      <c r="T1070" s="27"/>
      <c r="U1070" s="28" t="s">
        <v>25</v>
      </c>
      <c r="V1070" s="29" t="str">
        <f t="shared" si="81"/>
        <v>✓ OK</v>
      </c>
      <c r="W1070" s="45">
        <v>46248</v>
      </c>
      <c r="X1070" s="30" t="s">
        <v>23</v>
      </c>
      <c r="Y1070" s="30" t="s">
        <v>24</v>
      </c>
      <c r="Z1070" s="30" t="s">
        <v>25</v>
      </c>
      <c r="AA1070" s="30" t="s">
        <v>26</v>
      </c>
      <c r="AB1070" s="30" t="s">
        <v>24</v>
      </c>
      <c r="AC1070" s="27"/>
      <c r="AD1070" s="31" t="s">
        <v>25</v>
      </c>
      <c r="AE1070" s="32" t="str">
        <f t="shared" si="82"/>
        <v>✓ OK</v>
      </c>
      <c r="AF1070" s="33" t="s">
        <v>27</v>
      </c>
      <c r="AG1070" s="33" t="s">
        <v>23</v>
      </c>
      <c r="AH1070" s="33" t="s">
        <v>24</v>
      </c>
      <c r="AI1070" s="33" t="s">
        <v>25</v>
      </c>
      <c r="AJ1070" s="33" t="s">
        <v>26</v>
      </c>
      <c r="AK1070" s="33" t="s">
        <v>24</v>
      </c>
      <c r="AL1070" s="27"/>
      <c r="AM1070" s="34" t="s">
        <v>25</v>
      </c>
      <c r="AN1070" s="35" t="str">
        <f t="shared" si="83"/>
        <v>✓ OK</v>
      </c>
      <c r="AO1070" s="36"/>
      <c r="AP1070" s="36"/>
      <c r="AQ1070" s="36"/>
      <c r="AR1070" s="36"/>
      <c r="AS1070" s="36"/>
      <c r="AT1070" s="36"/>
      <c r="AU1070" s="27"/>
      <c r="AV1070" s="37"/>
      <c r="AW1070" s="38" t="str">
        <f t="shared" si="84"/>
        <v/>
      </c>
    </row>
    <row r="1071" spans="1:49" ht="18" customHeight="1" x14ac:dyDescent="0.3">
      <c r="A1071" s="23">
        <v>1067</v>
      </c>
      <c r="B1071" s="24" t="s">
        <v>3982</v>
      </c>
      <c r="C1071" s="25" t="s">
        <v>3983</v>
      </c>
      <c r="D1071" s="23" t="s">
        <v>2819</v>
      </c>
      <c r="E1071" s="43">
        <v>46126</v>
      </c>
      <c r="F1071" s="26" t="s">
        <v>23</v>
      </c>
      <c r="G1071" s="26" t="s">
        <v>24</v>
      </c>
      <c r="H1071" s="26" t="s">
        <v>25</v>
      </c>
      <c r="I1071" s="26" t="s">
        <v>26</v>
      </c>
      <c r="J1071" s="26" t="s">
        <v>24</v>
      </c>
      <c r="K1071" s="27"/>
      <c r="L1071" s="28" t="s">
        <v>25</v>
      </c>
      <c r="M1071" s="29" t="str">
        <f t="shared" si="80"/>
        <v>✓ OK</v>
      </c>
      <c r="N1071" s="43">
        <v>46193</v>
      </c>
      <c r="O1071" s="26" t="s">
        <v>23</v>
      </c>
      <c r="P1071" s="26" t="s">
        <v>24</v>
      </c>
      <c r="Q1071" s="26" t="s">
        <v>25</v>
      </c>
      <c r="R1071" s="26" t="s">
        <v>26</v>
      </c>
      <c r="S1071" s="26" t="s">
        <v>24</v>
      </c>
      <c r="T1071" s="27"/>
      <c r="U1071" s="28" t="s">
        <v>25</v>
      </c>
      <c r="V1071" s="29" t="str">
        <f t="shared" si="81"/>
        <v>✓ OK</v>
      </c>
      <c r="W1071" s="45">
        <v>46248</v>
      </c>
      <c r="X1071" s="30" t="s">
        <v>23</v>
      </c>
      <c r="Y1071" s="30" t="s">
        <v>24</v>
      </c>
      <c r="Z1071" s="30" t="s">
        <v>25</v>
      </c>
      <c r="AA1071" s="30" t="s">
        <v>26</v>
      </c>
      <c r="AB1071" s="30" t="s">
        <v>24</v>
      </c>
      <c r="AC1071" s="27"/>
      <c r="AD1071" s="31" t="s">
        <v>25</v>
      </c>
      <c r="AE1071" s="32" t="str">
        <f t="shared" si="82"/>
        <v>✓ OK</v>
      </c>
      <c r="AF1071" s="33" t="s">
        <v>27</v>
      </c>
      <c r="AG1071" s="33" t="s">
        <v>23</v>
      </c>
      <c r="AH1071" s="33" t="s">
        <v>24</v>
      </c>
      <c r="AI1071" s="33" t="s">
        <v>25</v>
      </c>
      <c r="AJ1071" s="33" t="s">
        <v>26</v>
      </c>
      <c r="AK1071" s="33" t="s">
        <v>24</v>
      </c>
      <c r="AL1071" s="27"/>
      <c r="AM1071" s="34" t="s">
        <v>25</v>
      </c>
      <c r="AN1071" s="35" t="str">
        <f t="shared" si="83"/>
        <v>✓ OK</v>
      </c>
      <c r="AO1071" s="36"/>
      <c r="AP1071" s="36"/>
      <c r="AQ1071" s="36"/>
      <c r="AR1071" s="36"/>
      <c r="AS1071" s="36"/>
      <c r="AT1071" s="36"/>
      <c r="AU1071" s="27"/>
      <c r="AV1071" s="37"/>
      <c r="AW1071" s="38" t="str">
        <f t="shared" si="84"/>
        <v/>
      </c>
    </row>
    <row r="1072" spans="1:49" ht="18" customHeight="1" x14ac:dyDescent="0.3">
      <c r="A1072" s="39">
        <v>1068</v>
      </c>
      <c r="B1072" s="40" t="s">
        <v>3984</v>
      </c>
      <c r="C1072" s="41" t="s">
        <v>3985</v>
      </c>
      <c r="D1072" s="39" t="s">
        <v>2819</v>
      </c>
      <c r="E1072" s="43">
        <v>46126</v>
      </c>
      <c r="F1072" s="26" t="s">
        <v>23</v>
      </c>
      <c r="G1072" s="26" t="s">
        <v>24</v>
      </c>
      <c r="H1072" s="26" t="s">
        <v>25</v>
      </c>
      <c r="I1072" s="26" t="s">
        <v>26</v>
      </c>
      <c r="J1072" s="26" t="s">
        <v>24</v>
      </c>
      <c r="K1072" s="27"/>
      <c r="L1072" s="28" t="s">
        <v>25</v>
      </c>
      <c r="M1072" s="29" t="str">
        <f t="shared" si="80"/>
        <v>✓ OK</v>
      </c>
      <c r="N1072" s="43">
        <v>46193</v>
      </c>
      <c r="O1072" s="26" t="s">
        <v>23</v>
      </c>
      <c r="P1072" s="26" t="s">
        <v>24</v>
      </c>
      <c r="Q1072" s="26" t="s">
        <v>25</v>
      </c>
      <c r="R1072" s="26" t="s">
        <v>26</v>
      </c>
      <c r="S1072" s="26" t="s">
        <v>24</v>
      </c>
      <c r="T1072" s="27"/>
      <c r="U1072" s="28" t="s">
        <v>25</v>
      </c>
      <c r="V1072" s="29" t="str">
        <f t="shared" si="81"/>
        <v>✓ OK</v>
      </c>
      <c r="W1072" s="45">
        <v>46248</v>
      </c>
      <c r="X1072" s="30" t="s">
        <v>23</v>
      </c>
      <c r="Y1072" s="30" t="s">
        <v>24</v>
      </c>
      <c r="Z1072" s="30" t="s">
        <v>25</v>
      </c>
      <c r="AA1072" s="30" t="s">
        <v>26</v>
      </c>
      <c r="AB1072" s="30" t="s">
        <v>24</v>
      </c>
      <c r="AC1072" s="27"/>
      <c r="AD1072" s="31" t="s">
        <v>25</v>
      </c>
      <c r="AE1072" s="32" t="str">
        <f t="shared" si="82"/>
        <v>✓ OK</v>
      </c>
      <c r="AF1072" s="33" t="s">
        <v>27</v>
      </c>
      <c r="AG1072" s="33" t="s">
        <v>23</v>
      </c>
      <c r="AH1072" s="33" t="s">
        <v>24</v>
      </c>
      <c r="AI1072" s="33" t="s">
        <v>25</v>
      </c>
      <c r="AJ1072" s="33" t="s">
        <v>26</v>
      </c>
      <c r="AK1072" s="33" t="s">
        <v>24</v>
      </c>
      <c r="AL1072" s="27"/>
      <c r="AM1072" s="34" t="s">
        <v>25</v>
      </c>
      <c r="AN1072" s="35" t="str">
        <f t="shared" si="83"/>
        <v>✓ OK</v>
      </c>
      <c r="AO1072" s="36"/>
      <c r="AP1072" s="36"/>
      <c r="AQ1072" s="36"/>
      <c r="AR1072" s="36"/>
      <c r="AS1072" s="36"/>
      <c r="AT1072" s="36"/>
      <c r="AU1072" s="27"/>
      <c r="AV1072" s="37"/>
      <c r="AW1072" s="38" t="str">
        <f t="shared" si="84"/>
        <v/>
      </c>
    </row>
    <row r="1073" spans="1:49" ht="18" customHeight="1" x14ac:dyDescent="0.3">
      <c r="A1073" s="23">
        <v>1069</v>
      </c>
      <c r="B1073" s="24" t="s">
        <v>3986</v>
      </c>
      <c r="C1073" s="25" t="s">
        <v>3987</v>
      </c>
      <c r="D1073" s="23" t="s">
        <v>2819</v>
      </c>
      <c r="E1073" s="43">
        <v>46126</v>
      </c>
      <c r="F1073" s="26" t="s">
        <v>23</v>
      </c>
      <c r="G1073" s="26" t="s">
        <v>24</v>
      </c>
      <c r="H1073" s="26" t="s">
        <v>25</v>
      </c>
      <c r="I1073" s="26" t="s">
        <v>26</v>
      </c>
      <c r="J1073" s="26" t="s">
        <v>24</v>
      </c>
      <c r="K1073" s="27"/>
      <c r="L1073" s="28" t="s">
        <v>25</v>
      </c>
      <c r="M1073" s="29" t="str">
        <f t="shared" si="80"/>
        <v>✓ OK</v>
      </c>
      <c r="N1073" s="43">
        <v>46193</v>
      </c>
      <c r="O1073" s="26" t="s">
        <v>23</v>
      </c>
      <c r="P1073" s="26" t="s">
        <v>24</v>
      </c>
      <c r="Q1073" s="26" t="s">
        <v>25</v>
      </c>
      <c r="R1073" s="26" t="s">
        <v>26</v>
      </c>
      <c r="S1073" s="26" t="s">
        <v>24</v>
      </c>
      <c r="T1073" s="27"/>
      <c r="U1073" s="28" t="s">
        <v>25</v>
      </c>
      <c r="V1073" s="29" t="str">
        <f t="shared" si="81"/>
        <v>✓ OK</v>
      </c>
      <c r="W1073" s="45">
        <v>46248</v>
      </c>
      <c r="X1073" s="30" t="s">
        <v>23</v>
      </c>
      <c r="Y1073" s="30" t="s">
        <v>24</v>
      </c>
      <c r="Z1073" s="30" t="s">
        <v>25</v>
      </c>
      <c r="AA1073" s="30" t="s">
        <v>26</v>
      </c>
      <c r="AB1073" s="30" t="s">
        <v>24</v>
      </c>
      <c r="AC1073" s="27"/>
      <c r="AD1073" s="31" t="s">
        <v>25</v>
      </c>
      <c r="AE1073" s="32" t="str">
        <f t="shared" si="82"/>
        <v>✓ OK</v>
      </c>
      <c r="AF1073" s="33" t="s">
        <v>27</v>
      </c>
      <c r="AG1073" s="33" t="s">
        <v>23</v>
      </c>
      <c r="AH1073" s="33" t="s">
        <v>24</v>
      </c>
      <c r="AI1073" s="33" t="s">
        <v>25</v>
      </c>
      <c r="AJ1073" s="33" t="s">
        <v>26</v>
      </c>
      <c r="AK1073" s="33" t="s">
        <v>24</v>
      </c>
      <c r="AL1073" s="27"/>
      <c r="AM1073" s="34" t="s">
        <v>25</v>
      </c>
      <c r="AN1073" s="35" t="str">
        <f t="shared" si="83"/>
        <v>✓ OK</v>
      </c>
      <c r="AO1073" s="36"/>
      <c r="AP1073" s="36"/>
      <c r="AQ1073" s="36"/>
      <c r="AR1073" s="36"/>
      <c r="AS1073" s="36"/>
      <c r="AT1073" s="36"/>
      <c r="AU1073" s="27"/>
      <c r="AV1073" s="37"/>
      <c r="AW1073" s="38" t="str">
        <f t="shared" si="84"/>
        <v/>
      </c>
    </row>
    <row r="1074" spans="1:49" ht="18" customHeight="1" x14ac:dyDescent="0.3">
      <c r="A1074" s="39">
        <v>1070</v>
      </c>
      <c r="B1074" s="40" t="s">
        <v>3988</v>
      </c>
      <c r="C1074" s="41" t="s">
        <v>3989</v>
      </c>
      <c r="D1074" s="39" t="s">
        <v>2819</v>
      </c>
      <c r="E1074" s="43">
        <v>46126</v>
      </c>
      <c r="F1074" s="26" t="s">
        <v>23</v>
      </c>
      <c r="G1074" s="26" t="s">
        <v>24</v>
      </c>
      <c r="H1074" s="26" t="s">
        <v>25</v>
      </c>
      <c r="I1074" s="26" t="s">
        <v>26</v>
      </c>
      <c r="J1074" s="26" t="s">
        <v>24</v>
      </c>
      <c r="K1074" s="27"/>
      <c r="L1074" s="28" t="s">
        <v>25</v>
      </c>
      <c r="M1074" s="29" t="str">
        <f t="shared" si="80"/>
        <v>✓ OK</v>
      </c>
      <c r="N1074" s="43">
        <v>46193</v>
      </c>
      <c r="O1074" s="26" t="s">
        <v>23</v>
      </c>
      <c r="P1074" s="26" t="s">
        <v>24</v>
      </c>
      <c r="Q1074" s="26" t="s">
        <v>25</v>
      </c>
      <c r="R1074" s="26" t="s">
        <v>26</v>
      </c>
      <c r="S1074" s="26" t="s">
        <v>24</v>
      </c>
      <c r="T1074" s="27"/>
      <c r="U1074" s="28" t="s">
        <v>25</v>
      </c>
      <c r="V1074" s="29" t="str">
        <f t="shared" si="81"/>
        <v>✓ OK</v>
      </c>
      <c r="W1074" s="45">
        <v>46248</v>
      </c>
      <c r="X1074" s="30" t="s">
        <v>23</v>
      </c>
      <c r="Y1074" s="30" t="s">
        <v>24</v>
      </c>
      <c r="Z1074" s="30" t="s">
        <v>25</v>
      </c>
      <c r="AA1074" s="30" t="s">
        <v>26</v>
      </c>
      <c r="AB1074" s="30" t="s">
        <v>24</v>
      </c>
      <c r="AC1074" s="27"/>
      <c r="AD1074" s="31" t="s">
        <v>25</v>
      </c>
      <c r="AE1074" s="32" t="str">
        <f t="shared" si="82"/>
        <v>✓ OK</v>
      </c>
      <c r="AF1074" s="33" t="s">
        <v>27</v>
      </c>
      <c r="AG1074" s="33" t="s">
        <v>23</v>
      </c>
      <c r="AH1074" s="33" t="s">
        <v>24</v>
      </c>
      <c r="AI1074" s="33" t="s">
        <v>25</v>
      </c>
      <c r="AJ1074" s="33" t="s">
        <v>26</v>
      </c>
      <c r="AK1074" s="33" t="s">
        <v>24</v>
      </c>
      <c r="AL1074" s="27"/>
      <c r="AM1074" s="34" t="s">
        <v>25</v>
      </c>
      <c r="AN1074" s="35" t="str">
        <f t="shared" si="83"/>
        <v>✓ OK</v>
      </c>
      <c r="AO1074" s="36"/>
      <c r="AP1074" s="36"/>
      <c r="AQ1074" s="36"/>
      <c r="AR1074" s="36"/>
      <c r="AS1074" s="36"/>
      <c r="AT1074" s="36"/>
      <c r="AU1074" s="27"/>
      <c r="AV1074" s="37"/>
      <c r="AW1074" s="38" t="str">
        <f t="shared" si="84"/>
        <v/>
      </c>
    </row>
    <row r="1075" spans="1:49" ht="18" customHeight="1" x14ac:dyDescent="0.3">
      <c r="A1075" s="23">
        <v>1071</v>
      </c>
      <c r="B1075" s="24" t="s">
        <v>3990</v>
      </c>
      <c r="C1075" s="25" t="s">
        <v>3991</v>
      </c>
      <c r="D1075" s="23" t="s">
        <v>2819</v>
      </c>
      <c r="E1075" s="43">
        <v>46126</v>
      </c>
      <c r="F1075" s="26" t="s">
        <v>23</v>
      </c>
      <c r="G1075" s="26" t="s">
        <v>24</v>
      </c>
      <c r="H1075" s="26" t="s">
        <v>25</v>
      </c>
      <c r="I1075" s="26" t="s">
        <v>26</v>
      </c>
      <c r="J1075" s="26" t="s">
        <v>24</v>
      </c>
      <c r="K1075" s="27"/>
      <c r="L1075" s="28" t="s">
        <v>25</v>
      </c>
      <c r="M1075" s="29" t="str">
        <f t="shared" si="80"/>
        <v>✓ OK</v>
      </c>
      <c r="N1075" s="43">
        <v>46193</v>
      </c>
      <c r="O1075" s="26" t="s">
        <v>23</v>
      </c>
      <c r="P1075" s="26" t="s">
        <v>24</v>
      </c>
      <c r="Q1075" s="26" t="s">
        <v>25</v>
      </c>
      <c r="R1075" s="26" t="s">
        <v>26</v>
      </c>
      <c r="S1075" s="26" t="s">
        <v>24</v>
      </c>
      <c r="T1075" s="27"/>
      <c r="U1075" s="28" t="s">
        <v>25</v>
      </c>
      <c r="V1075" s="29" t="str">
        <f t="shared" si="81"/>
        <v>✓ OK</v>
      </c>
      <c r="W1075" s="45">
        <v>46248</v>
      </c>
      <c r="X1075" s="30" t="s">
        <v>23</v>
      </c>
      <c r="Y1075" s="30" t="s">
        <v>24</v>
      </c>
      <c r="Z1075" s="30" t="s">
        <v>25</v>
      </c>
      <c r="AA1075" s="30" t="s">
        <v>26</v>
      </c>
      <c r="AB1075" s="30" t="s">
        <v>24</v>
      </c>
      <c r="AC1075" s="27"/>
      <c r="AD1075" s="31" t="s">
        <v>25</v>
      </c>
      <c r="AE1075" s="32" t="str">
        <f t="shared" si="82"/>
        <v>✓ OK</v>
      </c>
      <c r="AF1075" s="33" t="s">
        <v>27</v>
      </c>
      <c r="AG1075" s="33" t="s">
        <v>23</v>
      </c>
      <c r="AH1075" s="33" t="s">
        <v>24</v>
      </c>
      <c r="AI1075" s="33" t="s">
        <v>25</v>
      </c>
      <c r="AJ1075" s="33" t="s">
        <v>26</v>
      </c>
      <c r="AK1075" s="33" t="s">
        <v>24</v>
      </c>
      <c r="AL1075" s="27"/>
      <c r="AM1075" s="34" t="s">
        <v>25</v>
      </c>
      <c r="AN1075" s="35" t="str">
        <f t="shared" si="83"/>
        <v>✓ OK</v>
      </c>
      <c r="AO1075" s="36"/>
      <c r="AP1075" s="36"/>
      <c r="AQ1075" s="36"/>
      <c r="AR1075" s="36"/>
      <c r="AS1075" s="36"/>
      <c r="AT1075" s="36"/>
      <c r="AU1075" s="27"/>
      <c r="AV1075" s="37"/>
      <c r="AW1075" s="38" t="str">
        <f t="shared" si="84"/>
        <v/>
      </c>
    </row>
    <row r="1076" spans="1:49" ht="18" customHeight="1" x14ac:dyDescent="0.3">
      <c r="A1076" s="39">
        <v>1072</v>
      </c>
      <c r="B1076" s="40" t="s">
        <v>3992</v>
      </c>
      <c r="C1076" s="41" t="s">
        <v>3993</v>
      </c>
      <c r="D1076" s="39" t="s">
        <v>2819</v>
      </c>
      <c r="E1076" s="43">
        <v>46126</v>
      </c>
      <c r="F1076" s="26" t="s">
        <v>23</v>
      </c>
      <c r="G1076" s="26" t="s">
        <v>24</v>
      </c>
      <c r="H1076" s="26" t="s">
        <v>25</v>
      </c>
      <c r="I1076" s="26" t="s">
        <v>26</v>
      </c>
      <c r="J1076" s="26" t="s">
        <v>24</v>
      </c>
      <c r="K1076" s="27"/>
      <c r="L1076" s="28" t="s">
        <v>25</v>
      </c>
      <c r="M1076" s="29" t="str">
        <f t="shared" si="80"/>
        <v>✓ OK</v>
      </c>
      <c r="N1076" s="43">
        <v>46193</v>
      </c>
      <c r="O1076" s="26" t="s">
        <v>23</v>
      </c>
      <c r="P1076" s="26" t="s">
        <v>24</v>
      </c>
      <c r="Q1076" s="26" t="s">
        <v>25</v>
      </c>
      <c r="R1076" s="26" t="s">
        <v>26</v>
      </c>
      <c r="S1076" s="26" t="s">
        <v>24</v>
      </c>
      <c r="T1076" s="27"/>
      <c r="U1076" s="28" t="s">
        <v>25</v>
      </c>
      <c r="V1076" s="29" t="str">
        <f t="shared" si="81"/>
        <v>✓ OK</v>
      </c>
      <c r="W1076" s="45">
        <v>46248</v>
      </c>
      <c r="X1076" s="30" t="s">
        <v>23</v>
      </c>
      <c r="Y1076" s="30" t="s">
        <v>24</v>
      </c>
      <c r="Z1076" s="30" t="s">
        <v>25</v>
      </c>
      <c r="AA1076" s="30" t="s">
        <v>26</v>
      </c>
      <c r="AB1076" s="30" t="s">
        <v>24</v>
      </c>
      <c r="AC1076" s="27"/>
      <c r="AD1076" s="31" t="s">
        <v>25</v>
      </c>
      <c r="AE1076" s="32" t="str">
        <f t="shared" si="82"/>
        <v>✓ OK</v>
      </c>
      <c r="AF1076" s="33" t="s">
        <v>27</v>
      </c>
      <c r="AG1076" s="33" t="s">
        <v>23</v>
      </c>
      <c r="AH1076" s="33" t="s">
        <v>24</v>
      </c>
      <c r="AI1076" s="33" t="s">
        <v>25</v>
      </c>
      <c r="AJ1076" s="33" t="s">
        <v>26</v>
      </c>
      <c r="AK1076" s="33" t="s">
        <v>24</v>
      </c>
      <c r="AL1076" s="27"/>
      <c r="AM1076" s="34" t="s">
        <v>25</v>
      </c>
      <c r="AN1076" s="35" t="str">
        <f t="shared" si="83"/>
        <v>✓ OK</v>
      </c>
      <c r="AO1076" s="36"/>
      <c r="AP1076" s="36"/>
      <c r="AQ1076" s="36"/>
      <c r="AR1076" s="36"/>
      <c r="AS1076" s="36"/>
      <c r="AT1076" s="36"/>
      <c r="AU1076" s="27"/>
      <c r="AV1076" s="37"/>
      <c r="AW1076" s="38" t="str">
        <f t="shared" si="84"/>
        <v/>
      </c>
    </row>
    <row r="1077" spans="1:49" ht="18" customHeight="1" x14ac:dyDescent="0.3">
      <c r="A1077" s="23">
        <v>1073</v>
      </c>
      <c r="B1077" s="24" t="s">
        <v>3994</v>
      </c>
      <c r="C1077" s="25" t="s">
        <v>3995</v>
      </c>
      <c r="D1077" s="23" t="s">
        <v>2819</v>
      </c>
      <c r="E1077" s="43">
        <v>46126</v>
      </c>
      <c r="F1077" s="26" t="s">
        <v>23</v>
      </c>
      <c r="G1077" s="26" t="s">
        <v>24</v>
      </c>
      <c r="H1077" s="26" t="s">
        <v>25</v>
      </c>
      <c r="I1077" s="26" t="s">
        <v>26</v>
      </c>
      <c r="J1077" s="26" t="s">
        <v>24</v>
      </c>
      <c r="K1077" s="27"/>
      <c r="L1077" s="28" t="s">
        <v>25</v>
      </c>
      <c r="M1077" s="29" t="str">
        <f t="shared" si="80"/>
        <v>✓ OK</v>
      </c>
      <c r="N1077" s="43">
        <v>46193</v>
      </c>
      <c r="O1077" s="26" t="s">
        <v>23</v>
      </c>
      <c r="P1077" s="26" t="s">
        <v>24</v>
      </c>
      <c r="Q1077" s="26" t="s">
        <v>25</v>
      </c>
      <c r="R1077" s="26" t="s">
        <v>26</v>
      </c>
      <c r="S1077" s="26" t="s">
        <v>24</v>
      </c>
      <c r="T1077" s="27"/>
      <c r="U1077" s="28" t="s">
        <v>25</v>
      </c>
      <c r="V1077" s="29" t="str">
        <f t="shared" si="81"/>
        <v>✓ OK</v>
      </c>
      <c r="W1077" s="45">
        <v>46248</v>
      </c>
      <c r="X1077" s="30" t="s">
        <v>23</v>
      </c>
      <c r="Y1077" s="30" t="s">
        <v>24</v>
      </c>
      <c r="Z1077" s="30" t="s">
        <v>25</v>
      </c>
      <c r="AA1077" s="30" t="s">
        <v>26</v>
      </c>
      <c r="AB1077" s="30" t="s">
        <v>24</v>
      </c>
      <c r="AC1077" s="27"/>
      <c r="AD1077" s="31" t="s">
        <v>25</v>
      </c>
      <c r="AE1077" s="32" t="str">
        <f t="shared" si="82"/>
        <v>✓ OK</v>
      </c>
      <c r="AF1077" s="33" t="s">
        <v>27</v>
      </c>
      <c r="AG1077" s="33" t="s">
        <v>23</v>
      </c>
      <c r="AH1077" s="33" t="s">
        <v>24</v>
      </c>
      <c r="AI1077" s="33" t="s">
        <v>25</v>
      </c>
      <c r="AJ1077" s="33" t="s">
        <v>26</v>
      </c>
      <c r="AK1077" s="33" t="s">
        <v>24</v>
      </c>
      <c r="AL1077" s="27"/>
      <c r="AM1077" s="34" t="s">
        <v>25</v>
      </c>
      <c r="AN1077" s="35" t="str">
        <f t="shared" si="83"/>
        <v>✓ OK</v>
      </c>
      <c r="AO1077" s="36"/>
      <c r="AP1077" s="36"/>
      <c r="AQ1077" s="36"/>
      <c r="AR1077" s="36"/>
      <c r="AS1077" s="36"/>
      <c r="AT1077" s="36"/>
      <c r="AU1077" s="27"/>
      <c r="AV1077" s="37"/>
      <c r="AW1077" s="38" t="str">
        <f t="shared" si="84"/>
        <v/>
      </c>
    </row>
    <row r="1078" spans="1:49" ht="18" customHeight="1" x14ac:dyDescent="0.3">
      <c r="A1078" s="39">
        <v>1074</v>
      </c>
      <c r="B1078" s="40" t="s">
        <v>3996</v>
      </c>
      <c r="C1078" s="41" t="s">
        <v>3997</v>
      </c>
      <c r="D1078" s="39" t="s">
        <v>2819</v>
      </c>
      <c r="E1078" s="43">
        <v>46126</v>
      </c>
      <c r="F1078" s="26" t="s">
        <v>23</v>
      </c>
      <c r="G1078" s="26" t="s">
        <v>24</v>
      </c>
      <c r="H1078" s="26" t="s">
        <v>25</v>
      </c>
      <c r="I1078" s="26" t="s">
        <v>26</v>
      </c>
      <c r="J1078" s="26" t="s">
        <v>24</v>
      </c>
      <c r="K1078" s="27"/>
      <c r="L1078" s="28" t="s">
        <v>25</v>
      </c>
      <c r="M1078" s="29" t="str">
        <f t="shared" si="80"/>
        <v>✓ OK</v>
      </c>
      <c r="N1078" s="43">
        <v>46193</v>
      </c>
      <c r="O1078" s="26" t="s">
        <v>23</v>
      </c>
      <c r="P1078" s="26" t="s">
        <v>24</v>
      </c>
      <c r="Q1078" s="26" t="s">
        <v>25</v>
      </c>
      <c r="R1078" s="26" t="s">
        <v>26</v>
      </c>
      <c r="S1078" s="26" t="s">
        <v>24</v>
      </c>
      <c r="T1078" s="27"/>
      <c r="U1078" s="28" t="s">
        <v>25</v>
      </c>
      <c r="V1078" s="29" t="str">
        <f t="shared" si="81"/>
        <v>✓ OK</v>
      </c>
      <c r="W1078" s="45">
        <v>46248</v>
      </c>
      <c r="X1078" s="30" t="s">
        <v>23</v>
      </c>
      <c r="Y1078" s="30" t="s">
        <v>24</v>
      </c>
      <c r="Z1078" s="30" t="s">
        <v>25</v>
      </c>
      <c r="AA1078" s="30" t="s">
        <v>26</v>
      </c>
      <c r="AB1078" s="30" t="s">
        <v>24</v>
      </c>
      <c r="AC1078" s="27"/>
      <c r="AD1078" s="31" t="s">
        <v>25</v>
      </c>
      <c r="AE1078" s="32" t="str">
        <f t="shared" si="82"/>
        <v>✓ OK</v>
      </c>
      <c r="AF1078" s="33" t="s">
        <v>27</v>
      </c>
      <c r="AG1078" s="33" t="s">
        <v>23</v>
      </c>
      <c r="AH1078" s="33" t="s">
        <v>24</v>
      </c>
      <c r="AI1078" s="33" t="s">
        <v>25</v>
      </c>
      <c r="AJ1078" s="33" t="s">
        <v>26</v>
      </c>
      <c r="AK1078" s="33" t="s">
        <v>24</v>
      </c>
      <c r="AL1078" s="27"/>
      <c r="AM1078" s="34" t="s">
        <v>25</v>
      </c>
      <c r="AN1078" s="35" t="str">
        <f t="shared" si="83"/>
        <v>✓ OK</v>
      </c>
      <c r="AO1078" s="36"/>
      <c r="AP1078" s="36"/>
      <c r="AQ1078" s="36"/>
      <c r="AR1078" s="36"/>
      <c r="AS1078" s="36"/>
      <c r="AT1078" s="36"/>
      <c r="AU1078" s="27"/>
      <c r="AV1078" s="37"/>
      <c r="AW1078" s="38" t="str">
        <f t="shared" si="84"/>
        <v/>
      </c>
    </row>
    <row r="1079" spans="1:49" ht="18" customHeight="1" x14ac:dyDescent="0.3">
      <c r="A1079" s="23">
        <v>1075</v>
      </c>
      <c r="B1079" s="24" t="s">
        <v>3998</v>
      </c>
      <c r="C1079" s="25" t="s">
        <v>3999</v>
      </c>
      <c r="D1079" s="23" t="s">
        <v>4000</v>
      </c>
      <c r="E1079" s="43">
        <v>46125</v>
      </c>
      <c r="F1079" s="26" t="s">
        <v>23</v>
      </c>
      <c r="G1079" s="26" t="s">
        <v>24</v>
      </c>
      <c r="H1079" s="26" t="s">
        <v>25</v>
      </c>
      <c r="I1079" s="26" t="s">
        <v>26</v>
      </c>
      <c r="J1079" s="26" t="s">
        <v>24</v>
      </c>
      <c r="K1079" s="27"/>
      <c r="L1079" s="28" t="s">
        <v>25</v>
      </c>
      <c r="M1079" s="29" t="str">
        <f t="shared" si="80"/>
        <v>✓ OK</v>
      </c>
      <c r="N1079" s="43">
        <v>46193</v>
      </c>
      <c r="O1079" s="26" t="s">
        <v>23</v>
      </c>
      <c r="P1079" s="26" t="s">
        <v>24</v>
      </c>
      <c r="Q1079" s="26" t="s">
        <v>25</v>
      </c>
      <c r="R1079" s="26" t="s">
        <v>26</v>
      </c>
      <c r="S1079" s="26" t="s">
        <v>24</v>
      </c>
      <c r="T1079" s="27"/>
      <c r="U1079" s="28" t="s">
        <v>25</v>
      </c>
      <c r="V1079" s="29" t="str">
        <f t="shared" si="81"/>
        <v>✓ OK</v>
      </c>
      <c r="W1079" s="45">
        <v>46248</v>
      </c>
      <c r="X1079" s="30" t="s">
        <v>23</v>
      </c>
      <c r="Y1079" s="30" t="s">
        <v>24</v>
      </c>
      <c r="Z1079" s="30" t="s">
        <v>25</v>
      </c>
      <c r="AA1079" s="30" t="s">
        <v>26</v>
      </c>
      <c r="AB1079" s="30" t="s">
        <v>24</v>
      </c>
      <c r="AC1079" s="27"/>
      <c r="AD1079" s="31" t="s">
        <v>25</v>
      </c>
      <c r="AE1079" s="32" t="str">
        <f t="shared" si="82"/>
        <v>✓ OK</v>
      </c>
      <c r="AF1079" s="33" t="s">
        <v>27</v>
      </c>
      <c r="AG1079" s="33" t="s">
        <v>23</v>
      </c>
      <c r="AH1079" s="33" t="s">
        <v>24</v>
      </c>
      <c r="AI1079" s="33" t="s">
        <v>25</v>
      </c>
      <c r="AJ1079" s="33" t="s">
        <v>26</v>
      </c>
      <c r="AK1079" s="33" t="s">
        <v>24</v>
      </c>
      <c r="AL1079" s="27"/>
      <c r="AM1079" s="34" t="s">
        <v>25</v>
      </c>
      <c r="AN1079" s="35" t="str">
        <f t="shared" si="83"/>
        <v>✓ OK</v>
      </c>
      <c r="AO1079" s="36"/>
      <c r="AP1079" s="36"/>
      <c r="AQ1079" s="36"/>
      <c r="AR1079" s="36"/>
      <c r="AS1079" s="36"/>
      <c r="AT1079" s="36"/>
      <c r="AU1079" s="27"/>
      <c r="AV1079" s="37"/>
      <c r="AW1079" s="38" t="str">
        <f t="shared" si="84"/>
        <v/>
      </c>
    </row>
    <row r="1080" spans="1:49" ht="18" customHeight="1" x14ac:dyDescent="0.3">
      <c r="A1080" s="39">
        <v>1076</v>
      </c>
      <c r="B1080" s="40" t="s">
        <v>4001</v>
      </c>
      <c r="C1080" s="41" t="s">
        <v>4002</v>
      </c>
      <c r="D1080" s="39" t="s">
        <v>4000</v>
      </c>
      <c r="E1080" s="43">
        <v>46125</v>
      </c>
      <c r="F1080" s="26" t="s">
        <v>23</v>
      </c>
      <c r="G1080" s="26" t="s">
        <v>24</v>
      </c>
      <c r="H1080" s="26" t="s">
        <v>25</v>
      </c>
      <c r="I1080" s="26" t="s">
        <v>26</v>
      </c>
      <c r="J1080" s="26" t="s">
        <v>24</v>
      </c>
      <c r="K1080" s="27"/>
      <c r="L1080" s="28" t="s">
        <v>25</v>
      </c>
      <c r="M1080" s="29" t="str">
        <f t="shared" si="80"/>
        <v>✓ OK</v>
      </c>
      <c r="N1080" s="43">
        <v>46193</v>
      </c>
      <c r="O1080" s="26" t="s">
        <v>23</v>
      </c>
      <c r="P1080" s="26" t="s">
        <v>24</v>
      </c>
      <c r="Q1080" s="26" t="s">
        <v>25</v>
      </c>
      <c r="R1080" s="26" t="s">
        <v>26</v>
      </c>
      <c r="S1080" s="26" t="s">
        <v>24</v>
      </c>
      <c r="T1080" s="27"/>
      <c r="U1080" s="28" t="s">
        <v>25</v>
      </c>
      <c r="V1080" s="29" t="str">
        <f t="shared" si="81"/>
        <v>✓ OK</v>
      </c>
      <c r="W1080" s="45">
        <v>46248</v>
      </c>
      <c r="X1080" s="30" t="s">
        <v>23</v>
      </c>
      <c r="Y1080" s="30" t="s">
        <v>24</v>
      </c>
      <c r="Z1080" s="30" t="s">
        <v>25</v>
      </c>
      <c r="AA1080" s="30" t="s">
        <v>26</v>
      </c>
      <c r="AB1080" s="30" t="s">
        <v>24</v>
      </c>
      <c r="AC1080" s="27"/>
      <c r="AD1080" s="31" t="s">
        <v>25</v>
      </c>
      <c r="AE1080" s="32" t="str">
        <f t="shared" si="82"/>
        <v>✓ OK</v>
      </c>
      <c r="AF1080" s="33" t="s">
        <v>27</v>
      </c>
      <c r="AG1080" s="33" t="s">
        <v>23</v>
      </c>
      <c r="AH1080" s="33" t="s">
        <v>24</v>
      </c>
      <c r="AI1080" s="33" t="s">
        <v>25</v>
      </c>
      <c r="AJ1080" s="33" t="s">
        <v>26</v>
      </c>
      <c r="AK1080" s="33" t="s">
        <v>24</v>
      </c>
      <c r="AL1080" s="27"/>
      <c r="AM1080" s="34" t="s">
        <v>25</v>
      </c>
      <c r="AN1080" s="35" t="str">
        <f t="shared" si="83"/>
        <v>✓ OK</v>
      </c>
      <c r="AO1080" s="36"/>
      <c r="AP1080" s="36"/>
      <c r="AQ1080" s="36"/>
      <c r="AR1080" s="36"/>
      <c r="AS1080" s="36"/>
      <c r="AT1080" s="36"/>
      <c r="AU1080" s="27"/>
      <c r="AV1080" s="37"/>
      <c r="AW1080" s="38" t="str">
        <f t="shared" si="84"/>
        <v/>
      </c>
    </row>
    <row r="1081" spans="1:49" ht="18" customHeight="1" x14ac:dyDescent="0.3">
      <c r="A1081" s="23">
        <v>1077</v>
      </c>
      <c r="B1081" s="24" t="s">
        <v>4003</v>
      </c>
      <c r="C1081" s="25" t="s">
        <v>4004</v>
      </c>
      <c r="D1081" s="23" t="s">
        <v>4000</v>
      </c>
      <c r="E1081" s="43">
        <v>46125</v>
      </c>
      <c r="F1081" s="26" t="s">
        <v>23</v>
      </c>
      <c r="G1081" s="26" t="s">
        <v>24</v>
      </c>
      <c r="H1081" s="26" t="s">
        <v>25</v>
      </c>
      <c r="I1081" s="26" t="s">
        <v>26</v>
      </c>
      <c r="J1081" s="26" t="s">
        <v>24</v>
      </c>
      <c r="K1081" s="27"/>
      <c r="L1081" s="28" t="s">
        <v>25</v>
      </c>
      <c r="M1081" s="29" t="str">
        <f t="shared" si="80"/>
        <v>✓ OK</v>
      </c>
      <c r="N1081" s="43">
        <v>46193</v>
      </c>
      <c r="O1081" s="26" t="s">
        <v>23</v>
      </c>
      <c r="P1081" s="26" t="s">
        <v>24</v>
      </c>
      <c r="Q1081" s="26" t="s">
        <v>25</v>
      </c>
      <c r="R1081" s="26" t="s">
        <v>26</v>
      </c>
      <c r="S1081" s="26" t="s">
        <v>24</v>
      </c>
      <c r="T1081" s="27"/>
      <c r="U1081" s="28" t="s">
        <v>25</v>
      </c>
      <c r="V1081" s="29" t="str">
        <f t="shared" si="81"/>
        <v>✓ OK</v>
      </c>
      <c r="W1081" s="45">
        <v>46248</v>
      </c>
      <c r="X1081" s="30" t="s">
        <v>23</v>
      </c>
      <c r="Y1081" s="30" t="s">
        <v>24</v>
      </c>
      <c r="Z1081" s="30" t="s">
        <v>25</v>
      </c>
      <c r="AA1081" s="30" t="s">
        <v>26</v>
      </c>
      <c r="AB1081" s="30" t="s">
        <v>24</v>
      </c>
      <c r="AC1081" s="27"/>
      <c r="AD1081" s="31" t="s">
        <v>25</v>
      </c>
      <c r="AE1081" s="32" t="str">
        <f t="shared" si="82"/>
        <v>✓ OK</v>
      </c>
      <c r="AF1081" s="33" t="s">
        <v>27</v>
      </c>
      <c r="AG1081" s="33" t="s">
        <v>23</v>
      </c>
      <c r="AH1081" s="33" t="s">
        <v>24</v>
      </c>
      <c r="AI1081" s="33" t="s">
        <v>25</v>
      </c>
      <c r="AJ1081" s="33" t="s">
        <v>26</v>
      </c>
      <c r="AK1081" s="33" t="s">
        <v>24</v>
      </c>
      <c r="AL1081" s="27"/>
      <c r="AM1081" s="34" t="s">
        <v>25</v>
      </c>
      <c r="AN1081" s="35" t="str">
        <f t="shared" si="83"/>
        <v>✓ OK</v>
      </c>
      <c r="AO1081" s="36"/>
      <c r="AP1081" s="36"/>
      <c r="AQ1081" s="36"/>
      <c r="AR1081" s="36"/>
      <c r="AS1081" s="36"/>
      <c r="AT1081" s="36"/>
      <c r="AU1081" s="27"/>
      <c r="AV1081" s="37"/>
      <c r="AW1081" s="38" t="str">
        <f t="shared" si="84"/>
        <v/>
      </c>
    </row>
    <row r="1082" spans="1:49" ht="18" customHeight="1" x14ac:dyDescent="0.3">
      <c r="A1082" s="39">
        <v>1078</v>
      </c>
      <c r="B1082" s="40" t="s">
        <v>4005</v>
      </c>
      <c r="C1082" s="41" t="s">
        <v>4006</v>
      </c>
      <c r="D1082" s="39" t="s">
        <v>4000</v>
      </c>
      <c r="E1082" s="43">
        <v>46125</v>
      </c>
      <c r="F1082" s="26" t="s">
        <v>23</v>
      </c>
      <c r="G1082" s="26" t="s">
        <v>24</v>
      </c>
      <c r="H1082" s="26" t="s">
        <v>25</v>
      </c>
      <c r="I1082" s="26" t="s">
        <v>26</v>
      </c>
      <c r="J1082" s="26" t="s">
        <v>24</v>
      </c>
      <c r="K1082" s="27"/>
      <c r="L1082" s="28" t="s">
        <v>25</v>
      </c>
      <c r="M1082" s="29" t="str">
        <f t="shared" si="80"/>
        <v>✓ OK</v>
      </c>
      <c r="N1082" s="43">
        <v>46193</v>
      </c>
      <c r="O1082" s="26" t="s">
        <v>23</v>
      </c>
      <c r="P1082" s="26" t="s">
        <v>24</v>
      </c>
      <c r="Q1082" s="26" t="s">
        <v>25</v>
      </c>
      <c r="R1082" s="26" t="s">
        <v>26</v>
      </c>
      <c r="S1082" s="26" t="s">
        <v>24</v>
      </c>
      <c r="T1082" s="27"/>
      <c r="U1082" s="28" t="s">
        <v>25</v>
      </c>
      <c r="V1082" s="29" t="str">
        <f t="shared" si="81"/>
        <v>✓ OK</v>
      </c>
      <c r="W1082" s="45">
        <v>46248</v>
      </c>
      <c r="X1082" s="30" t="s">
        <v>23</v>
      </c>
      <c r="Y1082" s="30" t="s">
        <v>24</v>
      </c>
      <c r="Z1082" s="30" t="s">
        <v>25</v>
      </c>
      <c r="AA1082" s="30" t="s">
        <v>26</v>
      </c>
      <c r="AB1082" s="30" t="s">
        <v>24</v>
      </c>
      <c r="AC1082" s="27"/>
      <c r="AD1082" s="31" t="s">
        <v>25</v>
      </c>
      <c r="AE1082" s="32" t="str">
        <f t="shared" si="82"/>
        <v>✓ OK</v>
      </c>
      <c r="AF1082" s="33" t="s">
        <v>27</v>
      </c>
      <c r="AG1082" s="33" t="s">
        <v>23</v>
      </c>
      <c r="AH1082" s="33" t="s">
        <v>24</v>
      </c>
      <c r="AI1082" s="33" t="s">
        <v>25</v>
      </c>
      <c r="AJ1082" s="33" t="s">
        <v>26</v>
      </c>
      <c r="AK1082" s="33" t="s">
        <v>24</v>
      </c>
      <c r="AL1082" s="27"/>
      <c r="AM1082" s="34" t="s">
        <v>25</v>
      </c>
      <c r="AN1082" s="35" t="str">
        <f t="shared" si="83"/>
        <v>✓ OK</v>
      </c>
      <c r="AO1082" s="36"/>
      <c r="AP1082" s="36"/>
      <c r="AQ1082" s="36"/>
      <c r="AR1082" s="36"/>
      <c r="AS1082" s="36"/>
      <c r="AT1082" s="36"/>
      <c r="AU1082" s="27"/>
      <c r="AV1082" s="37"/>
      <c r="AW1082" s="38" t="str">
        <f t="shared" si="84"/>
        <v/>
      </c>
    </row>
    <row r="1083" spans="1:49" ht="18" customHeight="1" x14ac:dyDescent="0.3">
      <c r="A1083" s="23">
        <v>1079</v>
      </c>
      <c r="B1083" s="24" t="s">
        <v>4007</v>
      </c>
      <c r="C1083" s="25" t="s">
        <v>4008</v>
      </c>
      <c r="D1083" s="23" t="s">
        <v>4000</v>
      </c>
      <c r="E1083" s="43">
        <v>46125</v>
      </c>
      <c r="F1083" s="26" t="s">
        <v>23</v>
      </c>
      <c r="G1083" s="26" t="s">
        <v>24</v>
      </c>
      <c r="H1083" s="26" t="s">
        <v>25</v>
      </c>
      <c r="I1083" s="26" t="s">
        <v>26</v>
      </c>
      <c r="J1083" s="26" t="s">
        <v>24</v>
      </c>
      <c r="K1083" s="27"/>
      <c r="L1083" s="28" t="s">
        <v>25</v>
      </c>
      <c r="M1083" s="29" t="str">
        <f t="shared" si="80"/>
        <v>✓ OK</v>
      </c>
      <c r="N1083" s="43">
        <v>46193</v>
      </c>
      <c r="O1083" s="26" t="s">
        <v>23</v>
      </c>
      <c r="P1083" s="26" t="s">
        <v>24</v>
      </c>
      <c r="Q1083" s="26" t="s">
        <v>25</v>
      </c>
      <c r="R1083" s="26" t="s">
        <v>26</v>
      </c>
      <c r="S1083" s="26" t="s">
        <v>24</v>
      </c>
      <c r="T1083" s="27"/>
      <c r="U1083" s="28" t="s">
        <v>25</v>
      </c>
      <c r="V1083" s="29" t="str">
        <f t="shared" si="81"/>
        <v>✓ OK</v>
      </c>
      <c r="W1083" s="45">
        <v>46248</v>
      </c>
      <c r="X1083" s="30" t="s">
        <v>23</v>
      </c>
      <c r="Y1083" s="30" t="s">
        <v>24</v>
      </c>
      <c r="Z1083" s="30" t="s">
        <v>25</v>
      </c>
      <c r="AA1083" s="30" t="s">
        <v>26</v>
      </c>
      <c r="AB1083" s="30" t="s">
        <v>24</v>
      </c>
      <c r="AC1083" s="27"/>
      <c r="AD1083" s="31" t="s">
        <v>25</v>
      </c>
      <c r="AE1083" s="32" t="str">
        <f t="shared" si="82"/>
        <v>✓ OK</v>
      </c>
      <c r="AF1083" s="33" t="s">
        <v>27</v>
      </c>
      <c r="AG1083" s="33" t="s">
        <v>23</v>
      </c>
      <c r="AH1083" s="33" t="s">
        <v>24</v>
      </c>
      <c r="AI1083" s="33" t="s">
        <v>25</v>
      </c>
      <c r="AJ1083" s="33" t="s">
        <v>26</v>
      </c>
      <c r="AK1083" s="33" t="s">
        <v>24</v>
      </c>
      <c r="AL1083" s="27"/>
      <c r="AM1083" s="34" t="s">
        <v>25</v>
      </c>
      <c r="AN1083" s="35" t="str">
        <f t="shared" si="83"/>
        <v>✓ OK</v>
      </c>
      <c r="AO1083" s="36"/>
      <c r="AP1083" s="36"/>
      <c r="AQ1083" s="36"/>
      <c r="AR1083" s="36"/>
      <c r="AS1083" s="36"/>
      <c r="AT1083" s="36"/>
      <c r="AU1083" s="27"/>
      <c r="AV1083" s="37"/>
      <c r="AW1083" s="38" t="str">
        <f t="shared" si="84"/>
        <v/>
      </c>
    </row>
    <row r="1084" spans="1:49" ht="18" customHeight="1" x14ac:dyDescent="0.3">
      <c r="A1084" s="39">
        <v>1080</v>
      </c>
      <c r="B1084" s="40" t="s">
        <v>4009</v>
      </c>
      <c r="C1084" s="41" t="s">
        <v>4010</v>
      </c>
      <c r="D1084" s="39" t="s">
        <v>4000</v>
      </c>
      <c r="E1084" s="43">
        <v>46125</v>
      </c>
      <c r="F1084" s="26" t="s">
        <v>23</v>
      </c>
      <c r="G1084" s="26" t="s">
        <v>24</v>
      </c>
      <c r="H1084" s="26" t="s">
        <v>25</v>
      </c>
      <c r="I1084" s="26" t="s">
        <v>26</v>
      </c>
      <c r="J1084" s="26" t="s">
        <v>24</v>
      </c>
      <c r="K1084" s="27"/>
      <c r="L1084" s="28" t="s">
        <v>25</v>
      </c>
      <c r="M1084" s="29" t="str">
        <f t="shared" si="80"/>
        <v>✓ OK</v>
      </c>
      <c r="N1084" s="43">
        <v>46193</v>
      </c>
      <c r="O1084" s="26" t="s">
        <v>23</v>
      </c>
      <c r="P1084" s="26" t="s">
        <v>24</v>
      </c>
      <c r="Q1084" s="26" t="s">
        <v>25</v>
      </c>
      <c r="R1084" s="26" t="s">
        <v>26</v>
      </c>
      <c r="S1084" s="26" t="s">
        <v>24</v>
      </c>
      <c r="T1084" s="27"/>
      <c r="U1084" s="28" t="s">
        <v>25</v>
      </c>
      <c r="V1084" s="29" t="str">
        <f t="shared" si="81"/>
        <v>✓ OK</v>
      </c>
      <c r="W1084" s="45">
        <v>46248</v>
      </c>
      <c r="X1084" s="30" t="s">
        <v>23</v>
      </c>
      <c r="Y1084" s="30" t="s">
        <v>24</v>
      </c>
      <c r="Z1084" s="30" t="s">
        <v>25</v>
      </c>
      <c r="AA1084" s="30" t="s">
        <v>26</v>
      </c>
      <c r="AB1084" s="30" t="s">
        <v>24</v>
      </c>
      <c r="AC1084" s="27"/>
      <c r="AD1084" s="31" t="s">
        <v>25</v>
      </c>
      <c r="AE1084" s="32" t="str">
        <f t="shared" si="82"/>
        <v>✓ OK</v>
      </c>
      <c r="AF1084" s="33" t="s">
        <v>27</v>
      </c>
      <c r="AG1084" s="33" t="s">
        <v>23</v>
      </c>
      <c r="AH1084" s="33" t="s">
        <v>24</v>
      </c>
      <c r="AI1084" s="33" t="s">
        <v>25</v>
      </c>
      <c r="AJ1084" s="33" t="s">
        <v>26</v>
      </c>
      <c r="AK1084" s="33" t="s">
        <v>24</v>
      </c>
      <c r="AL1084" s="27"/>
      <c r="AM1084" s="34" t="s">
        <v>25</v>
      </c>
      <c r="AN1084" s="35" t="str">
        <f t="shared" si="83"/>
        <v>✓ OK</v>
      </c>
      <c r="AO1084" s="36"/>
      <c r="AP1084" s="36"/>
      <c r="AQ1084" s="36"/>
      <c r="AR1084" s="36"/>
      <c r="AS1084" s="36"/>
      <c r="AT1084" s="36"/>
      <c r="AU1084" s="27"/>
      <c r="AV1084" s="37"/>
      <c r="AW1084" s="38" t="str">
        <f t="shared" si="84"/>
        <v/>
      </c>
    </row>
    <row r="1085" spans="1:49" ht="18" customHeight="1" x14ac:dyDescent="0.3">
      <c r="A1085" s="23">
        <v>1081</v>
      </c>
      <c r="B1085" s="24" t="s">
        <v>4011</v>
      </c>
      <c r="C1085" s="25" t="s">
        <v>4012</v>
      </c>
      <c r="D1085" s="23" t="s">
        <v>4000</v>
      </c>
      <c r="E1085" s="43">
        <v>46125</v>
      </c>
      <c r="F1085" s="26" t="s">
        <v>23</v>
      </c>
      <c r="G1085" s="26" t="s">
        <v>24</v>
      </c>
      <c r="H1085" s="26" t="s">
        <v>25</v>
      </c>
      <c r="I1085" s="26" t="s">
        <v>26</v>
      </c>
      <c r="J1085" s="26" t="s">
        <v>24</v>
      </c>
      <c r="K1085" s="27"/>
      <c r="L1085" s="28" t="s">
        <v>25</v>
      </c>
      <c r="M1085" s="29" t="str">
        <f t="shared" si="80"/>
        <v>✓ OK</v>
      </c>
      <c r="N1085" s="43">
        <v>46193</v>
      </c>
      <c r="O1085" s="26" t="s">
        <v>23</v>
      </c>
      <c r="P1085" s="26" t="s">
        <v>24</v>
      </c>
      <c r="Q1085" s="26" t="s">
        <v>25</v>
      </c>
      <c r="R1085" s="26" t="s">
        <v>26</v>
      </c>
      <c r="S1085" s="26" t="s">
        <v>24</v>
      </c>
      <c r="T1085" s="27"/>
      <c r="U1085" s="28" t="s">
        <v>25</v>
      </c>
      <c r="V1085" s="29" t="str">
        <f t="shared" si="81"/>
        <v>✓ OK</v>
      </c>
      <c r="W1085" s="45">
        <v>46248</v>
      </c>
      <c r="X1085" s="30" t="s">
        <v>23</v>
      </c>
      <c r="Y1085" s="30" t="s">
        <v>24</v>
      </c>
      <c r="Z1085" s="30" t="s">
        <v>25</v>
      </c>
      <c r="AA1085" s="30" t="s">
        <v>26</v>
      </c>
      <c r="AB1085" s="30" t="s">
        <v>24</v>
      </c>
      <c r="AC1085" s="27"/>
      <c r="AD1085" s="31" t="s">
        <v>25</v>
      </c>
      <c r="AE1085" s="32" t="str">
        <f t="shared" si="82"/>
        <v>✓ OK</v>
      </c>
      <c r="AF1085" s="33" t="s">
        <v>27</v>
      </c>
      <c r="AG1085" s="33" t="s">
        <v>23</v>
      </c>
      <c r="AH1085" s="33" t="s">
        <v>24</v>
      </c>
      <c r="AI1085" s="33" t="s">
        <v>25</v>
      </c>
      <c r="AJ1085" s="33" t="s">
        <v>26</v>
      </c>
      <c r="AK1085" s="33" t="s">
        <v>24</v>
      </c>
      <c r="AL1085" s="27"/>
      <c r="AM1085" s="34" t="s">
        <v>25</v>
      </c>
      <c r="AN1085" s="35" t="str">
        <f t="shared" si="83"/>
        <v>✓ OK</v>
      </c>
      <c r="AO1085" s="36"/>
      <c r="AP1085" s="36"/>
      <c r="AQ1085" s="36"/>
      <c r="AR1085" s="36"/>
      <c r="AS1085" s="36"/>
      <c r="AT1085" s="36"/>
      <c r="AU1085" s="27"/>
      <c r="AV1085" s="37"/>
      <c r="AW1085" s="38" t="str">
        <f t="shared" si="84"/>
        <v/>
      </c>
    </row>
    <row r="1086" spans="1:49" ht="18" customHeight="1" x14ac:dyDescent="0.3">
      <c r="A1086" s="39">
        <v>1082</v>
      </c>
      <c r="B1086" s="40" t="s">
        <v>4013</v>
      </c>
      <c r="C1086" s="41" t="s">
        <v>4014</v>
      </c>
      <c r="D1086" s="39" t="s">
        <v>4000</v>
      </c>
      <c r="E1086" s="43">
        <v>46125</v>
      </c>
      <c r="F1086" s="26" t="s">
        <v>23</v>
      </c>
      <c r="G1086" s="26" t="s">
        <v>24</v>
      </c>
      <c r="H1086" s="26" t="s">
        <v>25</v>
      </c>
      <c r="I1086" s="26" t="s">
        <v>26</v>
      </c>
      <c r="J1086" s="26" t="s">
        <v>24</v>
      </c>
      <c r="K1086" s="27"/>
      <c r="L1086" s="28" t="s">
        <v>25</v>
      </c>
      <c r="M1086" s="29" t="str">
        <f t="shared" si="80"/>
        <v>✓ OK</v>
      </c>
      <c r="N1086" s="43">
        <v>46193</v>
      </c>
      <c r="O1086" s="26" t="s">
        <v>23</v>
      </c>
      <c r="P1086" s="26" t="s">
        <v>24</v>
      </c>
      <c r="Q1086" s="26" t="s">
        <v>25</v>
      </c>
      <c r="R1086" s="26" t="s">
        <v>26</v>
      </c>
      <c r="S1086" s="26" t="s">
        <v>24</v>
      </c>
      <c r="T1086" s="27"/>
      <c r="U1086" s="28" t="s">
        <v>25</v>
      </c>
      <c r="V1086" s="29" t="str">
        <f t="shared" si="81"/>
        <v>✓ OK</v>
      </c>
      <c r="W1086" s="45">
        <v>46248</v>
      </c>
      <c r="X1086" s="30" t="s">
        <v>23</v>
      </c>
      <c r="Y1086" s="30" t="s">
        <v>24</v>
      </c>
      <c r="Z1086" s="30" t="s">
        <v>25</v>
      </c>
      <c r="AA1086" s="30" t="s">
        <v>26</v>
      </c>
      <c r="AB1086" s="30" t="s">
        <v>24</v>
      </c>
      <c r="AC1086" s="27"/>
      <c r="AD1086" s="31" t="s">
        <v>25</v>
      </c>
      <c r="AE1086" s="32" t="str">
        <f t="shared" si="82"/>
        <v>✓ OK</v>
      </c>
      <c r="AF1086" s="33" t="s">
        <v>27</v>
      </c>
      <c r="AG1086" s="33" t="s">
        <v>23</v>
      </c>
      <c r="AH1086" s="33" t="s">
        <v>24</v>
      </c>
      <c r="AI1086" s="33" t="s">
        <v>25</v>
      </c>
      <c r="AJ1086" s="33" t="s">
        <v>26</v>
      </c>
      <c r="AK1086" s="33" t="s">
        <v>24</v>
      </c>
      <c r="AL1086" s="27"/>
      <c r="AM1086" s="34" t="s">
        <v>25</v>
      </c>
      <c r="AN1086" s="35" t="str">
        <f t="shared" si="83"/>
        <v>✓ OK</v>
      </c>
      <c r="AO1086" s="36"/>
      <c r="AP1086" s="36"/>
      <c r="AQ1086" s="36"/>
      <c r="AR1086" s="36"/>
      <c r="AS1086" s="36"/>
      <c r="AT1086" s="36"/>
      <c r="AU1086" s="27"/>
      <c r="AV1086" s="37"/>
      <c r="AW1086" s="38" t="str">
        <f t="shared" si="84"/>
        <v/>
      </c>
    </row>
    <row r="1087" spans="1:49" ht="18" customHeight="1" x14ac:dyDescent="0.3">
      <c r="A1087" s="23">
        <v>1083</v>
      </c>
      <c r="B1087" s="24" t="s">
        <v>4015</v>
      </c>
      <c r="C1087" s="25" t="s">
        <v>4016</v>
      </c>
      <c r="D1087" s="23" t="s">
        <v>4000</v>
      </c>
      <c r="E1087" s="43">
        <v>46125</v>
      </c>
      <c r="F1087" s="26" t="s">
        <v>23</v>
      </c>
      <c r="G1087" s="26" t="s">
        <v>24</v>
      </c>
      <c r="H1087" s="26" t="s">
        <v>25</v>
      </c>
      <c r="I1087" s="26" t="s">
        <v>26</v>
      </c>
      <c r="J1087" s="26" t="s">
        <v>24</v>
      </c>
      <c r="K1087" s="27"/>
      <c r="L1087" s="28" t="s">
        <v>25</v>
      </c>
      <c r="M1087" s="29" t="str">
        <f t="shared" si="80"/>
        <v>✓ OK</v>
      </c>
      <c r="N1087" s="43">
        <v>46193</v>
      </c>
      <c r="O1087" s="26" t="s">
        <v>23</v>
      </c>
      <c r="P1087" s="26" t="s">
        <v>24</v>
      </c>
      <c r="Q1087" s="26" t="s">
        <v>25</v>
      </c>
      <c r="R1087" s="26" t="s">
        <v>26</v>
      </c>
      <c r="S1087" s="26" t="s">
        <v>24</v>
      </c>
      <c r="T1087" s="27"/>
      <c r="U1087" s="28" t="s">
        <v>25</v>
      </c>
      <c r="V1087" s="29" t="str">
        <f t="shared" si="81"/>
        <v>✓ OK</v>
      </c>
      <c r="W1087" s="45">
        <v>46248</v>
      </c>
      <c r="X1087" s="30" t="s">
        <v>23</v>
      </c>
      <c r="Y1087" s="30" t="s">
        <v>24</v>
      </c>
      <c r="Z1087" s="30" t="s">
        <v>25</v>
      </c>
      <c r="AA1087" s="30" t="s">
        <v>26</v>
      </c>
      <c r="AB1087" s="30" t="s">
        <v>24</v>
      </c>
      <c r="AC1087" s="27"/>
      <c r="AD1087" s="31" t="s">
        <v>25</v>
      </c>
      <c r="AE1087" s="32" t="str">
        <f t="shared" si="82"/>
        <v>✓ OK</v>
      </c>
      <c r="AF1087" s="33" t="s">
        <v>27</v>
      </c>
      <c r="AG1087" s="33" t="s">
        <v>23</v>
      </c>
      <c r="AH1087" s="33" t="s">
        <v>24</v>
      </c>
      <c r="AI1087" s="33" t="s">
        <v>25</v>
      </c>
      <c r="AJ1087" s="33" t="s">
        <v>26</v>
      </c>
      <c r="AK1087" s="33" t="s">
        <v>24</v>
      </c>
      <c r="AL1087" s="27"/>
      <c r="AM1087" s="34" t="s">
        <v>25</v>
      </c>
      <c r="AN1087" s="35" t="str">
        <f t="shared" si="83"/>
        <v>✓ OK</v>
      </c>
      <c r="AO1087" s="36"/>
      <c r="AP1087" s="36"/>
      <c r="AQ1087" s="36"/>
      <c r="AR1087" s="36"/>
      <c r="AS1087" s="36"/>
      <c r="AT1087" s="36"/>
      <c r="AU1087" s="27"/>
      <c r="AV1087" s="37"/>
      <c r="AW1087" s="38" t="str">
        <f t="shared" si="84"/>
        <v/>
      </c>
    </row>
    <row r="1088" spans="1:49" ht="18" customHeight="1" x14ac:dyDescent="0.3">
      <c r="A1088" s="39">
        <v>1084</v>
      </c>
      <c r="B1088" s="40" t="s">
        <v>4017</v>
      </c>
      <c r="C1088" s="41" t="s">
        <v>4018</v>
      </c>
      <c r="D1088" s="39" t="s">
        <v>4000</v>
      </c>
      <c r="E1088" s="43">
        <v>46125</v>
      </c>
      <c r="F1088" s="26" t="s">
        <v>23</v>
      </c>
      <c r="G1088" s="26" t="s">
        <v>24</v>
      </c>
      <c r="H1088" s="26" t="s">
        <v>25</v>
      </c>
      <c r="I1088" s="26" t="s">
        <v>26</v>
      </c>
      <c r="J1088" s="26" t="s">
        <v>24</v>
      </c>
      <c r="K1088" s="27"/>
      <c r="L1088" s="28" t="s">
        <v>25</v>
      </c>
      <c r="M1088" s="29" t="str">
        <f t="shared" si="80"/>
        <v>✓ OK</v>
      </c>
      <c r="N1088" s="43">
        <v>46193</v>
      </c>
      <c r="O1088" s="26" t="s">
        <v>23</v>
      </c>
      <c r="P1088" s="26" t="s">
        <v>24</v>
      </c>
      <c r="Q1088" s="26" t="s">
        <v>25</v>
      </c>
      <c r="R1088" s="26" t="s">
        <v>26</v>
      </c>
      <c r="S1088" s="26" t="s">
        <v>24</v>
      </c>
      <c r="T1088" s="27"/>
      <c r="U1088" s="28" t="s">
        <v>25</v>
      </c>
      <c r="V1088" s="29" t="str">
        <f t="shared" si="81"/>
        <v>✓ OK</v>
      </c>
      <c r="W1088" s="45">
        <v>46248</v>
      </c>
      <c r="X1088" s="30" t="s">
        <v>23</v>
      </c>
      <c r="Y1088" s="30" t="s">
        <v>24</v>
      </c>
      <c r="Z1088" s="30" t="s">
        <v>25</v>
      </c>
      <c r="AA1088" s="30" t="s">
        <v>26</v>
      </c>
      <c r="AB1088" s="30" t="s">
        <v>24</v>
      </c>
      <c r="AC1088" s="27"/>
      <c r="AD1088" s="31" t="s">
        <v>25</v>
      </c>
      <c r="AE1088" s="32" t="str">
        <f t="shared" si="82"/>
        <v>✓ OK</v>
      </c>
      <c r="AF1088" s="33" t="s">
        <v>27</v>
      </c>
      <c r="AG1088" s="33" t="s">
        <v>23</v>
      </c>
      <c r="AH1088" s="33" t="s">
        <v>24</v>
      </c>
      <c r="AI1088" s="33" t="s">
        <v>25</v>
      </c>
      <c r="AJ1088" s="33" t="s">
        <v>26</v>
      </c>
      <c r="AK1088" s="33" t="s">
        <v>24</v>
      </c>
      <c r="AL1088" s="27"/>
      <c r="AM1088" s="34" t="s">
        <v>25</v>
      </c>
      <c r="AN1088" s="35" t="str">
        <f t="shared" si="83"/>
        <v>✓ OK</v>
      </c>
      <c r="AO1088" s="36"/>
      <c r="AP1088" s="36"/>
      <c r="AQ1088" s="36"/>
      <c r="AR1088" s="36"/>
      <c r="AS1088" s="36"/>
      <c r="AT1088" s="36"/>
      <c r="AU1088" s="27"/>
      <c r="AV1088" s="37"/>
      <c r="AW1088" s="38" t="str">
        <f t="shared" si="84"/>
        <v/>
      </c>
    </row>
    <row r="1089" spans="1:49" ht="18" customHeight="1" x14ac:dyDescent="0.3">
      <c r="A1089" s="23">
        <v>1085</v>
      </c>
      <c r="B1089" s="24" t="s">
        <v>4019</v>
      </c>
      <c r="C1089" s="25" t="s">
        <v>4020</v>
      </c>
      <c r="D1089" s="23" t="s">
        <v>4000</v>
      </c>
      <c r="E1089" s="43">
        <v>46125</v>
      </c>
      <c r="F1089" s="26" t="s">
        <v>23</v>
      </c>
      <c r="G1089" s="26" t="s">
        <v>24</v>
      </c>
      <c r="H1089" s="26" t="s">
        <v>25</v>
      </c>
      <c r="I1089" s="26" t="s">
        <v>26</v>
      </c>
      <c r="J1089" s="26" t="s">
        <v>24</v>
      </c>
      <c r="K1089" s="27"/>
      <c r="L1089" s="28" t="s">
        <v>25</v>
      </c>
      <c r="M1089" s="29" t="str">
        <f t="shared" si="80"/>
        <v>✓ OK</v>
      </c>
      <c r="N1089" s="43">
        <v>46193</v>
      </c>
      <c r="O1089" s="26" t="s">
        <v>23</v>
      </c>
      <c r="P1089" s="26" t="s">
        <v>24</v>
      </c>
      <c r="Q1089" s="26" t="s">
        <v>25</v>
      </c>
      <c r="R1089" s="26" t="s">
        <v>26</v>
      </c>
      <c r="S1089" s="26" t="s">
        <v>24</v>
      </c>
      <c r="T1089" s="27"/>
      <c r="U1089" s="28" t="s">
        <v>25</v>
      </c>
      <c r="V1089" s="29" t="str">
        <f t="shared" si="81"/>
        <v>✓ OK</v>
      </c>
      <c r="W1089" s="45">
        <v>46248</v>
      </c>
      <c r="X1089" s="30" t="s">
        <v>23</v>
      </c>
      <c r="Y1089" s="30" t="s">
        <v>24</v>
      </c>
      <c r="Z1089" s="30" t="s">
        <v>25</v>
      </c>
      <c r="AA1089" s="30" t="s">
        <v>26</v>
      </c>
      <c r="AB1089" s="30" t="s">
        <v>24</v>
      </c>
      <c r="AC1089" s="27"/>
      <c r="AD1089" s="31" t="s">
        <v>25</v>
      </c>
      <c r="AE1089" s="32" t="str">
        <f t="shared" si="82"/>
        <v>✓ OK</v>
      </c>
      <c r="AF1089" s="33" t="s">
        <v>27</v>
      </c>
      <c r="AG1089" s="33" t="s">
        <v>23</v>
      </c>
      <c r="AH1089" s="33" t="s">
        <v>24</v>
      </c>
      <c r="AI1089" s="33" t="s">
        <v>25</v>
      </c>
      <c r="AJ1089" s="33" t="s">
        <v>26</v>
      </c>
      <c r="AK1089" s="33" t="s">
        <v>24</v>
      </c>
      <c r="AL1089" s="27"/>
      <c r="AM1089" s="34" t="s">
        <v>25</v>
      </c>
      <c r="AN1089" s="35" t="str">
        <f t="shared" si="83"/>
        <v>✓ OK</v>
      </c>
      <c r="AO1089" s="36"/>
      <c r="AP1089" s="36"/>
      <c r="AQ1089" s="36"/>
      <c r="AR1089" s="36"/>
      <c r="AS1089" s="36"/>
      <c r="AT1089" s="36"/>
      <c r="AU1089" s="27"/>
      <c r="AV1089" s="37"/>
      <c r="AW1089" s="38" t="str">
        <f t="shared" si="84"/>
        <v/>
      </c>
    </row>
    <row r="1090" spans="1:49" ht="18" customHeight="1" x14ac:dyDescent="0.3">
      <c r="A1090" s="39">
        <v>1086</v>
      </c>
      <c r="B1090" s="40" t="s">
        <v>4021</v>
      </c>
      <c r="C1090" s="41" t="s">
        <v>4022</v>
      </c>
      <c r="D1090" s="39" t="s">
        <v>4000</v>
      </c>
      <c r="E1090" s="43">
        <v>46125</v>
      </c>
      <c r="F1090" s="26" t="s">
        <v>23</v>
      </c>
      <c r="G1090" s="26" t="s">
        <v>24</v>
      </c>
      <c r="H1090" s="26" t="s">
        <v>25</v>
      </c>
      <c r="I1090" s="26" t="s">
        <v>26</v>
      </c>
      <c r="J1090" s="26" t="s">
        <v>24</v>
      </c>
      <c r="K1090" s="27"/>
      <c r="L1090" s="28" t="s">
        <v>25</v>
      </c>
      <c r="M1090" s="29" t="str">
        <f t="shared" si="80"/>
        <v>✓ OK</v>
      </c>
      <c r="N1090" s="43">
        <v>46193</v>
      </c>
      <c r="O1090" s="26" t="s">
        <v>23</v>
      </c>
      <c r="P1090" s="26" t="s">
        <v>24</v>
      </c>
      <c r="Q1090" s="26" t="s">
        <v>25</v>
      </c>
      <c r="R1090" s="26" t="s">
        <v>26</v>
      </c>
      <c r="S1090" s="26" t="s">
        <v>24</v>
      </c>
      <c r="T1090" s="27"/>
      <c r="U1090" s="28" t="s">
        <v>25</v>
      </c>
      <c r="V1090" s="29" t="str">
        <f t="shared" si="81"/>
        <v>✓ OK</v>
      </c>
      <c r="W1090" s="45">
        <v>46248</v>
      </c>
      <c r="X1090" s="30" t="s">
        <v>23</v>
      </c>
      <c r="Y1090" s="30" t="s">
        <v>24</v>
      </c>
      <c r="Z1090" s="30" t="s">
        <v>25</v>
      </c>
      <c r="AA1090" s="30" t="s">
        <v>26</v>
      </c>
      <c r="AB1090" s="30" t="s">
        <v>24</v>
      </c>
      <c r="AC1090" s="27"/>
      <c r="AD1090" s="31" t="s">
        <v>25</v>
      </c>
      <c r="AE1090" s="32" t="str">
        <f t="shared" si="82"/>
        <v>✓ OK</v>
      </c>
      <c r="AF1090" s="33" t="s">
        <v>27</v>
      </c>
      <c r="AG1090" s="33" t="s">
        <v>23</v>
      </c>
      <c r="AH1090" s="33" t="s">
        <v>24</v>
      </c>
      <c r="AI1090" s="33" t="s">
        <v>25</v>
      </c>
      <c r="AJ1090" s="33" t="s">
        <v>26</v>
      </c>
      <c r="AK1090" s="33" t="s">
        <v>24</v>
      </c>
      <c r="AL1090" s="27"/>
      <c r="AM1090" s="34" t="s">
        <v>25</v>
      </c>
      <c r="AN1090" s="35" t="str">
        <f t="shared" si="83"/>
        <v>✓ OK</v>
      </c>
      <c r="AO1090" s="36"/>
      <c r="AP1090" s="36"/>
      <c r="AQ1090" s="36"/>
      <c r="AR1090" s="36"/>
      <c r="AS1090" s="36"/>
      <c r="AT1090" s="36"/>
      <c r="AU1090" s="27"/>
      <c r="AV1090" s="37"/>
      <c r="AW1090" s="38" t="str">
        <f t="shared" si="84"/>
        <v/>
      </c>
    </row>
    <row r="1091" spans="1:49" ht="18" customHeight="1" x14ac:dyDescent="0.3">
      <c r="A1091" s="23">
        <v>1087</v>
      </c>
      <c r="B1091" s="24" t="s">
        <v>4023</v>
      </c>
      <c r="C1091" s="25" t="s">
        <v>4024</v>
      </c>
      <c r="D1091" s="23" t="s">
        <v>4000</v>
      </c>
      <c r="E1091" s="43">
        <v>46125</v>
      </c>
      <c r="F1091" s="26" t="s">
        <v>23</v>
      </c>
      <c r="G1091" s="26" t="s">
        <v>24</v>
      </c>
      <c r="H1091" s="26" t="s">
        <v>25</v>
      </c>
      <c r="I1091" s="26" t="s">
        <v>26</v>
      </c>
      <c r="J1091" s="26" t="s">
        <v>24</v>
      </c>
      <c r="K1091" s="27"/>
      <c r="L1091" s="28" t="s">
        <v>25</v>
      </c>
      <c r="M1091" s="29" t="str">
        <f t="shared" si="80"/>
        <v>✓ OK</v>
      </c>
      <c r="N1091" s="43">
        <v>46193</v>
      </c>
      <c r="O1091" s="26" t="s">
        <v>23</v>
      </c>
      <c r="P1091" s="26" t="s">
        <v>24</v>
      </c>
      <c r="Q1091" s="26" t="s">
        <v>25</v>
      </c>
      <c r="R1091" s="26" t="s">
        <v>26</v>
      </c>
      <c r="S1091" s="26" t="s">
        <v>24</v>
      </c>
      <c r="T1091" s="27"/>
      <c r="U1091" s="28" t="s">
        <v>25</v>
      </c>
      <c r="V1091" s="29" t="str">
        <f t="shared" si="81"/>
        <v>✓ OK</v>
      </c>
      <c r="W1091" s="45">
        <v>46248</v>
      </c>
      <c r="X1091" s="30" t="s">
        <v>23</v>
      </c>
      <c r="Y1091" s="30" t="s">
        <v>24</v>
      </c>
      <c r="Z1091" s="30" t="s">
        <v>25</v>
      </c>
      <c r="AA1091" s="30" t="s">
        <v>26</v>
      </c>
      <c r="AB1091" s="30" t="s">
        <v>24</v>
      </c>
      <c r="AC1091" s="27"/>
      <c r="AD1091" s="31" t="s">
        <v>25</v>
      </c>
      <c r="AE1091" s="32" t="str">
        <f t="shared" si="82"/>
        <v>✓ OK</v>
      </c>
      <c r="AF1091" s="33" t="s">
        <v>27</v>
      </c>
      <c r="AG1091" s="33" t="s">
        <v>23</v>
      </c>
      <c r="AH1091" s="33" t="s">
        <v>24</v>
      </c>
      <c r="AI1091" s="33" t="s">
        <v>25</v>
      </c>
      <c r="AJ1091" s="33" t="s">
        <v>26</v>
      </c>
      <c r="AK1091" s="33" t="s">
        <v>24</v>
      </c>
      <c r="AL1091" s="27"/>
      <c r="AM1091" s="34" t="s">
        <v>25</v>
      </c>
      <c r="AN1091" s="35" t="str">
        <f t="shared" si="83"/>
        <v>✓ OK</v>
      </c>
      <c r="AO1091" s="36"/>
      <c r="AP1091" s="36"/>
      <c r="AQ1091" s="36"/>
      <c r="AR1091" s="36"/>
      <c r="AS1091" s="36"/>
      <c r="AT1091" s="36"/>
      <c r="AU1091" s="27"/>
      <c r="AV1091" s="37"/>
      <c r="AW1091" s="38" t="str">
        <f t="shared" si="84"/>
        <v/>
      </c>
    </row>
    <row r="1092" spans="1:49" ht="18" customHeight="1" x14ac:dyDescent="0.3">
      <c r="A1092" s="39">
        <v>1088</v>
      </c>
      <c r="B1092" s="40" t="s">
        <v>4025</v>
      </c>
      <c r="C1092" s="41" t="s">
        <v>4026</v>
      </c>
      <c r="D1092" s="39" t="s">
        <v>4000</v>
      </c>
      <c r="E1092" s="43">
        <v>46125</v>
      </c>
      <c r="F1092" s="26" t="s">
        <v>23</v>
      </c>
      <c r="G1092" s="26" t="s">
        <v>24</v>
      </c>
      <c r="H1092" s="26" t="s">
        <v>25</v>
      </c>
      <c r="I1092" s="26" t="s">
        <v>26</v>
      </c>
      <c r="J1092" s="26" t="s">
        <v>24</v>
      </c>
      <c r="K1092" s="27"/>
      <c r="L1092" s="28" t="s">
        <v>25</v>
      </c>
      <c r="M1092" s="29" t="str">
        <f t="shared" si="80"/>
        <v>✓ OK</v>
      </c>
      <c r="N1092" s="43">
        <v>46193</v>
      </c>
      <c r="O1092" s="26" t="s">
        <v>23</v>
      </c>
      <c r="P1092" s="26" t="s">
        <v>24</v>
      </c>
      <c r="Q1092" s="26" t="s">
        <v>25</v>
      </c>
      <c r="R1092" s="26" t="s">
        <v>26</v>
      </c>
      <c r="S1092" s="26" t="s">
        <v>24</v>
      </c>
      <c r="T1092" s="27"/>
      <c r="U1092" s="28" t="s">
        <v>25</v>
      </c>
      <c r="V1092" s="29" t="str">
        <f t="shared" si="81"/>
        <v>✓ OK</v>
      </c>
      <c r="W1092" s="45">
        <v>46248</v>
      </c>
      <c r="X1092" s="30" t="s">
        <v>23</v>
      </c>
      <c r="Y1092" s="30" t="s">
        <v>24</v>
      </c>
      <c r="Z1092" s="30" t="s">
        <v>25</v>
      </c>
      <c r="AA1092" s="30" t="s">
        <v>26</v>
      </c>
      <c r="AB1092" s="30" t="s">
        <v>24</v>
      </c>
      <c r="AC1092" s="27"/>
      <c r="AD1092" s="31" t="s">
        <v>25</v>
      </c>
      <c r="AE1092" s="32" t="str">
        <f t="shared" si="82"/>
        <v>✓ OK</v>
      </c>
      <c r="AF1092" s="33" t="s">
        <v>27</v>
      </c>
      <c r="AG1092" s="33" t="s">
        <v>23</v>
      </c>
      <c r="AH1092" s="33" t="s">
        <v>24</v>
      </c>
      <c r="AI1092" s="33" t="s">
        <v>25</v>
      </c>
      <c r="AJ1092" s="33" t="s">
        <v>26</v>
      </c>
      <c r="AK1092" s="33" t="s">
        <v>24</v>
      </c>
      <c r="AL1092" s="27"/>
      <c r="AM1092" s="34" t="s">
        <v>25</v>
      </c>
      <c r="AN1092" s="35" t="str">
        <f t="shared" si="83"/>
        <v>✓ OK</v>
      </c>
      <c r="AO1092" s="36"/>
      <c r="AP1092" s="36"/>
      <c r="AQ1092" s="36"/>
      <c r="AR1092" s="36"/>
      <c r="AS1092" s="36"/>
      <c r="AT1092" s="36"/>
      <c r="AU1092" s="27"/>
      <c r="AV1092" s="37"/>
      <c r="AW1092" s="38" t="str">
        <f t="shared" si="84"/>
        <v/>
      </c>
    </row>
    <row r="1093" spans="1:49" ht="18" customHeight="1" x14ac:dyDescent="0.3">
      <c r="A1093" s="23">
        <v>1089</v>
      </c>
      <c r="B1093" s="24" t="s">
        <v>4027</v>
      </c>
      <c r="C1093" s="25" t="s">
        <v>4028</v>
      </c>
      <c r="D1093" s="23" t="s">
        <v>4000</v>
      </c>
      <c r="E1093" s="43">
        <v>46125</v>
      </c>
      <c r="F1093" s="26" t="s">
        <v>23</v>
      </c>
      <c r="G1093" s="26" t="s">
        <v>24</v>
      </c>
      <c r="H1093" s="26" t="s">
        <v>25</v>
      </c>
      <c r="I1093" s="26" t="s">
        <v>26</v>
      </c>
      <c r="J1093" s="26" t="s">
        <v>24</v>
      </c>
      <c r="K1093" s="27"/>
      <c r="L1093" s="28" t="s">
        <v>25</v>
      </c>
      <c r="M1093" s="29" t="str">
        <f t="shared" ref="M1093:M1156" si="85">IF(E1093="","",IF(H1093="Yes","❌ Disc",IF(G1093="No","⚠ Missing",IF(J1093="Yes","✓ OK","⚠ Check"))))</f>
        <v>✓ OK</v>
      </c>
      <c r="N1093" s="43">
        <v>46193</v>
      </c>
      <c r="O1093" s="26" t="s">
        <v>23</v>
      </c>
      <c r="P1093" s="26" t="s">
        <v>24</v>
      </c>
      <c r="Q1093" s="26" t="s">
        <v>25</v>
      </c>
      <c r="R1093" s="26" t="s">
        <v>26</v>
      </c>
      <c r="S1093" s="26" t="s">
        <v>24</v>
      </c>
      <c r="T1093" s="27"/>
      <c r="U1093" s="28" t="s">
        <v>25</v>
      </c>
      <c r="V1093" s="29" t="str">
        <f t="shared" ref="V1093:V1156" si="86">IF(N1093="","",IF(Q1093="Yes","❌ Disc",IF(P1093="No","⚠ Missing",IF(S1093="Yes","✓ OK","⚠ Check"))))</f>
        <v>✓ OK</v>
      </c>
      <c r="W1093" s="45">
        <v>46248</v>
      </c>
      <c r="X1093" s="30" t="s">
        <v>23</v>
      </c>
      <c r="Y1093" s="30" t="s">
        <v>24</v>
      </c>
      <c r="Z1093" s="30" t="s">
        <v>25</v>
      </c>
      <c r="AA1093" s="30" t="s">
        <v>26</v>
      </c>
      <c r="AB1093" s="30" t="s">
        <v>24</v>
      </c>
      <c r="AC1093" s="27"/>
      <c r="AD1093" s="31" t="s">
        <v>25</v>
      </c>
      <c r="AE1093" s="32" t="str">
        <f t="shared" ref="AE1093:AE1156" si="87">IF(W1093="","",IF(Z1093="Yes","❌ Disc",IF(Y1093="No","⚠ Missing",IF(AB1093="Yes","✓ OK","⚠ Check"))))</f>
        <v>✓ OK</v>
      </c>
      <c r="AF1093" s="33" t="s">
        <v>27</v>
      </c>
      <c r="AG1093" s="33" t="s">
        <v>23</v>
      </c>
      <c r="AH1093" s="33" t="s">
        <v>24</v>
      </c>
      <c r="AI1093" s="33" t="s">
        <v>25</v>
      </c>
      <c r="AJ1093" s="33" t="s">
        <v>26</v>
      </c>
      <c r="AK1093" s="33" t="s">
        <v>24</v>
      </c>
      <c r="AL1093" s="27"/>
      <c r="AM1093" s="34" t="s">
        <v>25</v>
      </c>
      <c r="AN1093" s="35" t="str">
        <f t="shared" ref="AN1093:AN1156" si="88">IF(AF1093="","",IF(AI1093="Yes","❌ Disc",IF(AH1093="No","⚠ Missing",IF(AK1093="Yes","✓ OK","⚠ Check"))))</f>
        <v>✓ OK</v>
      </c>
      <c r="AO1093" s="36"/>
      <c r="AP1093" s="36"/>
      <c r="AQ1093" s="36"/>
      <c r="AR1093" s="36"/>
      <c r="AS1093" s="36"/>
      <c r="AT1093" s="36"/>
      <c r="AU1093" s="27"/>
      <c r="AV1093" s="37"/>
      <c r="AW1093" s="38" t="str">
        <f t="shared" ref="AW1093:AW1156" si="89">IF(AO1093="","",IF(AR1093="Yes","❌ Disc",IF(AQ1093="No","⚠ Missing",IF(AT1093="Yes","✓ OK","⚠ Check"))))</f>
        <v/>
      </c>
    </row>
    <row r="1094" spans="1:49" ht="18" customHeight="1" x14ac:dyDescent="0.3">
      <c r="A1094" s="39">
        <v>1090</v>
      </c>
      <c r="B1094" s="40" t="s">
        <v>4029</v>
      </c>
      <c r="C1094" s="41" t="s">
        <v>4030</v>
      </c>
      <c r="D1094" s="39" t="s">
        <v>4000</v>
      </c>
      <c r="E1094" s="43">
        <v>46125</v>
      </c>
      <c r="F1094" s="26" t="s">
        <v>23</v>
      </c>
      <c r="G1094" s="26" t="s">
        <v>24</v>
      </c>
      <c r="H1094" s="26" t="s">
        <v>25</v>
      </c>
      <c r="I1094" s="26" t="s">
        <v>26</v>
      </c>
      <c r="J1094" s="26" t="s">
        <v>24</v>
      </c>
      <c r="K1094" s="27"/>
      <c r="L1094" s="28" t="s">
        <v>25</v>
      </c>
      <c r="M1094" s="29" t="str">
        <f t="shared" si="85"/>
        <v>✓ OK</v>
      </c>
      <c r="N1094" s="43">
        <v>46193</v>
      </c>
      <c r="O1094" s="26" t="s">
        <v>23</v>
      </c>
      <c r="P1094" s="26" t="s">
        <v>24</v>
      </c>
      <c r="Q1094" s="26" t="s">
        <v>25</v>
      </c>
      <c r="R1094" s="26" t="s">
        <v>26</v>
      </c>
      <c r="S1094" s="26" t="s">
        <v>24</v>
      </c>
      <c r="T1094" s="27"/>
      <c r="U1094" s="28" t="s">
        <v>25</v>
      </c>
      <c r="V1094" s="29" t="str">
        <f t="shared" si="86"/>
        <v>✓ OK</v>
      </c>
      <c r="W1094" s="45">
        <v>46248</v>
      </c>
      <c r="X1094" s="30" t="s">
        <v>23</v>
      </c>
      <c r="Y1094" s="30" t="s">
        <v>24</v>
      </c>
      <c r="Z1094" s="30" t="s">
        <v>25</v>
      </c>
      <c r="AA1094" s="30" t="s">
        <v>26</v>
      </c>
      <c r="AB1094" s="30" t="s">
        <v>24</v>
      </c>
      <c r="AC1094" s="27"/>
      <c r="AD1094" s="31" t="s">
        <v>25</v>
      </c>
      <c r="AE1094" s="32" t="str">
        <f t="shared" si="87"/>
        <v>✓ OK</v>
      </c>
      <c r="AF1094" s="33" t="s">
        <v>27</v>
      </c>
      <c r="AG1094" s="33" t="s">
        <v>23</v>
      </c>
      <c r="AH1094" s="33" t="s">
        <v>24</v>
      </c>
      <c r="AI1094" s="33" t="s">
        <v>25</v>
      </c>
      <c r="AJ1094" s="33" t="s">
        <v>26</v>
      </c>
      <c r="AK1094" s="33" t="s">
        <v>24</v>
      </c>
      <c r="AL1094" s="27"/>
      <c r="AM1094" s="34" t="s">
        <v>25</v>
      </c>
      <c r="AN1094" s="35" t="str">
        <f t="shared" si="88"/>
        <v>✓ OK</v>
      </c>
      <c r="AO1094" s="36"/>
      <c r="AP1094" s="36"/>
      <c r="AQ1094" s="36"/>
      <c r="AR1094" s="36"/>
      <c r="AS1094" s="36"/>
      <c r="AT1094" s="36"/>
      <c r="AU1094" s="27"/>
      <c r="AV1094" s="37"/>
      <c r="AW1094" s="38" t="str">
        <f t="shared" si="89"/>
        <v/>
      </c>
    </row>
    <row r="1095" spans="1:49" ht="18" customHeight="1" x14ac:dyDescent="0.3">
      <c r="A1095" s="23">
        <v>1091</v>
      </c>
      <c r="B1095" s="24" t="s">
        <v>4031</v>
      </c>
      <c r="C1095" s="25" t="s">
        <v>4032</v>
      </c>
      <c r="D1095" s="23" t="s">
        <v>4000</v>
      </c>
      <c r="E1095" s="43">
        <v>46125</v>
      </c>
      <c r="F1095" s="26" t="s">
        <v>23</v>
      </c>
      <c r="G1095" s="26" t="s">
        <v>24</v>
      </c>
      <c r="H1095" s="26" t="s">
        <v>25</v>
      </c>
      <c r="I1095" s="26" t="s">
        <v>26</v>
      </c>
      <c r="J1095" s="26" t="s">
        <v>24</v>
      </c>
      <c r="K1095" s="27"/>
      <c r="L1095" s="28" t="s">
        <v>25</v>
      </c>
      <c r="M1095" s="29" t="str">
        <f t="shared" si="85"/>
        <v>✓ OK</v>
      </c>
      <c r="N1095" s="43">
        <v>46193</v>
      </c>
      <c r="O1095" s="26" t="s">
        <v>23</v>
      </c>
      <c r="P1095" s="26" t="s">
        <v>24</v>
      </c>
      <c r="Q1095" s="26" t="s">
        <v>25</v>
      </c>
      <c r="R1095" s="26" t="s">
        <v>26</v>
      </c>
      <c r="S1095" s="26" t="s">
        <v>24</v>
      </c>
      <c r="T1095" s="27"/>
      <c r="U1095" s="28" t="s">
        <v>25</v>
      </c>
      <c r="V1095" s="29" t="str">
        <f t="shared" si="86"/>
        <v>✓ OK</v>
      </c>
      <c r="W1095" s="45">
        <v>46248</v>
      </c>
      <c r="X1095" s="30" t="s">
        <v>23</v>
      </c>
      <c r="Y1095" s="30" t="s">
        <v>24</v>
      </c>
      <c r="Z1095" s="30" t="s">
        <v>25</v>
      </c>
      <c r="AA1095" s="30" t="s">
        <v>26</v>
      </c>
      <c r="AB1095" s="30" t="s">
        <v>24</v>
      </c>
      <c r="AC1095" s="27"/>
      <c r="AD1095" s="31" t="s">
        <v>25</v>
      </c>
      <c r="AE1095" s="32" t="str">
        <f t="shared" si="87"/>
        <v>✓ OK</v>
      </c>
      <c r="AF1095" s="33" t="s">
        <v>27</v>
      </c>
      <c r="AG1095" s="33" t="s">
        <v>23</v>
      </c>
      <c r="AH1095" s="33" t="s">
        <v>24</v>
      </c>
      <c r="AI1095" s="33" t="s">
        <v>25</v>
      </c>
      <c r="AJ1095" s="33" t="s">
        <v>26</v>
      </c>
      <c r="AK1095" s="33" t="s">
        <v>24</v>
      </c>
      <c r="AL1095" s="27"/>
      <c r="AM1095" s="34" t="s">
        <v>25</v>
      </c>
      <c r="AN1095" s="35" t="str">
        <f t="shared" si="88"/>
        <v>✓ OK</v>
      </c>
      <c r="AO1095" s="36"/>
      <c r="AP1095" s="36"/>
      <c r="AQ1095" s="36"/>
      <c r="AR1095" s="36"/>
      <c r="AS1095" s="36"/>
      <c r="AT1095" s="36"/>
      <c r="AU1095" s="27"/>
      <c r="AV1095" s="37"/>
      <c r="AW1095" s="38" t="str">
        <f t="shared" si="89"/>
        <v/>
      </c>
    </row>
    <row r="1096" spans="1:49" ht="18" customHeight="1" x14ac:dyDescent="0.3">
      <c r="A1096" s="39">
        <v>1092</v>
      </c>
      <c r="B1096" s="40" t="s">
        <v>4033</v>
      </c>
      <c r="C1096" s="41" t="s">
        <v>4034</v>
      </c>
      <c r="D1096" s="39" t="s">
        <v>4000</v>
      </c>
      <c r="E1096" s="43">
        <v>46125</v>
      </c>
      <c r="F1096" s="26" t="s">
        <v>23</v>
      </c>
      <c r="G1096" s="26" t="s">
        <v>24</v>
      </c>
      <c r="H1096" s="26" t="s">
        <v>25</v>
      </c>
      <c r="I1096" s="26" t="s">
        <v>26</v>
      </c>
      <c r="J1096" s="26" t="s">
        <v>24</v>
      </c>
      <c r="K1096" s="27"/>
      <c r="L1096" s="28" t="s">
        <v>25</v>
      </c>
      <c r="M1096" s="29" t="str">
        <f t="shared" si="85"/>
        <v>✓ OK</v>
      </c>
      <c r="N1096" s="43">
        <v>46193</v>
      </c>
      <c r="O1096" s="26" t="s">
        <v>23</v>
      </c>
      <c r="P1096" s="26" t="s">
        <v>24</v>
      </c>
      <c r="Q1096" s="26" t="s">
        <v>25</v>
      </c>
      <c r="R1096" s="26" t="s">
        <v>26</v>
      </c>
      <c r="S1096" s="26" t="s">
        <v>24</v>
      </c>
      <c r="T1096" s="27"/>
      <c r="U1096" s="28" t="s">
        <v>25</v>
      </c>
      <c r="V1096" s="29" t="str">
        <f t="shared" si="86"/>
        <v>✓ OK</v>
      </c>
      <c r="W1096" s="45">
        <v>46248</v>
      </c>
      <c r="X1096" s="30" t="s">
        <v>23</v>
      </c>
      <c r="Y1096" s="30" t="s">
        <v>24</v>
      </c>
      <c r="Z1096" s="30" t="s">
        <v>25</v>
      </c>
      <c r="AA1096" s="30" t="s">
        <v>26</v>
      </c>
      <c r="AB1096" s="30" t="s">
        <v>24</v>
      </c>
      <c r="AC1096" s="27"/>
      <c r="AD1096" s="31" t="s">
        <v>25</v>
      </c>
      <c r="AE1096" s="32" t="str">
        <f t="shared" si="87"/>
        <v>✓ OK</v>
      </c>
      <c r="AF1096" s="33" t="s">
        <v>27</v>
      </c>
      <c r="AG1096" s="33" t="s">
        <v>23</v>
      </c>
      <c r="AH1096" s="33" t="s">
        <v>24</v>
      </c>
      <c r="AI1096" s="33" t="s">
        <v>25</v>
      </c>
      <c r="AJ1096" s="33" t="s">
        <v>26</v>
      </c>
      <c r="AK1096" s="33" t="s">
        <v>24</v>
      </c>
      <c r="AL1096" s="27"/>
      <c r="AM1096" s="34" t="s">
        <v>25</v>
      </c>
      <c r="AN1096" s="35" t="str">
        <f t="shared" si="88"/>
        <v>✓ OK</v>
      </c>
      <c r="AO1096" s="36"/>
      <c r="AP1096" s="36"/>
      <c r="AQ1096" s="36"/>
      <c r="AR1096" s="36"/>
      <c r="AS1096" s="36"/>
      <c r="AT1096" s="36"/>
      <c r="AU1096" s="27"/>
      <c r="AV1096" s="37"/>
      <c r="AW1096" s="38" t="str">
        <f t="shared" si="89"/>
        <v/>
      </c>
    </row>
    <row r="1097" spans="1:49" ht="18" customHeight="1" x14ac:dyDescent="0.3">
      <c r="A1097" s="23">
        <v>1093</v>
      </c>
      <c r="B1097" s="24" t="s">
        <v>4035</v>
      </c>
      <c r="C1097" s="25" t="s">
        <v>4036</v>
      </c>
      <c r="D1097" s="23" t="s">
        <v>4000</v>
      </c>
      <c r="E1097" s="43">
        <v>46125</v>
      </c>
      <c r="F1097" s="26" t="s">
        <v>23</v>
      </c>
      <c r="G1097" s="26" t="s">
        <v>24</v>
      </c>
      <c r="H1097" s="26" t="s">
        <v>25</v>
      </c>
      <c r="I1097" s="26" t="s">
        <v>26</v>
      </c>
      <c r="J1097" s="26" t="s">
        <v>24</v>
      </c>
      <c r="K1097" s="27"/>
      <c r="L1097" s="28" t="s">
        <v>25</v>
      </c>
      <c r="M1097" s="29" t="str">
        <f t="shared" si="85"/>
        <v>✓ OK</v>
      </c>
      <c r="N1097" s="43">
        <v>46193</v>
      </c>
      <c r="O1097" s="26" t="s">
        <v>23</v>
      </c>
      <c r="P1097" s="26" t="s">
        <v>24</v>
      </c>
      <c r="Q1097" s="26" t="s">
        <v>25</v>
      </c>
      <c r="R1097" s="26" t="s">
        <v>26</v>
      </c>
      <c r="S1097" s="26" t="s">
        <v>24</v>
      </c>
      <c r="T1097" s="27"/>
      <c r="U1097" s="28" t="s">
        <v>25</v>
      </c>
      <c r="V1097" s="29" t="str">
        <f t="shared" si="86"/>
        <v>✓ OK</v>
      </c>
      <c r="W1097" s="45">
        <v>46248</v>
      </c>
      <c r="X1097" s="30" t="s">
        <v>23</v>
      </c>
      <c r="Y1097" s="30" t="s">
        <v>24</v>
      </c>
      <c r="Z1097" s="30" t="s">
        <v>25</v>
      </c>
      <c r="AA1097" s="30" t="s">
        <v>26</v>
      </c>
      <c r="AB1097" s="30" t="s">
        <v>24</v>
      </c>
      <c r="AC1097" s="27"/>
      <c r="AD1097" s="31" t="s">
        <v>25</v>
      </c>
      <c r="AE1097" s="32" t="str">
        <f t="shared" si="87"/>
        <v>✓ OK</v>
      </c>
      <c r="AF1097" s="33" t="s">
        <v>27</v>
      </c>
      <c r="AG1097" s="33" t="s">
        <v>23</v>
      </c>
      <c r="AH1097" s="33" t="s">
        <v>24</v>
      </c>
      <c r="AI1097" s="33" t="s">
        <v>25</v>
      </c>
      <c r="AJ1097" s="33" t="s">
        <v>26</v>
      </c>
      <c r="AK1097" s="33" t="s">
        <v>24</v>
      </c>
      <c r="AL1097" s="27"/>
      <c r="AM1097" s="34" t="s">
        <v>25</v>
      </c>
      <c r="AN1097" s="35" t="str">
        <f t="shared" si="88"/>
        <v>✓ OK</v>
      </c>
      <c r="AO1097" s="36"/>
      <c r="AP1097" s="36"/>
      <c r="AQ1097" s="36"/>
      <c r="AR1097" s="36"/>
      <c r="AS1097" s="36"/>
      <c r="AT1097" s="36"/>
      <c r="AU1097" s="27"/>
      <c r="AV1097" s="37"/>
      <c r="AW1097" s="38" t="str">
        <f t="shared" si="89"/>
        <v/>
      </c>
    </row>
    <row r="1098" spans="1:49" ht="18" customHeight="1" x14ac:dyDescent="0.3">
      <c r="A1098" s="39">
        <v>1094</v>
      </c>
      <c r="B1098" s="40" t="s">
        <v>4037</v>
      </c>
      <c r="C1098" s="41" t="s">
        <v>4038</v>
      </c>
      <c r="D1098" s="39" t="s">
        <v>4000</v>
      </c>
      <c r="E1098" s="43">
        <v>46125</v>
      </c>
      <c r="F1098" s="26" t="s">
        <v>23</v>
      </c>
      <c r="G1098" s="26" t="s">
        <v>24</v>
      </c>
      <c r="H1098" s="26" t="s">
        <v>25</v>
      </c>
      <c r="I1098" s="26" t="s">
        <v>26</v>
      </c>
      <c r="J1098" s="26" t="s">
        <v>24</v>
      </c>
      <c r="K1098" s="27"/>
      <c r="L1098" s="28" t="s">
        <v>25</v>
      </c>
      <c r="M1098" s="29" t="str">
        <f t="shared" si="85"/>
        <v>✓ OK</v>
      </c>
      <c r="N1098" s="43">
        <v>46193</v>
      </c>
      <c r="O1098" s="26" t="s">
        <v>23</v>
      </c>
      <c r="P1098" s="26" t="s">
        <v>24</v>
      </c>
      <c r="Q1098" s="26" t="s">
        <v>25</v>
      </c>
      <c r="R1098" s="26" t="s">
        <v>26</v>
      </c>
      <c r="S1098" s="26" t="s">
        <v>24</v>
      </c>
      <c r="T1098" s="27"/>
      <c r="U1098" s="28" t="s">
        <v>25</v>
      </c>
      <c r="V1098" s="29" t="str">
        <f t="shared" si="86"/>
        <v>✓ OK</v>
      </c>
      <c r="W1098" s="45">
        <v>46248</v>
      </c>
      <c r="X1098" s="30" t="s">
        <v>23</v>
      </c>
      <c r="Y1098" s="30" t="s">
        <v>24</v>
      </c>
      <c r="Z1098" s="30" t="s">
        <v>25</v>
      </c>
      <c r="AA1098" s="30" t="s">
        <v>26</v>
      </c>
      <c r="AB1098" s="30" t="s">
        <v>24</v>
      </c>
      <c r="AC1098" s="27"/>
      <c r="AD1098" s="31" t="s">
        <v>25</v>
      </c>
      <c r="AE1098" s="32" t="str">
        <f t="shared" si="87"/>
        <v>✓ OK</v>
      </c>
      <c r="AF1098" s="33" t="s">
        <v>27</v>
      </c>
      <c r="AG1098" s="33" t="s">
        <v>23</v>
      </c>
      <c r="AH1098" s="33" t="s">
        <v>24</v>
      </c>
      <c r="AI1098" s="33" t="s">
        <v>25</v>
      </c>
      <c r="AJ1098" s="33" t="s">
        <v>26</v>
      </c>
      <c r="AK1098" s="33" t="s">
        <v>24</v>
      </c>
      <c r="AL1098" s="27"/>
      <c r="AM1098" s="34" t="s">
        <v>25</v>
      </c>
      <c r="AN1098" s="35" t="str">
        <f t="shared" si="88"/>
        <v>✓ OK</v>
      </c>
      <c r="AO1098" s="36"/>
      <c r="AP1098" s="36"/>
      <c r="AQ1098" s="36"/>
      <c r="AR1098" s="36"/>
      <c r="AS1098" s="36"/>
      <c r="AT1098" s="36"/>
      <c r="AU1098" s="27"/>
      <c r="AV1098" s="37"/>
      <c r="AW1098" s="38" t="str">
        <f t="shared" si="89"/>
        <v/>
      </c>
    </row>
    <row r="1099" spans="1:49" ht="18" customHeight="1" x14ac:dyDescent="0.3">
      <c r="A1099" s="23">
        <v>1095</v>
      </c>
      <c r="B1099" s="24" t="s">
        <v>4039</v>
      </c>
      <c r="C1099" s="25" t="s">
        <v>4040</v>
      </c>
      <c r="D1099" s="23" t="s">
        <v>4000</v>
      </c>
      <c r="E1099" s="43">
        <v>46125</v>
      </c>
      <c r="F1099" s="26" t="s">
        <v>23</v>
      </c>
      <c r="G1099" s="26" t="s">
        <v>24</v>
      </c>
      <c r="H1099" s="26" t="s">
        <v>25</v>
      </c>
      <c r="I1099" s="26" t="s">
        <v>26</v>
      </c>
      <c r="J1099" s="26" t="s">
        <v>24</v>
      </c>
      <c r="K1099" s="27"/>
      <c r="L1099" s="28" t="s">
        <v>25</v>
      </c>
      <c r="M1099" s="29" t="str">
        <f t="shared" si="85"/>
        <v>✓ OK</v>
      </c>
      <c r="N1099" s="43">
        <v>46193</v>
      </c>
      <c r="O1099" s="26" t="s">
        <v>23</v>
      </c>
      <c r="P1099" s="26" t="s">
        <v>24</v>
      </c>
      <c r="Q1099" s="26" t="s">
        <v>25</v>
      </c>
      <c r="R1099" s="26" t="s">
        <v>26</v>
      </c>
      <c r="S1099" s="26" t="s">
        <v>24</v>
      </c>
      <c r="T1099" s="27"/>
      <c r="U1099" s="28" t="s">
        <v>25</v>
      </c>
      <c r="V1099" s="29" t="str">
        <f t="shared" si="86"/>
        <v>✓ OK</v>
      </c>
      <c r="W1099" s="45">
        <v>46248</v>
      </c>
      <c r="X1099" s="30" t="s">
        <v>23</v>
      </c>
      <c r="Y1099" s="30" t="s">
        <v>24</v>
      </c>
      <c r="Z1099" s="30" t="s">
        <v>25</v>
      </c>
      <c r="AA1099" s="30" t="s">
        <v>26</v>
      </c>
      <c r="AB1099" s="30" t="s">
        <v>24</v>
      </c>
      <c r="AC1099" s="27"/>
      <c r="AD1099" s="31" t="s">
        <v>25</v>
      </c>
      <c r="AE1099" s="32" t="str">
        <f t="shared" si="87"/>
        <v>✓ OK</v>
      </c>
      <c r="AF1099" s="33" t="s">
        <v>27</v>
      </c>
      <c r="AG1099" s="33" t="s">
        <v>23</v>
      </c>
      <c r="AH1099" s="33" t="s">
        <v>24</v>
      </c>
      <c r="AI1099" s="33" t="s">
        <v>25</v>
      </c>
      <c r="AJ1099" s="33" t="s">
        <v>26</v>
      </c>
      <c r="AK1099" s="33" t="s">
        <v>24</v>
      </c>
      <c r="AL1099" s="27"/>
      <c r="AM1099" s="34" t="s">
        <v>25</v>
      </c>
      <c r="AN1099" s="35" t="str">
        <f t="shared" si="88"/>
        <v>✓ OK</v>
      </c>
      <c r="AO1099" s="36"/>
      <c r="AP1099" s="36"/>
      <c r="AQ1099" s="36"/>
      <c r="AR1099" s="36"/>
      <c r="AS1099" s="36"/>
      <c r="AT1099" s="36"/>
      <c r="AU1099" s="27"/>
      <c r="AV1099" s="37"/>
      <c r="AW1099" s="38" t="str">
        <f t="shared" si="89"/>
        <v/>
      </c>
    </row>
    <row r="1100" spans="1:49" ht="18" customHeight="1" x14ac:dyDescent="0.3">
      <c r="A1100" s="39">
        <v>1096</v>
      </c>
      <c r="B1100" s="40" t="s">
        <v>4041</v>
      </c>
      <c r="C1100" s="41" t="s">
        <v>4042</v>
      </c>
      <c r="D1100" s="39" t="s">
        <v>4000</v>
      </c>
      <c r="E1100" s="43">
        <v>46125</v>
      </c>
      <c r="F1100" s="26" t="s">
        <v>23</v>
      </c>
      <c r="G1100" s="26" t="s">
        <v>24</v>
      </c>
      <c r="H1100" s="26" t="s">
        <v>25</v>
      </c>
      <c r="I1100" s="26" t="s">
        <v>26</v>
      </c>
      <c r="J1100" s="26" t="s">
        <v>24</v>
      </c>
      <c r="K1100" s="27"/>
      <c r="L1100" s="28" t="s">
        <v>25</v>
      </c>
      <c r="M1100" s="29" t="str">
        <f t="shared" si="85"/>
        <v>✓ OK</v>
      </c>
      <c r="N1100" s="43">
        <v>46193</v>
      </c>
      <c r="O1100" s="26" t="s">
        <v>23</v>
      </c>
      <c r="P1100" s="26" t="s">
        <v>24</v>
      </c>
      <c r="Q1100" s="26" t="s">
        <v>25</v>
      </c>
      <c r="R1100" s="26" t="s">
        <v>26</v>
      </c>
      <c r="S1100" s="26" t="s">
        <v>24</v>
      </c>
      <c r="T1100" s="27"/>
      <c r="U1100" s="28" t="s">
        <v>25</v>
      </c>
      <c r="V1100" s="29" t="str">
        <f t="shared" si="86"/>
        <v>✓ OK</v>
      </c>
      <c r="W1100" s="45">
        <v>46248</v>
      </c>
      <c r="X1100" s="30" t="s">
        <v>23</v>
      </c>
      <c r="Y1100" s="30" t="s">
        <v>24</v>
      </c>
      <c r="Z1100" s="30" t="s">
        <v>25</v>
      </c>
      <c r="AA1100" s="30" t="s">
        <v>26</v>
      </c>
      <c r="AB1100" s="30" t="s">
        <v>24</v>
      </c>
      <c r="AC1100" s="27"/>
      <c r="AD1100" s="31" t="s">
        <v>25</v>
      </c>
      <c r="AE1100" s="32" t="str">
        <f t="shared" si="87"/>
        <v>✓ OK</v>
      </c>
      <c r="AF1100" s="33" t="s">
        <v>27</v>
      </c>
      <c r="AG1100" s="33" t="s">
        <v>23</v>
      </c>
      <c r="AH1100" s="33" t="s">
        <v>24</v>
      </c>
      <c r="AI1100" s="33" t="s">
        <v>25</v>
      </c>
      <c r="AJ1100" s="33" t="s">
        <v>26</v>
      </c>
      <c r="AK1100" s="33" t="s">
        <v>24</v>
      </c>
      <c r="AL1100" s="27"/>
      <c r="AM1100" s="34" t="s">
        <v>25</v>
      </c>
      <c r="AN1100" s="35" t="str">
        <f t="shared" si="88"/>
        <v>✓ OK</v>
      </c>
      <c r="AO1100" s="36"/>
      <c r="AP1100" s="36"/>
      <c r="AQ1100" s="36"/>
      <c r="AR1100" s="36"/>
      <c r="AS1100" s="36"/>
      <c r="AT1100" s="36"/>
      <c r="AU1100" s="27"/>
      <c r="AV1100" s="37"/>
      <c r="AW1100" s="38" t="str">
        <f t="shared" si="89"/>
        <v/>
      </c>
    </row>
    <row r="1101" spans="1:49" ht="18" customHeight="1" x14ac:dyDescent="0.3">
      <c r="A1101" s="23">
        <v>1097</v>
      </c>
      <c r="B1101" s="24" t="s">
        <v>4043</v>
      </c>
      <c r="C1101" s="25" t="s">
        <v>4044</v>
      </c>
      <c r="D1101" s="23" t="s">
        <v>4000</v>
      </c>
      <c r="E1101" s="43">
        <v>46125</v>
      </c>
      <c r="F1101" s="26" t="s">
        <v>23</v>
      </c>
      <c r="G1101" s="26" t="s">
        <v>24</v>
      </c>
      <c r="H1101" s="26" t="s">
        <v>25</v>
      </c>
      <c r="I1101" s="26" t="s">
        <v>26</v>
      </c>
      <c r="J1101" s="26" t="s">
        <v>24</v>
      </c>
      <c r="K1101" s="27"/>
      <c r="L1101" s="28" t="s">
        <v>25</v>
      </c>
      <c r="M1101" s="29" t="str">
        <f t="shared" si="85"/>
        <v>✓ OK</v>
      </c>
      <c r="N1101" s="43">
        <v>46193</v>
      </c>
      <c r="O1101" s="26" t="s">
        <v>23</v>
      </c>
      <c r="P1101" s="26" t="s">
        <v>24</v>
      </c>
      <c r="Q1101" s="26" t="s">
        <v>25</v>
      </c>
      <c r="R1101" s="26" t="s">
        <v>26</v>
      </c>
      <c r="S1101" s="26" t="s">
        <v>24</v>
      </c>
      <c r="T1101" s="27"/>
      <c r="U1101" s="28" t="s">
        <v>25</v>
      </c>
      <c r="V1101" s="29" t="str">
        <f t="shared" si="86"/>
        <v>✓ OK</v>
      </c>
      <c r="W1101" s="45">
        <v>46248</v>
      </c>
      <c r="X1101" s="30" t="s">
        <v>23</v>
      </c>
      <c r="Y1101" s="30" t="s">
        <v>24</v>
      </c>
      <c r="Z1101" s="30" t="s">
        <v>25</v>
      </c>
      <c r="AA1101" s="30" t="s">
        <v>26</v>
      </c>
      <c r="AB1101" s="30" t="s">
        <v>24</v>
      </c>
      <c r="AC1101" s="27"/>
      <c r="AD1101" s="31" t="s">
        <v>25</v>
      </c>
      <c r="AE1101" s="32" t="str">
        <f t="shared" si="87"/>
        <v>✓ OK</v>
      </c>
      <c r="AF1101" s="33" t="s">
        <v>27</v>
      </c>
      <c r="AG1101" s="33" t="s">
        <v>23</v>
      </c>
      <c r="AH1101" s="33" t="s">
        <v>24</v>
      </c>
      <c r="AI1101" s="33" t="s">
        <v>25</v>
      </c>
      <c r="AJ1101" s="33" t="s">
        <v>26</v>
      </c>
      <c r="AK1101" s="33" t="s">
        <v>24</v>
      </c>
      <c r="AL1101" s="27"/>
      <c r="AM1101" s="34" t="s">
        <v>25</v>
      </c>
      <c r="AN1101" s="35" t="str">
        <f t="shared" si="88"/>
        <v>✓ OK</v>
      </c>
      <c r="AO1101" s="36"/>
      <c r="AP1101" s="36"/>
      <c r="AQ1101" s="36"/>
      <c r="AR1101" s="36"/>
      <c r="AS1101" s="36"/>
      <c r="AT1101" s="36"/>
      <c r="AU1101" s="27"/>
      <c r="AV1101" s="37"/>
      <c r="AW1101" s="38" t="str">
        <f t="shared" si="89"/>
        <v/>
      </c>
    </row>
    <row r="1102" spans="1:49" ht="18" customHeight="1" x14ac:dyDescent="0.3">
      <c r="A1102" s="39">
        <v>1098</v>
      </c>
      <c r="B1102" s="40" t="s">
        <v>4045</v>
      </c>
      <c r="C1102" s="41" t="s">
        <v>4046</v>
      </c>
      <c r="D1102" s="39" t="s">
        <v>4000</v>
      </c>
      <c r="E1102" s="43">
        <v>46125</v>
      </c>
      <c r="F1102" s="26" t="s">
        <v>23</v>
      </c>
      <c r="G1102" s="26" t="s">
        <v>24</v>
      </c>
      <c r="H1102" s="26" t="s">
        <v>25</v>
      </c>
      <c r="I1102" s="26" t="s">
        <v>26</v>
      </c>
      <c r="J1102" s="26" t="s">
        <v>24</v>
      </c>
      <c r="K1102" s="27"/>
      <c r="L1102" s="28" t="s">
        <v>25</v>
      </c>
      <c r="M1102" s="29" t="str">
        <f t="shared" si="85"/>
        <v>✓ OK</v>
      </c>
      <c r="N1102" s="43">
        <v>46193</v>
      </c>
      <c r="O1102" s="26" t="s">
        <v>23</v>
      </c>
      <c r="P1102" s="26" t="s">
        <v>24</v>
      </c>
      <c r="Q1102" s="26" t="s">
        <v>25</v>
      </c>
      <c r="R1102" s="26" t="s">
        <v>26</v>
      </c>
      <c r="S1102" s="26" t="s">
        <v>24</v>
      </c>
      <c r="T1102" s="27"/>
      <c r="U1102" s="28" t="s">
        <v>25</v>
      </c>
      <c r="V1102" s="29" t="str">
        <f t="shared" si="86"/>
        <v>✓ OK</v>
      </c>
      <c r="W1102" s="45">
        <v>46248</v>
      </c>
      <c r="X1102" s="30" t="s">
        <v>23</v>
      </c>
      <c r="Y1102" s="30" t="s">
        <v>24</v>
      </c>
      <c r="Z1102" s="30" t="s">
        <v>25</v>
      </c>
      <c r="AA1102" s="30" t="s">
        <v>26</v>
      </c>
      <c r="AB1102" s="30" t="s">
        <v>24</v>
      </c>
      <c r="AC1102" s="27"/>
      <c r="AD1102" s="31" t="s">
        <v>25</v>
      </c>
      <c r="AE1102" s="32" t="str">
        <f t="shared" si="87"/>
        <v>✓ OK</v>
      </c>
      <c r="AF1102" s="33" t="s">
        <v>27</v>
      </c>
      <c r="AG1102" s="33" t="s">
        <v>23</v>
      </c>
      <c r="AH1102" s="33" t="s">
        <v>24</v>
      </c>
      <c r="AI1102" s="33" t="s">
        <v>25</v>
      </c>
      <c r="AJ1102" s="33" t="s">
        <v>26</v>
      </c>
      <c r="AK1102" s="33" t="s">
        <v>24</v>
      </c>
      <c r="AL1102" s="27"/>
      <c r="AM1102" s="34" t="s">
        <v>25</v>
      </c>
      <c r="AN1102" s="35" t="str">
        <f t="shared" si="88"/>
        <v>✓ OK</v>
      </c>
      <c r="AO1102" s="36"/>
      <c r="AP1102" s="36"/>
      <c r="AQ1102" s="36"/>
      <c r="AR1102" s="36"/>
      <c r="AS1102" s="36"/>
      <c r="AT1102" s="36"/>
      <c r="AU1102" s="27"/>
      <c r="AV1102" s="37"/>
      <c r="AW1102" s="38" t="str">
        <f t="shared" si="89"/>
        <v/>
      </c>
    </row>
    <row r="1103" spans="1:49" ht="18" customHeight="1" x14ac:dyDescent="0.3">
      <c r="A1103" s="23">
        <v>1099</v>
      </c>
      <c r="B1103" s="24" t="s">
        <v>4047</v>
      </c>
      <c r="C1103" s="25" t="s">
        <v>4048</v>
      </c>
      <c r="D1103" s="23" t="s">
        <v>4000</v>
      </c>
      <c r="E1103" s="43">
        <v>46125</v>
      </c>
      <c r="F1103" s="26" t="s">
        <v>23</v>
      </c>
      <c r="G1103" s="26" t="s">
        <v>24</v>
      </c>
      <c r="H1103" s="26" t="s">
        <v>25</v>
      </c>
      <c r="I1103" s="26" t="s">
        <v>26</v>
      </c>
      <c r="J1103" s="26" t="s">
        <v>24</v>
      </c>
      <c r="K1103" s="27"/>
      <c r="L1103" s="28" t="s">
        <v>25</v>
      </c>
      <c r="M1103" s="29" t="str">
        <f t="shared" si="85"/>
        <v>✓ OK</v>
      </c>
      <c r="N1103" s="43">
        <v>46193</v>
      </c>
      <c r="O1103" s="26" t="s">
        <v>23</v>
      </c>
      <c r="P1103" s="26" t="s">
        <v>24</v>
      </c>
      <c r="Q1103" s="26" t="s">
        <v>25</v>
      </c>
      <c r="R1103" s="26" t="s">
        <v>26</v>
      </c>
      <c r="S1103" s="26" t="s">
        <v>24</v>
      </c>
      <c r="T1103" s="27"/>
      <c r="U1103" s="28" t="s">
        <v>25</v>
      </c>
      <c r="V1103" s="29" t="str">
        <f t="shared" si="86"/>
        <v>✓ OK</v>
      </c>
      <c r="W1103" s="45">
        <v>46248</v>
      </c>
      <c r="X1103" s="30" t="s">
        <v>23</v>
      </c>
      <c r="Y1103" s="30" t="s">
        <v>24</v>
      </c>
      <c r="Z1103" s="30" t="s">
        <v>25</v>
      </c>
      <c r="AA1103" s="30" t="s">
        <v>26</v>
      </c>
      <c r="AB1103" s="30" t="s">
        <v>24</v>
      </c>
      <c r="AC1103" s="27"/>
      <c r="AD1103" s="31" t="s">
        <v>25</v>
      </c>
      <c r="AE1103" s="32" t="str">
        <f t="shared" si="87"/>
        <v>✓ OK</v>
      </c>
      <c r="AF1103" s="33" t="s">
        <v>27</v>
      </c>
      <c r="AG1103" s="33" t="s">
        <v>23</v>
      </c>
      <c r="AH1103" s="33" t="s">
        <v>24</v>
      </c>
      <c r="AI1103" s="33" t="s">
        <v>25</v>
      </c>
      <c r="AJ1103" s="33" t="s">
        <v>26</v>
      </c>
      <c r="AK1103" s="33" t="s">
        <v>24</v>
      </c>
      <c r="AL1103" s="27"/>
      <c r="AM1103" s="34" t="s">
        <v>25</v>
      </c>
      <c r="AN1103" s="35" t="str">
        <f t="shared" si="88"/>
        <v>✓ OK</v>
      </c>
      <c r="AO1103" s="36"/>
      <c r="AP1103" s="36"/>
      <c r="AQ1103" s="36"/>
      <c r="AR1103" s="36"/>
      <c r="AS1103" s="36"/>
      <c r="AT1103" s="36"/>
      <c r="AU1103" s="27"/>
      <c r="AV1103" s="37"/>
      <c r="AW1103" s="38" t="str">
        <f t="shared" si="89"/>
        <v/>
      </c>
    </row>
    <row r="1104" spans="1:49" ht="18" customHeight="1" x14ac:dyDescent="0.3">
      <c r="A1104" s="39">
        <v>1100</v>
      </c>
      <c r="B1104" s="40" t="s">
        <v>4049</v>
      </c>
      <c r="C1104" s="41" t="s">
        <v>4050</v>
      </c>
      <c r="D1104" s="39" t="s">
        <v>4000</v>
      </c>
      <c r="E1104" s="43">
        <v>46125</v>
      </c>
      <c r="F1104" s="26" t="s">
        <v>23</v>
      </c>
      <c r="G1104" s="26" t="s">
        <v>24</v>
      </c>
      <c r="H1104" s="26" t="s">
        <v>25</v>
      </c>
      <c r="I1104" s="26" t="s">
        <v>26</v>
      </c>
      <c r="J1104" s="26" t="s">
        <v>24</v>
      </c>
      <c r="K1104" s="27"/>
      <c r="L1104" s="28" t="s">
        <v>25</v>
      </c>
      <c r="M1104" s="29" t="str">
        <f t="shared" si="85"/>
        <v>✓ OK</v>
      </c>
      <c r="N1104" s="43">
        <v>46193</v>
      </c>
      <c r="O1104" s="26" t="s">
        <v>23</v>
      </c>
      <c r="P1104" s="26" t="s">
        <v>24</v>
      </c>
      <c r="Q1104" s="26" t="s">
        <v>25</v>
      </c>
      <c r="R1104" s="26" t="s">
        <v>26</v>
      </c>
      <c r="S1104" s="26" t="s">
        <v>24</v>
      </c>
      <c r="T1104" s="27"/>
      <c r="U1104" s="28" t="s">
        <v>25</v>
      </c>
      <c r="V1104" s="29" t="str">
        <f t="shared" si="86"/>
        <v>✓ OK</v>
      </c>
      <c r="W1104" s="45">
        <v>46248</v>
      </c>
      <c r="X1104" s="30" t="s">
        <v>23</v>
      </c>
      <c r="Y1104" s="30" t="s">
        <v>24</v>
      </c>
      <c r="Z1104" s="30" t="s">
        <v>25</v>
      </c>
      <c r="AA1104" s="30" t="s">
        <v>26</v>
      </c>
      <c r="AB1104" s="30" t="s">
        <v>24</v>
      </c>
      <c r="AC1104" s="27"/>
      <c r="AD1104" s="31" t="s">
        <v>25</v>
      </c>
      <c r="AE1104" s="32" t="str">
        <f t="shared" si="87"/>
        <v>✓ OK</v>
      </c>
      <c r="AF1104" s="33" t="s">
        <v>27</v>
      </c>
      <c r="AG1104" s="33" t="s">
        <v>23</v>
      </c>
      <c r="AH1104" s="33" t="s">
        <v>24</v>
      </c>
      <c r="AI1104" s="33" t="s">
        <v>25</v>
      </c>
      <c r="AJ1104" s="33" t="s">
        <v>26</v>
      </c>
      <c r="AK1104" s="33" t="s">
        <v>24</v>
      </c>
      <c r="AL1104" s="27"/>
      <c r="AM1104" s="34" t="s">
        <v>25</v>
      </c>
      <c r="AN1104" s="35" t="str">
        <f t="shared" si="88"/>
        <v>✓ OK</v>
      </c>
      <c r="AO1104" s="36"/>
      <c r="AP1104" s="36"/>
      <c r="AQ1104" s="36"/>
      <c r="AR1104" s="36"/>
      <c r="AS1104" s="36"/>
      <c r="AT1104" s="36"/>
      <c r="AU1104" s="27"/>
      <c r="AV1104" s="37"/>
      <c r="AW1104" s="38" t="str">
        <f t="shared" si="89"/>
        <v/>
      </c>
    </row>
    <row r="1105" spans="1:49" ht="18" customHeight="1" x14ac:dyDescent="0.3">
      <c r="A1105" s="23">
        <v>1101</v>
      </c>
      <c r="B1105" s="24" t="s">
        <v>4051</v>
      </c>
      <c r="C1105" s="25" t="s">
        <v>4052</v>
      </c>
      <c r="D1105" s="23" t="s">
        <v>4000</v>
      </c>
      <c r="E1105" s="43">
        <v>46125</v>
      </c>
      <c r="F1105" s="26" t="s">
        <v>23</v>
      </c>
      <c r="G1105" s="26" t="s">
        <v>24</v>
      </c>
      <c r="H1105" s="26" t="s">
        <v>25</v>
      </c>
      <c r="I1105" s="26" t="s">
        <v>26</v>
      </c>
      <c r="J1105" s="26" t="s">
        <v>24</v>
      </c>
      <c r="K1105" s="27"/>
      <c r="L1105" s="28" t="s">
        <v>25</v>
      </c>
      <c r="M1105" s="29" t="str">
        <f t="shared" si="85"/>
        <v>✓ OK</v>
      </c>
      <c r="N1105" s="43">
        <v>46193</v>
      </c>
      <c r="O1105" s="26" t="s">
        <v>23</v>
      </c>
      <c r="P1105" s="26" t="s">
        <v>24</v>
      </c>
      <c r="Q1105" s="26" t="s">
        <v>25</v>
      </c>
      <c r="R1105" s="26" t="s">
        <v>26</v>
      </c>
      <c r="S1105" s="26" t="s">
        <v>24</v>
      </c>
      <c r="T1105" s="27"/>
      <c r="U1105" s="28" t="s">
        <v>25</v>
      </c>
      <c r="V1105" s="29" t="str">
        <f t="shared" si="86"/>
        <v>✓ OK</v>
      </c>
      <c r="W1105" s="45">
        <v>46248</v>
      </c>
      <c r="X1105" s="30" t="s">
        <v>23</v>
      </c>
      <c r="Y1105" s="30" t="s">
        <v>24</v>
      </c>
      <c r="Z1105" s="30" t="s">
        <v>25</v>
      </c>
      <c r="AA1105" s="30" t="s">
        <v>26</v>
      </c>
      <c r="AB1105" s="30" t="s">
        <v>24</v>
      </c>
      <c r="AC1105" s="27"/>
      <c r="AD1105" s="31" t="s">
        <v>25</v>
      </c>
      <c r="AE1105" s="32" t="str">
        <f t="shared" si="87"/>
        <v>✓ OK</v>
      </c>
      <c r="AF1105" s="33" t="s">
        <v>27</v>
      </c>
      <c r="AG1105" s="33" t="s">
        <v>23</v>
      </c>
      <c r="AH1105" s="33" t="s">
        <v>24</v>
      </c>
      <c r="AI1105" s="33" t="s">
        <v>25</v>
      </c>
      <c r="AJ1105" s="33" t="s">
        <v>26</v>
      </c>
      <c r="AK1105" s="33" t="s">
        <v>24</v>
      </c>
      <c r="AL1105" s="27"/>
      <c r="AM1105" s="34" t="s">
        <v>25</v>
      </c>
      <c r="AN1105" s="35" t="str">
        <f t="shared" si="88"/>
        <v>✓ OK</v>
      </c>
      <c r="AO1105" s="36"/>
      <c r="AP1105" s="36"/>
      <c r="AQ1105" s="36"/>
      <c r="AR1105" s="36"/>
      <c r="AS1105" s="36"/>
      <c r="AT1105" s="36"/>
      <c r="AU1105" s="27"/>
      <c r="AV1105" s="37"/>
      <c r="AW1105" s="38" t="str">
        <f t="shared" si="89"/>
        <v/>
      </c>
    </row>
    <row r="1106" spans="1:49" ht="18" customHeight="1" x14ac:dyDescent="0.3">
      <c r="A1106" s="39">
        <v>1102</v>
      </c>
      <c r="B1106" s="40" t="s">
        <v>4053</v>
      </c>
      <c r="C1106" s="41" t="s">
        <v>4054</v>
      </c>
      <c r="D1106" s="39" t="s">
        <v>4000</v>
      </c>
      <c r="E1106" s="43">
        <v>46125</v>
      </c>
      <c r="F1106" s="26" t="s">
        <v>23</v>
      </c>
      <c r="G1106" s="26" t="s">
        <v>24</v>
      </c>
      <c r="H1106" s="26" t="s">
        <v>25</v>
      </c>
      <c r="I1106" s="26" t="s">
        <v>26</v>
      </c>
      <c r="J1106" s="26" t="s">
        <v>24</v>
      </c>
      <c r="K1106" s="27"/>
      <c r="L1106" s="28" t="s">
        <v>25</v>
      </c>
      <c r="M1106" s="29" t="str">
        <f t="shared" si="85"/>
        <v>✓ OK</v>
      </c>
      <c r="N1106" s="43">
        <v>46193</v>
      </c>
      <c r="O1106" s="26" t="s">
        <v>23</v>
      </c>
      <c r="P1106" s="26" t="s">
        <v>24</v>
      </c>
      <c r="Q1106" s="26" t="s">
        <v>25</v>
      </c>
      <c r="R1106" s="26" t="s">
        <v>26</v>
      </c>
      <c r="S1106" s="26" t="s">
        <v>24</v>
      </c>
      <c r="T1106" s="27"/>
      <c r="U1106" s="28" t="s">
        <v>25</v>
      </c>
      <c r="V1106" s="29" t="str">
        <f t="shared" si="86"/>
        <v>✓ OK</v>
      </c>
      <c r="W1106" s="45">
        <v>46248</v>
      </c>
      <c r="X1106" s="30" t="s">
        <v>23</v>
      </c>
      <c r="Y1106" s="30" t="s">
        <v>24</v>
      </c>
      <c r="Z1106" s="30" t="s">
        <v>25</v>
      </c>
      <c r="AA1106" s="30" t="s">
        <v>26</v>
      </c>
      <c r="AB1106" s="30" t="s">
        <v>24</v>
      </c>
      <c r="AC1106" s="27"/>
      <c r="AD1106" s="31" t="s">
        <v>25</v>
      </c>
      <c r="AE1106" s="32" t="str">
        <f t="shared" si="87"/>
        <v>✓ OK</v>
      </c>
      <c r="AF1106" s="33" t="s">
        <v>27</v>
      </c>
      <c r="AG1106" s="33" t="s">
        <v>23</v>
      </c>
      <c r="AH1106" s="33" t="s">
        <v>24</v>
      </c>
      <c r="AI1106" s="33" t="s">
        <v>25</v>
      </c>
      <c r="AJ1106" s="33" t="s">
        <v>26</v>
      </c>
      <c r="AK1106" s="33" t="s">
        <v>24</v>
      </c>
      <c r="AL1106" s="27"/>
      <c r="AM1106" s="34" t="s">
        <v>25</v>
      </c>
      <c r="AN1106" s="35" t="str">
        <f t="shared" si="88"/>
        <v>✓ OK</v>
      </c>
      <c r="AO1106" s="36"/>
      <c r="AP1106" s="36"/>
      <c r="AQ1106" s="36"/>
      <c r="AR1106" s="36"/>
      <c r="AS1106" s="36"/>
      <c r="AT1106" s="36"/>
      <c r="AU1106" s="27"/>
      <c r="AV1106" s="37"/>
      <c r="AW1106" s="38" t="str">
        <f t="shared" si="89"/>
        <v/>
      </c>
    </row>
    <row r="1107" spans="1:49" ht="18" customHeight="1" x14ac:dyDescent="0.3">
      <c r="A1107" s="23">
        <v>1103</v>
      </c>
      <c r="B1107" s="24" t="s">
        <v>4055</v>
      </c>
      <c r="C1107" s="25" t="s">
        <v>4056</v>
      </c>
      <c r="D1107" s="23" t="s">
        <v>4000</v>
      </c>
      <c r="E1107" s="43">
        <v>46125</v>
      </c>
      <c r="F1107" s="26" t="s">
        <v>23</v>
      </c>
      <c r="G1107" s="26" t="s">
        <v>24</v>
      </c>
      <c r="H1107" s="26" t="s">
        <v>25</v>
      </c>
      <c r="I1107" s="26" t="s">
        <v>26</v>
      </c>
      <c r="J1107" s="26" t="s">
        <v>24</v>
      </c>
      <c r="K1107" s="27"/>
      <c r="L1107" s="28" t="s">
        <v>25</v>
      </c>
      <c r="M1107" s="29" t="str">
        <f t="shared" si="85"/>
        <v>✓ OK</v>
      </c>
      <c r="N1107" s="43">
        <v>46193</v>
      </c>
      <c r="O1107" s="26" t="s">
        <v>23</v>
      </c>
      <c r="P1107" s="26" t="s">
        <v>24</v>
      </c>
      <c r="Q1107" s="26" t="s">
        <v>25</v>
      </c>
      <c r="R1107" s="26" t="s">
        <v>26</v>
      </c>
      <c r="S1107" s="26" t="s">
        <v>24</v>
      </c>
      <c r="T1107" s="27"/>
      <c r="U1107" s="28" t="s">
        <v>25</v>
      </c>
      <c r="V1107" s="29" t="str">
        <f t="shared" si="86"/>
        <v>✓ OK</v>
      </c>
      <c r="W1107" s="45">
        <v>46248</v>
      </c>
      <c r="X1107" s="30" t="s">
        <v>23</v>
      </c>
      <c r="Y1107" s="30" t="s">
        <v>24</v>
      </c>
      <c r="Z1107" s="30" t="s">
        <v>25</v>
      </c>
      <c r="AA1107" s="30" t="s">
        <v>26</v>
      </c>
      <c r="AB1107" s="30" t="s">
        <v>24</v>
      </c>
      <c r="AC1107" s="27"/>
      <c r="AD1107" s="31" t="s">
        <v>25</v>
      </c>
      <c r="AE1107" s="32" t="str">
        <f t="shared" si="87"/>
        <v>✓ OK</v>
      </c>
      <c r="AF1107" s="33" t="s">
        <v>27</v>
      </c>
      <c r="AG1107" s="33" t="s">
        <v>23</v>
      </c>
      <c r="AH1107" s="33" t="s">
        <v>24</v>
      </c>
      <c r="AI1107" s="33" t="s">
        <v>25</v>
      </c>
      <c r="AJ1107" s="33" t="s">
        <v>26</v>
      </c>
      <c r="AK1107" s="33" t="s">
        <v>24</v>
      </c>
      <c r="AL1107" s="27"/>
      <c r="AM1107" s="34" t="s">
        <v>25</v>
      </c>
      <c r="AN1107" s="35" t="str">
        <f t="shared" si="88"/>
        <v>✓ OK</v>
      </c>
      <c r="AO1107" s="36"/>
      <c r="AP1107" s="36"/>
      <c r="AQ1107" s="36"/>
      <c r="AR1107" s="36"/>
      <c r="AS1107" s="36"/>
      <c r="AT1107" s="36"/>
      <c r="AU1107" s="27"/>
      <c r="AV1107" s="37"/>
      <c r="AW1107" s="38" t="str">
        <f t="shared" si="89"/>
        <v/>
      </c>
    </row>
    <row r="1108" spans="1:49" ht="18" customHeight="1" x14ac:dyDescent="0.3">
      <c r="A1108" s="39">
        <v>1104</v>
      </c>
      <c r="B1108" s="40" t="s">
        <v>4057</v>
      </c>
      <c r="C1108" s="41" t="s">
        <v>4058</v>
      </c>
      <c r="D1108" s="39" t="s">
        <v>4000</v>
      </c>
      <c r="E1108" s="43">
        <v>46125</v>
      </c>
      <c r="F1108" s="26" t="s">
        <v>23</v>
      </c>
      <c r="G1108" s="26" t="s">
        <v>24</v>
      </c>
      <c r="H1108" s="26" t="s">
        <v>25</v>
      </c>
      <c r="I1108" s="26" t="s">
        <v>26</v>
      </c>
      <c r="J1108" s="26" t="s">
        <v>24</v>
      </c>
      <c r="K1108" s="27"/>
      <c r="L1108" s="28" t="s">
        <v>25</v>
      </c>
      <c r="M1108" s="29" t="str">
        <f t="shared" si="85"/>
        <v>✓ OK</v>
      </c>
      <c r="N1108" s="43">
        <v>46193</v>
      </c>
      <c r="O1108" s="26" t="s">
        <v>23</v>
      </c>
      <c r="P1108" s="26" t="s">
        <v>24</v>
      </c>
      <c r="Q1108" s="26" t="s">
        <v>25</v>
      </c>
      <c r="R1108" s="26" t="s">
        <v>26</v>
      </c>
      <c r="S1108" s="26" t="s">
        <v>24</v>
      </c>
      <c r="T1108" s="27"/>
      <c r="U1108" s="28" t="s">
        <v>25</v>
      </c>
      <c r="V1108" s="29" t="str">
        <f t="shared" si="86"/>
        <v>✓ OK</v>
      </c>
      <c r="W1108" s="45">
        <v>46248</v>
      </c>
      <c r="X1108" s="30" t="s">
        <v>23</v>
      </c>
      <c r="Y1108" s="30" t="s">
        <v>24</v>
      </c>
      <c r="Z1108" s="30" t="s">
        <v>25</v>
      </c>
      <c r="AA1108" s="30" t="s">
        <v>26</v>
      </c>
      <c r="AB1108" s="30" t="s">
        <v>24</v>
      </c>
      <c r="AC1108" s="27"/>
      <c r="AD1108" s="31" t="s">
        <v>25</v>
      </c>
      <c r="AE1108" s="32" t="str">
        <f t="shared" si="87"/>
        <v>✓ OK</v>
      </c>
      <c r="AF1108" s="33" t="s">
        <v>27</v>
      </c>
      <c r="AG1108" s="33" t="s">
        <v>23</v>
      </c>
      <c r="AH1108" s="33" t="s">
        <v>24</v>
      </c>
      <c r="AI1108" s="33" t="s">
        <v>25</v>
      </c>
      <c r="AJ1108" s="33" t="s">
        <v>26</v>
      </c>
      <c r="AK1108" s="33" t="s">
        <v>24</v>
      </c>
      <c r="AL1108" s="27"/>
      <c r="AM1108" s="34" t="s">
        <v>25</v>
      </c>
      <c r="AN1108" s="35" t="str">
        <f t="shared" si="88"/>
        <v>✓ OK</v>
      </c>
      <c r="AO1108" s="36"/>
      <c r="AP1108" s="36"/>
      <c r="AQ1108" s="36"/>
      <c r="AR1108" s="36"/>
      <c r="AS1108" s="36"/>
      <c r="AT1108" s="36"/>
      <c r="AU1108" s="27"/>
      <c r="AV1108" s="37"/>
      <c r="AW1108" s="38" t="str">
        <f t="shared" si="89"/>
        <v/>
      </c>
    </row>
    <row r="1109" spans="1:49" ht="18" customHeight="1" x14ac:dyDescent="0.3">
      <c r="A1109" s="23">
        <v>1105</v>
      </c>
      <c r="B1109" s="24" t="s">
        <v>4059</v>
      </c>
      <c r="C1109" s="25" t="s">
        <v>4060</v>
      </c>
      <c r="D1109" s="23" t="s">
        <v>4000</v>
      </c>
      <c r="E1109" s="43">
        <v>46125</v>
      </c>
      <c r="F1109" s="26" t="s">
        <v>23</v>
      </c>
      <c r="G1109" s="26" t="s">
        <v>24</v>
      </c>
      <c r="H1109" s="26" t="s">
        <v>25</v>
      </c>
      <c r="I1109" s="26" t="s">
        <v>26</v>
      </c>
      <c r="J1109" s="26" t="s">
        <v>24</v>
      </c>
      <c r="K1109" s="27"/>
      <c r="L1109" s="28" t="s">
        <v>25</v>
      </c>
      <c r="M1109" s="29" t="str">
        <f t="shared" si="85"/>
        <v>✓ OK</v>
      </c>
      <c r="N1109" s="43">
        <v>46193</v>
      </c>
      <c r="O1109" s="26" t="s">
        <v>23</v>
      </c>
      <c r="P1109" s="26" t="s">
        <v>24</v>
      </c>
      <c r="Q1109" s="26" t="s">
        <v>25</v>
      </c>
      <c r="R1109" s="26" t="s">
        <v>26</v>
      </c>
      <c r="S1109" s="26" t="s">
        <v>24</v>
      </c>
      <c r="T1109" s="27"/>
      <c r="U1109" s="28" t="s">
        <v>25</v>
      </c>
      <c r="V1109" s="29" t="str">
        <f t="shared" si="86"/>
        <v>✓ OK</v>
      </c>
      <c r="W1109" s="45">
        <v>46248</v>
      </c>
      <c r="X1109" s="30" t="s">
        <v>23</v>
      </c>
      <c r="Y1109" s="30" t="s">
        <v>24</v>
      </c>
      <c r="Z1109" s="30" t="s">
        <v>25</v>
      </c>
      <c r="AA1109" s="30" t="s">
        <v>26</v>
      </c>
      <c r="AB1109" s="30" t="s">
        <v>24</v>
      </c>
      <c r="AC1109" s="27"/>
      <c r="AD1109" s="31" t="s">
        <v>25</v>
      </c>
      <c r="AE1109" s="32" t="str">
        <f t="shared" si="87"/>
        <v>✓ OK</v>
      </c>
      <c r="AF1109" s="33" t="s">
        <v>27</v>
      </c>
      <c r="AG1109" s="33" t="s">
        <v>23</v>
      </c>
      <c r="AH1109" s="33" t="s">
        <v>24</v>
      </c>
      <c r="AI1109" s="33" t="s">
        <v>25</v>
      </c>
      <c r="AJ1109" s="33" t="s">
        <v>26</v>
      </c>
      <c r="AK1109" s="33" t="s">
        <v>24</v>
      </c>
      <c r="AL1109" s="27"/>
      <c r="AM1109" s="34" t="s">
        <v>25</v>
      </c>
      <c r="AN1109" s="35" t="str">
        <f t="shared" si="88"/>
        <v>✓ OK</v>
      </c>
      <c r="AO1109" s="36"/>
      <c r="AP1109" s="36"/>
      <c r="AQ1109" s="36"/>
      <c r="AR1109" s="36"/>
      <c r="AS1109" s="36"/>
      <c r="AT1109" s="36"/>
      <c r="AU1109" s="27"/>
      <c r="AV1109" s="37"/>
      <c r="AW1109" s="38" t="str">
        <f t="shared" si="89"/>
        <v/>
      </c>
    </row>
    <row r="1110" spans="1:49" ht="18" customHeight="1" x14ac:dyDescent="0.3">
      <c r="A1110" s="39">
        <v>1106</v>
      </c>
      <c r="B1110" s="40" t="s">
        <v>4061</v>
      </c>
      <c r="C1110" s="41" t="s">
        <v>4062</v>
      </c>
      <c r="D1110" s="39" t="s">
        <v>4000</v>
      </c>
      <c r="E1110" s="43">
        <v>46125</v>
      </c>
      <c r="F1110" s="26" t="s">
        <v>23</v>
      </c>
      <c r="G1110" s="26" t="s">
        <v>24</v>
      </c>
      <c r="H1110" s="26" t="s">
        <v>25</v>
      </c>
      <c r="I1110" s="26" t="s">
        <v>26</v>
      </c>
      <c r="J1110" s="26" t="s">
        <v>24</v>
      </c>
      <c r="K1110" s="27"/>
      <c r="L1110" s="28" t="s">
        <v>25</v>
      </c>
      <c r="M1110" s="29" t="str">
        <f t="shared" si="85"/>
        <v>✓ OK</v>
      </c>
      <c r="N1110" s="43">
        <v>46193</v>
      </c>
      <c r="O1110" s="26" t="s">
        <v>23</v>
      </c>
      <c r="P1110" s="26" t="s">
        <v>24</v>
      </c>
      <c r="Q1110" s="26" t="s">
        <v>25</v>
      </c>
      <c r="R1110" s="26" t="s">
        <v>26</v>
      </c>
      <c r="S1110" s="26" t="s">
        <v>24</v>
      </c>
      <c r="T1110" s="27"/>
      <c r="U1110" s="28" t="s">
        <v>25</v>
      </c>
      <c r="V1110" s="29" t="str">
        <f t="shared" si="86"/>
        <v>✓ OK</v>
      </c>
      <c r="W1110" s="45">
        <v>46248</v>
      </c>
      <c r="X1110" s="30" t="s">
        <v>23</v>
      </c>
      <c r="Y1110" s="30" t="s">
        <v>24</v>
      </c>
      <c r="Z1110" s="30" t="s">
        <v>25</v>
      </c>
      <c r="AA1110" s="30" t="s">
        <v>26</v>
      </c>
      <c r="AB1110" s="30" t="s">
        <v>24</v>
      </c>
      <c r="AC1110" s="27"/>
      <c r="AD1110" s="31" t="s">
        <v>25</v>
      </c>
      <c r="AE1110" s="32" t="str">
        <f t="shared" si="87"/>
        <v>✓ OK</v>
      </c>
      <c r="AF1110" s="33" t="s">
        <v>27</v>
      </c>
      <c r="AG1110" s="33" t="s">
        <v>23</v>
      </c>
      <c r="AH1110" s="33" t="s">
        <v>24</v>
      </c>
      <c r="AI1110" s="33" t="s">
        <v>25</v>
      </c>
      <c r="AJ1110" s="33" t="s">
        <v>26</v>
      </c>
      <c r="AK1110" s="33" t="s">
        <v>24</v>
      </c>
      <c r="AL1110" s="27"/>
      <c r="AM1110" s="34" t="s">
        <v>25</v>
      </c>
      <c r="AN1110" s="35" t="str">
        <f t="shared" si="88"/>
        <v>✓ OK</v>
      </c>
      <c r="AO1110" s="36"/>
      <c r="AP1110" s="36"/>
      <c r="AQ1110" s="36"/>
      <c r="AR1110" s="36"/>
      <c r="AS1110" s="36"/>
      <c r="AT1110" s="36"/>
      <c r="AU1110" s="27"/>
      <c r="AV1110" s="37"/>
      <c r="AW1110" s="38" t="str">
        <f t="shared" si="89"/>
        <v/>
      </c>
    </row>
    <row r="1111" spans="1:49" ht="18" customHeight="1" x14ac:dyDescent="0.3">
      <c r="A1111" s="23">
        <v>1107</v>
      </c>
      <c r="B1111" s="24" t="s">
        <v>4063</v>
      </c>
      <c r="C1111" s="25" t="s">
        <v>4064</v>
      </c>
      <c r="D1111" s="23" t="s">
        <v>4000</v>
      </c>
      <c r="E1111" s="43">
        <v>46125</v>
      </c>
      <c r="F1111" s="26" t="s">
        <v>23</v>
      </c>
      <c r="G1111" s="26" t="s">
        <v>24</v>
      </c>
      <c r="H1111" s="26" t="s">
        <v>25</v>
      </c>
      <c r="I1111" s="26" t="s">
        <v>26</v>
      </c>
      <c r="J1111" s="26" t="s">
        <v>24</v>
      </c>
      <c r="K1111" s="27"/>
      <c r="L1111" s="28" t="s">
        <v>25</v>
      </c>
      <c r="M1111" s="29" t="str">
        <f t="shared" si="85"/>
        <v>✓ OK</v>
      </c>
      <c r="N1111" s="43">
        <v>46193</v>
      </c>
      <c r="O1111" s="26" t="s">
        <v>23</v>
      </c>
      <c r="P1111" s="26" t="s">
        <v>24</v>
      </c>
      <c r="Q1111" s="26" t="s">
        <v>25</v>
      </c>
      <c r="R1111" s="26" t="s">
        <v>26</v>
      </c>
      <c r="S1111" s="26" t="s">
        <v>24</v>
      </c>
      <c r="T1111" s="27"/>
      <c r="U1111" s="28" t="s">
        <v>25</v>
      </c>
      <c r="V1111" s="29" t="str">
        <f t="shared" si="86"/>
        <v>✓ OK</v>
      </c>
      <c r="W1111" s="45">
        <v>46248</v>
      </c>
      <c r="X1111" s="30" t="s">
        <v>23</v>
      </c>
      <c r="Y1111" s="30" t="s">
        <v>24</v>
      </c>
      <c r="Z1111" s="30" t="s">
        <v>25</v>
      </c>
      <c r="AA1111" s="30" t="s">
        <v>26</v>
      </c>
      <c r="AB1111" s="30" t="s">
        <v>24</v>
      </c>
      <c r="AC1111" s="27"/>
      <c r="AD1111" s="31" t="s">
        <v>25</v>
      </c>
      <c r="AE1111" s="32" t="str">
        <f t="shared" si="87"/>
        <v>✓ OK</v>
      </c>
      <c r="AF1111" s="33" t="s">
        <v>27</v>
      </c>
      <c r="AG1111" s="33" t="s">
        <v>23</v>
      </c>
      <c r="AH1111" s="33" t="s">
        <v>24</v>
      </c>
      <c r="AI1111" s="33" t="s">
        <v>25</v>
      </c>
      <c r="AJ1111" s="33" t="s">
        <v>26</v>
      </c>
      <c r="AK1111" s="33" t="s">
        <v>24</v>
      </c>
      <c r="AL1111" s="27"/>
      <c r="AM1111" s="34" t="s">
        <v>25</v>
      </c>
      <c r="AN1111" s="35" t="str">
        <f t="shared" si="88"/>
        <v>✓ OK</v>
      </c>
      <c r="AO1111" s="36"/>
      <c r="AP1111" s="36"/>
      <c r="AQ1111" s="36"/>
      <c r="AR1111" s="36"/>
      <c r="AS1111" s="36"/>
      <c r="AT1111" s="36"/>
      <c r="AU1111" s="27"/>
      <c r="AV1111" s="37"/>
      <c r="AW1111" s="38" t="str">
        <f t="shared" si="89"/>
        <v/>
      </c>
    </row>
    <row r="1112" spans="1:49" ht="18" customHeight="1" x14ac:dyDescent="0.3">
      <c r="A1112" s="39">
        <v>1108</v>
      </c>
      <c r="B1112" s="40" t="s">
        <v>4065</v>
      </c>
      <c r="C1112" s="41" t="s">
        <v>4066</v>
      </c>
      <c r="D1112" s="39" t="s">
        <v>4000</v>
      </c>
      <c r="E1112" s="43">
        <v>46125</v>
      </c>
      <c r="F1112" s="26" t="s">
        <v>23</v>
      </c>
      <c r="G1112" s="26" t="s">
        <v>24</v>
      </c>
      <c r="H1112" s="26" t="s">
        <v>25</v>
      </c>
      <c r="I1112" s="26" t="s">
        <v>26</v>
      </c>
      <c r="J1112" s="26" t="s">
        <v>24</v>
      </c>
      <c r="K1112" s="27"/>
      <c r="L1112" s="28" t="s">
        <v>25</v>
      </c>
      <c r="M1112" s="29" t="str">
        <f t="shared" si="85"/>
        <v>✓ OK</v>
      </c>
      <c r="N1112" s="43">
        <v>46193</v>
      </c>
      <c r="O1112" s="26" t="s">
        <v>23</v>
      </c>
      <c r="P1112" s="26" t="s">
        <v>24</v>
      </c>
      <c r="Q1112" s="26" t="s">
        <v>25</v>
      </c>
      <c r="R1112" s="26" t="s">
        <v>26</v>
      </c>
      <c r="S1112" s="26" t="s">
        <v>24</v>
      </c>
      <c r="T1112" s="27"/>
      <c r="U1112" s="28" t="s">
        <v>25</v>
      </c>
      <c r="V1112" s="29" t="str">
        <f t="shared" si="86"/>
        <v>✓ OK</v>
      </c>
      <c r="W1112" s="45">
        <v>46248</v>
      </c>
      <c r="X1112" s="30" t="s">
        <v>23</v>
      </c>
      <c r="Y1112" s="30" t="s">
        <v>24</v>
      </c>
      <c r="Z1112" s="30" t="s">
        <v>25</v>
      </c>
      <c r="AA1112" s="30" t="s">
        <v>26</v>
      </c>
      <c r="AB1112" s="30" t="s">
        <v>24</v>
      </c>
      <c r="AC1112" s="27"/>
      <c r="AD1112" s="31" t="s">
        <v>25</v>
      </c>
      <c r="AE1112" s="32" t="str">
        <f t="shared" si="87"/>
        <v>✓ OK</v>
      </c>
      <c r="AF1112" s="33" t="s">
        <v>27</v>
      </c>
      <c r="AG1112" s="33" t="s">
        <v>23</v>
      </c>
      <c r="AH1112" s="33" t="s">
        <v>24</v>
      </c>
      <c r="AI1112" s="33" t="s">
        <v>25</v>
      </c>
      <c r="AJ1112" s="33" t="s">
        <v>26</v>
      </c>
      <c r="AK1112" s="33" t="s">
        <v>24</v>
      </c>
      <c r="AL1112" s="27"/>
      <c r="AM1112" s="34" t="s">
        <v>25</v>
      </c>
      <c r="AN1112" s="35" t="str">
        <f t="shared" si="88"/>
        <v>✓ OK</v>
      </c>
      <c r="AO1112" s="36"/>
      <c r="AP1112" s="36"/>
      <c r="AQ1112" s="36"/>
      <c r="AR1112" s="36"/>
      <c r="AS1112" s="36"/>
      <c r="AT1112" s="36"/>
      <c r="AU1112" s="27"/>
      <c r="AV1112" s="37"/>
      <c r="AW1112" s="38" t="str">
        <f t="shared" si="89"/>
        <v/>
      </c>
    </row>
    <row r="1113" spans="1:49" ht="18" customHeight="1" x14ac:dyDescent="0.3">
      <c r="A1113" s="23">
        <v>1109</v>
      </c>
      <c r="B1113" s="24" t="s">
        <v>4067</v>
      </c>
      <c r="C1113" s="25" t="s">
        <v>4068</v>
      </c>
      <c r="D1113" s="23" t="s">
        <v>4000</v>
      </c>
      <c r="E1113" s="43">
        <v>46125</v>
      </c>
      <c r="F1113" s="26" t="s">
        <v>23</v>
      </c>
      <c r="G1113" s="26" t="s">
        <v>24</v>
      </c>
      <c r="H1113" s="26" t="s">
        <v>25</v>
      </c>
      <c r="I1113" s="26" t="s">
        <v>26</v>
      </c>
      <c r="J1113" s="26" t="s">
        <v>24</v>
      </c>
      <c r="K1113" s="27"/>
      <c r="L1113" s="28" t="s">
        <v>25</v>
      </c>
      <c r="M1113" s="29" t="str">
        <f t="shared" si="85"/>
        <v>✓ OK</v>
      </c>
      <c r="N1113" s="43">
        <v>46193</v>
      </c>
      <c r="O1113" s="26" t="s">
        <v>23</v>
      </c>
      <c r="P1113" s="26" t="s">
        <v>24</v>
      </c>
      <c r="Q1113" s="26" t="s">
        <v>25</v>
      </c>
      <c r="R1113" s="26" t="s">
        <v>26</v>
      </c>
      <c r="S1113" s="26" t="s">
        <v>24</v>
      </c>
      <c r="T1113" s="27"/>
      <c r="U1113" s="28" t="s">
        <v>25</v>
      </c>
      <c r="V1113" s="29" t="str">
        <f t="shared" si="86"/>
        <v>✓ OK</v>
      </c>
      <c r="W1113" s="45">
        <v>46248</v>
      </c>
      <c r="X1113" s="30" t="s">
        <v>23</v>
      </c>
      <c r="Y1113" s="30" t="s">
        <v>24</v>
      </c>
      <c r="Z1113" s="30" t="s">
        <v>25</v>
      </c>
      <c r="AA1113" s="30" t="s">
        <v>26</v>
      </c>
      <c r="AB1113" s="30" t="s">
        <v>24</v>
      </c>
      <c r="AC1113" s="27"/>
      <c r="AD1113" s="31" t="s">
        <v>25</v>
      </c>
      <c r="AE1113" s="32" t="str">
        <f t="shared" si="87"/>
        <v>✓ OK</v>
      </c>
      <c r="AF1113" s="33" t="s">
        <v>27</v>
      </c>
      <c r="AG1113" s="33" t="s">
        <v>23</v>
      </c>
      <c r="AH1113" s="33" t="s">
        <v>24</v>
      </c>
      <c r="AI1113" s="33" t="s">
        <v>25</v>
      </c>
      <c r="AJ1113" s="33" t="s">
        <v>26</v>
      </c>
      <c r="AK1113" s="33" t="s">
        <v>24</v>
      </c>
      <c r="AL1113" s="27"/>
      <c r="AM1113" s="34" t="s">
        <v>25</v>
      </c>
      <c r="AN1113" s="35" t="str">
        <f t="shared" si="88"/>
        <v>✓ OK</v>
      </c>
      <c r="AO1113" s="36"/>
      <c r="AP1113" s="36"/>
      <c r="AQ1113" s="36"/>
      <c r="AR1113" s="36"/>
      <c r="AS1113" s="36"/>
      <c r="AT1113" s="36"/>
      <c r="AU1113" s="27"/>
      <c r="AV1113" s="37"/>
      <c r="AW1113" s="38" t="str">
        <f t="shared" si="89"/>
        <v/>
      </c>
    </row>
    <row r="1114" spans="1:49" ht="18" customHeight="1" x14ac:dyDescent="0.3">
      <c r="A1114" s="39">
        <v>1110</v>
      </c>
      <c r="B1114" s="40" t="s">
        <v>4069</v>
      </c>
      <c r="C1114" s="41" t="s">
        <v>4070</v>
      </c>
      <c r="D1114" s="39" t="s">
        <v>4000</v>
      </c>
      <c r="E1114" s="43">
        <v>46125</v>
      </c>
      <c r="F1114" s="26" t="s">
        <v>23</v>
      </c>
      <c r="G1114" s="26" t="s">
        <v>24</v>
      </c>
      <c r="H1114" s="26" t="s">
        <v>25</v>
      </c>
      <c r="I1114" s="26" t="s">
        <v>26</v>
      </c>
      <c r="J1114" s="26" t="s">
        <v>24</v>
      </c>
      <c r="K1114" s="27"/>
      <c r="L1114" s="28" t="s">
        <v>25</v>
      </c>
      <c r="M1114" s="29" t="str">
        <f t="shared" si="85"/>
        <v>✓ OK</v>
      </c>
      <c r="N1114" s="43">
        <v>46193</v>
      </c>
      <c r="O1114" s="26" t="s">
        <v>23</v>
      </c>
      <c r="P1114" s="26" t="s">
        <v>24</v>
      </c>
      <c r="Q1114" s="26" t="s">
        <v>25</v>
      </c>
      <c r="R1114" s="26" t="s">
        <v>26</v>
      </c>
      <c r="S1114" s="26" t="s">
        <v>24</v>
      </c>
      <c r="T1114" s="27"/>
      <c r="U1114" s="28" t="s">
        <v>25</v>
      </c>
      <c r="V1114" s="29" t="str">
        <f t="shared" si="86"/>
        <v>✓ OK</v>
      </c>
      <c r="W1114" s="45">
        <v>46248</v>
      </c>
      <c r="X1114" s="30" t="s">
        <v>23</v>
      </c>
      <c r="Y1114" s="30" t="s">
        <v>24</v>
      </c>
      <c r="Z1114" s="30" t="s">
        <v>25</v>
      </c>
      <c r="AA1114" s="30" t="s">
        <v>26</v>
      </c>
      <c r="AB1114" s="30" t="s">
        <v>24</v>
      </c>
      <c r="AC1114" s="27"/>
      <c r="AD1114" s="31" t="s">
        <v>25</v>
      </c>
      <c r="AE1114" s="32" t="str">
        <f t="shared" si="87"/>
        <v>✓ OK</v>
      </c>
      <c r="AF1114" s="33" t="s">
        <v>27</v>
      </c>
      <c r="AG1114" s="33" t="s">
        <v>23</v>
      </c>
      <c r="AH1114" s="33" t="s">
        <v>24</v>
      </c>
      <c r="AI1114" s="33" t="s">
        <v>25</v>
      </c>
      <c r="AJ1114" s="33" t="s">
        <v>26</v>
      </c>
      <c r="AK1114" s="33" t="s">
        <v>24</v>
      </c>
      <c r="AL1114" s="27"/>
      <c r="AM1114" s="34" t="s">
        <v>25</v>
      </c>
      <c r="AN1114" s="35" t="str">
        <f t="shared" si="88"/>
        <v>✓ OK</v>
      </c>
      <c r="AO1114" s="36"/>
      <c r="AP1114" s="36"/>
      <c r="AQ1114" s="36"/>
      <c r="AR1114" s="36"/>
      <c r="AS1114" s="36"/>
      <c r="AT1114" s="36"/>
      <c r="AU1114" s="27"/>
      <c r="AV1114" s="37"/>
      <c r="AW1114" s="38" t="str">
        <f t="shared" si="89"/>
        <v/>
      </c>
    </row>
    <row r="1115" spans="1:49" ht="18" customHeight="1" x14ac:dyDescent="0.3">
      <c r="A1115" s="23">
        <v>1111</v>
      </c>
      <c r="B1115" s="24" t="s">
        <v>4071</v>
      </c>
      <c r="C1115" s="25" t="s">
        <v>4072</v>
      </c>
      <c r="D1115" s="23" t="s">
        <v>4000</v>
      </c>
      <c r="E1115" s="43">
        <v>46125</v>
      </c>
      <c r="F1115" s="26" t="s">
        <v>23</v>
      </c>
      <c r="G1115" s="26" t="s">
        <v>24</v>
      </c>
      <c r="H1115" s="26" t="s">
        <v>25</v>
      </c>
      <c r="I1115" s="26" t="s">
        <v>26</v>
      </c>
      <c r="J1115" s="26" t="s">
        <v>24</v>
      </c>
      <c r="K1115" s="27"/>
      <c r="L1115" s="28" t="s">
        <v>25</v>
      </c>
      <c r="M1115" s="29" t="str">
        <f t="shared" si="85"/>
        <v>✓ OK</v>
      </c>
      <c r="N1115" s="43">
        <v>46193</v>
      </c>
      <c r="O1115" s="26" t="s">
        <v>23</v>
      </c>
      <c r="P1115" s="26" t="s">
        <v>24</v>
      </c>
      <c r="Q1115" s="26" t="s">
        <v>25</v>
      </c>
      <c r="R1115" s="26" t="s">
        <v>26</v>
      </c>
      <c r="S1115" s="26" t="s">
        <v>24</v>
      </c>
      <c r="T1115" s="27"/>
      <c r="U1115" s="28" t="s">
        <v>25</v>
      </c>
      <c r="V1115" s="29" t="str">
        <f t="shared" si="86"/>
        <v>✓ OK</v>
      </c>
      <c r="W1115" s="45">
        <v>46248</v>
      </c>
      <c r="X1115" s="30" t="s">
        <v>23</v>
      </c>
      <c r="Y1115" s="30" t="s">
        <v>24</v>
      </c>
      <c r="Z1115" s="30" t="s">
        <v>25</v>
      </c>
      <c r="AA1115" s="30" t="s">
        <v>26</v>
      </c>
      <c r="AB1115" s="30" t="s">
        <v>24</v>
      </c>
      <c r="AC1115" s="27"/>
      <c r="AD1115" s="31" t="s">
        <v>25</v>
      </c>
      <c r="AE1115" s="32" t="str">
        <f t="shared" si="87"/>
        <v>✓ OK</v>
      </c>
      <c r="AF1115" s="33" t="s">
        <v>27</v>
      </c>
      <c r="AG1115" s="33" t="s">
        <v>23</v>
      </c>
      <c r="AH1115" s="33" t="s">
        <v>24</v>
      </c>
      <c r="AI1115" s="33" t="s">
        <v>25</v>
      </c>
      <c r="AJ1115" s="33" t="s">
        <v>26</v>
      </c>
      <c r="AK1115" s="33" t="s">
        <v>24</v>
      </c>
      <c r="AL1115" s="27"/>
      <c r="AM1115" s="34" t="s">
        <v>25</v>
      </c>
      <c r="AN1115" s="35" t="str">
        <f t="shared" si="88"/>
        <v>✓ OK</v>
      </c>
      <c r="AO1115" s="36"/>
      <c r="AP1115" s="36"/>
      <c r="AQ1115" s="36"/>
      <c r="AR1115" s="36"/>
      <c r="AS1115" s="36"/>
      <c r="AT1115" s="36"/>
      <c r="AU1115" s="27"/>
      <c r="AV1115" s="37"/>
      <c r="AW1115" s="38" t="str">
        <f t="shared" si="89"/>
        <v/>
      </c>
    </row>
    <row r="1116" spans="1:49" ht="18" customHeight="1" x14ac:dyDescent="0.3">
      <c r="A1116" s="39">
        <v>1112</v>
      </c>
      <c r="B1116" s="40" t="s">
        <v>4073</v>
      </c>
      <c r="C1116" s="41" t="s">
        <v>4074</v>
      </c>
      <c r="D1116" s="39" t="s">
        <v>4000</v>
      </c>
      <c r="E1116" s="43">
        <v>46125</v>
      </c>
      <c r="F1116" s="26" t="s">
        <v>23</v>
      </c>
      <c r="G1116" s="26" t="s">
        <v>24</v>
      </c>
      <c r="H1116" s="26" t="s">
        <v>25</v>
      </c>
      <c r="I1116" s="26" t="s">
        <v>26</v>
      </c>
      <c r="J1116" s="26" t="s">
        <v>24</v>
      </c>
      <c r="K1116" s="27"/>
      <c r="L1116" s="28" t="s">
        <v>25</v>
      </c>
      <c r="M1116" s="29" t="str">
        <f t="shared" si="85"/>
        <v>✓ OK</v>
      </c>
      <c r="N1116" s="43">
        <v>46193</v>
      </c>
      <c r="O1116" s="26" t="s">
        <v>23</v>
      </c>
      <c r="P1116" s="26" t="s">
        <v>24</v>
      </c>
      <c r="Q1116" s="26" t="s">
        <v>25</v>
      </c>
      <c r="R1116" s="26" t="s">
        <v>26</v>
      </c>
      <c r="S1116" s="26" t="s">
        <v>24</v>
      </c>
      <c r="T1116" s="27"/>
      <c r="U1116" s="28" t="s">
        <v>25</v>
      </c>
      <c r="V1116" s="29" t="str">
        <f t="shared" si="86"/>
        <v>✓ OK</v>
      </c>
      <c r="W1116" s="45">
        <v>46248</v>
      </c>
      <c r="X1116" s="30" t="s">
        <v>23</v>
      </c>
      <c r="Y1116" s="30" t="s">
        <v>24</v>
      </c>
      <c r="Z1116" s="30" t="s">
        <v>25</v>
      </c>
      <c r="AA1116" s="30" t="s">
        <v>26</v>
      </c>
      <c r="AB1116" s="30" t="s">
        <v>24</v>
      </c>
      <c r="AC1116" s="27"/>
      <c r="AD1116" s="31" t="s">
        <v>25</v>
      </c>
      <c r="AE1116" s="32" t="str">
        <f t="shared" si="87"/>
        <v>✓ OK</v>
      </c>
      <c r="AF1116" s="33" t="s">
        <v>27</v>
      </c>
      <c r="AG1116" s="33" t="s">
        <v>23</v>
      </c>
      <c r="AH1116" s="33" t="s">
        <v>24</v>
      </c>
      <c r="AI1116" s="33" t="s">
        <v>25</v>
      </c>
      <c r="AJ1116" s="33" t="s">
        <v>26</v>
      </c>
      <c r="AK1116" s="33" t="s">
        <v>24</v>
      </c>
      <c r="AL1116" s="27"/>
      <c r="AM1116" s="34" t="s">
        <v>25</v>
      </c>
      <c r="AN1116" s="35" t="str">
        <f t="shared" si="88"/>
        <v>✓ OK</v>
      </c>
      <c r="AO1116" s="36"/>
      <c r="AP1116" s="36"/>
      <c r="AQ1116" s="36"/>
      <c r="AR1116" s="36"/>
      <c r="AS1116" s="36"/>
      <c r="AT1116" s="36"/>
      <c r="AU1116" s="27"/>
      <c r="AV1116" s="37"/>
      <c r="AW1116" s="38" t="str">
        <f t="shared" si="89"/>
        <v/>
      </c>
    </row>
    <row r="1117" spans="1:49" ht="18" customHeight="1" x14ac:dyDescent="0.3">
      <c r="A1117" s="23">
        <v>1113</v>
      </c>
      <c r="B1117" s="24" t="s">
        <v>4075</v>
      </c>
      <c r="C1117" s="25" t="s">
        <v>4076</v>
      </c>
      <c r="D1117" s="23" t="s">
        <v>4000</v>
      </c>
      <c r="E1117" s="43">
        <v>46125</v>
      </c>
      <c r="F1117" s="26" t="s">
        <v>23</v>
      </c>
      <c r="G1117" s="26" t="s">
        <v>24</v>
      </c>
      <c r="H1117" s="26" t="s">
        <v>25</v>
      </c>
      <c r="I1117" s="26" t="s">
        <v>26</v>
      </c>
      <c r="J1117" s="26" t="s">
        <v>24</v>
      </c>
      <c r="K1117" s="27"/>
      <c r="L1117" s="28" t="s">
        <v>25</v>
      </c>
      <c r="M1117" s="29" t="str">
        <f t="shared" si="85"/>
        <v>✓ OK</v>
      </c>
      <c r="N1117" s="43">
        <v>46193</v>
      </c>
      <c r="O1117" s="26" t="s">
        <v>23</v>
      </c>
      <c r="P1117" s="26" t="s">
        <v>24</v>
      </c>
      <c r="Q1117" s="26" t="s">
        <v>25</v>
      </c>
      <c r="R1117" s="26" t="s">
        <v>26</v>
      </c>
      <c r="S1117" s="26" t="s">
        <v>24</v>
      </c>
      <c r="T1117" s="27"/>
      <c r="U1117" s="28" t="s">
        <v>25</v>
      </c>
      <c r="V1117" s="29" t="str">
        <f t="shared" si="86"/>
        <v>✓ OK</v>
      </c>
      <c r="W1117" s="45">
        <v>46248</v>
      </c>
      <c r="X1117" s="30" t="s">
        <v>23</v>
      </c>
      <c r="Y1117" s="30" t="s">
        <v>24</v>
      </c>
      <c r="Z1117" s="30" t="s">
        <v>25</v>
      </c>
      <c r="AA1117" s="30" t="s">
        <v>26</v>
      </c>
      <c r="AB1117" s="30" t="s">
        <v>24</v>
      </c>
      <c r="AC1117" s="27"/>
      <c r="AD1117" s="31" t="s">
        <v>25</v>
      </c>
      <c r="AE1117" s="32" t="str">
        <f t="shared" si="87"/>
        <v>✓ OK</v>
      </c>
      <c r="AF1117" s="33" t="s">
        <v>27</v>
      </c>
      <c r="AG1117" s="33" t="s">
        <v>23</v>
      </c>
      <c r="AH1117" s="33" t="s">
        <v>24</v>
      </c>
      <c r="AI1117" s="33" t="s">
        <v>25</v>
      </c>
      <c r="AJ1117" s="33" t="s">
        <v>26</v>
      </c>
      <c r="AK1117" s="33" t="s">
        <v>24</v>
      </c>
      <c r="AL1117" s="27"/>
      <c r="AM1117" s="34" t="s">
        <v>25</v>
      </c>
      <c r="AN1117" s="35" t="str">
        <f t="shared" si="88"/>
        <v>✓ OK</v>
      </c>
      <c r="AO1117" s="36"/>
      <c r="AP1117" s="36"/>
      <c r="AQ1117" s="36"/>
      <c r="AR1117" s="36"/>
      <c r="AS1117" s="36"/>
      <c r="AT1117" s="36"/>
      <c r="AU1117" s="27"/>
      <c r="AV1117" s="37"/>
      <c r="AW1117" s="38" t="str">
        <f t="shared" si="89"/>
        <v/>
      </c>
    </row>
    <row r="1118" spans="1:49" ht="18" customHeight="1" x14ac:dyDescent="0.3">
      <c r="A1118" s="39">
        <v>1114</v>
      </c>
      <c r="B1118" s="40" t="s">
        <v>4077</v>
      </c>
      <c r="C1118" s="41" t="s">
        <v>4078</v>
      </c>
      <c r="D1118" s="39" t="s">
        <v>4000</v>
      </c>
      <c r="E1118" s="43">
        <v>46125</v>
      </c>
      <c r="F1118" s="26" t="s">
        <v>23</v>
      </c>
      <c r="G1118" s="26" t="s">
        <v>24</v>
      </c>
      <c r="H1118" s="26" t="s">
        <v>25</v>
      </c>
      <c r="I1118" s="26" t="s">
        <v>26</v>
      </c>
      <c r="J1118" s="26" t="s">
        <v>24</v>
      </c>
      <c r="K1118" s="27"/>
      <c r="L1118" s="28" t="s">
        <v>25</v>
      </c>
      <c r="M1118" s="29" t="str">
        <f t="shared" si="85"/>
        <v>✓ OK</v>
      </c>
      <c r="N1118" s="43">
        <v>46193</v>
      </c>
      <c r="O1118" s="26" t="s">
        <v>23</v>
      </c>
      <c r="P1118" s="26" t="s">
        <v>24</v>
      </c>
      <c r="Q1118" s="26" t="s">
        <v>25</v>
      </c>
      <c r="R1118" s="26" t="s">
        <v>26</v>
      </c>
      <c r="S1118" s="26" t="s">
        <v>24</v>
      </c>
      <c r="T1118" s="27"/>
      <c r="U1118" s="28" t="s">
        <v>25</v>
      </c>
      <c r="V1118" s="29" t="str">
        <f t="shared" si="86"/>
        <v>✓ OK</v>
      </c>
      <c r="W1118" s="45">
        <v>46248</v>
      </c>
      <c r="X1118" s="30" t="s">
        <v>23</v>
      </c>
      <c r="Y1118" s="30" t="s">
        <v>24</v>
      </c>
      <c r="Z1118" s="30" t="s">
        <v>25</v>
      </c>
      <c r="AA1118" s="30" t="s">
        <v>26</v>
      </c>
      <c r="AB1118" s="30" t="s">
        <v>24</v>
      </c>
      <c r="AC1118" s="27"/>
      <c r="AD1118" s="31" t="s">
        <v>25</v>
      </c>
      <c r="AE1118" s="32" t="str">
        <f t="shared" si="87"/>
        <v>✓ OK</v>
      </c>
      <c r="AF1118" s="33" t="s">
        <v>27</v>
      </c>
      <c r="AG1118" s="33" t="s">
        <v>23</v>
      </c>
      <c r="AH1118" s="33" t="s">
        <v>24</v>
      </c>
      <c r="AI1118" s="33" t="s">
        <v>25</v>
      </c>
      <c r="AJ1118" s="33" t="s">
        <v>26</v>
      </c>
      <c r="AK1118" s="33" t="s">
        <v>24</v>
      </c>
      <c r="AL1118" s="27"/>
      <c r="AM1118" s="34" t="s">
        <v>25</v>
      </c>
      <c r="AN1118" s="35" t="str">
        <f t="shared" si="88"/>
        <v>✓ OK</v>
      </c>
      <c r="AO1118" s="36"/>
      <c r="AP1118" s="36"/>
      <c r="AQ1118" s="36"/>
      <c r="AR1118" s="36"/>
      <c r="AS1118" s="36"/>
      <c r="AT1118" s="36"/>
      <c r="AU1118" s="27"/>
      <c r="AV1118" s="37"/>
      <c r="AW1118" s="38" t="str">
        <f t="shared" si="89"/>
        <v/>
      </c>
    </row>
    <row r="1119" spans="1:49" ht="18" customHeight="1" x14ac:dyDescent="0.3">
      <c r="A1119" s="23">
        <v>1115</v>
      </c>
      <c r="B1119" s="24" t="s">
        <v>4079</v>
      </c>
      <c r="C1119" s="25" t="s">
        <v>4080</v>
      </c>
      <c r="D1119" s="23" t="s">
        <v>4000</v>
      </c>
      <c r="E1119" s="43">
        <v>46125</v>
      </c>
      <c r="F1119" s="26" t="s">
        <v>23</v>
      </c>
      <c r="G1119" s="26" t="s">
        <v>24</v>
      </c>
      <c r="H1119" s="26" t="s">
        <v>25</v>
      </c>
      <c r="I1119" s="26" t="s">
        <v>26</v>
      </c>
      <c r="J1119" s="26" t="s">
        <v>24</v>
      </c>
      <c r="K1119" s="27"/>
      <c r="L1119" s="28" t="s">
        <v>25</v>
      </c>
      <c r="M1119" s="29" t="str">
        <f t="shared" si="85"/>
        <v>✓ OK</v>
      </c>
      <c r="N1119" s="43">
        <v>46193</v>
      </c>
      <c r="O1119" s="26" t="s">
        <v>23</v>
      </c>
      <c r="P1119" s="26" t="s">
        <v>24</v>
      </c>
      <c r="Q1119" s="26" t="s">
        <v>25</v>
      </c>
      <c r="R1119" s="26" t="s">
        <v>26</v>
      </c>
      <c r="S1119" s="26" t="s">
        <v>24</v>
      </c>
      <c r="T1119" s="27"/>
      <c r="U1119" s="28" t="s">
        <v>25</v>
      </c>
      <c r="V1119" s="29" t="str">
        <f t="shared" si="86"/>
        <v>✓ OK</v>
      </c>
      <c r="W1119" s="45">
        <v>46248</v>
      </c>
      <c r="X1119" s="30" t="s">
        <v>23</v>
      </c>
      <c r="Y1119" s="30" t="s">
        <v>24</v>
      </c>
      <c r="Z1119" s="30" t="s">
        <v>25</v>
      </c>
      <c r="AA1119" s="30" t="s">
        <v>26</v>
      </c>
      <c r="AB1119" s="30" t="s">
        <v>24</v>
      </c>
      <c r="AC1119" s="27"/>
      <c r="AD1119" s="31" t="s">
        <v>25</v>
      </c>
      <c r="AE1119" s="32" t="str">
        <f t="shared" si="87"/>
        <v>✓ OK</v>
      </c>
      <c r="AF1119" s="33" t="s">
        <v>27</v>
      </c>
      <c r="AG1119" s="33" t="s">
        <v>23</v>
      </c>
      <c r="AH1119" s="33" t="s">
        <v>24</v>
      </c>
      <c r="AI1119" s="33" t="s">
        <v>25</v>
      </c>
      <c r="AJ1119" s="33" t="s">
        <v>26</v>
      </c>
      <c r="AK1119" s="33" t="s">
        <v>24</v>
      </c>
      <c r="AL1119" s="27"/>
      <c r="AM1119" s="34" t="s">
        <v>25</v>
      </c>
      <c r="AN1119" s="35" t="str">
        <f t="shared" si="88"/>
        <v>✓ OK</v>
      </c>
      <c r="AO1119" s="36"/>
      <c r="AP1119" s="36"/>
      <c r="AQ1119" s="36"/>
      <c r="AR1119" s="36"/>
      <c r="AS1119" s="36"/>
      <c r="AT1119" s="36"/>
      <c r="AU1119" s="27"/>
      <c r="AV1119" s="37"/>
      <c r="AW1119" s="38" t="str">
        <f t="shared" si="89"/>
        <v/>
      </c>
    </row>
    <row r="1120" spans="1:49" ht="18" customHeight="1" x14ac:dyDescent="0.3">
      <c r="A1120" s="39">
        <v>1116</v>
      </c>
      <c r="B1120" s="40" t="s">
        <v>4081</v>
      </c>
      <c r="C1120" s="41" t="s">
        <v>4082</v>
      </c>
      <c r="D1120" s="39" t="s">
        <v>4000</v>
      </c>
      <c r="E1120" s="43">
        <v>46125</v>
      </c>
      <c r="F1120" s="26" t="s">
        <v>23</v>
      </c>
      <c r="G1120" s="26" t="s">
        <v>24</v>
      </c>
      <c r="H1120" s="26" t="s">
        <v>25</v>
      </c>
      <c r="I1120" s="26" t="s">
        <v>26</v>
      </c>
      <c r="J1120" s="26" t="s">
        <v>24</v>
      </c>
      <c r="K1120" s="27"/>
      <c r="L1120" s="28" t="s">
        <v>25</v>
      </c>
      <c r="M1120" s="29" t="str">
        <f t="shared" si="85"/>
        <v>✓ OK</v>
      </c>
      <c r="N1120" s="43">
        <v>46193</v>
      </c>
      <c r="O1120" s="26" t="s">
        <v>23</v>
      </c>
      <c r="P1120" s="26" t="s">
        <v>24</v>
      </c>
      <c r="Q1120" s="26" t="s">
        <v>25</v>
      </c>
      <c r="R1120" s="26" t="s">
        <v>26</v>
      </c>
      <c r="S1120" s="26" t="s">
        <v>24</v>
      </c>
      <c r="T1120" s="27"/>
      <c r="U1120" s="28" t="s">
        <v>25</v>
      </c>
      <c r="V1120" s="29" t="str">
        <f t="shared" si="86"/>
        <v>✓ OK</v>
      </c>
      <c r="W1120" s="45">
        <v>46248</v>
      </c>
      <c r="X1120" s="30" t="s">
        <v>23</v>
      </c>
      <c r="Y1120" s="30" t="s">
        <v>24</v>
      </c>
      <c r="Z1120" s="30" t="s">
        <v>25</v>
      </c>
      <c r="AA1120" s="30" t="s">
        <v>26</v>
      </c>
      <c r="AB1120" s="30" t="s">
        <v>24</v>
      </c>
      <c r="AC1120" s="27"/>
      <c r="AD1120" s="31" t="s">
        <v>25</v>
      </c>
      <c r="AE1120" s="32" t="str">
        <f t="shared" si="87"/>
        <v>✓ OK</v>
      </c>
      <c r="AF1120" s="33" t="s">
        <v>27</v>
      </c>
      <c r="AG1120" s="33" t="s">
        <v>23</v>
      </c>
      <c r="AH1120" s="33" t="s">
        <v>24</v>
      </c>
      <c r="AI1120" s="33" t="s">
        <v>25</v>
      </c>
      <c r="AJ1120" s="33" t="s">
        <v>26</v>
      </c>
      <c r="AK1120" s="33" t="s">
        <v>24</v>
      </c>
      <c r="AL1120" s="27"/>
      <c r="AM1120" s="34" t="s">
        <v>25</v>
      </c>
      <c r="AN1120" s="35" t="str">
        <f t="shared" si="88"/>
        <v>✓ OK</v>
      </c>
      <c r="AO1120" s="36"/>
      <c r="AP1120" s="36"/>
      <c r="AQ1120" s="36"/>
      <c r="AR1120" s="36"/>
      <c r="AS1120" s="36"/>
      <c r="AT1120" s="36"/>
      <c r="AU1120" s="27"/>
      <c r="AV1120" s="37"/>
      <c r="AW1120" s="38" t="str">
        <f t="shared" si="89"/>
        <v/>
      </c>
    </row>
    <row r="1121" spans="1:49" ht="18" customHeight="1" x14ac:dyDescent="0.3">
      <c r="A1121" s="23">
        <v>1117</v>
      </c>
      <c r="B1121" s="24" t="s">
        <v>4083</v>
      </c>
      <c r="C1121" s="25" t="s">
        <v>4084</v>
      </c>
      <c r="D1121" s="23" t="s">
        <v>4000</v>
      </c>
      <c r="E1121" s="43">
        <v>46125</v>
      </c>
      <c r="F1121" s="26" t="s">
        <v>23</v>
      </c>
      <c r="G1121" s="26" t="s">
        <v>24</v>
      </c>
      <c r="H1121" s="26" t="s">
        <v>25</v>
      </c>
      <c r="I1121" s="26" t="s">
        <v>26</v>
      </c>
      <c r="J1121" s="26" t="s">
        <v>24</v>
      </c>
      <c r="K1121" s="27"/>
      <c r="L1121" s="28" t="s">
        <v>25</v>
      </c>
      <c r="M1121" s="29" t="str">
        <f t="shared" si="85"/>
        <v>✓ OK</v>
      </c>
      <c r="N1121" s="43">
        <v>46193</v>
      </c>
      <c r="O1121" s="26" t="s">
        <v>23</v>
      </c>
      <c r="P1121" s="26" t="s">
        <v>24</v>
      </c>
      <c r="Q1121" s="26" t="s">
        <v>25</v>
      </c>
      <c r="R1121" s="26" t="s">
        <v>26</v>
      </c>
      <c r="S1121" s="26" t="s">
        <v>24</v>
      </c>
      <c r="T1121" s="27"/>
      <c r="U1121" s="28" t="s">
        <v>25</v>
      </c>
      <c r="V1121" s="29" t="str">
        <f t="shared" si="86"/>
        <v>✓ OK</v>
      </c>
      <c r="W1121" s="45">
        <v>46248</v>
      </c>
      <c r="X1121" s="30" t="s">
        <v>23</v>
      </c>
      <c r="Y1121" s="30" t="s">
        <v>24</v>
      </c>
      <c r="Z1121" s="30" t="s">
        <v>25</v>
      </c>
      <c r="AA1121" s="30" t="s">
        <v>26</v>
      </c>
      <c r="AB1121" s="30" t="s">
        <v>24</v>
      </c>
      <c r="AC1121" s="27"/>
      <c r="AD1121" s="31" t="s">
        <v>25</v>
      </c>
      <c r="AE1121" s="32" t="str">
        <f t="shared" si="87"/>
        <v>✓ OK</v>
      </c>
      <c r="AF1121" s="33" t="s">
        <v>27</v>
      </c>
      <c r="AG1121" s="33" t="s">
        <v>23</v>
      </c>
      <c r="AH1121" s="33" t="s">
        <v>24</v>
      </c>
      <c r="AI1121" s="33" t="s">
        <v>25</v>
      </c>
      <c r="AJ1121" s="33" t="s">
        <v>26</v>
      </c>
      <c r="AK1121" s="33" t="s">
        <v>24</v>
      </c>
      <c r="AL1121" s="27"/>
      <c r="AM1121" s="34" t="s">
        <v>25</v>
      </c>
      <c r="AN1121" s="35" t="str">
        <f t="shared" si="88"/>
        <v>✓ OK</v>
      </c>
      <c r="AO1121" s="36"/>
      <c r="AP1121" s="36"/>
      <c r="AQ1121" s="36"/>
      <c r="AR1121" s="36"/>
      <c r="AS1121" s="36"/>
      <c r="AT1121" s="36"/>
      <c r="AU1121" s="27"/>
      <c r="AV1121" s="37"/>
      <c r="AW1121" s="38" t="str">
        <f t="shared" si="89"/>
        <v/>
      </c>
    </row>
    <row r="1122" spans="1:49" ht="18" customHeight="1" x14ac:dyDescent="0.3">
      <c r="A1122" s="39">
        <v>1118</v>
      </c>
      <c r="B1122" s="40" t="s">
        <v>4085</v>
      </c>
      <c r="C1122" s="41" t="s">
        <v>4086</v>
      </c>
      <c r="D1122" s="39" t="s">
        <v>4000</v>
      </c>
      <c r="E1122" s="43">
        <v>46125</v>
      </c>
      <c r="F1122" s="26" t="s">
        <v>23</v>
      </c>
      <c r="G1122" s="26" t="s">
        <v>24</v>
      </c>
      <c r="H1122" s="26" t="s">
        <v>25</v>
      </c>
      <c r="I1122" s="26" t="s">
        <v>26</v>
      </c>
      <c r="J1122" s="26" t="s">
        <v>24</v>
      </c>
      <c r="K1122" s="27"/>
      <c r="L1122" s="28" t="s">
        <v>25</v>
      </c>
      <c r="M1122" s="29" t="str">
        <f t="shared" si="85"/>
        <v>✓ OK</v>
      </c>
      <c r="N1122" s="43">
        <v>46193</v>
      </c>
      <c r="O1122" s="26" t="s">
        <v>23</v>
      </c>
      <c r="P1122" s="26" t="s">
        <v>24</v>
      </c>
      <c r="Q1122" s="26" t="s">
        <v>25</v>
      </c>
      <c r="R1122" s="26" t="s">
        <v>26</v>
      </c>
      <c r="S1122" s="26" t="s">
        <v>24</v>
      </c>
      <c r="T1122" s="27"/>
      <c r="U1122" s="28" t="s">
        <v>25</v>
      </c>
      <c r="V1122" s="29" t="str">
        <f t="shared" si="86"/>
        <v>✓ OK</v>
      </c>
      <c r="W1122" s="45">
        <v>46248</v>
      </c>
      <c r="X1122" s="30" t="s">
        <v>23</v>
      </c>
      <c r="Y1122" s="30" t="s">
        <v>24</v>
      </c>
      <c r="Z1122" s="30" t="s">
        <v>25</v>
      </c>
      <c r="AA1122" s="30" t="s">
        <v>26</v>
      </c>
      <c r="AB1122" s="30" t="s">
        <v>24</v>
      </c>
      <c r="AC1122" s="27"/>
      <c r="AD1122" s="31" t="s">
        <v>25</v>
      </c>
      <c r="AE1122" s="32" t="str">
        <f t="shared" si="87"/>
        <v>✓ OK</v>
      </c>
      <c r="AF1122" s="33" t="s">
        <v>27</v>
      </c>
      <c r="AG1122" s="33" t="s">
        <v>23</v>
      </c>
      <c r="AH1122" s="33" t="s">
        <v>24</v>
      </c>
      <c r="AI1122" s="33" t="s">
        <v>25</v>
      </c>
      <c r="AJ1122" s="33" t="s">
        <v>26</v>
      </c>
      <c r="AK1122" s="33" t="s">
        <v>24</v>
      </c>
      <c r="AL1122" s="27"/>
      <c r="AM1122" s="34" t="s">
        <v>25</v>
      </c>
      <c r="AN1122" s="35" t="str">
        <f t="shared" si="88"/>
        <v>✓ OK</v>
      </c>
      <c r="AO1122" s="36"/>
      <c r="AP1122" s="36"/>
      <c r="AQ1122" s="36"/>
      <c r="AR1122" s="36"/>
      <c r="AS1122" s="36"/>
      <c r="AT1122" s="36"/>
      <c r="AU1122" s="27"/>
      <c r="AV1122" s="37"/>
      <c r="AW1122" s="38" t="str">
        <f t="shared" si="89"/>
        <v/>
      </c>
    </row>
    <row r="1123" spans="1:49" ht="18" customHeight="1" x14ac:dyDescent="0.3">
      <c r="A1123" s="23">
        <v>1119</v>
      </c>
      <c r="B1123" s="24" t="s">
        <v>4087</v>
      </c>
      <c r="C1123" s="25" t="s">
        <v>4088</v>
      </c>
      <c r="D1123" s="23" t="s">
        <v>4000</v>
      </c>
      <c r="E1123" s="43">
        <v>46125</v>
      </c>
      <c r="F1123" s="26" t="s">
        <v>23</v>
      </c>
      <c r="G1123" s="26" t="s">
        <v>24</v>
      </c>
      <c r="H1123" s="26" t="s">
        <v>25</v>
      </c>
      <c r="I1123" s="26" t="s">
        <v>26</v>
      </c>
      <c r="J1123" s="26" t="s">
        <v>24</v>
      </c>
      <c r="K1123" s="27"/>
      <c r="L1123" s="28" t="s">
        <v>25</v>
      </c>
      <c r="M1123" s="29" t="str">
        <f t="shared" si="85"/>
        <v>✓ OK</v>
      </c>
      <c r="N1123" s="43">
        <v>46193</v>
      </c>
      <c r="O1123" s="26" t="s">
        <v>23</v>
      </c>
      <c r="P1123" s="26" t="s">
        <v>24</v>
      </c>
      <c r="Q1123" s="26" t="s">
        <v>25</v>
      </c>
      <c r="R1123" s="26" t="s">
        <v>26</v>
      </c>
      <c r="S1123" s="26" t="s">
        <v>24</v>
      </c>
      <c r="T1123" s="27"/>
      <c r="U1123" s="28" t="s">
        <v>25</v>
      </c>
      <c r="V1123" s="29" t="str">
        <f t="shared" si="86"/>
        <v>✓ OK</v>
      </c>
      <c r="W1123" s="45">
        <v>46248</v>
      </c>
      <c r="X1123" s="30" t="s">
        <v>23</v>
      </c>
      <c r="Y1123" s="30" t="s">
        <v>24</v>
      </c>
      <c r="Z1123" s="30" t="s">
        <v>25</v>
      </c>
      <c r="AA1123" s="30" t="s">
        <v>26</v>
      </c>
      <c r="AB1123" s="30" t="s">
        <v>24</v>
      </c>
      <c r="AC1123" s="27"/>
      <c r="AD1123" s="31" t="s">
        <v>25</v>
      </c>
      <c r="AE1123" s="32" t="str">
        <f t="shared" si="87"/>
        <v>✓ OK</v>
      </c>
      <c r="AF1123" s="33" t="s">
        <v>27</v>
      </c>
      <c r="AG1123" s="33" t="s">
        <v>23</v>
      </c>
      <c r="AH1123" s="33" t="s">
        <v>24</v>
      </c>
      <c r="AI1123" s="33" t="s">
        <v>25</v>
      </c>
      <c r="AJ1123" s="33" t="s">
        <v>26</v>
      </c>
      <c r="AK1123" s="33" t="s">
        <v>24</v>
      </c>
      <c r="AL1123" s="27"/>
      <c r="AM1123" s="34" t="s">
        <v>25</v>
      </c>
      <c r="AN1123" s="35" t="str">
        <f t="shared" si="88"/>
        <v>✓ OK</v>
      </c>
      <c r="AO1123" s="36"/>
      <c r="AP1123" s="36"/>
      <c r="AQ1123" s="36"/>
      <c r="AR1123" s="36"/>
      <c r="AS1123" s="36"/>
      <c r="AT1123" s="36"/>
      <c r="AU1123" s="27"/>
      <c r="AV1123" s="37"/>
      <c r="AW1123" s="38" t="str">
        <f t="shared" si="89"/>
        <v/>
      </c>
    </row>
    <row r="1124" spans="1:49" ht="18" customHeight="1" x14ac:dyDescent="0.3">
      <c r="A1124" s="39">
        <v>1120</v>
      </c>
      <c r="B1124" s="40" t="s">
        <v>4089</v>
      </c>
      <c r="C1124" s="41" t="s">
        <v>4090</v>
      </c>
      <c r="D1124" s="39" t="s">
        <v>4000</v>
      </c>
      <c r="E1124" s="43">
        <v>46125</v>
      </c>
      <c r="F1124" s="26" t="s">
        <v>23</v>
      </c>
      <c r="G1124" s="26" t="s">
        <v>24</v>
      </c>
      <c r="H1124" s="26" t="s">
        <v>25</v>
      </c>
      <c r="I1124" s="26" t="s">
        <v>26</v>
      </c>
      <c r="J1124" s="26" t="s">
        <v>24</v>
      </c>
      <c r="K1124" s="27"/>
      <c r="L1124" s="28" t="s">
        <v>25</v>
      </c>
      <c r="M1124" s="29" t="str">
        <f t="shared" si="85"/>
        <v>✓ OK</v>
      </c>
      <c r="N1124" s="43">
        <v>46193</v>
      </c>
      <c r="O1124" s="26" t="s">
        <v>23</v>
      </c>
      <c r="P1124" s="26" t="s">
        <v>24</v>
      </c>
      <c r="Q1124" s="26" t="s">
        <v>25</v>
      </c>
      <c r="R1124" s="26" t="s">
        <v>26</v>
      </c>
      <c r="S1124" s="26" t="s">
        <v>24</v>
      </c>
      <c r="T1124" s="27"/>
      <c r="U1124" s="28" t="s">
        <v>25</v>
      </c>
      <c r="V1124" s="29" t="str">
        <f t="shared" si="86"/>
        <v>✓ OK</v>
      </c>
      <c r="W1124" s="45">
        <v>46248</v>
      </c>
      <c r="X1124" s="30" t="s">
        <v>23</v>
      </c>
      <c r="Y1124" s="30" t="s">
        <v>24</v>
      </c>
      <c r="Z1124" s="30" t="s">
        <v>25</v>
      </c>
      <c r="AA1124" s="30" t="s">
        <v>26</v>
      </c>
      <c r="AB1124" s="30" t="s">
        <v>24</v>
      </c>
      <c r="AC1124" s="27"/>
      <c r="AD1124" s="31" t="s">
        <v>25</v>
      </c>
      <c r="AE1124" s="32" t="str">
        <f t="shared" si="87"/>
        <v>✓ OK</v>
      </c>
      <c r="AF1124" s="33" t="s">
        <v>27</v>
      </c>
      <c r="AG1124" s="33" t="s">
        <v>23</v>
      </c>
      <c r="AH1124" s="33" t="s">
        <v>24</v>
      </c>
      <c r="AI1124" s="33" t="s">
        <v>25</v>
      </c>
      <c r="AJ1124" s="33" t="s">
        <v>26</v>
      </c>
      <c r="AK1124" s="33" t="s">
        <v>24</v>
      </c>
      <c r="AL1124" s="27"/>
      <c r="AM1124" s="34" t="s">
        <v>25</v>
      </c>
      <c r="AN1124" s="35" t="str">
        <f t="shared" si="88"/>
        <v>✓ OK</v>
      </c>
      <c r="AO1124" s="36"/>
      <c r="AP1124" s="36"/>
      <c r="AQ1124" s="36"/>
      <c r="AR1124" s="36"/>
      <c r="AS1124" s="36"/>
      <c r="AT1124" s="36"/>
      <c r="AU1124" s="27"/>
      <c r="AV1124" s="37"/>
      <c r="AW1124" s="38" t="str">
        <f t="shared" si="89"/>
        <v/>
      </c>
    </row>
    <row r="1125" spans="1:49" ht="18" customHeight="1" x14ac:dyDescent="0.3">
      <c r="A1125" s="23">
        <v>1121</v>
      </c>
      <c r="B1125" s="24" t="s">
        <v>4091</v>
      </c>
      <c r="C1125" s="25" t="s">
        <v>4092</v>
      </c>
      <c r="D1125" s="23" t="s">
        <v>4000</v>
      </c>
      <c r="E1125" s="43">
        <v>46125</v>
      </c>
      <c r="F1125" s="26" t="s">
        <v>23</v>
      </c>
      <c r="G1125" s="26" t="s">
        <v>24</v>
      </c>
      <c r="H1125" s="26" t="s">
        <v>25</v>
      </c>
      <c r="I1125" s="26" t="s">
        <v>26</v>
      </c>
      <c r="J1125" s="26" t="s">
        <v>24</v>
      </c>
      <c r="K1125" s="27"/>
      <c r="L1125" s="28" t="s">
        <v>25</v>
      </c>
      <c r="M1125" s="29" t="str">
        <f t="shared" si="85"/>
        <v>✓ OK</v>
      </c>
      <c r="N1125" s="43">
        <v>46193</v>
      </c>
      <c r="O1125" s="26" t="s">
        <v>23</v>
      </c>
      <c r="P1125" s="26" t="s">
        <v>24</v>
      </c>
      <c r="Q1125" s="26" t="s">
        <v>25</v>
      </c>
      <c r="R1125" s="26" t="s">
        <v>26</v>
      </c>
      <c r="S1125" s="26" t="s">
        <v>24</v>
      </c>
      <c r="T1125" s="27"/>
      <c r="U1125" s="28" t="s">
        <v>25</v>
      </c>
      <c r="V1125" s="29" t="str">
        <f t="shared" si="86"/>
        <v>✓ OK</v>
      </c>
      <c r="W1125" s="45">
        <v>46248</v>
      </c>
      <c r="X1125" s="30" t="s">
        <v>23</v>
      </c>
      <c r="Y1125" s="30" t="s">
        <v>24</v>
      </c>
      <c r="Z1125" s="30" t="s">
        <v>25</v>
      </c>
      <c r="AA1125" s="30" t="s">
        <v>26</v>
      </c>
      <c r="AB1125" s="30" t="s">
        <v>24</v>
      </c>
      <c r="AC1125" s="27"/>
      <c r="AD1125" s="31" t="s">
        <v>25</v>
      </c>
      <c r="AE1125" s="32" t="str">
        <f t="shared" si="87"/>
        <v>✓ OK</v>
      </c>
      <c r="AF1125" s="33" t="s">
        <v>27</v>
      </c>
      <c r="AG1125" s="33" t="s">
        <v>23</v>
      </c>
      <c r="AH1125" s="33" t="s">
        <v>24</v>
      </c>
      <c r="AI1125" s="33" t="s">
        <v>25</v>
      </c>
      <c r="AJ1125" s="33" t="s">
        <v>26</v>
      </c>
      <c r="AK1125" s="33" t="s">
        <v>24</v>
      </c>
      <c r="AL1125" s="27"/>
      <c r="AM1125" s="34" t="s">
        <v>25</v>
      </c>
      <c r="AN1125" s="35" t="str">
        <f t="shared" si="88"/>
        <v>✓ OK</v>
      </c>
      <c r="AO1125" s="36"/>
      <c r="AP1125" s="36"/>
      <c r="AQ1125" s="36"/>
      <c r="AR1125" s="36"/>
      <c r="AS1125" s="36"/>
      <c r="AT1125" s="36"/>
      <c r="AU1125" s="27"/>
      <c r="AV1125" s="37"/>
      <c r="AW1125" s="38" t="str">
        <f t="shared" si="89"/>
        <v/>
      </c>
    </row>
    <row r="1126" spans="1:49" ht="18" customHeight="1" x14ac:dyDescent="0.3">
      <c r="A1126" s="39">
        <v>1122</v>
      </c>
      <c r="B1126" s="40" t="s">
        <v>4093</v>
      </c>
      <c r="C1126" s="41" t="s">
        <v>4094</v>
      </c>
      <c r="D1126" s="39" t="s">
        <v>4000</v>
      </c>
      <c r="E1126" s="43">
        <v>46125</v>
      </c>
      <c r="F1126" s="26" t="s">
        <v>23</v>
      </c>
      <c r="G1126" s="26" t="s">
        <v>24</v>
      </c>
      <c r="H1126" s="26" t="s">
        <v>25</v>
      </c>
      <c r="I1126" s="26" t="s">
        <v>26</v>
      </c>
      <c r="J1126" s="26" t="s">
        <v>24</v>
      </c>
      <c r="K1126" s="27"/>
      <c r="L1126" s="28" t="s">
        <v>25</v>
      </c>
      <c r="M1126" s="29" t="str">
        <f t="shared" si="85"/>
        <v>✓ OK</v>
      </c>
      <c r="N1126" s="43">
        <v>46193</v>
      </c>
      <c r="O1126" s="26" t="s">
        <v>23</v>
      </c>
      <c r="P1126" s="26" t="s">
        <v>24</v>
      </c>
      <c r="Q1126" s="26" t="s">
        <v>25</v>
      </c>
      <c r="R1126" s="26" t="s">
        <v>26</v>
      </c>
      <c r="S1126" s="26" t="s">
        <v>24</v>
      </c>
      <c r="T1126" s="27"/>
      <c r="U1126" s="28" t="s">
        <v>25</v>
      </c>
      <c r="V1126" s="29" t="str">
        <f t="shared" si="86"/>
        <v>✓ OK</v>
      </c>
      <c r="W1126" s="45">
        <v>46248</v>
      </c>
      <c r="X1126" s="30" t="s">
        <v>23</v>
      </c>
      <c r="Y1126" s="30" t="s">
        <v>24</v>
      </c>
      <c r="Z1126" s="30" t="s">
        <v>25</v>
      </c>
      <c r="AA1126" s="30" t="s">
        <v>26</v>
      </c>
      <c r="AB1126" s="30" t="s">
        <v>24</v>
      </c>
      <c r="AC1126" s="27"/>
      <c r="AD1126" s="31" t="s">
        <v>25</v>
      </c>
      <c r="AE1126" s="32" t="str">
        <f t="shared" si="87"/>
        <v>✓ OK</v>
      </c>
      <c r="AF1126" s="33" t="s">
        <v>27</v>
      </c>
      <c r="AG1126" s="33" t="s">
        <v>23</v>
      </c>
      <c r="AH1126" s="33" t="s">
        <v>24</v>
      </c>
      <c r="AI1126" s="33" t="s">
        <v>25</v>
      </c>
      <c r="AJ1126" s="33" t="s">
        <v>26</v>
      </c>
      <c r="AK1126" s="33" t="s">
        <v>24</v>
      </c>
      <c r="AL1126" s="27"/>
      <c r="AM1126" s="34" t="s">
        <v>25</v>
      </c>
      <c r="AN1126" s="35" t="str">
        <f t="shared" si="88"/>
        <v>✓ OK</v>
      </c>
      <c r="AO1126" s="36"/>
      <c r="AP1126" s="36"/>
      <c r="AQ1126" s="36"/>
      <c r="AR1126" s="36"/>
      <c r="AS1126" s="36"/>
      <c r="AT1126" s="36"/>
      <c r="AU1126" s="27"/>
      <c r="AV1126" s="37"/>
      <c r="AW1126" s="38" t="str">
        <f t="shared" si="89"/>
        <v/>
      </c>
    </row>
    <row r="1127" spans="1:49" ht="18" customHeight="1" x14ac:dyDescent="0.3">
      <c r="A1127" s="23">
        <v>1123</v>
      </c>
      <c r="B1127" s="24" t="s">
        <v>4095</v>
      </c>
      <c r="C1127" s="25" t="s">
        <v>4096</v>
      </c>
      <c r="D1127" s="23" t="s">
        <v>4000</v>
      </c>
      <c r="E1127" s="43">
        <v>46125</v>
      </c>
      <c r="F1127" s="26" t="s">
        <v>23</v>
      </c>
      <c r="G1127" s="26" t="s">
        <v>24</v>
      </c>
      <c r="H1127" s="26" t="s">
        <v>25</v>
      </c>
      <c r="I1127" s="26" t="s">
        <v>26</v>
      </c>
      <c r="J1127" s="26" t="s">
        <v>24</v>
      </c>
      <c r="K1127" s="27"/>
      <c r="L1127" s="28" t="s">
        <v>25</v>
      </c>
      <c r="M1127" s="29" t="str">
        <f t="shared" si="85"/>
        <v>✓ OK</v>
      </c>
      <c r="N1127" s="43">
        <v>46193</v>
      </c>
      <c r="O1127" s="26" t="s">
        <v>23</v>
      </c>
      <c r="P1127" s="26" t="s">
        <v>24</v>
      </c>
      <c r="Q1127" s="26" t="s">
        <v>25</v>
      </c>
      <c r="R1127" s="26" t="s">
        <v>26</v>
      </c>
      <c r="S1127" s="26" t="s">
        <v>24</v>
      </c>
      <c r="T1127" s="27"/>
      <c r="U1127" s="28" t="s">
        <v>25</v>
      </c>
      <c r="V1127" s="29" t="str">
        <f t="shared" si="86"/>
        <v>✓ OK</v>
      </c>
      <c r="W1127" s="45">
        <v>46248</v>
      </c>
      <c r="X1127" s="30" t="s">
        <v>23</v>
      </c>
      <c r="Y1127" s="30" t="s">
        <v>24</v>
      </c>
      <c r="Z1127" s="30" t="s">
        <v>25</v>
      </c>
      <c r="AA1127" s="30" t="s">
        <v>26</v>
      </c>
      <c r="AB1127" s="30" t="s">
        <v>24</v>
      </c>
      <c r="AC1127" s="27"/>
      <c r="AD1127" s="31" t="s">
        <v>25</v>
      </c>
      <c r="AE1127" s="32" t="str">
        <f t="shared" si="87"/>
        <v>✓ OK</v>
      </c>
      <c r="AF1127" s="33" t="s">
        <v>27</v>
      </c>
      <c r="AG1127" s="33" t="s">
        <v>23</v>
      </c>
      <c r="AH1127" s="33" t="s">
        <v>24</v>
      </c>
      <c r="AI1127" s="33" t="s">
        <v>25</v>
      </c>
      <c r="AJ1127" s="33" t="s">
        <v>26</v>
      </c>
      <c r="AK1127" s="33" t="s">
        <v>24</v>
      </c>
      <c r="AL1127" s="27"/>
      <c r="AM1127" s="34" t="s">
        <v>25</v>
      </c>
      <c r="AN1127" s="35" t="str">
        <f t="shared" si="88"/>
        <v>✓ OK</v>
      </c>
      <c r="AO1127" s="36"/>
      <c r="AP1127" s="36"/>
      <c r="AQ1127" s="36"/>
      <c r="AR1127" s="36"/>
      <c r="AS1127" s="36"/>
      <c r="AT1127" s="36"/>
      <c r="AU1127" s="27"/>
      <c r="AV1127" s="37"/>
      <c r="AW1127" s="38" t="str">
        <f t="shared" si="89"/>
        <v/>
      </c>
    </row>
    <row r="1128" spans="1:49" ht="18" customHeight="1" x14ac:dyDescent="0.3">
      <c r="A1128" s="39">
        <v>1124</v>
      </c>
      <c r="B1128" s="40" t="s">
        <v>4097</v>
      </c>
      <c r="C1128" s="41" t="s">
        <v>4098</v>
      </c>
      <c r="D1128" s="39" t="s">
        <v>4000</v>
      </c>
      <c r="E1128" s="43">
        <v>46125</v>
      </c>
      <c r="F1128" s="26" t="s">
        <v>23</v>
      </c>
      <c r="G1128" s="26" t="s">
        <v>24</v>
      </c>
      <c r="H1128" s="26" t="s">
        <v>25</v>
      </c>
      <c r="I1128" s="26" t="s">
        <v>26</v>
      </c>
      <c r="J1128" s="26" t="s">
        <v>24</v>
      </c>
      <c r="K1128" s="27"/>
      <c r="L1128" s="28" t="s">
        <v>25</v>
      </c>
      <c r="M1128" s="29" t="str">
        <f t="shared" si="85"/>
        <v>✓ OK</v>
      </c>
      <c r="N1128" s="43">
        <v>46193</v>
      </c>
      <c r="O1128" s="26" t="s">
        <v>23</v>
      </c>
      <c r="P1128" s="26" t="s">
        <v>24</v>
      </c>
      <c r="Q1128" s="26" t="s">
        <v>25</v>
      </c>
      <c r="R1128" s="26" t="s">
        <v>26</v>
      </c>
      <c r="S1128" s="26" t="s">
        <v>24</v>
      </c>
      <c r="T1128" s="27"/>
      <c r="U1128" s="28" t="s">
        <v>25</v>
      </c>
      <c r="V1128" s="29" t="str">
        <f t="shared" si="86"/>
        <v>✓ OK</v>
      </c>
      <c r="W1128" s="45">
        <v>46248</v>
      </c>
      <c r="X1128" s="30" t="s">
        <v>23</v>
      </c>
      <c r="Y1128" s="30" t="s">
        <v>24</v>
      </c>
      <c r="Z1128" s="30" t="s">
        <v>25</v>
      </c>
      <c r="AA1128" s="30" t="s">
        <v>26</v>
      </c>
      <c r="AB1128" s="30" t="s">
        <v>24</v>
      </c>
      <c r="AC1128" s="27"/>
      <c r="AD1128" s="31" t="s">
        <v>25</v>
      </c>
      <c r="AE1128" s="32" t="str">
        <f t="shared" si="87"/>
        <v>✓ OK</v>
      </c>
      <c r="AF1128" s="33" t="s">
        <v>27</v>
      </c>
      <c r="AG1128" s="33" t="s">
        <v>23</v>
      </c>
      <c r="AH1128" s="33" t="s">
        <v>24</v>
      </c>
      <c r="AI1128" s="33" t="s">
        <v>25</v>
      </c>
      <c r="AJ1128" s="33" t="s">
        <v>26</v>
      </c>
      <c r="AK1128" s="33" t="s">
        <v>24</v>
      </c>
      <c r="AL1128" s="27"/>
      <c r="AM1128" s="34" t="s">
        <v>25</v>
      </c>
      <c r="AN1128" s="35" t="str">
        <f t="shared" si="88"/>
        <v>✓ OK</v>
      </c>
      <c r="AO1128" s="36"/>
      <c r="AP1128" s="36"/>
      <c r="AQ1128" s="36"/>
      <c r="AR1128" s="36"/>
      <c r="AS1128" s="36"/>
      <c r="AT1128" s="36"/>
      <c r="AU1128" s="27"/>
      <c r="AV1128" s="37"/>
      <c r="AW1128" s="38" t="str">
        <f t="shared" si="89"/>
        <v/>
      </c>
    </row>
    <row r="1129" spans="1:49" ht="18" customHeight="1" x14ac:dyDescent="0.3">
      <c r="A1129" s="23">
        <v>1125</v>
      </c>
      <c r="B1129" s="24" t="s">
        <v>4099</v>
      </c>
      <c r="C1129" s="25" t="s">
        <v>4100</v>
      </c>
      <c r="D1129" s="23" t="s">
        <v>4000</v>
      </c>
      <c r="E1129" s="43">
        <v>46125</v>
      </c>
      <c r="F1129" s="26" t="s">
        <v>23</v>
      </c>
      <c r="G1129" s="26" t="s">
        <v>24</v>
      </c>
      <c r="H1129" s="26" t="s">
        <v>25</v>
      </c>
      <c r="I1129" s="26" t="s">
        <v>26</v>
      </c>
      <c r="J1129" s="26" t="s">
        <v>24</v>
      </c>
      <c r="K1129" s="27"/>
      <c r="L1129" s="28" t="s">
        <v>25</v>
      </c>
      <c r="M1129" s="29" t="str">
        <f t="shared" si="85"/>
        <v>✓ OK</v>
      </c>
      <c r="N1129" s="43">
        <v>46193</v>
      </c>
      <c r="O1129" s="26" t="s">
        <v>23</v>
      </c>
      <c r="P1129" s="26" t="s">
        <v>24</v>
      </c>
      <c r="Q1129" s="26" t="s">
        <v>25</v>
      </c>
      <c r="R1129" s="26" t="s">
        <v>26</v>
      </c>
      <c r="S1129" s="26" t="s">
        <v>24</v>
      </c>
      <c r="T1129" s="27"/>
      <c r="U1129" s="28" t="s">
        <v>25</v>
      </c>
      <c r="V1129" s="29" t="str">
        <f t="shared" si="86"/>
        <v>✓ OK</v>
      </c>
      <c r="W1129" s="45">
        <v>46248</v>
      </c>
      <c r="X1129" s="30" t="s">
        <v>23</v>
      </c>
      <c r="Y1129" s="30" t="s">
        <v>24</v>
      </c>
      <c r="Z1129" s="30" t="s">
        <v>25</v>
      </c>
      <c r="AA1129" s="30" t="s">
        <v>26</v>
      </c>
      <c r="AB1129" s="30" t="s">
        <v>24</v>
      </c>
      <c r="AC1129" s="27"/>
      <c r="AD1129" s="31" t="s">
        <v>25</v>
      </c>
      <c r="AE1129" s="32" t="str">
        <f t="shared" si="87"/>
        <v>✓ OK</v>
      </c>
      <c r="AF1129" s="33" t="s">
        <v>27</v>
      </c>
      <c r="AG1129" s="33" t="s">
        <v>23</v>
      </c>
      <c r="AH1129" s="33" t="s">
        <v>24</v>
      </c>
      <c r="AI1129" s="33" t="s">
        <v>25</v>
      </c>
      <c r="AJ1129" s="33" t="s">
        <v>26</v>
      </c>
      <c r="AK1129" s="33" t="s">
        <v>24</v>
      </c>
      <c r="AL1129" s="27"/>
      <c r="AM1129" s="34" t="s">
        <v>25</v>
      </c>
      <c r="AN1129" s="35" t="str">
        <f t="shared" si="88"/>
        <v>✓ OK</v>
      </c>
      <c r="AO1129" s="36"/>
      <c r="AP1129" s="36"/>
      <c r="AQ1129" s="36"/>
      <c r="AR1129" s="36"/>
      <c r="AS1129" s="36"/>
      <c r="AT1129" s="36"/>
      <c r="AU1129" s="27"/>
      <c r="AV1129" s="37"/>
      <c r="AW1129" s="38" t="str">
        <f t="shared" si="89"/>
        <v/>
      </c>
    </row>
    <row r="1130" spans="1:49" ht="18" customHeight="1" x14ac:dyDescent="0.3">
      <c r="A1130" s="39">
        <v>1126</v>
      </c>
      <c r="B1130" s="40" t="s">
        <v>4101</v>
      </c>
      <c r="C1130" s="41" t="s">
        <v>4102</v>
      </c>
      <c r="D1130" s="39" t="s">
        <v>4000</v>
      </c>
      <c r="E1130" s="43">
        <v>46125</v>
      </c>
      <c r="F1130" s="26" t="s">
        <v>23</v>
      </c>
      <c r="G1130" s="26" t="s">
        <v>24</v>
      </c>
      <c r="H1130" s="26" t="s">
        <v>25</v>
      </c>
      <c r="I1130" s="26" t="s">
        <v>26</v>
      </c>
      <c r="J1130" s="26" t="s">
        <v>24</v>
      </c>
      <c r="K1130" s="27"/>
      <c r="L1130" s="28" t="s">
        <v>25</v>
      </c>
      <c r="M1130" s="29" t="str">
        <f t="shared" si="85"/>
        <v>✓ OK</v>
      </c>
      <c r="N1130" s="43">
        <v>46193</v>
      </c>
      <c r="O1130" s="26" t="s">
        <v>23</v>
      </c>
      <c r="P1130" s="26" t="s">
        <v>24</v>
      </c>
      <c r="Q1130" s="26" t="s">
        <v>25</v>
      </c>
      <c r="R1130" s="26" t="s">
        <v>26</v>
      </c>
      <c r="S1130" s="26" t="s">
        <v>24</v>
      </c>
      <c r="T1130" s="27"/>
      <c r="U1130" s="28" t="s">
        <v>25</v>
      </c>
      <c r="V1130" s="29" t="str">
        <f t="shared" si="86"/>
        <v>✓ OK</v>
      </c>
      <c r="W1130" s="45">
        <v>46248</v>
      </c>
      <c r="X1130" s="30" t="s">
        <v>23</v>
      </c>
      <c r="Y1130" s="30" t="s">
        <v>24</v>
      </c>
      <c r="Z1130" s="30" t="s">
        <v>25</v>
      </c>
      <c r="AA1130" s="30" t="s">
        <v>26</v>
      </c>
      <c r="AB1130" s="30" t="s">
        <v>24</v>
      </c>
      <c r="AC1130" s="27"/>
      <c r="AD1130" s="31" t="s">
        <v>25</v>
      </c>
      <c r="AE1130" s="32" t="str">
        <f t="shared" si="87"/>
        <v>✓ OK</v>
      </c>
      <c r="AF1130" s="33" t="s">
        <v>27</v>
      </c>
      <c r="AG1130" s="33" t="s">
        <v>23</v>
      </c>
      <c r="AH1130" s="33" t="s">
        <v>24</v>
      </c>
      <c r="AI1130" s="33" t="s">
        <v>25</v>
      </c>
      <c r="AJ1130" s="33" t="s">
        <v>26</v>
      </c>
      <c r="AK1130" s="33" t="s">
        <v>24</v>
      </c>
      <c r="AL1130" s="27"/>
      <c r="AM1130" s="34" t="s">
        <v>25</v>
      </c>
      <c r="AN1130" s="35" t="str">
        <f t="shared" si="88"/>
        <v>✓ OK</v>
      </c>
      <c r="AO1130" s="36"/>
      <c r="AP1130" s="36"/>
      <c r="AQ1130" s="36"/>
      <c r="AR1130" s="36"/>
      <c r="AS1130" s="36"/>
      <c r="AT1130" s="36"/>
      <c r="AU1130" s="27"/>
      <c r="AV1130" s="37"/>
      <c r="AW1130" s="38" t="str">
        <f t="shared" si="89"/>
        <v/>
      </c>
    </row>
    <row r="1131" spans="1:49" ht="18" customHeight="1" x14ac:dyDescent="0.3">
      <c r="A1131" s="23">
        <v>1127</v>
      </c>
      <c r="B1131" s="24" t="s">
        <v>4103</v>
      </c>
      <c r="C1131" s="25" t="s">
        <v>4104</v>
      </c>
      <c r="D1131" s="23" t="s">
        <v>4000</v>
      </c>
      <c r="E1131" s="43">
        <v>46125</v>
      </c>
      <c r="F1131" s="26" t="s">
        <v>23</v>
      </c>
      <c r="G1131" s="26" t="s">
        <v>24</v>
      </c>
      <c r="H1131" s="26" t="s">
        <v>25</v>
      </c>
      <c r="I1131" s="26" t="s">
        <v>26</v>
      </c>
      <c r="J1131" s="26" t="s">
        <v>24</v>
      </c>
      <c r="K1131" s="27"/>
      <c r="L1131" s="28" t="s">
        <v>25</v>
      </c>
      <c r="M1131" s="29" t="str">
        <f t="shared" si="85"/>
        <v>✓ OK</v>
      </c>
      <c r="N1131" s="43">
        <v>46193</v>
      </c>
      <c r="O1131" s="26" t="s">
        <v>23</v>
      </c>
      <c r="P1131" s="26" t="s">
        <v>24</v>
      </c>
      <c r="Q1131" s="26" t="s">
        <v>25</v>
      </c>
      <c r="R1131" s="26" t="s">
        <v>26</v>
      </c>
      <c r="S1131" s="26" t="s">
        <v>24</v>
      </c>
      <c r="T1131" s="27"/>
      <c r="U1131" s="28" t="s">
        <v>25</v>
      </c>
      <c r="V1131" s="29" t="str">
        <f t="shared" si="86"/>
        <v>✓ OK</v>
      </c>
      <c r="W1131" s="45">
        <v>46248</v>
      </c>
      <c r="X1131" s="30" t="s">
        <v>23</v>
      </c>
      <c r="Y1131" s="30" t="s">
        <v>24</v>
      </c>
      <c r="Z1131" s="30" t="s">
        <v>25</v>
      </c>
      <c r="AA1131" s="30" t="s">
        <v>26</v>
      </c>
      <c r="AB1131" s="30" t="s">
        <v>24</v>
      </c>
      <c r="AC1131" s="27"/>
      <c r="AD1131" s="31" t="s">
        <v>25</v>
      </c>
      <c r="AE1131" s="32" t="str">
        <f t="shared" si="87"/>
        <v>✓ OK</v>
      </c>
      <c r="AF1131" s="33" t="s">
        <v>27</v>
      </c>
      <c r="AG1131" s="33" t="s">
        <v>23</v>
      </c>
      <c r="AH1131" s="33" t="s">
        <v>24</v>
      </c>
      <c r="AI1131" s="33" t="s">
        <v>25</v>
      </c>
      <c r="AJ1131" s="33" t="s">
        <v>26</v>
      </c>
      <c r="AK1131" s="33" t="s">
        <v>24</v>
      </c>
      <c r="AL1131" s="27"/>
      <c r="AM1131" s="34" t="s">
        <v>25</v>
      </c>
      <c r="AN1131" s="35" t="str">
        <f t="shared" si="88"/>
        <v>✓ OK</v>
      </c>
      <c r="AO1131" s="36"/>
      <c r="AP1131" s="36"/>
      <c r="AQ1131" s="36"/>
      <c r="AR1131" s="36"/>
      <c r="AS1131" s="36"/>
      <c r="AT1131" s="36"/>
      <c r="AU1131" s="27"/>
      <c r="AV1131" s="37"/>
      <c r="AW1131" s="38" t="str">
        <f t="shared" si="89"/>
        <v/>
      </c>
    </row>
    <row r="1132" spans="1:49" ht="18" customHeight="1" x14ac:dyDescent="0.3">
      <c r="A1132" s="39">
        <v>1128</v>
      </c>
      <c r="B1132" s="40" t="s">
        <v>4105</v>
      </c>
      <c r="C1132" s="41" t="s">
        <v>4106</v>
      </c>
      <c r="D1132" s="39" t="s">
        <v>4000</v>
      </c>
      <c r="E1132" s="43">
        <v>46125</v>
      </c>
      <c r="F1132" s="26" t="s">
        <v>23</v>
      </c>
      <c r="G1132" s="26" t="s">
        <v>24</v>
      </c>
      <c r="H1132" s="26" t="s">
        <v>25</v>
      </c>
      <c r="I1132" s="26" t="s">
        <v>26</v>
      </c>
      <c r="J1132" s="26" t="s">
        <v>24</v>
      </c>
      <c r="K1132" s="27"/>
      <c r="L1132" s="28" t="s">
        <v>25</v>
      </c>
      <c r="M1132" s="29" t="str">
        <f t="shared" si="85"/>
        <v>✓ OK</v>
      </c>
      <c r="N1132" s="43">
        <v>46193</v>
      </c>
      <c r="O1132" s="26" t="s">
        <v>23</v>
      </c>
      <c r="P1132" s="26" t="s">
        <v>24</v>
      </c>
      <c r="Q1132" s="26" t="s">
        <v>25</v>
      </c>
      <c r="R1132" s="26" t="s">
        <v>26</v>
      </c>
      <c r="S1132" s="26" t="s">
        <v>24</v>
      </c>
      <c r="T1132" s="27"/>
      <c r="U1132" s="28" t="s">
        <v>25</v>
      </c>
      <c r="V1132" s="29" t="str">
        <f t="shared" si="86"/>
        <v>✓ OK</v>
      </c>
      <c r="W1132" s="45">
        <v>46248</v>
      </c>
      <c r="X1132" s="30" t="s">
        <v>23</v>
      </c>
      <c r="Y1132" s="30" t="s">
        <v>24</v>
      </c>
      <c r="Z1132" s="30" t="s">
        <v>25</v>
      </c>
      <c r="AA1132" s="30" t="s">
        <v>26</v>
      </c>
      <c r="AB1132" s="30" t="s">
        <v>24</v>
      </c>
      <c r="AC1132" s="27"/>
      <c r="AD1132" s="31" t="s">
        <v>25</v>
      </c>
      <c r="AE1132" s="32" t="str">
        <f t="shared" si="87"/>
        <v>✓ OK</v>
      </c>
      <c r="AF1132" s="33" t="s">
        <v>27</v>
      </c>
      <c r="AG1132" s="33" t="s">
        <v>23</v>
      </c>
      <c r="AH1132" s="33" t="s">
        <v>24</v>
      </c>
      <c r="AI1132" s="33" t="s">
        <v>25</v>
      </c>
      <c r="AJ1132" s="33" t="s">
        <v>26</v>
      </c>
      <c r="AK1132" s="33" t="s">
        <v>24</v>
      </c>
      <c r="AL1132" s="27"/>
      <c r="AM1132" s="34" t="s">
        <v>25</v>
      </c>
      <c r="AN1132" s="35" t="str">
        <f t="shared" si="88"/>
        <v>✓ OK</v>
      </c>
      <c r="AO1132" s="36"/>
      <c r="AP1132" s="36"/>
      <c r="AQ1132" s="36"/>
      <c r="AR1132" s="36"/>
      <c r="AS1132" s="36"/>
      <c r="AT1132" s="36"/>
      <c r="AU1132" s="27"/>
      <c r="AV1132" s="37"/>
      <c r="AW1132" s="38" t="str">
        <f t="shared" si="89"/>
        <v/>
      </c>
    </row>
    <row r="1133" spans="1:49" ht="18" customHeight="1" x14ac:dyDescent="0.3">
      <c r="A1133" s="23">
        <v>1129</v>
      </c>
      <c r="B1133" s="24" t="s">
        <v>4107</v>
      </c>
      <c r="C1133" s="25" t="s">
        <v>4108</v>
      </c>
      <c r="D1133" s="23" t="s">
        <v>4000</v>
      </c>
      <c r="E1133" s="43">
        <v>46125</v>
      </c>
      <c r="F1133" s="26" t="s">
        <v>23</v>
      </c>
      <c r="G1133" s="26" t="s">
        <v>24</v>
      </c>
      <c r="H1133" s="26" t="s">
        <v>25</v>
      </c>
      <c r="I1133" s="26" t="s">
        <v>26</v>
      </c>
      <c r="J1133" s="26" t="s">
        <v>24</v>
      </c>
      <c r="K1133" s="27"/>
      <c r="L1133" s="28" t="s">
        <v>25</v>
      </c>
      <c r="M1133" s="29" t="str">
        <f t="shared" si="85"/>
        <v>✓ OK</v>
      </c>
      <c r="N1133" s="43">
        <v>46193</v>
      </c>
      <c r="O1133" s="26" t="s">
        <v>23</v>
      </c>
      <c r="P1133" s="26" t="s">
        <v>24</v>
      </c>
      <c r="Q1133" s="26" t="s">
        <v>25</v>
      </c>
      <c r="R1133" s="26" t="s">
        <v>26</v>
      </c>
      <c r="S1133" s="26" t="s">
        <v>24</v>
      </c>
      <c r="T1133" s="27"/>
      <c r="U1133" s="28" t="s">
        <v>25</v>
      </c>
      <c r="V1133" s="29" t="str">
        <f t="shared" si="86"/>
        <v>✓ OK</v>
      </c>
      <c r="W1133" s="45">
        <v>46248</v>
      </c>
      <c r="X1133" s="30" t="s">
        <v>23</v>
      </c>
      <c r="Y1133" s="30" t="s">
        <v>24</v>
      </c>
      <c r="Z1133" s="30" t="s">
        <v>25</v>
      </c>
      <c r="AA1133" s="30" t="s">
        <v>26</v>
      </c>
      <c r="AB1133" s="30" t="s">
        <v>24</v>
      </c>
      <c r="AC1133" s="27"/>
      <c r="AD1133" s="31" t="s">
        <v>25</v>
      </c>
      <c r="AE1133" s="32" t="str">
        <f t="shared" si="87"/>
        <v>✓ OK</v>
      </c>
      <c r="AF1133" s="33" t="s">
        <v>27</v>
      </c>
      <c r="AG1133" s="33" t="s">
        <v>23</v>
      </c>
      <c r="AH1133" s="33" t="s">
        <v>24</v>
      </c>
      <c r="AI1133" s="33" t="s">
        <v>25</v>
      </c>
      <c r="AJ1133" s="33" t="s">
        <v>26</v>
      </c>
      <c r="AK1133" s="33" t="s">
        <v>24</v>
      </c>
      <c r="AL1133" s="27"/>
      <c r="AM1133" s="34" t="s">
        <v>25</v>
      </c>
      <c r="AN1133" s="35" t="str">
        <f t="shared" si="88"/>
        <v>✓ OK</v>
      </c>
      <c r="AO1133" s="36"/>
      <c r="AP1133" s="36"/>
      <c r="AQ1133" s="36"/>
      <c r="AR1133" s="36"/>
      <c r="AS1133" s="36"/>
      <c r="AT1133" s="36"/>
      <c r="AU1133" s="27"/>
      <c r="AV1133" s="37"/>
      <c r="AW1133" s="38" t="str">
        <f t="shared" si="89"/>
        <v/>
      </c>
    </row>
    <row r="1134" spans="1:49" ht="18" customHeight="1" x14ac:dyDescent="0.3">
      <c r="A1134" s="39">
        <v>1130</v>
      </c>
      <c r="B1134" s="40" t="s">
        <v>4109</v>
      </c>
      <c r="C1134" s="41" t="s">
        <v>4110</v>
      </c>
      <c r="D1134" s="39" t="s">
        <v>4000</v>
      </c>
      <c r="E1134" s="43">
        <v>46125</v>
      </c>
      <c r="F1134" s="26" t="s">
        <v>23</v>
      </c>
      <c r="G1134" s="26" t="s">
        <v>24</v>
      </c>
      <c r="H1134" s="26" t="s">
        <v>25</v>
      </c>
      <c r="I1134" s="26" t="s">
        <v>26</v>
      </c>
      <c r="J1134" s="26" t="s">
        <v>24</v>
      </c>
      <c r="K1134" s="27"/>
      <c r="L1134" s="28" t="s">
        <v>25</v>
      </c>
      <c r="M1134" s="29" t="str">
        <f t="shared" si="85"/>
        <v>✓ OK</v>
      </c>
      <c r="N1134" s="43">
        <v>46193</v>
      </c>
      <c r="O1134" s="26" t="s">
        <v>23</v>
      </c>
      <c r="P1134" s="26" t="s">
        <v>24</v>
      </c>
      <c r="Q1134" s="26" t="s">
        <v>25</v>
      </c>
      <c r="R1134" s="26" t="s">
        <v>26</v>
      </c>
      <c r="S1134" s="26" t="s">
        <v>24</v>
      </c>
      <c r="T1134" s="27"/>
      <c r="U1134" s="28" t="s">
        <v>25</v>
      </c>
      <c r="V1134" s="29" t="str">
        <f t="shared" si="86"/>
        <v>✓ OK</v>
      </c>
      <c r="W1134" s="45">
        <v>46248</v>
      </c>
      <c r="X1134" s="30" t="s">
        <v>23</v>
      </c>
      <c r="Y1134" s="30" t="s">
        <v>24</v>
      </c>
      <c r="Z1134" s="30" t="s">
        <v>25</v>
      </c>
      <c r="AA1134" s="30" t="s">
        <v>26</v>
      </c>
      <c r="AB1134" s="30" t="s">
        <v>24</v>
      </c>
      <c r="AC1134" s="27"/>
      <c r="AD1134" s="31" t="s">
        <v>25</v>
      </c>
      <c r="AE1134" s="32" t="str">
        <f t="shared" si="87"/>
        <v>✓ OK</v>
      </c>
      <c r="AF1134" s="33" t="s">
        <v>27</v>
      </c>
      <c r="AG1134" s="33" t="s">
        <v>23</v>
      </c>
      <c r="AH1134" s="33" t="s">
        <v>24</v>
      </c>
      <c r="AI1134" s="33" t="s">
        <v>25</v>
      </c>
      <c r="AJ1134" s="33" t="s">
        <v>26</v>
      </c>
      <c r="AK1134" s="33" t="s">
        <v>24</v>
      </c>
      <c r="AL1134" s="27"/>
      <c r="AM1134" s="34" t="s">
        <v>25</v>
      </c>
      <c r="AN1134" s="35" t="str">
        <f t="shared" si="88"/>
        <v>✓ OK</v>
      </c>
      <c r="AO1134" s="36"/>
      <c r="AP1134" s="36"/>
      <c r="AQ1134" s="36"/>
      <c r="AR1134" s="36"/>
      <c r="AS1134" s="36"/>
      <c r="AT1134" s="36"/>
      <c r="AU1134" s="27"/>
      <c r="AV1134" s="37"/>
      <c r="AW1134" s="38" t="str">
        <f t="shared" si="89"/>
        <v/>
      </c>
    </row>
    <row r="1135" spans="1:49" ht="18" customHeight="1" x14ac:dyDescent="0.3">
      <c r="A1135" s="23">
        <v>1131</v>
      </c>
      <c r="B1135" s="24" t="s">
        <v>4111</v>
      </c>
      <c r="C1135" s="25" t="s">
        <v>4112</v>
      </c>
      <c r="D1135" s="23" t="s">
        <v>4000</v>
      </c>
      <c r="E1135" s="43">
        <v>46125</v>
      </c>
      <c r="F1135" s="26" t="s">
        <v>23</v>
      </c>
      <c r="G1135" s="26" t="s">
        <v>24</v>
      </c>
      <c r="H1135" s="26" t="s">
        <v>25</v>
      </c>
      <c r="I1135" s="26" t="s">
        <v>26</v>
      </c>
      <c r="J1135" s="26" t="s">
        <v>24</v>
      </c>
      <c r="K1135" s="27"/>
      <c r="L1135" s="28" t="s">
        <v>25</v>
      </c>
      <c r="M1135" s="29" t="str">
        <f t="shared" si="85"/>
        <v>✓ OK</v>
      </c>
      <c r="N1135" s="43">
        <v>46193</v>
      </c>
      <c r="O1135" s="26" t="s">
        <v>23</v>
      </c>
      <c r="P1135" s="26" t="s">
        <v>24</v>
      </c>
      <c r="Q1135" s="26" t="s">
        <v>25</v>
      </c>
      <c r="R1135" s="26" t="s">
        <v>26</v>
      </c>
      <c r="S1135" s="26" t="s">
        <v>24</v>
      </c>
      <c r="T1135" s="27"/>
      <c r="U1135" s="28" t="s">
        <v>25</v>
      </c>
      <c r="V1135" s="29" t="str">
        <f t="shared" si="86"/>
        <v>✓ OK</v>
      </c>
      <c r="W1135" s="45">
        <v>46248</v>
      </c>
      <c r="X1135" s="30" t="s">
        <v>23</v>
      </c>
      <c r="Y1135" s="30" t="s">
        <v>24</v>
      </c>
      <c r="Z1135" s="30" t="s">
        <v>25</v>
      </c>
      <c r="AA1135" s="30" t="s">
        <v>26</v>
      </c>
      <c r="AB1135" s="30" t="s">
        <v>24</v>
      </c>
      <c r="AC1135" s="27"/>
      <c r="AD1135" s="31" t="s">
        <v>25</v>
      </c>
      <c r="AE1135" s="32" t="str">
        <f t="shared" si="87"/>
        <v>✓ OK</v>
      </c>
      <c r="AF1135" s="33" t="s">
        <v>27</v>
      </c>
      <c r="AG1135" s="33" t="s">
        <v>23</v>
      </c>
      <c r="AH1135" s="33" t="s">
        <v>24</v>
      </c>
      <c r="AI1135" s="33" t="s">
        <v>25</v>
      </c>
      <c r="AJ1135" s="33" t="s">
        <v>26</v>
      </c>
      <c r="AK1135" s="33" t="s">
        <v>24</v>
      </c>
      <c r="AL1135" s="27"/>
      <c r="AM1135" s="34" t="s">
        <v>25</v>
      </c>
      <c r="AN1135" s="35" t="str">
        <f t="shared" si="88"/>
        <v>✓ OK</v>
      </c>
      <c r="AO1135" s="36"/>
      <c r="AP1135" s="36"/>
      <c r="AQ1135" s="36"/>
      <c r="AR1135" s="36"/>
      <c r="AS1135" s="36"/>
      <c r="AT1135" s="36"/>
      <c r="AU1135" s="27"/>
      <c r="AV1135" s="37"/>
      <c r="AW1135" s="38" t="str">
        <f t="shared" si="89"/>
        <v/>
      </c>
    </row>
    <row r="1136" spans="1:49" ht="18" customHeight="1" x14ac:dyDescent="0.3">
      <c r="A1136" s="39">
        <v>1132</v>
      </c>
      <c r="B1136" s="40" t="s">
        <v>4113</v>
      </c>
      <c r="C1136" s="41" t="s">
        <v>4114</v>
      </c>
      <c r="D1136" s="39" t="s">
        <v>4000</v>
      </c>
      <c r="E1136" s="43">
        <v>46125</v>
      </c>
      <c r="F1136" s="26" t="s">
        <v>23</v>
      </c>
      <c r="G1136" s="26" t="s">
        <v>24</v>
      </c>
      <c r="H1136" s="26" t="s">
        <v>25</v>
      </c>
      <c r="I1136" s="26" t="s">
        <v>26</v>
      </c>
      <c r="J1136" s="26" t="s">
        <v>24</v>
      </c>
      <c r="K1136" s="27"/>
      <c r="L1136" s="28" t="s">
        <v>25</v>
      </c>
      <c r="M1136" s="29" t="str">
        <f t="shared" si="85"/>
        <v>✓ OK</v>
      </c>
      <c r="N1136" s="43">
        <v>46193</v>
      </c>
      <c r="O1136" s="26" t="s">
        <v>23</v>
      </c>
      <c r="P1136" s="26" t="s">
        <v>24</v>
      </c>
      <c r="Q1136" s="26" t="s">
        <v>25</v>
      </c>
      <c r="R1136" s="26" t="s">
        <v>26</v>
      </c>
      <c r="S1136" s="26" t="s">
        <v>24</v>
      </c>
      <c r="T1136" s="27"/>
      <c r="U1136" s="28" t="s">
        <v>25</v>
      </c>
      <c r="V1136" s="29" t="str">
        <f t="shared" si="86"/>
        <v>✓ OK</v>
      </c>
      <c r="W1136" s="45">
        <v>46248</v>
      </c>
      <c r="X1136" s="30" t="s">
        <v>23</v>
      </c>
      <c r="Y1136" s="30" t="s">
        <v>24</v>
      </c>
      <c r="Z1136" s="30" t="s">
        <v>25</v>
      </c>
      <c r="AA1136" s="30" t="s">
        <v>26</v>
      </c>
      <c r="AB1136" s="30" t="s">
        <v>24</v>
      </c>
      <c r="AC1136" s="27"/>
      <c r="AD1136" s="31" t="s">
        <v>25</v>
      </c>
      <c r="AE1136" s="32" t="str">
        <f t="shared" si="87"/>
        <v>✓ OK</v>
      </c>
      <c r="AF1136" s="33" t="s">
        <v>27</v>
      </c>
      <c r="AG1136" s="33" t="s">
        <v>23</v>
      </c>
      <c r="AH1136" s="33" t="s">
        <v>24</v>
      </c>
      <c r="AI1136" s="33" t="s">
        <v>25</v>
      </c>
      <c r="AJ1136" s="33" t="s">
        <v>26</v>
      </c>
      <c r="AK1136" s="33" t="s">
        <v>24</v>
      </c>
      <c r="AL1136" s="27"/>
      <c r="AM1136" s="34" t="s">
        <v>25</v>
      </c>
      <c r="AN1136" s="35" t="str">
        <f t="shared" si="88"/>
        <v>✓ OK</v>
      </c>
      <c r="AO1136" s="36"/>
      <c r="AP1136" s="36"/>
      <c r="AQ1136" s="36"/>
      <c r="AR1136" s="36"/>
      <c r="AS1136" s="36"/>
      <c r="AT1136" s="36"/>
      <c r="AU1136" s="27"/>
      <c r="AV1136" s="37"/>
      <c r="AW1136" s="38" t="str">
        <f t="shared" si="89"/>
        <v/>
      </c>
    </row>
    <row r="1137" spans="1:49" ht="18" customHeight="1" x14ac:dyDescent="0.3">
      <c r="A1137" s="23">
        <v>1133</v>
      </c>
      <c r="B1137" s="24" t="s">
        <v>4115</v>
      </c>
      <c r="C1137" s="25" t="s">
        <v>4116</v>
      </c>
      <c r="D1137" s="23" t="s">
        <v>4000</v>
      </c>
      <c r="E1137" s="43">
        <v>46125</v>
      </c>
      <c r="F1137" s="26" t="s">
        <v>23</v>
      </c>
      <c r="G1137" s="26" t="s">
        <v>24</v>
      </c>
      <c r="H1137" s="26" t="s">
        <v>25</v>
      </c>
      <c r="I1137" s="26" t="s">
        <v>26</v>
      </c>
      <c r="J1137" s="26" t="s">
        <v>24</v>
      </c>
      <c r="K1137" s="27"/>
      <c r="L1137" s="28" t="s">
        <v>25</v>
      </c>
      <c r="M1137" s="29" t="str">
        <f t="shared" si="85"/>
        <v>✓ OK</v>
      </c>
      <c r="N1137" s="43">
        <v>46193</v>
      </c>
      <c r="O1137" s="26" t="s">
        <v>23</v>
      </c>
      <c r="P1137" s="26" t="s">
        <v>24</v>
      </c>
      <c r="Q1137" s="26" t="s">
        <v>25</v>
      </c>
      <c r="R1137" s="26" t="s">
        <v>26</v>
      </c>
      <c r="S1137" s="26" t="s">
        <v>24</v>
      </c>
      <c r="T1137" s="27"/>
      <c r="U1137" s="28" t="s">
        <v>25</v>
      </c>
      <c r="V1137" s="29" t="str">
        <f t="shared" si="86"/>
        <v>✓ OK</v>
      </c>
      <c r="W1137" s="45">
        <v>46248</v>
      </c>
      <c r="X1137" s="30" t="s">
        <v>23</v>
      </c>
      <c r="Y1137" s="30" t="s">
        <v>24</v>
      </c>
      <c r="Z1137" s="30" t="s">
        <v>25</v>
      </c>
      <c r="AA1137" s="30" t="s">
        <v>26</v>
      </c>
      <c r="AB1137" s="30" t="s">
        <v>24</v>
      </c>
      <c r="AC1137" s="27"/>
      <c r="AD1137" s="31" t="s">
        <v>25</v>
      </c>
      <c r="AE1137" s="32" t="str">
        <f t="shared" si="87"/>
        <v>✓ OK</v>
      </c>
      <c r="AF1137" s="33" t="s">
        <v>27</v>
      </c>
      <c r="AG1137" s="33" t="s">
        <v>23</v>
      </c>
      <c r="AH1137" s="33" t="s">
        <v>24</v>
      </c>
      <c r="AI1137" s="33" t="s">
        <v>25</v>
      </c>
      <c r="AJ1137" s="33" t="s">
        <v>26</v>
      </c>
      <c r="AK1137" s="33" t="s">
        <v>24</v>
      </c>
      <c r="AL1137" s="27"/>
      <c r="AM1137" s="34" t="s">
        <v>25</v>
      </c>
      <c r="AN1137" s="35" t="str">
        <f t="shared" si="88"/>
        <v>✓ OK</v>
      </c>
      <c r="AO1137" s="36"/>
      <c r="AP1137" s="36"/>
      <c r="AQ1137" s="36"/>
      <c r="AR1137" s="36"/>
      <c r="AS1137" s="36"/>
      <c r="AT1137" s="36"/>
      <c r="AU1137" s="27"/>
      <c r="AV1137" s="37"/>
      <c r="AW1137" s="38" t="str">
        <f t="shared" si="89"/>
        <v/>
      </c>
    </row>
    <row r="1138" spans="1:49" ht="18" customHeight="1" x14ac:dyDescent="0.3">
      <c r="A1138" s="39">
        <v>1134</v>
      </c>
      <c r="B1138" s="40" t="s">
        <v>4117</v>
      </c>
      <c r="C1138" s="41" t="s">
        <v>4118</v>
      </c>
      <c r="D1138" s="39" t="s">
        <v>4000</v>
      </c>
      <c r="E1138" s="43">
        <v>46125</v>
      </c>
      <c r="F1138" s="26" t="s">
        <v>23</v>
      </c>
      <c r="G1138" s="26" t="s">
        <v>24</v>
      </c>
      <c r="H1138" s="26" t="s">
        <v>25</v>
      </c>
      <c r="I1138" s="26" t="s">
        <v>26</v>
      </c>
      <c r="J1138" s="26" t="s">
        <v>24</v>
      </c>
      <c r="K1138" s="27"/>
      <c r="L1138" s="28" t="s">
        <v>25</v>
      </c>
      <c r="M1138" s="29" t="str">
        <f t="shared" si="85"/>
        <v>✓ OK</v>
      </c>
      <c r="N1138" s="43">
        <v>46193</v>
      </c>
      <c r="O1138" s="26" t="s">
        <v>23</v>
      </c>
      <c r="P1138" s="26" t="s">
        <v>24</v>
      </c>
      <c r="Q1138" s="26" t="s">
        <v>25</v>
      </c>
      <c r="R1138" s="26" t="s">
        <v>26</v>
      </c>
      <c r="S1138" s="26" t="s">
        <v>24</v>
      </c>
      <c r="T1138" s="27"/>
      <c r="U1138" s="28" t="s">
        <v>25</v>
      </c>
      <c r="V1138" s="29" t="str">
        <f t="shared" si="86"/>
        <v>✓ OK</v>
      </c>
      <c r="W1138" s="45">
        <v>46248</v>
      </c>
      <c r="X1138" s="30" t="s">
        <v>23</v>
      </c>
      <c r="Y1138" s="30" t="s">
        <v>24</v>
      </c>
      <c r="Z1138" s="30" t="s">
        <v>25</v>
      </c>
      <c r="AA1138" s="30" t="s">
        <v>26</v>
      </c>
      <c r="AB1138" s="30" t="s">
        <v>24</v>
      </c>
      <c r="AC1138" s="27"/>
      <c r="AD1138" s="31" t="s">
        <v>25</v>
      </c>
      <c r="AE1138" s="32" t="str">
        <f t="shared" si="87"/>
        <v>✓ OK</v>
      </c>
      <c r="AF1138" s="33" t="s">
        <v>27</v>
      </c>
      <c r="AG1138" s="33" t="s">
        <v>23</v>
      </c>
      <c r="AH1138" s="33" t="s">
        <v>24</v>
      </c>
      <c r="AI1138" s="33" t="s">
        <v>25</v>
      </c>
      <c r="AJ1138" s="33" t="s">
        <v>26</v>
      </c>
      <c r="AK1138" s="33" t="s">
        <v>24</v>
      </c>
      <c r="AL1138" s="27"/>
      <c r="AM1138" s="34" t="s">
        <v>25</v>
      </c>
      <c r="AN1138" s="35" t="str">
        <f t="shared" si="88"/>
        <v>✓ OK</v>
      </c>
      <c r="AO1138" s="36"/>
      <c r="AP1138" s="36"/>
      <c r="AQ1138" s="36"/>
      <c r="AR1138" s="36"/>
      <c r="AS1138" s="36"/>
      <c r="AT1138" s="36"/>
      <c r="AU1138" s="27"/>
      <c r="AV1138" s="37"/>
      <c r="AW1138" s="38" t="str">
        <f t="shared" si="89"/>
        <v/>
      </c>
    </row>
    <row r="1139" spans="1:49" ht="18" customHeight="1" x14ac:dyDescent="0.3">
      <c r="A1139" s="23">
        <v>1135</v>
      </c>
      <c r="B1139" s="24" t="s">
        <v>4119</v>
      </c>
      <c r="C1139" s="25" t="s">
        <v>4120</v>
      </c>
      <c r="D1139" s="23" t="s">
        <v>4000</v>
      </c>
      <c r="E1139" s="43">
        <v>46125</v>
      </c>
      <c r="F1139" s="26" t="s">
        <v>23</v>
      </c>
      <c r="G1139" s="26" t="s">
        <v>24</v>
      </c>
      <c r="H1139" s="26" t="s">
        <v>25</v>
      </c>
      <c r="I1139" s="26" t="s">
        <v>26</v>
      </c>
      <c r="J1139" s="26" t="s">
        <v>24</v>
      </c>
      <c r="K1139" s="27"/>
      <c r="L1139" s="28" t="s">
        <v>25</v>
      </c>
      <c r="M1139" s="29" t="str">
        <f t="shared" si="85"/>
        <v>✓ OK</v>
      </c>
      <c r="N1139" s="43">
        <v>46193</v>
      </c>
      <c r="O1139" s="26" t="s">
        <v>23</v>
      </c>
      <c r="P1139" s="26" t="s">
        <v>24</v>
      </c>
      <c r="Q1139" s="26" t="s">
        <v>25</v>
      </c>
      <c r="R1139" s="26" t="s">
        <v>26</v>
      </c>
      <c r="S1139" s="26" t="s">
        <v>24</v>
      </c>
      <c r="T1139" s="27"/>
      <c r="U1139" s="28" t="s">
        <v>25</v>
      </c>
      <c r="V1139" s="29" t="str">
        <f t="shared" si="86"/>
        <v>✓ OK</v>
      </c>
      <c r="W1139" s="45">
        <v>46248</v>
      </c>
      <c r="X1139" s="30" t="s">
        <v>23</v>
      </c>
      <c r="Y1139" s="30" t="s">
        <v>24</v>
      </c>
      <c r="Z1139" s="30" t="s">
        <v>25</v>
      </c>
      <c r="AA1139" s="30" t="s">
        <v>26</v>
      </c>
      <c r="AB1139" s="30" t="s">
        <v>24</v>
      </c>
      <c r="AC1139" s="27"/>
      <c r="AD1139" s="31" t="s">
        <v>25</v>
      </c>
      <c r="AE1139" s="32" t="str">
        <f t="shared" si="87"/>
        <v>✓ OK</v>
      </c>
      <c r="AF1139" s="33" t="s">
        <v>27</v>
      </c>
      <c r="AG1139" s="33" t="s">
        <v>23</v>
      </c>
      <c r="AH1139" s="33" t="s">
        <v>24</v>
      </c>
      <c r="AI1139" s="33" t="s">
        <v>25</v>
      </c>
      <c r="AJ1139" s="33" t="s">
        <v>26</v>
      </c>
      <c r="AK1139" s="33" t="s">
        <v>24</v>
      </c>
      <c r="AL1139" s="27"/>
      <c r="AM1139" s="34" t="s">
        <v>25</v>
      </c>
      <c r="AN1139" s="35" t="str">
        <f t="shared" si="88"/>
        <v>✓ OK</v>
      </c>
      <c r="AO1139" s="36"/>
      <c r="AP1139" s="36"/>
      <c r="AQ1139" s="36"/>
      <c r="AR1139" s="36"/>
      <c r="AS1139" s="36"/>
      <c r="AT1139" s="36"/>
      <c r="AU1139" s="27"/>
      <c r="AV1139" s="37"/>
      <c r="AW1139" s="38" t="str">
        <f t="shared" si="89"/>
        <v/>
      </c>
    </row>
    <row r="1140" spans="1:49" ht="18" customHeight="1" x14ac:dyDescent="0.3">
      <c r="A1140" s="39">
        <v>1136</v>
      </c>
      <c r="B1140" s="40" t="s">
        <v>4121</v>
      </c>
      <c r="C1140" s="41" t="s">
        <v>4122</v>
      </c>
      <c r="D1140" s="39" t="s">
        <v>4000</v>
      </c>
      <c r="E1140" s="43">
        <v>46125</v>
      </c>
      <c r="F1140" s="26" t="s">
        <v>23</v>
      </c>
      <c r="G1140" s="26" t="s">
        <v>24</v>
      </c>
      <c r="H1140" s="26" t="s">
        <v>25</v>
      </c>
      <c r="I1140" s="26" t="s">
        <v>26</v>
      </c>
      <c r="J1140" s="26" t="s">
        <v>24</v>
      </c>
      <c r="K1140" s="27"/>
      <c r="L1140" s="28" t="s">
        <v>25</v>
      </c>
      <c r="M1140" s="29" t="str">
        <f t="shared" si="85"/>
        <v>✓ OK</v>
      </c>
      <c r="N1140" s="43">
        <v>46193</v>
      </c>
      <c r="O1140" s="26" t="s">
        <v>23</v>
      </c>
      <c r="P1140" s="26" t="s">
        <v>24</v>
      </c>
      <c r="Q1140" s="26" t="s">
        <v>25</v>
      </c>
      <c r="R1140" s="26" t="s">
        <v>26</v>
      </c>
      <c r="S1140" s="26" t="s">
        <v>24</v>
      </c>
      <c r="T1140" s="27"/>
      <c r="U1140" s="28" t="s">
        <v>25</v>
      </c>
      <c r="V1140" s="29" t="str">
        <f t="shared" si="86"/>
        <v>✓ OK</v>
      </c>
      <c r="W1140" s="45">
        <v>46248</v>
      </c>
      <c r="X1140" s="30" t="s">
        <v>23</v>
      </c>
      <c r="Y1140" s="30" t="s">
        <v>24</v>
      </c>
      <c r="Z1140" s="30" t="s">
        <v>25</v>
      </c>
      <c r="AA1140" s="30" t="s">
        <v>26</v>
      </c>
      <c r="AB1140" s="30" t="s">
        <v>24</v>
      </c>
      <c r="AC1140" s="27"/>
      <c r="AD1140" s="31" t="s">
        <v>25</v>
      </c>
      <c r="AE1140" s="32" t="str">
        <f t="shared" si="87"/>
        <v>✓ OK</v>
      </c>
      <c r="AF1140" s="33" t="s">
        <v>27</v>
      </c>
      <c r="AG1140" s="33" t="s">
        <v>23</v>
      </c>
      <c r="AH1140" s="33" t="s">
        <v>24</v>
      </c>
      <c r="AI1140" s="33" t="s">
        <v>25</v>
      </c>
      <c r="AJ1140" s="33" t="s">
        <v>26</v>
      </c>
      <c r="AK1140" s="33" t="s">
        <v>24</v>
      </c>
      <c r="AL1140" s="27"/>
      <c r="AM1140" s="34" t="s">
        <v>25</v>
      </c>
      <c r="AN1140" s="35" t="str">
        <f t="shared" si="88"/>
        <v>✓ OK</v>
      </c>
      <c r="AO1140" s="36"/>
      <c r="AP1140" s="36"/>
      <c r="AQ1140" s="36"/>
      <c r="AR1140" s="36"/>
      <c r="AS1140" s="36"/>
      <c r="AT1140" s="36"/>
      <c r="AU1140" s="27"/>
      <c r="AV1140" s="37"/>
      <c r="AW1140" s="38" t="str">
        <f t="shared" si="89"/>
        <v/>
      </c>
    </row>
    <row r="1141" spans="1:49" ht="18" customHeight="1" x14ac:dyDescent="0.3">
      <c r="A1141" s="23">
        <v>1137</v>
      </c>
      <c r="B1141" s="24" t="s">
        <v>4123</v>
      </c>
      <c r="C1141" s="25" t="s">
        <v>4124</v>
      </c>
      <c r="D1141" s="23" t="s">
        <v>4000</v>
      </c>
      <c r="E1141" s="43">
        <v>46125</v>
      </c>
      <c r="F1141" s="26" t="s">
        <v>23</v>
      </c>
      <c r="G1141" s="26" t="s">
        <v>24</v>
      </c>
      <c r="H1141" s="26" t="s">
        <v>25</v>
      </c>
      <c r="I1141" s="26" t="s">
        <v>26</v>
      </c>
      <c r="J1141" s="26" t="s">
        <v>24</v>
      </c>
      <c r="K1141" s="27"/>
      <c r="L1141" s="28" t="s">
        <v>25</v>
      </c>
      <c r="M1141" s="29" t="str">
        <f t="shared" si="85"/>
        <v>✓ OK</v>
      </c>
      <c r="N1141" s="43">
        <v>46193</v>
      </c>
      <c r="O1141" s="26" t="s">
        <v>23</v>
      </c>
      <c r="P1141" s="26" t="s">
        <v>24</v>
      </c>
      <c r="Q1141" s="26" t="s">
        <v>25</v>
      </c>
      <c r="R1141" s="26" t="s">
        <v>26</v>
      </c>
      <c r="S1141" s="26" t="s">
        <v>24</v>
      </c>
      <c r="T1141" s="27"/>
      <c r="U1141" s="28" t="s">
        <v>25</v>
      </c>
      <c r="V1141" s="29" t="str">
        <f t="shared" si="86"/>
        <v>✓ OK</v>
      </c>
      <c r="W1141" s="45">
        <v>46248</v>
      </c>
      <c r="X1141" s="30" t="s">
        <v>23</v>
      </c>
      <c r="Y1141" s="30" t="s">
        <v>24</v>
      </c>
      <c r="Z1141" s="30" t="s">
        <v>25</v>
      </c>
      <c r="AA1141" s="30" t="s">
        <v>26</v>
      </c>
      <c r="AB1141" s="30" t="s">
        <v>24</v>
      </c>
      <c r="AC1141" s="27"/>
      <c r="AD1141" s="31" t="s">
        <v>25</v>
      </c>
      <c r="AE1141" s="32" t="str">
        <f t="shared" si="87"/>
        <v>✓ OK</v>
      </c>
      <c r="AF1141" s="33" t="s">
        <v>27</v>
      </c>
      <c r="AG1141" s="33" t="s">
        <v>23</v>
      </c>
      <c r="AH1141" s="33" t="s">
        <v>24</v>
      </c>
      <c r="AI1141" s="33" t="s">
        <v>25</v>
      </c>
      <c r="AJ1141" s="33" t="s">
        <v>26</v>
      </c>
      <c r="AK1141" s="33" t="s">
        <v>24</v>
      </c>
      <c r="AL1141" s="27"/>
      <c r="AM1141" s="34" t="s">
        <v>25</v>
      </c>
      <c r="AN1141" s="35" t="str">
        <f t="shared" si="88"/>
        <v>✓ OK</v>
      </c>
      <c r="AO1141" s="36"/>
      <c r="AP1141" s="36"/>
      <c r="AQ1141" s="36"/>
      <c r="AR1141" s="36"/>
      <c r="AS1141" s="36"/>
      <c r="AT1141" s="36"/>
      <c r="AU1141" s="27"/>
      <c r="AV1141" s="37"/>
      <c r="AW1141" s="38" t="str">
        <f t="shared" si="89"/>
        <v/>
      </c>
    </row>
    <row r="1142" spans="1:49" ht="18" customHeight="1" x14ac:dyDescent="0.3">
      <c r="A1142" s="39">
        <v>1138</v>
      </c>
      <c r="B1142" s="40" t="s">
        <v>4125</v>
      </c>
      <c r="C1142" s="41" t="s">
        <v>4126</v>
      </c>
      <c r="D1142" s="39" t="s">
        <v>4000</v>
      </c>
      <c r="E1142" s="43">
        <v>46125</v>
      </c>
      <c r="F1142" s="26" t="s">
        <v>23</v>
      </c>
      <c r="G1142" s="26" t="s">
        <v>24</v>
      </c>
      <c r="H1142" s="26" t="s">
        <v>25</v>
      </c>
      <c r="I1142" s="26" t="s">
        <v>26</v>
      </c>
      <c r="J1142" s="26" t="s">
        <v>24</v>
      </c>
      <c r="K1142" s="27"/>
      <c r="L1142" s="28" t="s">
        <v>25</v>
      </c>
      <c r="M1142" s="29" t="str">
        <f t="shared" si="85"/>
        <v>✓ OK</v>
      </c>
      <c r="N1142" s="43">
        <v>46193</v>
      </c>
      <c r="O1142" s="26" t="s">
        <v>23</v>
      </c>
      <c r="P1142" s="26" t="s">
        <v>24</v>
      </c>
      <c r="Q1142" s="26" t="s">
        <v>25</v>
      </c>
      <c r="R1142" s="26" t="s">
        <v>26</v>
      </c>
      <c r="S1142" s="26" t="s">
        <v>24</v>
      </c>
      <c r="T1142" s="27"/>
      <c r="U1142" s="28" t="s">
        <v>25</v>
      </c>
      <c r="V1142" s="29" t="str">
        <f t="shared" si="86"/>
        <v>✓ OK</v>
      </c>
      <c r="W1142" s="45">
        <v>46248</v>
      </c>
      <c r="X1142" s="30" t="s">
        <v>23</v>
      </c>
      <c r="Y1142" s="30" t="s">
        <v>24</v>
      </c>
      <c r="Z1142" s="30" t="s">
        <v>25</v>
      </c>
      <c r="AA1142" s="30" t="s">
        <v>26</v>
      </c>
      <c r="AB1142" s="30" t="s">
        <v>24</v>
      </c>
      <c r="AC1142" s="27"/>
      <c r="AD1142" s="31" t="s">
        <v>25</v>
      </c>
      <c r="AE1142" s="32" t="str">
        <f t="shared" si="87"/>
        <v>✓ OK</v>
      </c>
      <c r="AF1142" s="33" t="s">
        <v>27</v>
      </c>
      <c r="AG1142" s="33" t="s">
        <v>23</v>
      </c>
      <c r="AH1142" s="33" t="s">
        <v>24</v>
      </c>
      <c r="AI1142" s="33" t="s">
        <v>25</v>
      </c>
      <c r="AJ1142" s="33" t="s">
        <v>26</v>
      </c>
      <c r="AK1142" s="33" t="s">
        <v>24</v>
      </c>
      <c r="AL1142" s="27"/>
      <c r="AM1142" s="34" t="s">
        <v>25</v>
      </c>
      <c r="AN1142" s="35" t="str">
        <f t="shared" si="88"/>
        <v>✓ OK</v>
      </c>
      <c r="AO1142" s="36"/>
      <c r="AP1142" s="36"/>
      <c r="AQ1142" s="36"/>
      <c r="AR1142" s="36"/>
      <c r="AS1142" s="36"/>
      <c r="AT1142" s="36"/>
      <c r="AU1142" s="27"/>
      <c r="AV1142" s="37"/>
      <c r="AW1142" s="38" t="str">
        <f t="shared" si="89"/>
        <v/>
      </c>
    </row>
    <row r="1143" spans="1:49" ht="18" customHeight="1" x14ac:dyDescent="0.3">
      <c r="A1143" s="23">
        <v>1139</v>
      </c>
      <c r="B1143" s="24" t="s">
        <v>4127</v>
      </c>
      <c r="C1143" s="25" t="s">
        <v>4128</v>
      </c>
      <c r="D1143" s="23" t="s">
        <v>4000</v>
      </c>
      <c r="E1143" s="43">
        <v>46125</v>
      </c>
      <c r="F1143" s="26" t="s">
        <v>23</v>
      </c>
      <c r="G1143" s="26" t="s">
        <v>24</v>
      </c>
      <c r="H1143" s="26" t="s">
        <v>25</v>
      </c>
      <c r="I1143" s="26" t="s">
        <v>26</v>
      </c>
      <c r="J1143" s="26" t="s">
        <v>24</v>
      </c>
      <c r="K1143" s="27"/>
      <c r="L1143" s="28" t="s">
        <v>25</v>
      </c>
      <c r="M1143" s="29" t="str">
        <f t="shared" si="85"/>
        <v>✓ OK</v>
      </c>
      <c r="N1143" s="43">
        <v>46193</v>
      </c>
      <c r="O1143" s="26" t="s">
        <v>23</v>
      </c>
      <c r="P1143" s="26" t="s">
        <v>24</v>
      </c>
      <c r="Q1143" s="26" t="s">
        <v>25</v>
      </c>
      <c r="R1143" s="26" t="s">
        <v>26</v>
      </c>
      <c r="S1143" s="26" t="s">
        <v>24</v>
      </c>
      <c r="T1143" s="27"/>
      <c r="U1143" s="28" t="s">
        <v>25</v>
      </c>
      <c r="V1143" s="29" t="str">
        <f t="shared" si="86"/>
        <v>✓ OK</v>
      </c>
      <c r="W1143" s="45">
        <v>46248</v>
      </c>
      <c r="X1143" s="30" t="s">
        <v>23</v>
      </c>
      <c r="Y1143" s="30" t="s">
        <v>24</v>
      </c>
      <c r="Z1143" s="30" t="s">
        <v>25</v>
      </c>
      <c r="AA1143" s="30" t="s">
        <v>26</v>
      </c>
      <c r="AB1143" s="30" t="s">
        <v>24</v>
      </c>
      <c r="AC1143" s="27"/>
      <c r="AD1143" s="31" t="s">
        <v>25</v>
      </c>
      <c r="AE1143" s="32" t="str">
        <f t="shared" si="87"/>
        <v>✓ OK</v>
      </c>
      <c r="AF1143" s="33" t="s">
        <v>27</v>
      </c>
      <c r="AG1143" s="33" t="s">
        <v>23</v>
      </c>
      <c r="AH1143" s="33" t="s">
        <v>24</v>
      </c>
      <c r="AI1143" s="33" t="s">
        <v>25</v>
      </c>
      <c r="AJ1143" s="33" t="s">
        <v>26</v>
      </c>
      <c r="AK1143" s="33" t="s">
        <v>24</v>
      </c>
      <c r="AL1143" s="27"/>
      <c r="AM1143" s="34" t="s">
        <v>25</v>
      </c>
      <c r="AN1143" s="35" t="str">
        <f t="shared" si="88"/>
        <v>✓ OK</v>
      </c>
      <c r="AO1143" s="36"/>
      <c r="AP1143" s="36"/>
      <c r="AQ1143" s="36"/>
      <c r="AR1143" s="36"/>
      <c r="AS1143" s="36"/>
      <c r="AT1143" s="36"/>
      <c r="AU1143" s="27"/>
      <c r="AV1143" s="37"/>
      <c r="AW1143" s="38" t="str">
        <f t="shared" si="89"/>
        <v/>
      </c>
    </row>
    <row r="1144" spans="1:49" ht="18" customHeight="1" x14ac:dyDescent="0.3">
      <c r="A1144" s="39">
        <v>1140</v>
      </c>
      <c r="B1144" s="40" t="s">
        <v>4129</v>
      </c>
      <c r="C1144" s="41" t="s">
        <v>4130</v>
      </c>
      <c r="D1144" s="39" t="s">
        <v>4000</v>
      </c>
      <c r="E1144" s="43">
        <v>46125</v>
      </c>
      <c r="F1144" s="26" t="s">
        <v>23</v>
      </c>
      <c r="G1144" s="26" t="s">
        <v>24</v>
      </c>
      <c r="H1144" s="26" t="s">
        <v>25</v>
      </c>
      <c r="I1144" s="26" t="s">
        <v>26</v>
      </c>
      <c r="J1144" s="26" t="s">
        <v>24</v>
      </c>
      <c r="K1144" s="27"/>
      <c r="L1144" s="28" t="s">
        <v>25</v>
      </c>
      <c r="M1144" s="29" t="str">
        <f t="shared" si="85"/>
        <v>✓ OK</v>
      </c>
      <c r="N1144" s="43">
        <v>46193</v>
      </c>
      <c r="O1144" s="26" t="s">
        <v>23</v>
      </c>
      <c r="P1144" s="26" t="s">
        <v>24</v>
      </c>
      <c r="Q1144" s="26" t="s">
        <v>25</v>
      </c>
      <c r="R1144" s="26" t="s">
        <v>26</v>
      </c>
      <c r="S1144" s="26" t="s">
        <v>24</v>
      </c>
      <c r="T1144" s="27"/>
      <c r="U1144" s="28" t="s">
        <v>25</v>
      </c>
      <c r="V1144" s="29" t="str">
        <f t="shared" si="86"/>
        <v>✓ OK</v>
      </c>
      <c r="W1144" s="45">
        <v>46248</v>
      </c>
      <c r="X1144" s="30" t="s">
        <v>23</v>
      </c>
      <c r="Y1144" s="30" t="s">
        <v>24</v>
      </c>
      <c r="Z1144" s="30" t="s">
        <v>25</v>
      </c>
      <c r="AA1144" s="30" t="s">
        <v>26</v>
      </c>
      <c r="AB1144" s="30" t="s">
        <v>24</v>
      </c>
      <c r="AC1144" s="27"/>
      <c r="AD1144" s="31" t="s">
        <v>25</v>
      </c>
      <c r="AE1144" s="32" t="str">
        <f t="shared" si="87"/>
        <v>✓ OK</v>
      </c>
      <c r="AF1144" s="33" t="s">
        <v>27</v>
      </c>
      <c r="AG1144" s="33" t="s">
        <v>23</v>
      </c>
      <c r="AH1144" s="33" t="s">
        <v>24</v>
      </c>
      <c r="AI1144" s="33" t="s">
        <v>25</v>
      </c>
      <c r="AJ1144" s="33" t="s">
        <v>26</v>
      </c>
      <c r="AK1144" s="33" t="s">
        <v>24</v>
      </c>
      <c r="AL1144" s="27"/>
      <c r="AM1144" s="34" t="s">
        <v>25</v>
      </c>
      <c r="AN1144" s="35" t="str">
        <f t="shared" si="88"/>
        <v>✓ OK</v>
      </c>
      <c r="AO1144" s="36"/>
      <c r="AP1144" s="36"/>
      <c r="AQ1144" s="36"/>
      <c r="AR1144" s="36"/>
      <c r="AS1144" s="36"/>
      <c r="AT1144" s="36"/>
      <c r="AU1144" s="27"/>
      <c r="AV1144" s="37"/>
      <c r="AW1144" s="38" t="str">
        <f t="shared" si="89"/>
        <v/>
      </c>
    </row>
    <row r="1145" spans="1:49" ht="18" customHeight="1" x14ac:dyDescent="0.3">
      <c r="A1145" s="23">
        <v>1141</v>
      </c>
      <c r="B1145" s="24" t="s">
        <v>4131</v>
      </c>
      <c r="C1145" s="25" t="s">
        <v>4132</v>
      </c>
      <c r="D1145" s="23" t="s">
        <v>4000</v>
      </c>
      <c r="E1145" s="43">
        <v>46125</v>
      </c>
      <c r="F1145" s="26" t="s">
        <v>23</v>
      </c>
      <c r="G1145" s="26" t="s">
        <v>24</v>
      </c>
      <c r="H1145" s="26" t="s">
        <v>25</v>
      </c>
      <c r="I1145" s="26" t="s">
        <v>26</v>
      </c>
      <c r="J1145" s="26" t="s">
        <v>24</v>
      </c>
      <c r="K1145" s="27"/>
      <c r="L1145" s="28" t="s">
        <v>25</v>
      </c>
      <c r="M1145" s="29" t="str">
        <f t="shared" si="85"/>
        <v>✓ OK</v>
      </c>
      <c r="N1145" s="43">
        <v>46193</v>
      </c>
      <c r="O1145" s="26" t="s">
        <v>23</v>
      </c>
      <c r="P1145" s="26" t="s">
        <v>24</v>
      </c>
      <c r="Q1145" s="26" t="s">
        <v>25</v>
      </c>
      <c r="R1145" s="26" t="s">
        <v>26</v>
      </c>
      <c r="S1145" s="26" t="s">
        <v>24</v>
      </c>
      <c r="T1145" s="27"/>
      <c r="U1145" s="28" t="s">
        <v>25</v>
      </c>
      <c r="V1145" s="29" t="str">
        <f t="shared" si="86"/>
        <v>✓ OK</v>
      </c>
      <c r="W1145" s="45">
        <v>46248</v>
      </c>
      <c r="X1145" s="30" t="s">
        <v>23</v>
      </c>
      <c r="Y1145" s="30" t="s">
        <v>24</v>
      </c>
      <c r="Z1145" s="30" t="s">
        <v>25</v>
      </c>
      <c r="AA1145" s="30" t="s">
        <v>26</v>
      </c>
      <c r="AB1145" s="30" t="s">
        <v>24</v>
      </c>
      <c r="AC1145" s="27"/>
      <c r="AD1145" s="31" t="s">
        <v>25</v>
      </c>
      <c r="AE1145" s="32" t="str">
        <f t="shared" si="87"/>
        <v>✓ OK</v>
      </c>
      <c r="AF1145" s="33" t="s">
        <v>27</v>
      </c>
      <c r="AG1145" s="33" t="s">
        <v>23</v>
      </c>
      <c r="AH1145" s="33" t="s">
        <v>24</v>
      </c>
      <c r="AI1145" s="33" t="s">
        <v>25</v>
      </c>
      <c r="AJ1145" s="33" t="s">
        <v>26</v>
      </c>
      <c r="AK1145" s="33" t="s">
        <v>24</v>
      </c>
      <c r="AL1145" s="27"/>
      <c r="AM1145" s="34" t="s">
        <v>25</v>
      </c>
      <c r="AN1145" s="35" t="str">
        <f t="shared" si="88"/>
        <v>✓ OK</v>
      </c>
      <c r="AO1145" s="36"/>
      <c r="AP1145" s="36"/>
      <c r="AQ1145" s="36"/>
      <c r="AR1145" s="36"/>
      <c r="AS1145" s="36"/>
      <c r="AT1145" s="36"/>
      <c r="AU1145" s="27"/>
      <c r="AV1145" s="37"/>
      <c r="AW1145" s="38" t="str">
        <f t="shared" si="89"/>
        <v/>
      </c>
    </row>
    <row r="1146" spans="1:49" ht="18" customHeight="1" x14ac:dyDescent="0.3">
      <c r="A1146" s="39">
        <v>1142</v>
      </c>
      <c r="B1146" s="40" t="s">
        <v>4133</v>
      </c>
      <c r="C1146" s="41" t="s">
        <v>4134</v>
      </c>
      <c r="D1146" s="39" t="s">
        <v>4000</v>
      </c>
      <c r="E1146" s="43">
        <v>46125</v>
      </c>
      <c r="F1146" s="26" t="s">
        <v>23</v>
      </c>
      <c r="G1146" s="26" t="s">
        <v>24</v>
      </c>
      <c r="H1146" s="26" t="s">
        <v>25</v>
      </c>
      <c r="I1146" s="26" t="s">
        <v>26</v>
      </c>
      <c r="J1146" s="26" t="s">
        <v>24</v>
      </c>
      <c r="K1146" s="27"/>
      <c r="L1146" s="28" t="s">
        <v>25</v>
      </c>
      <c r="M1146" s="29" t="str">
        <f t="shared" si="85"/>
        <v>✓ OK</v>
      </c>
      <c r="N1146" s="43">
        <v>46193</v>
      </c>
      <c r="O1146" s="26" t="s">
        <v>23</v>
      </c>
      <c r="P1146" s="26" t="s">
        <v>24</v>
      </c>
      <c r="Q1146" s="26" t="s">
        <v>25</v>
      </c>
      <c r="R1146" s="26" t="s">
        <v>26</v>
      </c>
      <c r="S1146" s="26" t="s">
        <v>24</v>
      </c>
      <c r="T1146" s="27"/>
      <c r="U1146" s="28" t="s">
        <v>25</v>
      </c>
      <c r="V1146" s="29" t="str">
        <f t="shared" si="86"/>
        <v>✓ OK</v>
      </c>
      <c r="W1146" s="45">
        <v>46248</v>
      </c>
      <c r="X1146" s="30" t="s">
        <v>23</v>
      </c>
      <c r="Y1146" s="30" t="s">
        <v>24</v>
      </c>
      <c r="Z1146" s="30" t="s">
        <v>25</v>
      </c>
      <c r="AA1146" s="30" t="s">
        <v>26</v>
      </c>
      <c r="AB1146" s="30" t="s">
        <v>24</v>
      </c>
      <c r="AC1146" s="27"/>
      <c r="AD1146" s="31" t="s">
        <v>25</v>
      </c>
      <c r="AE1146" s="32" t="str">
        <f t="shared" si="87"/>
        <v>✓ OK</v>
      </c>
      <c r="AF1146" s="33" t="s">
        <v>27</v>
      </c>
      <c r="AG1146" s="33" t="s">
        <v>23</v>
      </c>
      <c r="AH1146" s="33" t="s">
        <v>24</v>
      </c>
      <c r="AI1146" s="33" t="s">
        <v>25</v>
      </c>
      <c r="AJ1146" s="33" t="s">
        <v>26</v>
      </c>
      <c r="AK1146" s="33" t="s">
        <v>24</v>
      </c>
      <c r="AL1146" s="27"/>
      <c r="AM1146" s="34" t="s">
        <v>25</v>
      </c>
      <c r="AN1146" s="35" t="str">
        <f t="shared" si="88"/>
        <v>✓ OK</v>
      </c>
      <c r="AO1146" s="36"/>
      <c r="AP1146" s="36"/>
      <c r="AQ1146" s="36"/>
      <c r="AR1146" s="36"/>
      <c r="AS1146" s="36"/>
      <c r="AT1146" s="36"/>
      <c r="AU1146" s="27"/>
      <c r="AV1146" s="37"/>
      <c r="AW1146" s="38" t="str">
        <f t="shared" si="89"/>
        <v/>
      </c>
    </row>
    <row r="1147" spans="1:49" ht="18" customHeight="1" x14ac:dyDescent="0.3">
      <c r="A1147" s="23">
        <v>1143</v>
      </c>
      <c r="B1147" s="24" t="s">
        <v>4135</v>
      </c>
      <c r="C1147" s="25" t="s">
        <v>4136</v>
      </c>
      <c r="D1147" s="23" t="s">
        <v>4000</v>
      </c>
      <c r="E1147" s="43">
        <v>46125</v>
      </c>
      <c r="F1147" s="26" t="s">
        <v>23</v>
      </c>
      <c r="G1147" s="26" t="s">
        <v>24</v>
      </c>
      <c r="H1147" s="26" t="s">
        <v>25</v>
      </c>
      <c r="I1147" s="26" t="s">
        <v>26</v>
      </c>
      <c r="J1147" s="26" t="s">
        <v>24</v>
      </c>
      <c r="K1147" s="27"/>
      <c r="L1147" s="28" t="s">
        <v>25</v>
      </c>
      <c r="M1147" s="29" t="str">
        <f t="shared" si="85"/>
        <v>✓ OK</v>
      </c>
      <c r="N1147" s="43">
        <v>46193</v>
      </c>
      <c r="O1147" s="26" t="s">
        <v>23</v>
      </c>
      <c r="P1147" s="26" t="s">
        <v>24</v>
      </c>
      <c r="Q1147" s="26" t="s">
        <v>25</v>
      </c>
      <c r="R1147" s="26" t="s">
        <v>26</v>
      </c>
      <c r="S1147" s="26" t="s">
        <v>24</v>
      </c>
      <c r="T1147" s="27"/>
      <c r="U1147" s="28" t="s">
        <v>25</v>
      </c>
      <c r="V1147" s="29" t="str">
        <f t="shared" si="86"/>
        <v>✓ OK</v>
      </c>
      <c r="W1147" s="45">
        <v>46248</v>
      </c>
      <c r="X1147" s="30" t="s">
        <v>23</v>
      </c>
      <c r="Y1147" s="30" t="s">
        <v>24</v>
      </c>
      <c r="Z1147" s="30" t="s">
        <v>25</v>
      </c>
      <c r="AA1147" s="30" t="s">
        <v>26</v>
      </c>
      <c r="AB1147" s="30" t="s">
        <v>24</v>
      </c>
      <c r="AC1147" s="27"/>
      <c r="AD1147" s="31" t="s">
        <v>25</v>
      </c>
      <c r="AE1147" s="32" t="str">
        <f t="shared" si="87"/>
        <v>✓ OK</v>
      </c>
      <c r="AF1147" s="33" t="s">
        <v>27</v>
      </c>
      <c r="AG1147" s="33" t="s">
        <v>23</v>
      </c>
      <c r="AH1147" s="33" t="s">
        <v>24</v>
      </c>
      <c r="AI1147" s="33" t="s">
        <v>25</v>
      </c>
      <c r="AJ1147" s="33" t="s">
        <v>26</v>
      </c>
      <c r="AK1147" s="33" t="s">
        <v>24</v>
      </c>
      <c r="AL1147" s="27"/>
      <c r="AM1147" s="34" t="s">
        <v>25</v>
      </c>
      <c r="AN1147" s="35" t="str">
        <f t="shared" si="88"/>
        <v>✓ OK</v>
      </c>
      <c r="AO1147" s="36"/>
      <c r="AP1147" s="36"/>
      <c r="AQ1147" s="36"/>
      <c r="AR1147" s="36"/>
      <c r="AS1147" s="36"/>
      <c r="AT1147" s="36"/>
      <c r="AU1147" s="27"/>
      <c r="AV1147" s="37"/>
      <c r="AW1147" s="38" t="str">
        <f t="shared" si="89"/>
        <v/>
      </c>
    </row>
    <row r="1148" spans="1:49" ht="18" customHeight="1" x14ac:dyDescent="0.3">
      <c r="A1148" s="39">
        <v>1144</v>
      </c>
      <c r="B1148" s="40" t="s">
        <v>4137</v>
      </c>
      <c r="C1148" s="41" t="s">
        <v>4138</v>
      </c>
      <c r="D1148" s="39" t="s">
        <v>4000</v>
      </c>
      <c r="E1148" s="43">
        <v>46125</v>
      </c>
      <c r="F1148" s="26" t="s">
        <v>23</v>
      </c>
      <c r="G1148" s="26" t="s">
        <v>24</v>
      </c>
      <c r="H1148" s="26" t="s">
        <v>25</v>
      </c>
      <c r="I1148" s="26" t="s">
        <v>26</v>
      </c>
      <c r="J1148" s="26" t="s">
        <v>24</v>
      </c>
      <c r="K1148" s="27"/>
      <c r="L1148" s="28" t="s">
        <v>25</v>
      </c>
      <c r="M1148" s="29" t="str">
        <f t="shared" si="85"/>
        <v>✓ OK</v>
      </c>
      <c r="N1148" s="43">
        <v>46193</v>
      </c>
      <c r="O1148" s="26" t="s">
        <v>23</v>
      </c>
      <c r="P1148" s="26" t="s">
        <v>24</v>
      </c>
      <c r="Q1148" s="26" t="s">
        <v>25</v>
      </c>
      <c r="R1148" s="26" t="s">
        <v>26</v>
      </c>
      <c r="S1148" s="26" t="s">
        <v>24</v>
      </c>
      <c r="T1148" s="27"/>
      <c r="U1148" s="28" t="s">
        <v>25</v>
      </c>
      <c r="V1148" s="29" t="str">
        <f t="shared" si="86"/>
        <v>✓ OK</v>
      </c>
      <c r="W1148" s="45">
        <v>46248</v>
      </c>
      <c r="X1148" s="30" t="s">
        <v>23</v>
      </c>
      <c r="Y1148" s="30" t="s">
        <v>24</v>
      </c>
      <c r="Z1148" s="30" t="s">
        <v>25</v>
      </c>
      <c r="AA1148" s="30" t="s">
        <v>26</v>
      </c>
      <c r="AB1148" s="30" t="s">
        <v>24</v>
      </c>
      <c r="AC1148" s="27"/>
      <c r="AD1148" s="31" t="s">
        <v>25</v>
      </c>
      <c r="AE1148" s="32" t="str">
        <f t="shared" si="87"/>
        <v>✓ OK</v>
      </c>
      <c r="AF1148" s="33" t="s">
        <v>27</v>
      </c>
      <c r="AG1148" s="33" t="s">
        <v>23</v>
      </c>
      <c r="AH1148" s="33" t="s">
        <v>24</v>
      </c>
      <c r="AI1148" s="33" t="s">
        <v>25</v>
      </c>
      <c r="AJ1148" s="33" t="s">
        <v>26</v>
      </c>
      <c r="AK1148" s="33" t="s">
        <v>24</v>
      </c>
      <c r="AL1148" s="27"/>
      <c r="AM1148" s="34" t="s">
        <v>25</v>
      </c>
      <c r="AN1148" s="35" t="str">
        <f t="shared" si="88"/>
        <v>✓ OK</v>
      </c>
      <c r="AO1148" s="36"/>
      <c r="AP1148" s="36"/>
      <c r="AQ1148" s="36"/>
      <c r="AR1148" s="36"/>
      <c r="AS1148" s="36"/>
      <c r="AT1148" s="36"/>
      <c r="AU1148" s="27"/>
      <c r="AV1148" s="37"/>
      <c r="AW1148" s="38" t="str">
        <f t="shared" si="89"/>
        <v/>
      </c>
    </row>
    <row r="1149" spans="1:49" ht="18" customHeight="1" x14ac:dyDescent="0.3">
      <c r="A1149" s="23">
        <v>1145</v>
      </c>
      <c r="B1149" s="24" t="s">
        <v>4139</v>
      </c>
      <c r="C1149" s="25" t="s">
        <v>4140</v>
      </c>
      <c r="D1149" s="23" t="s">
        <v>4000</v>
      </c>
      <c r="E1149" s="43">
        <v>46125</v>
      </c>
      <c r="F1149" s="26" t="s">
        <v>23</v>
      </c>
      <c r="G1149" s="26" t="s">
        <v>24</v>
      </c>
      <c r="H1149" s="26" t="s">
        <v>25</v>
      </c>
      <c r="I1149" s="26" t="s">
        <v>26</v>
      </c>
      <c r="J1149" s="26" t="s">
        <v>24</v>
      </c>
      <c r="K1149" s="27"/>
      <c r="L1149" s="28" t="s">
        <v>25</v>
      </c>
      <c r="M1149" s="29" t="str">
        <f t="shared" si="85"/>
        <v>✓ OK</v>
      </c>
      <c r="N1149" s="43">
        <v>46193</v>
      </c>
      <c r="O1149" s="26" t="s">
        <v>23</v>
      </c>
      <c r="P1149" s="26" t="s">
        <v>24</v>
      </c>
      <c r="Q1149" s="26" t="s">
        <v>25</v>
      </c>
      <c r="R1149" s="26" t="s">
        <v>26</v>
      </c>
      <c r="S1149" s="26" t="s">
        <v>24</v>
      </c>
      <c r="T1149" s="27"/>
      <c r="U1149" s="28" t="s">
        <v>25</v>
      </c>
      <c r="V1149" s="29" t="str">
        <f t="shared" si="86"/>
        <v>✓ OK</v>
      </c>
      <c r="W1149" s="45">
        <v>46248</v>
      </c>
      <c r="X1149" s="30" t="s">
        <v>23</v>
      </c>
      <c r="Y1149" s="30" t="s">
        <v>24</v>
      </c>
      <c r="Z1149" s="30" t="s">
        <v>25</v>
      </c>
      <c r="AA1149" s="30" t="s">
        <v>26</v>
      </c>
      <c r="AB1149" s="30" t="s">
        <v>24</v>
      </c>
      <c r="AC1149" s="27"/>
      <c r="AD1149" s="31" t="s">
        <v>25</v>
      </c>
      <c r="AE1149" s="32" t="str">
        <f t="shared" si="87"/>
        <v>✓ OK</v>
      </c>
      <c r="AF1149" s="33" t="s">
        <v>27</v>
      </c>
      <c r="AG1149" s="33" t="s">
        <v>23</v>
      </c>
      <c r="AH1149" s="33" t="s">
        <v>24</v>
      </c>
      <c r="AI1149" s="33" t="s">
        <v>25</v>
      </c>
      <c r="AJ1149" s="33" t="s">
        <v>26</v>
      </c>
      <c r="AK1149" s="33" t="s">
        <v>24</v>
      </c>
      <c r="AL1149" s="27"/>
      <c r="AM1149" s="34" t="s">
        <v>25</v>
      </c>
      <c r="AN1149" s="35" t="str">
        <f t="shared" si="88"/>
        <v>✓ OK</v>
      </c>
      <c r="AO1149" s="36"/>
      <c r="AP1149" s="36"/>
      <c r="AQ1149" s="36"/>
      <c r="AR1149" s="36"/>
      <c r="AS1149" s="36"/>
      <c r="AT1149" s="36"/>
      <c r="AU1149" s="27"/>
      <c r="AV1149" s="37"/>
      <c r="AW1149" s="38" t="str">
        <f t="shared" si="89"/>
        <v/>
      </c>
    </row>
    <row r="1150" spans="1:49" ht="18" customHeight="1" x14ac:dyDescent="0.3">
      <c r="A1150" s="39">
        <v>1146</v>
      </c>
      <c r="B1150" s="40" t="s">
        <v>4141</v>
      </c>
      <c r="C1150" s="41" t="s">
        <v>4142</v>
      </c>
      <c r="D1150" s="39" t="s">
        <v>4000</v>
      </c>
      <c r="E1150" s="43">
        <v>46125</v>
      </c>
      <c r="F1150" s="26" t="s">
        <v>23</v>
      </c>
      <c r="G1150" s="26" t="s">
        <v>24</v>
      </c>
      <c r="H1150" s="26" t="s">
        <v>25</v>
      </c>
      <c r="I1150" s="26" t="s">
        <v>26</v>
      </c>
      <c r="J1150" s="26" t="s">
        <v>24</v>
      </c>
      <c r="K1150" s="27"/>
      <c r="L1150" s="28" t="s">
        <v>25</v>
      </c>
      <c r="M1150" s="29" t="str">
        <f t="shared" si="85"/>
        <v>✓ OK</v>
      </c>
      <c r="N1150" s="43">
        <v>46193</v>
      </c>
      <c r="O1150" s="26" t="s">
        <v>23</v>
      </c>
      <c r="P1150" s="26" t="s">
        <v>24</v>
      </c>
      <c r="Q1150" s="26" t="s">
        <v>25</v>
      </c>
      <c r="R1150" s="26" t="s">
        <v>26</v>
      </c>
      <c r="S1150" s="26" t="s">
        <v>24</v>
      </c>
      <c r="T1150" s="27"/>
      <c r="U1150" s="28" t="s">
        <v>25</v>
      </c>
      <c r="V1150" s="29" t="str">
        <f t="shared" si="86"/>
        <v>✓ OK</v>
      </c>
      <c r="W1150" s="45">
        <v>46248</v>
      </c>
      <c r="X1150" s="30" t="s">
        <v>23</v>
      </c>
      <c r="Y1150" s="30" t="s">
        <v>24</v>
      </c>
      <c r="Z1150" s="30" t="s">
        <v>25</v>
      </c>
      <c r="AA1150" s="30" t="s">
        <v>26</v>
      </c>
      <c r="AB1150" s="30" t="s">
        <v>24</v>
      </c>
      <c r="AC1150" s="27"/>
      <c r="AD1150" s="31" t="s">
        <v>25</v>
      </c>
      <c r="AE1150" s="32" t="str">
        <f t="shared" si="87"/>
        <v>✓ OK</v>
      </c>
      <c r="AF1150" s="33" t="s">
        <v>27</v>
      </c>
      <c r="AG1150" s="33" t="s">
        <v>23</v>
      </c>
      <c r="AH1150" s="33" t="s">
        <v>24</v>
      </c>
      <c r="AI1150" s="33" t="s">
        <v>25</v>
      </c>
      <c r="AJ1150" s="33" t="s">
        <v>26</v>
      </c>
      <c r="AK1150" s="33" t="s">
        <v>24</v>
      </c>
      <c r="AL1150" s="27"/>
      <c r="AM1150" s="34" t="s">
        <v>25</v>
      </c>
      <c r="AN1150" s="35" t="str">
        <f t="shared" si="88"/>
        <v>✓ OK</v>
      </c>
      <c r="AO1150" s="36"/>
      <c r="AP1150" s="36"/>
      <c r="AQ1150" s="36"/>
      <c r="AR1150" s="36"/>
      <c r="AS1150" s="36"/>
      <c r="AT1150" s="36"/>
      <c r="AU1150" s="27"/>
      <c r="AV1150" s="37"/>
      <c r="AW1150" s="38" t="str">
        <f t="shared" si="89"/>
        <v/>
      </c>
    </row>
    <row r="1151" spans="1:49" ht="18" customHeight="1" x14ac:dyDescent="0.3">
      <c r="A1151" s="23">
        <v>1147</v>
      </c>
      <c r="B1151" s="24" t="s">
        <v>4143</v>
      </c>
      <c r="C1151" s="25" t="s">
        <v>4144</v>
      </c>
      <c r="D1151" s="23" t="s">
        <v>4000</v>
      </c>
      <c r="E1151" s="43">
        <v>46125</v>
      </c>
      <c r="F1151" s="26" t="s">
        <v>23</v>
      </c>
      <c r="G1151" s="26" t="s">
        <v>24</v>
      </c>
      <c r="H1151" s="26" t="s">
        <v>25</v>
      </c>
      <c r="I1151" s="26" t="s">
        <v>26</v>
      </c>
      <c r="J1151" s="26" t="s">
        <v>24</v>
      </c>
      <c r="K1151" s="27"/>
      <c r="L1151" s="28" t="s">
        <v>25</v>
      </c>
      <c r="M1151" s="29" t="str">
        <f t="shared" si="85"/>
        <v>✓ OK</v>
      </c>
      <c r="N1151" s="43">
        <v>46193</v>
      </c>
      <c r="O1151" s="26" t="s">
        <v>23</v>
      </c>
      <c r="P1151" s="26" t="s">
        <v>24</v>
      </c>
      <c r="Q1151" s="26" t="s">
        <v>25</v>
      </c>
      <c r="R1151" s="26" t="s">
        <v>26</v>
      </c>
      <c r="S1151" s="26" t="s">
        <v>24</v>
      </c>
      <c r="T1151" s="27"/>
      <c r="U1151" s="28" t="s">
        <v>25</v>
      </c>
      <c r="V1151" s="29" t="str">
        <f t="shared" si="86"/>
        <v>✓ OK</v>
      </c>
      <c r="W1151" s="45">
        <v>46248</v>
      </c>
      <c r="X1151" s="30" t="s">
        <v>23</v>
      </c>
      <c r="Y1151" s="30" t="s">
        <v>24</v>
      </c>
      <c r="Z1151" s="30" t="s">
        <v>25</v>
      </c>
      <c r="AA1151" s="30" t="s">
        <v>26</v>
      </c>
      <c r="AB1151" s="30" t="s">
        <v>24</v>
      </c>
      <c r="AC1151" s="27"/>
      <c r="AD1151" s="31" t="s">
        <v>25</v>
      </c>
      <c r="AE1151" s="32" t="str">
        <f t="shared" si="87"/>
        <v>✓ OK</v>
      </c>
      <c r="AF1151" s="33" t="s">
        <v>27</v>
      </c>
      <c r="AG1151" s="33" t="s">
        <v>23</v>
      </c>
      <c r="AH1151" s="33" t="s">
        <v>24</v>
      </c>
      <c r="AI1151" s="33" t="s">
        <v>25</v>
      </c>
      <c r="AJ1151" s="33" t="s">
        <v>26</v>
      </c>
      <c r="AK1151" s="33" t="s">
        <v>24</v>
      </c>
      <c r="AL1151" s="27"/>
      <c r="AM1151" s="34" t="s">
        <v>25</v>
      </c>
      <c r="AN1151" s="35" t="str">
        <f t="shared" si="88"/>
        <v>✓ OK</v>
      </c>
      <c r="AO1151" s="36"/>
      <c r="AP1151" s="36"/>
      <c r="AQ1151" s="36"/>
      <c r="AR1151" s="36"/>
      <c r="AS1151" s="36"/>
      <c r="AT1151" s="36"/>
      <c r="AU1151" s="27"/>
      <c r="AV1151" s="37"/>
      <c r="AW1151" s="38" t="str">
        <f t="shared" si="89"/>
        <v/>
      </c>
    </row>
    <row r="1152" spans="1:49" ht="18" customHeight="1" x14ac:dyDescent="0.3">
      <c r="A1152" s="39">
        <v>1148</v>
      </c>
      <c r="B1152" s="40" t="s">
        <v>4145</v>
      </c>
      <c r="C1152" s="41" t="s">
        <v>4146</v>
      </c>
      <c r="D1152" s="39" t="s">
        <v>4000</v>
      </c>
      <c r="E1152" s="43">
        <v>46125</v>
      </c>
      <c r="F1152" s="26" t="s">
        <v>23</v>
      </c>
      <c r="G1152" s="26" t="s">
        <v>24</v>
      </c>
      <c r="H1152" s="26" t="s">
        <v>25</v>
      </c>
      <c r="I1152" s="26" t="s">
        <v>26</v>
      </c>
      <c r="J1152" s="26" t="s">
        <v>24</v>
      </c>
      <c r="K1152" s="27"/>
      <c r="L1152" s="28" t="s">
        <v>25</v>
      </c>
      <c r="M1152" s="29" t="str">
        <f t="shared" si="85"/>
        <v>✓ OK</v>
      </c>
      <c r="N1152" s="43">
        <v>46193</v>
      </c>
      <c r="O1152" s="26" t="s">
        <v>23</v>
      </c>
      <c r="P1152" s="26" t="s">
        <v>24</v>
      </c>
      <c r="Q1152" s="26" t="s">
        <v>25</v>
      </c>
      <c r="R1152" s="26" t="s">
        <v>26</v>
      </c>
      <c r="S1152" s="26" t="s">
        <v>24</v>
      </c>
      <c r="T1152" s="27"/>
      <c r="U1152" s="28" t="s">
        <v>25</v>
      </c>
      <c r="V1152" s="29" t="str">
        <f t="shared" si="86"/>
        <v>✓ OK</v>
      </c>
      <c r="W1152" s="45">
        <v>46248</v>
      </c>
      <c r="X1152" s="30" t="s">
        <v>23</v>
      </c>
      <c r="Y1152" s="30" t="s">
        <v>24</v>
      </c>
      <c r="Z1152" s="30" t="s">
        <v>25</v>
      </c>
      <c r="AA1152" s="30" t="s">
        <v>26</v>
      </c>
      <c r="AB1152" s="30" t="s">
        <v>24</v>
      </c>
      <c r="AC1152" s="27"/>
      <c r="AD1152" s="31" t="s">
        <v>25</v>
      </c>
      <c r="AE1152" s="32" t="str">
        <f t="shared" si="87"/>
        <v>✓ OK</v>
      </c>
      <c r="AF1152" s="33" t="s">
        <v>27</v>
      </c>
      <c r="AG1152" s="33" t="s">
        <v>23</v>
      </c>
      <c r="AH1152" s="33" t="s">
        <v>24</v>
      </c>
      <c r="AI1152" s="33" t="s">
        <v>25</v>
      </c>
      <c r="AJ1152" s="33" t="s">
        <v>26</v>
      </c>
      <c r="AK1152" s="33" t="s">
        <v>24</v>
      </c>
      <c r="AL1152" s="27"/>
      <c r="AM1152" s="34" t="s">
        <v>25</v>
      </c>
      <c r="AN1152" s="35" t="str">
        <f t="shared" si="88"/>
        <v>✓ OK</v>
      </c>
      <c r="AO1152" s="36"/>
      <c r="AP1152" s="36"/>
      <c r="AQ1152" s="36"/>
      <c r="AR1152" s="36"/>
      <c r="AS1152" s="36"/>
      <c r="AT1152" s="36"/>
      <c r="AU1152" s="27"/>
      <c r="AV1152" s="37"/>
      <c r="AW1152" s="38" t="str">
        <f t="shared" si="89"/>
        <v/>
      </c>
    </row>
    <row r="1153" spans="1:49" ht="18" customHeight="1" x14ac:dyDescent="0.3">
      <c r="A1153" s="23">
        <v>1149</v>
      </c>
      <c r="B1153" s="24" t="s">
        <v>4147</v>
      </c>
      <c r="C1153" s="25" t="s">
        <v>4148</v>
      </c>
      <c r="D1153" s="23" t="s">
        <v>4000</v>
      </c>
      <c r="E1153" s="43">
        <v>46125</v>
      </c>
      <c r="F1153" s="26" t="s">
        <v>23</v>
      </c>
      <c r="G1153" s="26" t="s">
        <v>24</v>
      </c>
      <c r="H1153" s="26" t="s">
        <v>25</v>
      </c>
      <c r="I1153" s="26" t="s">
        <v>26</v>
      </c>
      <c r="J1153" s="26" t="s">
        <v>24</v>
      </c>
      <c r="K1153" s="27"/>
      <c r="L1153" s="28" t="s">
        <v>25</v>
      </c>
      <c r="M1153" s="29" t="str">
        <f t="shared" si="85"/>
        <v>✓ OK</v>
      </c>
      <c r="N1153" s="43">
        <v>46193</v>
      </c>
      <c r="O1153" s="26" t="s">
        <v>23</v>
      </c>
      <c r="P1153" s="26" t="s">
        <v>24</v>
      </c>
      <c r="Q1153" s="26" t="s">
        <v>25</v>
      </c>
      <c r="R1153" s="26" t="s">
        <v>26</v>
      </c>
      <c r="S1153" s="26" t="s">
        <v>24</v>
      </c>
      <c r="T1153" s="27"/>
      <c r="U1153" s="28" t="s">
        <v>25</v>
      </c>
      <c r="V1153" s="29" t="str">
        <f t="shared" si="86"/>
        <v>✓ OK</v>
      </c>
      <c r="W1153" s="45">
        <v>46248</v>
      </c>
      <c r="X1153" s="30" t="s">
        <v>23</v>
      </c>
      <c r="Y1153" s="30" t="s">
        <v>24</v>
      </c>
      <c r="Z1153" s="30" t="s">
        <v>25</v>
      </c>
      <c r="AA1153" s="30" t="s">
        <v>26</v>
      </c>
      <c r="AB1153" s="30" t="s">
        <v>24</v>
      </c>
      <c r="AC1153" s="27"/>
      <c r="AD1153" s="31" t="s">
        <v>25</v>
      </c>
      <c r="AE1153" s="32" t="str">
        <f t="shared" si="87"/>
        <v>✓ OK</v>
      </c>
      <c r="AF1153" s="33" t="s">
        <v>27</v>
      </c>
      <c r="AG1153" s="33" t="s">
        <v>23</v>
      </c>
      <c r="AH1153" s="33" t="s">
        <v>24</v>
      </c>
      <c r="AI1153" s="33" t="s">
        <v>25</v>
      </c>
      <c r="AJ1153" s="33" t="s">
        <v>26</v>
      </c>
      <c r="AK1153" s="33" t="s">
        <v>24</v>
      </c>
      <c r="AL1153" s="27"/>
      <c r="AM1153" s="34" t="s">
        <v>25</v>
      </c>
      <c r="AN1153" s="35" t="str">
        <f t="shared" si="88"/>
        <v>✓ OK</v>
      </c>
      <c r="AO1153" s="36"/>
      <c r="AP1153" s="36"/>
      <c r="AQ1153" s="36"/>
      <c r="AR1153" s="36"/>
      <c r="AS1153" s="36"/>
      <c r="AT1153" s="36"/>
      <c r="AU1153" s="27"/>
      <c r="AV1153" s="37"/>
      <c r="AW1153" s="38" t="str">
        <f t="shared" si="89"/>
        <v/>
      </c>
    </row>
    <row r="1154" spans="1:49" ht="18" customHeight="1" x14ac:dyDescent="0.3">
      <c r="A1154" s="39">
        <v>1150</v>
      </c>
      <c r="B1154" s="40" t="s">
        <v>4149</v>
      </c>
      <c r="C1154" s="41" t="s">
        <v>4150</v>
      </c>
      <c r="D1154" s="39" t="s">
        <v>4000</v>
      </c>
      <c r="E1154" s="43">
        <v>46125</v>
      </c>
      <c r="F1154" s="26" t="s">
        <v>23</v>
      </c>
      <c r="G1154" s="26" t="s">
        <v>24</v>
      </c>
      <c r="H1154" s="26" t="s">
        <v>25</v>
      </c>
      <c r="I1154" s="26" t="s">
        <v>26</v>
      </c>
      <c r="J1154" s="26" t="s">
        <v>24</v>
      </c>
      <c r="K1154" s="27"/>
      <c r="L1154" s="28" t="s">
        <v>25</v>
      </c>
      <c r="M1154" s="29" t="str">
        <f t="shared" si="85"/>
        <v>✓ OK</v>
      </c>
      <c r="N1154" s="43">
        <v>46193</v>
      </c>
      <c r="O1154" s="26" t="s">
        <v>23</v>
      </c>
      <c r="P1154" s="26" t="s">
        <v>24</v>
      </c>
      <c r="Q1154" s="26" t="s">
        <v>25</v>
      </c>
      <c r="R1154" s="26" t="s">
        <v>26</v>
      </c>
      <c r="S1154" s="26" t="s">
        <v>24</v>
      </c>
      <c r="T1154" s="27"/>
      <c r="U1154" s="28" t="s">
        <v>25</v>
      </c>
      <c r="V1154" s="29" t="str">
        <f t="shared" si="86"/>
        <v>✓ OK</v>
      </c>
      <c r="W1154" s="45">
        <v>46248</v>
      </c>
      <c r="X1154" s="30" t="s">
        <v>23</v>
      </c>
      <c r="Y1154" s="30" t="s">
        <v>24</v>
      </c>
      <c r="Z1154" s="30" t="s">
        <v>25</v>
      </c>
      <c r="AA1154" s="30" t="s">
        <v>26</v>
      </c>
      <c r="AB1154" s="30" t="s">
        <v>24</v>
      </c>
      <c r="AC1154" s="27"/>
      <c r="AD1154" s="31" t="s">
        <v>25</v>
      </c>
      <c r="AE1154" s="32" t="str">
        <f t="shared" si="87"/>
        <v>✓ OK</v>
      </c>
      <c r="AF1154" s="33" t="s">
        <v>27</v>
      </c>
      <c r="AG1154" s="33" t="s">
        <v>23</v>
      </c>
      <c r="AH1154" s="33" t="s">
        <v>24</v>
      </c>
      <c r="AI1154" s="33" t="s">
        <v>25</v>
      </c>
      <c r="AJ1154" s="33" t="s">
        <v>26</v>
      </c>
      <c r="AK1154" s="33" t="s">
        <v>24</v>
      </c>
      <c r="AL1154" s="27"/>
      <c r="AM1154" s="34" t="s">
        <v>25</v>
      </c>
      <c r="AN1154" s="35" t="str">
        <f t="shared" si="88"/>
        <v>✓ OK</v>
      </c>
      <c r="AO1154" s="36"/>
      <c r="AP1154" s="36"/>
      <c r="AQ1154" s="36"/>
      <c r="AR1154" s="36"/>
      <c r="AS1154" s="36"/>
      <c r="AT1154" s="36"/>
      <c r="AU1154" s="27"/>
      <c r="AV1154" s="37"/>
      <c r="AW1154" s="38" t="str">
        <f t="shared" si="89"/>
        <v/>
      </c>
    </row>
    <row r="1155" spans="1:49" ht="18" customHeight="1" x14ac:dyDescent="0.3">
      <c r="A1155" s="23">
        <v>1151</v>
      </c>
      <c r="B1155" s="24" t="s">
        <v>4151</v>
      </c>
      <c r="C1155" s="25" t="s">
        <v>4152</v>
      </c>
      <c r="D1155" s="23" t="s">
        <v>4000</v>
      </c>
      <c r="E1155" s="43">
        <v>46125</v>
      </c>
      <c r="F1155" s="26" t="s">
        <v>23</v>
      </c>
      <c r="G1155" s="26" t="s">
        <v>24</v>
      </c>
      <c r="H1155" s="26" t="s">
        <v>25</v>
      </c>
      <c r="I1155" s="26" t="s">
        <v>26</v>
      </c>
      <c r="J1155" s="26" t="s">
        <v>24</v>
      </c>
      <c r="K1155" s="27"/>
      <c r="L1155" s="28" t="s">
        <v>25</v>
      </c>
      <c r="M1155" s="29" t="str">
        <f t="shared" si="85"/>
        <v>✓ OK</v>
      </c>
      <c r="N1155" s="43">
        <v>46193</v>
      </c>
      <c r="O1155" s="26" t="s">
        <v>23</v>
      </c>
      <c r="P1155" s="26" t="s">
        <v>24</v>
      </c>
      <c r="Q1155" s="26" t="s">
        <v>25</v>
      </c>
      <c r="R1155" s="26" t="s">
        <v>26</v>
      </c>
      <c r="S1155" s="26" t="s">
        <v>24</v>
      </c>
      <c r="T1155" s="27"/>
      <c r="U1155" s="28" t="s">
        <v>25</v>
      </c>
      <c r="V1155" s="29" t="str">
        <f t="shared" si="86"/>
        <v>✓ OK</v>
      </c>
      <c r="W1155" s="45">
        <v>46248</v>
      </c>
      <c r="X1155" s="30" t="s">
        <v>23</v>
      </c>
      <c r="Y1155" s="30" t="s">
        <v>24</v>
      </c>
      <c r="Z1155" s="30" t="s">
        <v>25</v>
      </c>
      <c r="AA1155" s="30" t="s">
        <v>26</v>
      </c>
      <c r="AB1155" s="30" t="s">
        <v>24</v>
      </c>
      <c r="AC1155" s="27"/>
      <c r="AD1155" s="31" t="s">
        <v>25</v>
      </c>
      <c r="AE1155" s="32" t="str">
        <f t="shared" si="87"/>
        <v>✓ OK</v>
      </c>
      <c r="AF1155" s="33" t="s">
        <v>27</v>
      </c>
      <c r="AG1155" s="33" t="s">
        <v>23</v>
      </c>
      <c r="AH1155" s="33" t="s">
        <v>24</v>
      </c>
      <c r="AI1155" s="33" t="s">
        <v>25</v>
      </c>
      <c r="AJ1155" s="33" t="s">
        <v>26</v>
      </c>
      <c r="AK1155" s="33" t="s">
        <v>24</v>
      </c>
      <c r="AL1155" s="27"/>
      <c r="AM1155" s="34" t="s">
        <v>25</v>
      </c>
      <c r="AN1155" s="35" t="str">
        <f t="shared" si="88"/>
        <v>✓ OK</v>
      </c>
      <c r="AO1155" s="36"/>
      <c r="AP1155" s="36"/>
      <c r="AQ1155" s="36"/>
      <c r="AR1155" s="36"/>
      <c r="AS1155" s="36"/>
      <c r="AT1155" s="36"/>
      <c r="AU1155" s="27"/>
      <c r="AV1155" s="37"/>
      <c r="AW1155" s="38" t="str">
        <f t="shared" si="89"/>
        <v/>
      </c>
    </row>
    <row r="1156" spans="1:49" ht="18" customHeight="1" x14ac:dyDescent="0.3">
      <c r="A1156" s="39">
        <v>1152</v>
      </c>
      <c r="B1156" s="40" t="s">
        <v>4153</v>
      </c>
      <c r="C1156" s="41" t="s">
        <v>4154</v>
      </c>
      <c r="D1156" s="39" t="s">
        <v>4000</v>
      </c>
      <c r="E1156" s="43">
        <v>46125</v>
      </c>
      <c r="F1156" s="26" t="s">
        <v>23</v>
      </c>
      <c r="G1156" s="26" t="s">
        <v>24</v>
      </c>
      <c r="H1156" s="26" t="s">
        <v>25</v>
      </c>
      <c r="I1156" s="26" t="s">
        <v>26</v>
      </c>
      <c r="J1156" s="26" t="s">
        <v>24</v>
      </c>
      <c r="K1156" s="27"/>
      <c r="L1156" s="28" t="s">
        <v>25</v>
      </c>
      <c r="M1156" s="29" t="str">
        <f t="shared" si="85"/>
        <v>✓ OK</v>
      </c>
      <c r="N1156" s="43">
        <v>46193</v>
      </c>
      <c r="O1156" s="26" t="s">
        <v>23</v>
      </c>
      <c r="P1156" s="26" t="s">
        <v>24</v>
      </c>
      <c r="Q1156" s="26" t="s">
        <v>25</v>
      </c>
      <c r="R1156" s="26" t="s">
        <v>26</v>
      </c>
      <c r="S1156" s="26" t="s">
        <v>24</v>
      </c>
      <c r="T1156" s="27"/>
      <c r="U1156" s="28" t="s">
        <v>25</v>
      </c>
      <c r="V1156" s="29" t="str">
        <f t="shared" si="86"/>
        <v>✓ OK</v>
      </c>
      <c r="W1156" s="45">
        <v>46248</v>
      </c>
      <c r="X1156" s="30" t="s">
        <v>23</v>
      </c>
      <c r="Y1156" s="30" t="s">
        <v>24</v>
      </c>
      <c r="Z1156" s="30" t="s">
        <v>25</v>
      </c>
      <c r="AA1156" s="30" t="s">
        <v>26</v>
      </c>
      <c r="AB1156" s="30" t="s">
        <v>24</v>
      </c>
      <c r="AC1156" s="27"/>
      <c r="AD1156" s="31" t="s">
        <v>25</v>
      </c>
      <c r="AE1156" s="32" t="str">
        <f t="shared" si="87"/>
        <v>✓ OK</v>
      </c>
      <c r="AF1156" s="33" t="s">
        <v>27</v>
      </c>
      <c r="AG1156" s="33" t="s">
        <v>23</v>
      </c>
      <c r="AH1156" s="33" t="s">
        <v>24</v>
      </c>
      <c r="AI1156" s="33" t="s">
        <v>25</v>
      </c>
      <c r="AJ1156" s="33" t="s">
        <v>26</v>
      </c>
      <c r="AK1156" s="33" t="s">
        <v>24</v>
      </c>
      <c r="AL1156" s="27"/>
      <c r="AM1156" s="34" t="s">
        <v>25</v>
      </c>
      <c r="AN1156" s="35" t="str">
        <f t="shared" si="88"/>
        <v>✓ OK</v>
      </c>
      <c r="AO1156" s="36"/>
      <c r="AP1156" s="36"/>
      <c r="AQ1156" s="36"/>
      <c r="AR1156" s="36"/>
      <c r="AS1156" s="36"/>
      <c r="AT1156" s="36"/>
      <c r="AU1156" s="27"/>
      <c r="AV1156" s="37"/>
      <c r="AW1156" s="38" t="str">
        <f t="shared" si="89"/>
        <v/>
      </c>
    </row>
    <row r="1157" spans="1:49" ht="18" customHeight="1" x14ac:dyDescent="0.3">
      <c r="A1157" s="23">
        <v>1153</v>
      </c>
      <c r="B1157" s="24" t="s">
        <v>4155</v>
      </c>
      <c r="C1157" s="25" t="s">
        <v>4156</v>
      </c>
      <c r="D1157" s="23" t="s">
        <v>4000</v>
      </c>
      <c r="E1157" s="43">
        <v>46125</v>
      </c>
      <c r="F1157" s="26" t="s">
        <v>23</v>
      </c>
      <c r="G1157" s="26" t="s">
        <v>24</v>
      </c>
      <c r="H1157" s="26" t="s">
        <v>25</v>
      </c>
      <c r="I1157" s="26" t="s">
        <v>26</v>
      </c>
      <c r="J1157" s="26" t="s">
        <v>24</v>
      </c>
      <c r="K1157" s="27"/>
      <c r="L1157" s="28" t="s">
        <v>25</v>
      </c>
      <c r="M1157" s="29" t="str">
        <f t="shared" ref="M1157:M1220" si="90">IF(E1157="","",IF(H1157="Yes","❌ Disc",IF(G1157="No","⚠ Missing",IF(J1157="Yes","✓ OK","⚠ Check"))))</f>
        <v>✓ OK</v>
      </c>
      <c r="N1157" s="43">
        <v>46193</v>
      </c>
      <c r="O1157" s="26" t="s">
        <v>23</v>
      </c>
      <c r="P1157" s="26" t="s">
        <v>24</v>
      </c>
      <c r="Q1157" s="26" t="s">
        <v>25</v>
      </c>
      <c r="R1157" s="26" t="s">
        <v>26</v>
      </c>
      <c r="S1157" s="26" t="s">
        <v>24</v>
      </c>
      <c r="T1157" s="27"/>
      <c r="U1157" s="28" t="s">
        <v>25</v>
      </c>
      <c r="V1157" s="29" t="str">
        <f t="shared" ref="V1157:V1220" si="91">IF(N1157="","",IF(Q1157="Yes","❌ Disc",IF(P1157="No","⚠ Missing",IF(S1157="Yes","✓ OK","⚠ Check"))))</f>
        <v>✓ OK</v>
      </c>
      <c r="W1157" s="45">
        <v>46248</v>
      </c>
      <c r="X1157" s="30" t="s">
        <v>23</v>
      </c>
      <c r="Y1157" s="30" t="s">
        <v>24</v>
      </c>
      <c r="Z1157" s="30" t="s">
        <v>25</v>
      </c>
      <c r="AA1157" s="30" t="s">
        <v>26</v>
      </c>
      <c r="AB1157" s="30" t="s">
        <v>24</v>
      </c>
      <c r="AC1157" s="27"/>
      <c r="AD1157" s="31" t="s">
        <v>25</v>
      </c>
      <c r="AE1157" s="32" t="str">
        <f t="shared" ref="AE1157:AE1220" si="92">IF(W1157="","",IF(Z1157="Yes","❌ Disc",IF(Y1157="No","⚠ Missing",IF(AB1157="Yes","✓ OK","⚠ Check"))))</f>
        <v>✓ OK</v>
      </c>
      <c r="AF1157" s="33" t="s">
        <v>27</v>
      </c>
      <c r="AG1157" s="33" t="s">
        <v>23</v>
      </c>
      <c r="AH1157" s="33" t="s">
        <v>24</v>
      </c>
      <c r="AI1157" s="33" t="s">
        <v>25</v>
      </c>
      <c r="AJ1157" s="33" t="s">
        <v>26</v>
      </c>
      <c r="AK1157" s="33" t="s">
        <v>24</v>
      </c>
      <c r="AL1157" s="27"/>
      <c r="AM1157" s="34" t="s">
        <v>25</v>
      </c>
      <c r="AN1157" s="35" t="str">
        <f t="shared" ref="AN1157:AN1220" si="93">IF(AF1157="","",IF(AI1157="Yes","❌ Disc",IF(AH1157="No","⚠ Missing",IF(AK1157="Yes","✓ OK","⚠ Check"))))</f>
        <v>✓ OK</v>
      </c>
      <c r="AO1157" s="36"/>
      <c r="AP1157" s="36"/>
      <c r="AQ1157" s="36"/>
      <c r="AR1157" s="36"/>
      <c r="AS1157" s="36"/>
      <c r="AT1157" s="36"/>
      <c r="AU1157" s="27"/>
      <c r="AV1157" s="37"/>
      <c r="AW1157" s="38" t="str">
        <f t="shared" ref="AW1157:AW1220" si="94">IF(AO1157="","",IF(AR1157="Yes","❌ Disc",IF(AQ1157="No","⚠ Missing",IF(AT1157="Yes","✓ OK","⚠ Check"))))</f>
        <v/>
      </c>
    </row>
    <row r="1158" spans="1:49" ht="18" customHeight="1" x14ac:dyDescent="0.3">
      <c r="A1158" s="39">
        <v>1154</v>
      </c>
      <c r="B1158" s="40" t="s">
        <v>4157</v>
      </c>
      <c r="C1158" s="41" t="s">
        <v>4158</v>
      </c>
      <c r="D1158" s="39" t="s">
        <v>4000</v>
      </c>
      <c r="E1158" s="43">
        <v>46125</v>
      </c>
      <c r="F1158" s="26" t="s">
        <v>23</v>
      </c>
      <c r="G1158" s="26" t="s">
        <v>24</v>
      </c>
      <c r="H1158" s="26" t="s">
        <v>25</v>
      </c>
      <c r="I1158" s="26" t="s">
        <v>26</v>
      </c>
      <c r="J1158" s="26" t="s">
        <v>24</v>
      </c>
      <c r="K1158" s="27"/>
      <c r="L1158" s="28" t="s">
        <v>25</v>
      </c>
      <c r="M1158" s="29" t="str">
        <f t="shared" si="90"/>
        <v>✓ OK</v>
      </c>
      <c r="N1158" s="43">
        <v>46193</v>
      </c>
      <c r="O1158" s="26" t="s">
        <v>23</v>
      </c>
      <c r="P1158" s="26" t="s">
        <v>24</v>
      </c>
      <c r="Q1158" s="26" t="s">
        <v>25</v>
      </c>
      <c r="R1158" s="26" t="s">
        <v>26</v>
      </c>
      <c r="S1158" s="26" t="s">
        <v>24</v>
      </c>
      <c r="T1158" s="27"/>
      <c r="U1158" s="28" t="s">
        <v>25</v>
      </c>
      <c r="V1158" s="29" t="str">
        <f t="shared" si="91"/>
        <v>✓ OK</v>
      </c>
      <c r="W1158" s="45">
        <v>46248</v>
      </c>
      <c r="X1158" s="30" t="s">
        <v>23</v>
      </c>
      <c r="Y1158" s="30" t="s">
        <v>24</v>
      </c>
      <c r="Z1158" s="30" t="s">
        <v>25</v>
      </c>
      <c r="AA1158" s="30" t="s">
        <v>26</v>
      </c>
      <c r="AB1158" s="30" t="s">
        <v>24</v>
      </c>
      <c r="AC1158" s="27"/>
      <c r="AD1158" s="31" t="s">
        <v>25</v>
      </c>
      <c r="AE1158" s="32" t="str">
        <f t="shared" si="92"/>
        <v>✓ OK</v>
      </c>
      <c r="AF1158" s="33" t="s">
        <v>27</v>
      </c>
      <c r="AG1158" s="33" t="s">
        <v>23</v>
      </c>
      <c r="AH1158" s="33" t="s">
        <v>24</v>
      </c>
      <c r="AI1158" s="33" t="s">
        <v>25</v>
      </c>
      <c r="AJ1158" s="33" t="s">
        <v>26</v>
      </c>
      <c r="AK1158" s="33" t="s">
        <v>24</v>
      </c>
      <c r="AL1158" s="27"/>
      <c r="AM1158" s="34" t="s">
        <v>25</v>
      </c>
      <c r="AN1158" s="35" t="str">
        <f t="shared" si="93"/>
        <v>✓ OK</v>
      </c>
      <c r="AO1158" s="36"/>
      <c r="AP1158" s="36"/>
      <c r="AQ1158" s="36"/>
      <c r="AR1158" s="36"/>
      <c r="AS1158" s="36"/>
      <c r="AT1158" s="36"/>
      <c r="AU1158" s="27"/>
      <c r="AV1158" s="37"/>
      <c r="AW1158" s="38" t="str">
        <f t="shared" si="94"/>
        <v/>
      </c>
    </row>
    <row r="1159" spans="1:49" ht="18" customHeight="1" x14ac:dyDescent="0.3">
      <c r="A1159" s="23">
        <v>1155</v>
      </c>
      <c r="B1159" s="24" t="s">
        <v>4159</v>
      </c>
      <c r="C1159" s="25" t="s">
        <v>4160</v>
      </c>
      <c r="D1159" s="23" t="s">
        <v>4000</v>
      </c>
      <c r="E1159" s="43">
        <v>46125</v>
      </c>
      <c r="F1159" s="26" t="s">
        <v>23</v>
      </c>
      <c r="G1159" s="26" t="s">
        <v>24</v>
      </c>
      <c r="H1159" s="26" t="s">
        <v>25</v>
      </c>
      <c r="I1159" s="26" t="s">
        <v>26</v>
      </c>
      <c r="J1159" s="26" t="s">
        <v>24</v>
      </c>
      <c r="K1159" s="27"/>
      <c r="L1159" s="28" t="s">
        <v>25</v>
      </c>
      <c r="M1159" s="29" t="str">
        <f t="shared" si="90"/>
        <v>✓ OK</v>
      </c>
      <c r="N1159" s="43">
        <v>46193</v>
      </c>
      <c r="O1159" s="26" t="s">
        <v>23</v>
      </c>
      <c r="P1159" s="26" t="s">
        <v>24</v>
      </c>
      <c r="Q1159" s="26" t="s">
        <v>25</v>
      </c>
      <c r="R1159" s="26" t="s">
        <v>26</v>
      </c>
      <c r="S1159" s="26" t="s">
        <v>24</v>
      </c>
      <c r="T1159" s="27"/>
      <c r="U1159" s="28" t="s">
        <v>25</v>
      </c>
      <c r="V1159" s="29" t="str">
        <f t="shared" si="91"/>
        <v>✓ OK</v>
      </c>
      <c r="W1159" s="45">
        <v>46248</v>
      </c>
      <c r="X1159" s="30" t="s">
        <v>23</v>
      </c>
      <c r="Y1159" s="30" t="s">
        <v>24</v>
      </c>
      <c r="Z1159" s="30" t="s">
        <v>25</v>
      </c>
      <c r="AA1159" s="30" t="s">
        <v>26</v>
      </c>
      <c r="AB1159" s="30" t="s">
        <v>24</v>
      </c>
      <c r="AC1159" s="27"/>
      <c r="AD1159" s="31" t="s">
        <v>25</v>
      </c>
      <c r="AE1159" s="32" t="str">
        <f t="shared" si="92"/>
        <v>✓ OK</v>
      </c>
      <c r="AF1159" s="33" t="s">
        <v>27</v>
      </c>
      <c r="AG1159" s="33" t="s">
        <v>23</v>
      </c>
      <c r="AH1159" s="33" t="s">
        <v>24</v>
      </c>
      <c r="AI1159" s="33" t="s">
        <v>25</v>
      </c>
      <c r="AJ1159" s="33" t="s">
        <v>26</v>
      </c>
      <c r="AK1159" s="33" t="s">
        <v>24</v>
      </c>
      <c r="AL1159" s="27"/>
      <c r="AM1159" s="34" t="s">
        <v>25</v>
      </c>
      <c r="AN1159" s="35" t="str">
        <f t="shared" si="93"/>
        <v>✓ OK</v>
      </c>
      <c r="AO1159" s="36"/>
      <c r="AP1159" s="36"/>
      <c r="AQ1159" s="36"/>
      <c r="AR1159" s="36"/>
      <c r="AS1159" s="36"/>
      <c r="AT1159" s="36"/>
      <c r="AU1159" s="27"/>
      <c r="AV1159" s="37"/>
      <c r="AW1159" s="38" t="str">
        <f t="shared" si="94"/>
        <v/>
      </c>
    </row>
    <row r="1160" spans="1:49" ht="18" customHeight="1" x14ac:dyDescent="0.3">
      <c r="A1160" s="39">
        <v>1156</v>
      </c>
      <c r="B1160" s="40" t="s">
        <v>4161</v>
      </c>
      <c r="C1160" s="41" t="s">
        <v>4162</v>
      </c>
      <c r="D1160" s="39" t="s">
        <v>4000</v>
      </c>
      <c r="E1160" s="43">
        <v>46125</v>
      </c>
      <c r="F1160" s="26" t="s">
        <v>23</v>
      </c>
      <c r="G1160" s="26" t="s">
        <v>24</v>
      </c>
      <c r="H1160" s="26" t="s">
        <v>25</v>
      </c>
      <c r="I1160" s="26" t="s">
        <v>26</v>
      </c>
      <c r="J1160" s="26" t="s">
        <v>24</v>
      </c>
      <c r="K1160" s="27"/>
      <c r="L1160" s="28" t="s">
        <v>25</v>
      </c>
      <c r="M1160" s="29" t="str">
        <f t="shared" si="90"/>
        <v>✓ OK</v>
      </c>
      <c r="N1160" s="43">
        <v>46193</v>
      </c>
      <c r="O1160" s="26" t="s">
        <v>23</v>
      </c>
      <c r="P1160" s="26" t="s">
        <v>24</v>
      </c>
      <c r="Q1160" s="26" t="s">
        <v>25</v>
      </c>
      <c r="R1160" s="26" t="s">
        <v>26</v>
      </c>
      <c r="S1160" s="26" t="s">
        <v>24</v>
      </c>
      <c r="T1160" s="27"/>
      <c r="U1160" s="28" t="s">
        <v>25</v>
      </c>
      <c r="V1160" s="29" t="str">
        <f t="shared" si="91"/>
        <v>✓ OK</v>
      </c>
      <c r="W1160" s="45">
        <v>46248</v>
      </c>
      <c r="X1160" s="30" t="s">
        <v>23</v>
      </c>
      <c r="Y1160" s="30" t="s">
        <v>24</v>
      </c>
      <c r="Z1160" s="30" t="s">
        <v>25</v>
      </c>
      <c r="AA1160" s="30" t="s">
        <v>26</v>
      </c>
      <c r="AB1160" s="30" t="s">
        <v>24</v>
      </c>
      <c r="AC1160" s="27"/>
      <c r="AD1160" s="31" t="s">
        <v>25</v>
      </c>
      <c r="AE1160" s="32" t="str">
        <f t="shared" si="92"/>
        <v>✓ OK</v>
      </c>
      <c r="AF1160" s="33" t="s">
        <v>27</v>
      </c>
      <c r="AG1160" s="33" t="s">
        <v>23</v>
      </c>
      <c r="AH1160" s="33" t="s">
        <v>24</v>
      </c>
      <c r="AI1160" s="33" t="s">
        <v>25</v>
      </c>
      <c r="AJ1160" s="33" t="s">
        <v>26</v>
      </c>
      <c r="AK1160" s="33" t="s">
        <v>24</v>
      </c>
      <c r="AL1160" s="27"/>
      <c r="AM1160" s="34" t="s">
        <v>25</v>
      </c>
      <c r="AN1160" s="35" t="str">
        <f t="shared" si="93"/>
        <v>✓ OK</v>
      </c>
      <c r="AO1160" s="36"/>
      <c r="AP1160" s="36"/>
      <c r="AQ1160" s="36"/>
      <c r="AR1160" s="36"/>
      <c r="AS1160" s="36"/>
      <c r="AT1160" s="36"/>
      <c r="AU1160" s="27"/>
      <c r="AV1160" s="37"/>
      <c r="AW1160" s="38" t="str">
        <f t="shared" si="94"/>
        <v/>
      </c>
    </row>
    <row r="1161" spans="1:49" ht="18" customHeight="1" x14ac:dyDescent="0.3">
      <c r="A1161" s="23">
        <v>1157</v>
      </c>
      <c r="B1161" s="24" t="s">
        <v>4163</v>
      </c>
      <c r="C1161" s="25" t="s">
        <v>4164</v>
      </c>
      <c r="D1161" s="23" t="s">
        <v>4000</v>
      </c>
      <c r="E1161" s="43">
        <v>46125</v>
      </c>
      <c r="F1161" s="26" t="s">
        <v>23</v>
      </c>
      <c r="G1161" s="26" t="s">
        <v>24</v>
      </c>
      <c r="H1161" s="26" t="s">
        <v>25</v>
      </c>
      <c r="I1161" s="26" t="s">
        <v>26</v>
      </c>
      <c r="J1161" s="26" t="s">
        <v>24</v>
      </c>
      <c r="K1161" s="27"/>
      <c r="L1161" s="28" t="s">
        <v>25</v>
      </c>
      <c r="M1161" s="29" t="str">
        <f t="shared" si="90"/>
        <v>✓ OK</v>
      </c>
      <c r="N1161" s="43">
        <v>46193</v>
      </c>
      <c r="O1161" s="26" t="s">
        <v>23</v>
      </c>
      <c r="P1161" s="26" t="s">
        <v>24</v>
      </c>
      <c r="Q1161" s="26" t="s">
        <v>25</v>
      </c>
      <c r="R1161" s="26" t="s">
        <v>26</v>
      </c>
      <c r="S1161" s="26" t="s">
        <v>24</v>
      </c>
      <c r="T1161" s="27"/>
      <c r="U1161" s="28" t="s">
        <v>25</v>
      </c>
      <c r="V1161" s="29" t="str">
        <f t="shared" si="91"/>
        <v>✓ OK</v>
      </c>
      <c r="W1161" s="45">
        <v>46248</v>
      </c>
      <c r="X1161" s="30" t="s">
        <v>23</v>
      </c>
      <c r="Y1161" s="30" t="s">
        <v>24</v>
      </c>
      <c r="Z1161" s="30" t="s">
        <v>25</v>
      </c>
      <c r="AA1161" s="30" t="s">
        <v>26</v>
      </c>
      <c r="AB1161" s="30" t="s">
        <v>24</v>
      </c>
      <c r="AC1161" s="27"/>
      <c r="AD1161" s="31" t="s">
        <v>25</v>
      </c>
      <c r="AE1161" s="32" t="str">
        <f t="shared" si="92"/>
        <v>✓ OK</v>
      </c>
      <c r="AF1161" s="33" t="s">
        <v>27</v>
      </c>
      <c r="AG1161" s="33" t="s">
        <v>23</v>
      </c>
      <c r="AH1161" s="33" t="s">
        <v>24</v>
      </c>
      <c r="AI1161" s="33" t="s">
        <v>25</v>
      </c>
      <c r="AJ1161" s="33" t="s">
        <v>26</v>
      </c>
      <c r="AK1161" s="33" t="s">
        <v>24</v>
      </c>
      <c r="AL1161" s="27"/>
      <c r="AM1161" s="34" t="s">
        <v>25</v>
      </c>
      <c r="AN1161" s="35" t="str">
        <f t="shared" si="93"/>
        <v>✓ OK</v>
      </c>
      <c r="AO1161" s="36"/>
      <c r="AP1161" s="36"/>
      <c r="AQ1161" s="36"/>
      <c r="AR1161" s="36"/>
      <c r="AS1161" s="36"/>
      <c r="AT1161" s="36"/>
      <c r="AU1161" s="27"/>
      <c r="AV1161" s="37"/>
      <c r="AW1161" s="38" t="str">
        <f t="shared" si="94"/>
        <v/>
      </c>
    </row>
    <row r="1162" spans="1:49" ht="18" customHeight="1" x14ac:dyDescent="0.3">
      <c r="A1162" s="39">
        <v>1158</v>
      </c>
      <c r="B1162" s="40" t="s">
        <v>4165</v>
      </c>
      <c r="C1162" s="41" t="s">
        <v>4166</v>
      </c>
      <c r="D1162" s="39" t="s">
        <v>4000</v>
      </c>
      <c r="E1162" s="43">
        <v>46125</v>
      </c>
      <c r="F1162" s="26" t="s">
        <v>23</v>
      </c>
      <c r="G1162" s="26" t="s">
        <v>24</v>
      </c>
      <c r="H1162" s="26" t="s">
        <v>25</v>
      </c>
      <c r="I1162" s="26" t="s">
        <v>26</v>
      </c>
      <c r="J1162" s="26" t="s">
        <v>24</v>
      </c>
      <c r="K1162" s="27"/>
      <c r="L1162" s="28" t="s">
        <v>25</v>
      </c>
      <c r="M1162" s="29" t="str">
        <f t="shared" si="90"/>
        <v>✓ OK</v>
      </c>
      <c r="N1162" s="43">
        <v>46193</v>
      </c>
      <c r="O1162" s="26" t="s">
        <v>23</v>
      </c>
      <c r="P1162" s="26" t="s">
        <v>24</v>
      </c>
      <c r="Q1162" s="26" t="s">
        <v>25</v>
      </c>
      <c r="R1162" s="26" t="s">
        <v>26</v>
      </c>
      <c r="S1162" s="26" t="s">
        <v>24</v>
      </c>
      <c r="T1162" s="27"/>
      <c r="U1162" s="28" t="s">
        <v>25</v>
      </c>
      <c r="V1162" s="29" t="str">
        <f t="shared" si="91"/>
        <v>✓ OK</v>
      </c>
      <c r="W1162" s="45">
        <v>46248</v>
      </c>
      <c r="X1162" s="30" t="s">
        <v>23</v>
      </c>
      <c r="Y1162" s="30" t="s">
        <v>24</v>
      </c>
      <c r="Z1162" s="30" t="s">
        <v>25</v>
      </c>
      <c r="AA1162" s="30" t="s">
        <v>26</v>
      </c>
      <c r="AB1162" s="30" t="s">
        <v>24</v>
      </c>
      <c r="AC1162" s="27"/>
      <c r="AD1162" s="31" t="s">
        <v>25</v>
      </c>
      <c r="AE1162" s="32" t="str">
        <f t="shared" si="92"/>
        <v>✓ OK</v>
      </c>
      <c r="AF1162" s="33" t="s">
        <v>27</v>
      </c>
      <c r="AG1162" s="33" t="s">
        <v>23</v>
      </c>
      <c r="AH1162" s="33" t="s">
        <v>24</v>
      </c>
      <c r="AI1162" s="33" t="s">
        <v>25</v>
      </c>
      <c r="AJ1162" s="33" t="s">
        <v>26</v>
      </c>
      <c r="AK1162" s="33" t="s">
        <v>24</v>
      </c>
      <c r="AL1162" s="27"/>
      <c r="AM1162" s="34" t="s">
        <v>25</v>
      </c>
      <c r="AN1162" s="35" t="str">
        <f t="shared" si="93"/>
        <v>✓ OK</v>
      </c>
      <c r="AO1162" s="36"/>
      <c r="AP1162" s="36"/>
      <c r="AQ1162" s="36"/>
      <c r="AR1162" s="36"/>
      <c r="AS1162" s="36"/>
      <c r="AT1162" s="36"/>
      <c r="AU1162" s="27"/>
      <c r="AV1162" s="37"/>
      <c r="AW1162" s="38" t="str">
        <f t="shared" si="94"/>
        <v/>
      </c>
    </row>
    <row r="1163" spans="1:49" ht="18" customHeight="1" x14ac:dyDescent="0.3">
      <c r="A1163" s="23">
        <v>1159</v>
      </c>
      <c r="B1163" s="24" t="s">
        <v>4167</v>
      </c>
      <c r="C1163" s="25" t="s">
        <v>4168</v>
      </c>
      <c r="D1163" s="23" t="s">
        <v>4000</v>
      </c>
      <c r="E1163" s="43">
        <v>46125</v>
      </c>
      <c r="F1163" s="26" t="s">
        <v>23</v>
      </c>
      <c r="G1163" s="26" t="s">
        <v>24</v>
      </c>
      <c r="H1163" s="26" t="s">
        <v>25</v>
      </c>
      <c r="I1163" s="26" t="s">
        <v>26</v>
      </c>
      <c r="J1163" s="26" t="s">
        <v>24</v>
      </c>
      <c r="K1163" s="27"/>
      <c r="L1163" s="28" t="s">
        <v>25</v>
      </c>
      <c r="M1163" s="29" t="str">
        <f t="shared" si="90"/>
        <v>✓ OK</v>
      </c>
      <c r="N1163" s="43">
        <v>46193</v>
      </c>
      <c r="O1163" s="26" t="s">
        <v>23</v>
      </c>
      <c r="P1163" s="26" t="s">
        <v>24</v>
      </c>
      <c r="Q1163" s="26" t="s">
        <v>25</v>
      </c>
      <c r="R1163" s="26" t="s">
        <v>26</v>
      </c>
      <c r="S1163" s="26" t="s">
        <v>24</v>
      </c>
      <c r="T1163" s="27"/>
      <c r="U1163" s="28" t="s">
        <v>25</v>
      </c>
      <c r="V1163" s="29" t="str">
        <f t="shared" si="91"/>
        <v>✓ OK</v>
      </c>
      <c r="W1163" s="45">
        <v>46248</v>
      </c>
      <c r="X1163" s="30" t="s">
        <v>23</v>
      </c>
      <c r="Y1163" s="30" t="s">
        <v>24</v>
      </c>
      <c r="Z1163" s="30" t="s">
        <v>25</v>
      </c>
      <c r="AA1163" s="30" t="s">
        <v>26</v>
      </c>
      <c r="AB1163" s="30" t="s">
        <v>24</v>
      </c>
      <c r="AC1163" s="27"/>
      <c r="AD1163" s="31" t="s">
        <v>25</v>
      </c>
      <c r="AE1163" s="32" t="str">
        <f t="shared" si="92"/>
        <v>✓ OK</v>
      </c>
      <c r="AF1163" s="33" t="s">
        <v>27</v>
      </c>
      <c r="AG1163" s="33" t="s">
        <v>23</v>
      </c>
      <c r="AH1163" s="33" t="s">
        <v>24</v>
      </c>
      <c r="AI1163" s="33" t="s">
        <v>25</v>
      </c>
      <c r="AJ1163" s="33" t="s">
        <v>26</v>
      </c>
      <c r="AK1163" s="33" t="s">
        <v>24</v>
      </c>
      <c r="AL1163" s="27"/>
      <c r="AM1163" s="34" t="s">
        <v>25</v>
      </c>
      <c r="AN1163" s="35" t="str">
        <f t="shared" si="93"/>
        <v>✓ OK</v>
      </c>
      <c r="AO1163" s="36"/>
      <c r="AP1163" s="36"/>
      <c r="AQ1163" s="36"/>
      <c r="AR1163" s="36"/>
      <c r="AS1163" s="36"/>
      <c r="AT1163" s="36"/>
      <c r="AU1163" s="27"/>
      <c r="AV1163" s="37"/>
      <c r="AW1163" s="38" t="str">
        <f t="shared" si="94"/>
        <v/>
      </c>
    </row>
    <row r="1164" spans="1:49" ht="18" customHeight="1" x14ac:dyDescent="0.3">
      <c r="A1164" s="39">
        <v>1160</v>
      </c>
      <c r="B1164" s="40" t="s">
        <v>4169</v>
      </c>
      <c r="C1164" s="41" t="s">
        <v>4170</v>
      </c>
      <c r="D1164" s="39" t="s">
        <v>4000</v>
      </c>
      <c r="E1164" s="43">
        <v>46125</v>
      </c>
      <c r="F1164" s="26" t="s">
        <v>23</v>
      </c>
      <c r="G1164" s="26" t="s">
        <v>24</v>
      </c>
      <c r="H1164" s="26" t="s">
        <v>25</v>
      </c>
      <c r="I1164" s="26" t="s">
        <v>26</v>
      </c>
      <c r="J1164" s="26" t="s">
        <v>24</v>
      </c>
      <c r="K1164" s="27"/>
      <c r="L1164" s="28" t="s">
        <v>25</v>
      </c>
      <c r="M1164" s="29" t="str">
        <f t="shared" si="90"/>
        <v>✓ OK</v>
      </c>
      <c r="N1164" s="43">
        <v>46193</v>
      </c>
      <c r="O1164" s="26" t="s">
        <v>23</v>
      </c>
      <c r="P1164" s="26" t="s">
        <v>24</v>
      </c>
      <c r="Q1164" s="26" t="s">
        <v>25</v>
      </c>
      <c r="R1164" s="26" t="s">
        <v>26</v>
      </c>
      <c r="S1164" s="26" t="s">
        <v>24</v>
      </c>
      <c r="T1164" s="27"/>
      <c r="U1164" s="28" t="s">
        <v>25</v>
      </c>
      <c r="V1164" s="29" t="str">
        <f t="shared" si="91"/>
        <v>✓ OK</v>
      </c>
      <c r="W1164" s="45">
        <v>46248</v>
      </c>
      <c r="X1164" s="30" t="s">
        <v>23</v>
      </c>
      <c r="Y1164" s="30" t="s">
        <v>24</v>
      </c>
      <c r="Z1164" s="30" t="s">
        <v>25</v>
      </c>
      <c r="AA1164" s="30" t="s">
        <v>26</v>
      </c>
      <c r="AB1164" s="30" t="s">
        <v>24</v>
      </c>
      <c r="AC1164" s="27"/>
      <c r="AD1164" s="31" t="s">
        <v>25</v>
      </c>
      <c r="AE1164" s="32" t="str">
        <f t="shared" si="92"/>
        <v>✓ OK</v>
      </c>
      <c r="AF1164" s="33" t="s">
        <v>27</v>
      </c>
      <c r="AG1164" s="33" t="s">
        <v>23</v>
      </c>
      <c r="AH1164" s="33" t="s">
        <v>24</v>
      </c>
      <c r="AI1164" s="33" t="s">
        <v>25</v>
      </c>
      <c r="AJ1164" s="33" t="s">
        <v>26</v>
      </c>
      <c r="AK1164" s="33" t="s">
        <v>24</v>
      </c>
      <c r="AL1164" s="27"/>
      <c r="AM1164" s="34" t="s">
        <v>25</v>
      </c>
      <c r="AN1164" s="35" t="str">
        <f t="shared" si="93"/>
        <v>✓ OK</v>
      </c>
      <c r="AO1164" s="36"/>
      <c r="AP1164" s="36"/>
      <c r="AQ1164" s="36"/>
      <c r="AR1164" s="36"/>
      <c r="AS1164" s="36"/>
      <c r="AT1164" s="36"/>
      <c r="AU1164" s="27"/>
      <c r="AV1164" s="37"/>
      <c r="AW1164" s="38" t="str">
        <f t="shared" si="94"/>
        <v/>
      </c>
    </row>
    <row r="1165" spans="1:49" ht="18" customHeight="1" x14ac:dyDescent="0.3">
      <c r="A1165" s="23">
        <v>1161</v>
      </c>
      <c r="B1165" s="24" t="s">
        <v>4171</v>
      </c>
      <c r="C1165" s="25" t="s">
        <v>4172</v>
      </c>
      <c r="D1165" s="23" t="s">
        <v>4000</v>
      </c>
      <c r="E1165" s="43">
        <v>46125</v>
      </c>
      <c r="F1165" s="26" t="s">
        <v>23</v>
      </c>
      <c r="G1165" s="26" t="s">
        <v>24</v>
      </c>
      <c r="H1165" s="26" t="s">
        <v>25</v>
      </c>
      <c r="I1165" s="26" t="s">
        <v>26</v>
      </c>
      <c r="J1165" s="26" t="s">
        <v>24</v>
      </c>
      <c r="K1165" s="27"/>
      <c r="L1165" s="28" t="s">
        <v>25</v>
      </c>
      <c r="M1165" s="29" t="str">
        <f t="shared" si="90"/>
        <v>✓ OK</v>
      </c>
      <c r="N1165" s="43">
        <v>46193</v>
      </c>
      <c r="O1165" s="26" t="s">
        <v>23</v>
      </c>
      <c r="P1165" s="26" t="s">
        <v>24</v>
      </c>
      <c r="Q1165" s="26" t="s">
        <v>25</v>
      </c>
      <c r="R1165" s="26" t="s">
        <v>26</v>
      </c>
      <c r="S1165" s="26" t="s">
        <v>24</v>
      </c>
      <c r="T1165" s="27"/>
      <c r="U1165" s="28" t="s">
        <v>25</v>
      </c>
      <c r="V1165" s="29" t="str">
        <f t="shared" si="91"/>
        <v>✓ OK</v>
      </c>
      <c r="W1165" s="45">
        <v>46248</v>
      </c>
      <c r="X1165" s="30" t="s">
        <v>23</v>
      </c>
      <c r="Y1165" s="30" t="s">
        <v>24</v>
      </c>
      <c r="Z1165" s="30" t="s">
        <v>25</v>
      </c>
      <c r="AA1165" s="30" t="s">
        <v>26</v>
      </c>
      <c r="AB1165" s="30" t="s">
        <v>24</v>
      </c>
      <c r="AC1165" s="27"/>
      <c r="AD1165" s="31" t="s">
        <v>25</v>
      </c>
      <c r="AE1165" s="32" t="str">
        <f t="shared" si="92"/>
        <v>✓ OK</v>
      </c>
      <c r="AF1165" s="33" t="s">
        <v>27</v>
      </c>
      <c r="AG1165" s="33" t="s">
        <v>23</v>
      </c>
      <c r="AH1165" s="33" t="s">
        <v>24</v>
      </c>
      <c r="AI1165" s="33" t="s">
        <v>25</v>
      </c>
      <c r="AJ1165" s="33" t="s">
        <v>26</v>
      </c>
      <c r="AK1165" s="33" t="s">
        <v>24</v>
      </c>
      <c r="AL1165" s="27"/>
      <c r="AM1165" s="34" t="s">
        <v>25</v>
      </c>
      <c r="AN1165" s="35" t="str">
        <f t="shared" si="93"/>
        <v>✓ OK</v>
      </c>
      <c r="AO1165" s="36"/>
      <c r="AP1165" s="36"/>
      <c r="AQ1165" s="36"/>
      <c r="AR1165" s="36"/>
      <c r="AS1165" s="36"/>
      <c r="AT1165" s="36"/>
      <c r="AU1165" s="27"/>
      <c r="AV1165" s="37"/>
      <c r="AW1165" s="38" t="str">
        <f t="shared" si="94"/>
        <v/>
      </c>
    </row>
    <row r="1166" spans="1:49" ht="18" customHeight="1" x14ac:dyDescent="0.3">
      <c r="A1166" s="39">
        <v>1162</v>
      </c>
      <c r="B1166" s="40" t="s">
        <v>4173</v>
      </c>
      <c r="C1166" s="41" t="s">
        <v>4174</v>
      </c>
      <c r="D1166" s="39" t="s">
        <v>4000</v>
      </c>
      <c r="E1166" s="43">
        <v>46125</v>
      </c>
      <c r="F1166" s="26" t="s">
        <v>23</v>
      </c>
      <c r="G1166" s="26" t="s">
        <v>24</v>
      </c>
      <c r="H1166" s="26" t="s">
        <v>25</v>
      </c>
      <c r="I1166" s="26" t="s">
        <v>26</v>
      </c>
      <c r="J1166" s="26" t="s">
        <v>24</v>
      </c>
      <c r="K1166" s="27"/>
      <c r="L1166" s="28" t="s">
        <v>25</v>
      </c>
      <c r="M1166" s="29" t="str">
        <f t="shared" si="90"/>
        <v>✓ OK</v>
      </c>
      <c r="N1166" s="43">
        <v>46193</v>
      </c>
      <c r="O1166" s="26" t="s">
        <v>23</v>
      </c>
      <c r="P1166" s="26" t="s">
        <v>24</v>
      </c>
      <c r="Q1166" s="26" t="s">
        <v>25</v>
      </c>
      <c r="R1166" s="26" t="s">
        <v>26</v>
      </c>
      <c r="S1166" s="26" t="s">
        <v>24</v>
      </c>
      <c r="T1166" s="27"/>
      <c r="U1166" s="28" t="s">
        <v>25</v>
      </c>
      <c r="V1166" s="29" t="str">
        <f t="shared" si="91"/>
        <v>✓ OK</v>
      </c>
      <c r="W1166" s="45">
        <v>46248</v>
      </c>
      <c r="X1166" s="30" t="s">
        <v>23</v>
      </c>
      <c r="Y1166" s="30" t="s">
        <v>24</v>
      </c>
      <c r="Z1166" s="30" t="s">
        <v>25</v>
      </c>
      <c r="AA1166" s="30" t="s">
        <v>26</v>
      </c>
      <c r="AB1166" s="30" t="s">
        <v>24</v>
      </c>
      <c r="AC1166" s="27"/>
      <c r="AD1166" s="31" t="s">
        <v>25</v>
      </c>
      <c r="AE1166" s="32" t="str">
        <f t="shared" si="92"/>
        <v>✓ OK</v>
      </c>
      <c r="AF1166" s="33" t="s">
        <v>27</v>
      </c>
      <c r="AG1166" s="33" t="s">
        <v>23</v>
      </c>
      <c r="AH1166" s="33" t="s">
        <v>24</v>
      </c>
      <c r="AI1166" s="33" t="s">
        <v>25</v>
      </c>
      <c r="AJ1166" s="33" t="s">
        <v>26</v>
      </c>
      <c r="AK1166" s="33" t="s">
        <v>24</v>
      </c>
      <c r="AL1166" s="27"/>
      <c r="AM1166" s="34" t="s">
        <v>25</v>
      </c>
      <c r="AN1166" s="35" t="str">
        <f t="shared" si="93"/>
        <v>✓ OK</v>
      </c>
      <c r="AO1166" s="36"/>
      <c r="AP1166" s="36"/>
      <c r="AQ1166" s="36"/>
      <c r="AR1166" s="36"/>
      <c r="AS1166" s="36"/>
      <c r="AT1166" s="36"/>
      <c r="AU1166" s="27"/>
      <c r="AV1166" s="37"/>
      <c r="AW1166" s="38" t="str">
        <f t="shared" si="94"/>
        <v/>
      </c>
    </row>
    <row r="1167" spans="1:49" ht="18" customHeight="1" x14ac:dyDescent="0.3">
      <c r="A1167" s="23">
        <v>1163</v>
      </c>
      <c r="B1167" s="24" t="s">
        <v>4175</v>
      </c>
      <c r="C1167" s="25" t="s">
        <v>4176</v>
      </c>
      <c r="D1167" s="23" t="s">
        <v>4000</v>
      </c>
      <c r="E1167" s="43">
        <v>46125</v>
      </c>
      <c r="F1167" s="26" t="s">
        <v>23</v>
      </c>
      <c r="G1167" s="26" t="s">
        <v>24</v>
      </c>
      <c r="H1167" s="26" t="s">
        <v>25</v>
      </c>
      <c r="I1167" s="26" t="s">
        <v>26</v>
      </c>
      <c r="J1167" s="26" t="s">
        <v>24</v>
      </c>
      <c r="K1167" s="27"/>
      <c r="L1167" s="28" t="s">
        <v>25</v>
      </c>
      <c r="M1167" s="29" t="str">
        <f t="shared" si="90"/>
        <v>✓ OK</v>
      </c>
      <c r="N1167" s="43">
        <v>46193</v>
      </c>
      <c r="O1167" s="26" t="s">
        <v>23</v>
      </c>
      <c r="P1167" s="26" t="s">
        <v>24</v>
      </c>
      <c r="Q1167" s="26" t="s">
        <v>25</v>
      </c>
      <c r="R1167" s="26" t="s">
        <v>26</v>
      </c>
      <c r="S1167" s="26" t="s">
        <v>24</v>
      </c>
      <c r="T1167" s="27"/>
      <c r="U1167" s="28" t="s">
        <v>25</v>
      </c>
      <c r="V1167" s="29" t="str">
        <f t="shared" si="91"/>
        <v>✓ OK</v>
      </c>
      <c r="W1167" s="45">
        <v>46248</v>
      </c>
      <c r="X1167" s="30" t="s">
        <v>23</v>
      </c>
      <c r="Y1167" s="30" t="s">
        <v>24</v>
      </c>
      <c r="Z1167" s="30" t="s">
        <v>25</v>
      </c>
      <c r="AA1167" s="30" t="s">
        <v>26</v>
      </c>
      <c r="AB1167" s="30" t="s">
        <v>24</v>
      </c>
      <c r="AC1167" s="27"/>
      <c r="AD1167" s="31" t="s">
        <v>25</v>
      </c>
      <c r="AE1167" s="32" t="str">
        <f t="shared" si="92"/>
        <v>✓ OK</v>
      </c>
      <c r="AF1167" s="33" t="s">
        <v>27</v>
      </c>
      <c r="AG1167" s="33" t="s">
        <v>23</v>
      </c>
      <c r="AH1167" s="33" t="s">
        <v>24</v>
      </c>
      <c r="AI1167" s="33" t="s">
        <v>25</v>
      </c>
      <c r="AJ1167" s="33" t="s">
        <v>26</v>
      </c>
      <c r="AK1167" s="33" t="s">
        <v>24</v>
      </c>
      <c r="AL1167" s="27"/>
      <c r="AM1167" s="34" t="s">
        <v>25</v>
      </c>
      <c r="AN1167" s="35" t="str">
        <f t="shared" si="93"/>
        <v>✓ OK</v>
      </c>
      <c r="AO1167" s="36"/>
      <c r="AP1167" s="36"/>
      <c r="AQ1167" s="36"/>
      <c r="AR1167" s="36"/>
      <c r="AS1167" s="36"/>
      <c r="AT1167" s="36"/>
      <c r="AU1167" s="27"/>
      <c r="AV1167" s="37"/>
      <c r="AW1167" s="38" t="str">
        <f t="shared" si="94"/>
        <v/>
      </c>
    </row>
    <row r="1168" spans="1:49" ht="18" customHeight="1" x14ac:dyDescent="0.3">
      <c r="A1168" s="39">
        <v>1164</v>
      </c>
      <c r="B1168" s="40" t="s">
        <v>4177</v>
      </c>
      <c r="C1168" s="41" t="s">
        <v>4178</v>
      </c>
      <c r="D1168" s="39" t="s">
        <v>4000</v>
      </c>
      <c r="E1168" s="43">
        <v>46125</v>
      </c>
      <c r="F1168" s="26" t="s">
        <v>23</v>
      </c>
      <c r="G1168" s="26" t="s">
        <v>24</v>
      </c>
      <c r="H1168" s="26" t="s">
        <v>25</v>
      </c>
      <c r="I1168" s="26" t="s">
        <v>26</v>
      </c>
      <c r="J1168" s="26" t="s">
        <v>24</v>
      </c>
      <c r="K1168" s="27"/>
      <c r="L1168" s="28" t="s">
        <v>25</v>
      </c>
      <c r="M1168" s="29" t="str">
        <f t="shared" si="90"/>
        <v>✓ OK</v>
      </c>
      <c r="N1168" s="43">
        <v>46193</v>
      </c>
      <c r="O1168" s="26" t="s">
        <v>23</v>
      </c>
      <c r="P1168" s="26" t="s">
        <v>24</v>
      </c>
      <c r="Q1168" s="26" t="s">
        <v>25</v>
      </c>
      <c r="R1168" s="26" t="s">
        <v>26</v>
      </c>
      <c r="S1168" s="26" t="s">
        <v>24</v>
      </c>
      <c r="T1168" s="27"/>
      <c r="U1168" s="28" t="s">
        <v>25</v>
      </c>
      <c r="V1168" s="29" t="str">
        <f t="shared" si="91"/>
        <v>✓ OK</v>
      </c>
      <c r="W1168" s="45">
        <v>46248</v>
      </c>
      <c r="X1168" s="30" t="s">
        <v>23</v>
      </c>
      <c r="Y1168" s="30" t="s">
        <v>24</v>
      </c>
      <c r="Z1168" s="30" t="s">
        <v>25</v>
      </c>
      <c r="AA1168" s="30" t="s">
        <v>26</v>
      </c>
      <c r="AB1168" s="30" t="s">
        <v>24</v>
      </c>
      <c r="AC1168" s="27"/>
      <c r="AD1168" s="31" t="s">
        <v>25</v>
      </c>
      <c r="AE1168" s="32" t="str">
        <f t="shared" si="92"/>
        <v>✓ OK</v>
      </c>
      <c r="AF1168" s="33" t="s">
        <v>27</v>
      </c>
      <c r="AG1168" s="33" t="s">
        <v>23</v>
      </c>
      <c r="AH1168" s="33" t="s">
        <v>24</v>
      </c>
      <c r="AI1168" s="33" t="s">
        <v>25</v>
      </c>
      <c r="AJ1168" s="33" t="s">
        <v>26</v>
      </c>
      <c r="AK1168" s="33" t="s">
        <v>24</v>
      </c>
      <c r="AL1168" s="27"/>
      <c r="AM1168" s="34" t="s">
        <v>25</v>
      </c>
      <c r="AN1168" s="35" t="str">
        <f t="shared" si="93"/>
        <v>✓ OK</v>
      </c>
      <c r="AO1168" s="36"/>
      <c r="AP1168" s="36"/>
      <c r="AQ1168" s="36"/>
      <c r="AR1168" s="36"/>
      <c r="AS1168" s="36"/>
      <c r="AT1168" s="36"/>
      <c r="AU1168" s="27"/>
      <c r="AV1168" s="37"/>
      <c r="AW1168" s="38" t="str">
        <f t="shared" si="94"/>
        <v/>
      </c>
    </row>
    <row r="1169" spans="1:49" ht="18" customHeight="1" x14ac:dyDescent="0.3">
      <c r="A1169" s="23">
        <v>1165</v>
      </c>
      <c r="B1169" s="24" t="s">
        <v>4179</v>
      </c>
      <c r="C1169" s="25" t="s">
        <v>4180</v>
      </c>
      <c r="D1169" s="23" t="s">
        <v>4000</v>
      </c>
      <c r="E1169" s="43">
        <v>46125</v>
      </c>
      <c r="F1169" s="26" t="s">
        <v>23</v>
      </c>
      <c r="G1169" s="26" t="s">
        <v>24</v>
      </c>
      <c r="H1169" s="26" t="s">
        <v>25</v>
      </c>
      <c r="I1169" s="26" t="s">
        <v>26</v>
      </c>
      <c r="J1169" s="26" t="s">
        <v>24</v>
      </c>
      <c r="K1169" s="27"/>
      <c r="L1169" s="28" t="s">
        <v>25</v>
      </c>
      <c r="M1169" s="29" t="str">
        <f t="shared" si="90"/>
        <v>✓ OK</v>
      </c>
      <c r="N1169" s="43">
        <v>46193</v>
      </c>
      <c r="O1169" s="26" t="s">
        <v>23</v>
      </c>
      <c r="P1169" s="26" t="s">
        <v>24</v>
      </c>
      <c r="Q1169" s="26" t="s">
        <v>25</v>
      </c>
      <c r="R1169" s="26" t="s">
        <v>26</v>
      </c>
      <c r="S1169" s="26" t="s">
        <v>24</v>
      </c>
      <c r="T1169" s="27"/>
      <c r="U1169" s="28" t="s">
        <v>25</v>
      </c>
      <c r="V1169" s="29" t="str">
        <f t="shared" si="91"/>
        <v>✓ OK</v>
      </c>
      <c r="W1169" s="45">
        <v>46248</v>
      </c>
      <c r="X1169" s="30" t="s">
        <v>23</v>
      </c>
      <c r="Y1169" s="30" t="s">
        <v>24</v>
      </c>
      <c r="Z1169" s="30" t="s">
        <v>25</v>
      </c>
      <c r="AA1169" s="30" t="s">
        <v>26</v>
      </c>
      <c r="AB1169" s="30" t="s">
        <v>24</v>
      </c>
      <c r="AC1169" s="27"/>
      <c r="AD1169" s="31" t="s">
        <v>25</v>
      </c>
      <c r="AE1169" s="32" t="str">
        <f t="shared" si="92"/>
        <v>✓ OK</v>
      </c>
      <c r="AF1169" s="33" t="s">
        <v>27</v>
      </c>
      <c r="AG1169" s="33" t="s">
        <v>23</v>
      </c>
      <c r="AH1169" s="33" t="s">
        <v>24</v>
      </c>
      <c r="AI1169" s="33" t="s">
        <v>25</v>
      </c>
      <c r="AJ1169" s="33" t="s">
        <v>26</v>
      </c>
      <c r="AK1169" s="33" t="s">
        <v>24</v>
      </c>
      <c r="AL1169" s="27"/>
      <c r="AM1169" s="34" t="s">
        <v>25</v>
      </c>
      <c r="AN1169" s="35" t="str">
        <f t="shared" si="93"/>
        <v>✓ OK</v>
      </c>
      <c r="AO1169" s="36"/>
      <c r="AP1169" s="36"/>
      <c r="AQ1169" s="36"/>
      <c r="AR1169" s="36"/>
      <c r="AS1169" s="36"/>
      <c r="AT1169" s="36"/>
      <c r="AU1169" s="27"/>
      <c r="AV1169" s="37"/>
      <c r="AW1169" s="38" t="str">
        <f t="shared" si="94"/>
        <v/>
      </c>
    </row>
    <row r="1170" spans="1:49" ht="18" customHeight="1" x14ac:dyDescent="0.3">
      <c r="A1170" s="39">
        <v>1166</v>
      </c>
      <c r="B1170" s="40" t="s">
        <v>4181</v>
      </c>
      <c r="C1170" s="41" t="s">
        <v>4182</v>
      </c>
      <c r="D1170" s="39" t="s">
        <v>4000</v>
      </c>
      <c r="E1170" s="43">
        <v>46125</v>
      </c>
      <c r="F1170" s="26" t="s">
        <v>23</v>
      </c>
      <c r="G1170" s="26" t="s">
        <v>24</v>
      </c>
      <c r="H1170" s="26" t="s">
        <v>25</v>
      </c>
      <c r="I1170" s="26" t="s">
        <v>26</v>
      </c>
      <c r="J1170" s="26" t="s">
        <v>24</v>
      </c>
      <c r="K1170" s="27"/>
      <c r="L1170" s="28" t="s">
        <v>25</v>
      </c>
      <c r="M1170" s="29" t="str">
        <f t="shared" si="90"/>
        <v>✓ OK</v>
      </c>
      <c r="N1170" s="43">
        <v>46193</v>
      </c>
      <c r="O1170" s="26" t="s">
        <v>23</v>
      </c>
      <c r="P1170" s="26" t="s">
        <v>24</v>
      </c>
      <c r="Q1170" s="26" t="s">
        <v>25</v>
      </c>
      <c r="R1170" s="26" t="s">
        <v>26</v>
      </c>
      <c r="S1170" s="26" t="s">
        <v>24</v>
      </c>
      <c r="T1170" s="27"/>
      <c r="U1170" s="28" t="s">
        <v>25</v>
      </c>
      <c r="V1170" s="29" t="str">
        <f t="shared" si="91"/>
        <v>✓ OK</v>
      </c>
      <c r="W1170" s="45">
        <v>46248</v>
      </c>
      <c r="X1170" s="30" t="s">
        <v>23</v>
      </c>
      <c r="Y1170" s="30" t="s">
        <v>24</v>
      </c>
      <c r="Z1170" s="30" t="s">
        <v>25</v>
      </c>
      <c r="AA1170" s="30" t="s">
        <v>26</v>
      </c>
      <c r="AB1170" s="30" t="s">
        <v>24</v>
      </c>
      <c r="AC1170" s="27"/>
      <c r="AD1170" s="31" t="s">
        <v>25</v>
      </c>
      <c r="AE1170" s="32" t="str">
        <f t="shared" si="92"/>
        <v>✓ OK</v>
      </c>
      <c r="AF1170" s="33" t="s">
        <v>27</v>
      </c>
      <c r="AG1170" s="33" t="s">
        <v>23</v>
      </c>
      <c r="AH1170" s="33" t="s">
        <v>24</v>
      </c>
      <c r="AI1170" s="33" t="s">
        <v>25</v>
      </c>
      <c r="AJ1170" s="33" t="s">
        <v>26</v>
      </c>
      <c r="AK1170" s="33" t="s">
        <v>24</v>
      </c>
      <c r="AL1170" s="27"/>
      <c r="AM1170" s="34" t="s">
        <v>25</v>
      </c>
      <c r="AN1170" s="35" t="str">
        <f t="shared" si="93"/>
        <v>✓ OK</v>
      </c>
      <c r="AO1170" s="36"/>
      <c r="AP1170" s="36"/>
      <c r="AQ1170" s="36"/>
      <c r="AR1170" s="36"/>
      <c r="AS1170" s="36"/>
      <c r="AT1170" s="36"/>
      <c r="AU1170" s="27"/>
      <c r="AV1170" s="37"/>
      <c r="AW1170" s="38" t="str">
        <f t="shared" si="94"/>
        <v/>
      </c>
    </row>
    <row r="1171" spans="1:49" ht="18" customHeight="1" x14ac:dyDescent="0.3">
      <c r="A1171" s="23">
        <v>1167</v>
      </c>
      <c r="B1171" s="24" t="s">
        <v>4183</v>
      </c>
      <c r="C1171" s="25" t="s">
        <v>4184</v>
      </c>
      <c r="D1171" s="23" t="s">
        <v>4000</v>
      </c>
      <c r="E1171" s="43">
        <v>46125</v>
      </c>
      <c r="F1171" s="26" t="s">
        <v>23</v>
      </c>
      <c r="G1171" s="26" t="s">
        <v>24</v>
      </c>
      <c r="H1171" s="26" t="s">
        <v>25</v>
      </c>
      <c r="I1171" s="26" t="s">
        <v>26</v>
      </c>
      <c r="J1171" s="26" t="s">
        <v>24</v>
      </c>
      <c r="K1171" s="27"/>
      <c r="L1171" s="28" t="s">
        <v>25</v>
      </c>
      <c r="M1171" s="29" t="str">
        <f t="shared" si="90"/>
        <v>✓ OK</v>
      </c>
      <c r="N1171" s="43">
        <v>46193</v>
      </c>
      <c r="O1171" s="26" t="s">
        <v>23</v>
      </c>
      <c r="P1171" s="26" t="s">
        <v>24</v>
      </c>
      <c r="Q1171" s="26" t="s">
        <v>25</v>
      </c>
      <c r="R1171" s="26" t="s">
        <v>26</v>
      </c>
      <c r="S1171" s="26" t="s">
        <v>24</v>
      </c>
      <c r="T1171" s="27"/>
      <c r="U1171" s="28" t="s">
        <v>25</v>
      </c>
      <c r="V1171" s="29" t="str">
        <f t="shared" si="91"/>
        <v>✓ OK</v>
      </c>
      <c r="W1171" s="45">
        <v>46248</v>
      </c>
      <c r="X1171" s="30" t="s">
        <v>23</v>
      </c>
      <c r="Y1171" s="30" t="s">
        <v>24</v>
      </c>
      <c r="Z1171" s="30" t="s">
        <v>25</v>
      </c>
      <c r="AA1171" s="30" t="s">
        <v>26</v>
      </c>
      <c r="AB1171" s="30" t="s">
        <v>24</v>
      </c>
      <c r="AC1171" s="27"/>
      <c r="AD1171" s="31" t="s">
        <v>25</v>
      </c>
      <c r="AE1171" s="32" t="str">
        <f t="shared" si="92"/>
        <v>✓ OK</v>
      </c>
      <c r="AF1171" s="33" t="s">
        <v>27</v>
      </c>
      <c r="AG1171" s="33" t="s">
        <v>23</v>
      </c>
      <c r="AH1171" s="33" t="s">
        <v>24</v>
      </c>
      <c r="AI1171" s="33" t="s">
        <v>25</v>
      </c>
      <c r="AJ1171" s="33" t="s">
        <v>26</v>
      </c>
      <c r="AK1171" s="33" t="s">
        <v>24</v>
      </c>
      <c r="AL1171" s="27"/>
      <c r="AM1171" s="34" t="s">
        <v>25</v>
      </c>
      <c r="AN1171" s="35" t="str">
        <f t="shared" si="93"/>
        <v>✓ OK</v>
      </c>
      <c r="AO1171" s="36"/>
      <c r="AP1171" s="36"/>
      <c r="AQ1171" s="36"/>
      <c r="AR1171" s="36"/>
      <c r="AS1171" s="36"/>
      <c r="AT1171" s="36"/>
      <c r="AU1171" s="27"/>
      <c r="AV1171" s="37"/>
      <c r="AW1171" s="38" t="str">
        <f t="shared" si="94"/>
        <v/>
      </c>
    </row>
    <row r="1172" spans="1:49" ht="18" customHeight="1" x14ac:dyDescent="0.3">
      <c r="A1172" s="39">
        <v>1168</v>
      </c>
      <c r="B1172" s="40" t="s">
        <v>4185</v>
      </c>
      <c r="C1172" s="41" t="s">
        <v>4186</v>
      </c>
      <c r="D1172" s="39" t="s">
        <v>4000</v>
      </c>
      <c r="E1172" s="43">
        <v>46125</v>
      </c>
      <c r="F1172" s="26" t="s">
        <v>23</v>
      </c>
      <c r="G1172" s="26" t="s">
        <v>24</v>
      </c>
      <c r="H1172" s="26" t="s">
        <v>25</v>
      </c>
      <c r="I1172" s="26" t="s">
        <v>26</v>
      </c>
      <c r="J1172" s="26" t="s">
        <v>24</v>
      </c>
      <c r="K1172" s="27"/>
      <c r="L1172" s="28" t="s">
        <v>25</v>
      </c>
      <c r="M1172" s="29" t="str">
        <f t="shared" si="90"/>
        <v>✓ OK</v>
      </c>
      <c r="N1172" s="43">
        <v>46193</v>
      </c>
      <c r="O1172" s="26" t="s">
        <v>23</v>
      </c>
      <c r="P1172" s="26" t="s">
        <v>24</v>
      </c>
      <c r="Q1172" s="26" t="s">
        <v>25</v>
      </c>
      <c r="R1172" s="26" t="s">
        <v>26</v>
      </c>
      <c r="S1172" s="26" t="s">
        <v>24</v>
      </c>
      <c r="T1172" s="27"/>
      <c r="U1172" s="28" t="s">
        <v>25</v>
      </c>
      <c r="V1172" s="29" t="str">
        <f t="shared" si="91"/>
        <v>✓ OK</v>
      </c>
      <c r="W1172" s="45">
        <v>46248</v>
      </c>
      <c r="X1172" s="30" t="s">
        <v>23</v>
      </c>
      <c r="Y1172" s="30" t="s">
        <v>24</v>
      </c>
      <c r="Z1172" s="30" t="s">
        <v>25</v>
      </c>
      <c r="AA1172" s="30" t="s">
        <v>26</v>
      </c>
      <c r="AB1172" s="30" t="s">
        <v>24</v>
      </c>
      <c r="AC1172" s="27"/>
      <c r="AD1172" s="31" t="s">
        <v>25</v>
      </c>
      <c r="AE1172" s="32" t="str">
        <f t="shared" si="92"/>
        <v>✓ OK</v>
      </c>
      <c r="AF1172" s="33" t="s">
        <v>27</v>
      </c>
      <c r="AG1172" s="33" t="s">
        <v>23</v>
      </c>
      <c r="AH1172" s="33" t="s">
        <v>24</v>
      </c>
      <c r="AI1172" s="33" t="s">
        <v>25</v>
      </c>
      <c r="AJ1172" s="33" t="s">
        <v>26</v>
      </c>
      <c r="AK1172" s="33" t="s">
        <v>24</v>
      </c>
      <c r="AL1172" s="27"/>
      <c r="AM1172" s="34" t="s">
        <v>25</v>
      </c>
      <c r="AN1172" s="35" t="str">
        <f t="shared" si="93"/>
        <v>✓ OK</v>
      </c>
      <c r="AO1172" s="36"/>
      <c r="AP1172" s="36"/>
      <c r="AQ1172" s="36"/>
      <c r="AR1172" s="36"/>
      <c r="AS1172" s="36"/>
      <c r="AT1172" s="36"/>
      <c r="AU1172" s="27"/>
      <c r="AV1172" s="37"/>
      <c r="AW1172" s="38" t="str">
        <f t="shared" si="94"/>
        <v/>
      </c>
    </row>
    <row r="1173" spans="1:49" ht="18" customHeight="1" x14ac:dyDescent="0.3">
      <c r="A1173" s="23">
        <v>1169</v>
      </c>
      <c r="B1173" s="24" t="s">
        <v>4187</v>
      </c>
      <c r="C1173" s="25" t="s">
        <v>4188</v>
      </c>
      <c r="D1173" s="23" t="s">
        <v>4000</v>
      </c>
      <c r="E1173" s="43">
        <v>46125</v>
      </c>
      <c r="F1173" s="26" t="s">
        <v>23</v>
      </c>
      <c r="G1173" s="26" t="s">
        <v>24</v>
      </c>
      <c r="H1173" s="26" t="s">
        <v>25</v>
      </c>
      <c r="I1173" s="26" t="s">
        <v>26</v>
      </c>
      <c r="J1173" s="26" t="s">
        <v>24</v>
      </c>
      <c r="K1173" s="27"/>
      <c r="L1173" s="28" t="s">
        <v>25</v>
      </c>
      <c r="M1173" s="29" t="str">
        <f t="shared" si="90"/>
        <v>✓ OK</v>
      </c>
      <c r="N1173" s="43">
        <v>46193</v>
      </c>
      <c r="O1173" s="26" t="s">
        <v>23</v>
      </c>
      <c r="P1173" s="26" t="s">
        <v>24</v>
      </c>
      <c r="Q1173" s="26" t="s">
        <v>25</v>
      </c>
      <c r="R1173" s="26" t="s">
        <v>26</v>
      </c>
      <c r="S1173" s="26" t="s">
        <v>24</v>
      </c>
      <c r="T1173" s="27"/>
      <c r="U1173" s="28" t="s">
        <v>25</v>
      </c>
      <c r="V1173" s="29" t="str">
        <f t="shared" si="91"/>
        <v>✓ OK</v>
      </c>
      <c r="W1173" s="45">
        <v>46248</v>
      </c>
      <c r="X1173" s="30" t="s">
        <v>23</v>
      </c>
      <c r="Y1173" s="30" t="s">
        <v>24</v>
      </c>
      <c r="Z1173" s="30" t="s">
        <v>25</v>
      </c>
      <c r="AA1173" s="30" t="s">
        <v>26</v>
      </c>
      <c r="AB1173" s="30" t="s">
        <v>24</v>
      </c>
      <c r="AC1173" s="27"/>
      <c r="AD1173" s="31" t="s">
        <v>25</v>
      </c>
      <c r="AE1173" s="32" t="str">
        <f t="shared" si="92"/>
        <v>✓ OK</v>
      </c>
      <c r="AF1173" s="33" t="s">
        <v>27</v>
      </c>
      <c r="AG1173" s="33" t="s">
        <v>23</v>
      </c>
      <c r="AH1173" s="33" t="s">
        <v>24</v>
      </c>
      <c r="AI1173" s="33" t="s">
        <v>25</v>
      </c>
      <c r="AJ1173" s="33" t="s">
        <v>26</v>
      </c>
      <c r="AK1173" s="33" t="s">
        <v>24</v>
      </c>
      <c r="AL1173" s="27"/>
      <c r="AM1173" s="34" t="s">
        <v>25</v>
      </c>
      <c r="AN1173" s="35" t="str">
        <f t="shared" si="93"/>
        <v>✓ OK</v>
      </c>
      <c r="AO1173" s="36"/>
      <c r="AP1173" s="36"/>
      <c r="AQ1173" s="36"/>
      <c r="AR1173" s="36"/>
      <c r="AS1173" s="36"/>
      <c r="AT1173" s="36"/>
      <c r="AU1173" s="27"/>
      <c r="AV1173" s="37"/>
      <c r="AW1173" s="38" t="str">
        <f t="shared" si="94"/>
        <v/>
      </c>
    </row>
    <row r="1174" spans="1:49" ht="18" customHeight="1" x14ac:dyDescent="0.3">
      <c r="A1174" s="39">
        <v>1170</v>
      </c>
      <c r="B1174" s="40" t="s">
        <v>4189</v>
      </c>
      <c r="C1174" s="41" t="s">
        <v>4190</v>
      </c>
      <c r="D1174" s="39" t="s">
        <v>4000</v>
      </c>
      <c r="E1174" s="43">
        <v>46125</v>
      </c>
      <c r="F1174" s="26" t="s">
        <v>23</v>
      </c>
      <c r="G1174" s="26" t="s">
        <v>24</v>
      </c>
      <c r="H1174" s="26" t="s">
        <v>25</v>
      </c>
      <c r="I1174" s="26" t="s">
        <v>26</v>
      </c>
      <c r="J1174" s="26" t="s">
        <v>24</v>
      </c>
      <c r="K1174" s="27"/>
      <c r="L1174" s="28" t="s">
        <v>25</v>
      </c>
      <c r="M1174" s="29" t="str">
        <f t="shared" si="90"/>
        <v>✓ OK</v>
      </c>
      <c r="N1174" s="43">
        <v>46193</v>
      </c>
      <c r="O1174" s="26" t="s">
        <v>23</v>
      </c>
      <c r="P1174" s="26" t="s">
        <v>24</v>
      </c>
      <c r="Q1174" s="26" t="s">
        <v>25</v>
      </c>
      <c r="R1174" s="26" t="s">
        <v>26</v>
      </c>
      <c r="S1174" s="26" t="s">
        <v>24</v>
      </c>
      <c r="T1174" s="27"/>
      <c r="U1174" s="28" t="s">
        <v>25</v>
      </c>
      <c r="V1174" s="29" t="str">
        <f t="shared" si="91"/>
        <v>✓ OK</v>
      </c>
      <c r="W1174" s="45">
        <v>46248</v>
      </c>
      <c r="X1174" s="30" t="s">
        <v>23</v>
      </c>
      <c r="Y1174" s="30" t="s">
        <v>24</v>
      </c>
      <c r="Z1174" s="30" t="s">
        <v>25</v>
      </c>
      <c r="AA1174" s="30" t="s">
        <v>26</v>
      </c>
      <c r="AB1174" s="30" t="s">
        <v>24</v>
      </c>
      <c r="AC1174" s="27"/>
      <c r="AD1174" s="31" t="s">
        <v>25</v>
      </c>
      <c r="AE1174" s="32" t="str">
        <f t="shared" si="92"/>
        <v>✓ OK</v>
      </c>
      <c r="AF1174" s="33" t="s">
        <v>27</v>
      </c>
      <c r="AG1174" s="33" t="s">
        <v>23</v>
      </c>
      <c r="AH1174" s="33" t="s">
        <v>24</v>
      </c>
      <c r="AI1174" s="33" t="s">
        <v>25</v>
      </c>
      <c r="AJ1174" s="33" t="s">
        <v>26</v>
      </c>
      <c r="AK1174" s="33" t="s">
        <v>24</v>
      </c>
      <c r="AL1174" s="27"/>
      <c r="AM1174" s="34" t="s">
        <v>25</v>
      </c>
      <c r="AN1174" s="35" t="str">
        <f t="shared" si="93"/>
        <v>✓ OK</v>
      </c>
      <c r="AO1174" s="36"/>
      <c r="AP1174" s="36"/>
      <c r="AQ1174" s="36"/>
      <c r="AR1174" s="36"/>
      <c r="AS1174" s="36"/>
      <c r="AT1174" s="36"/>
      <c r="AU1174" s="27"/>
      <c r="AV1174" s="37"/>
      <c r="AW1174" s="38" t="str">
        <f t="shared" si="94"/>
        <v/>
      </c>
    </row>
    <row r="1175" spans="1:49" ht="18" customHeight="1" x14ac:dyDescent="0.3">
      <c r="A1175" s="23">
        <v>1171</v>
      </c>
      <c r="B1175" s="24" t="s">
        <v>4191</v>
      </c>
      <c r="C1175" s="25" t="s">
        <v>4192</v>
      </c>
      <c r="D1175" s="23" t="s">
        <v>4000</v>
      </c>
      <c r="E1175" s="43">
        <v>46125</v>
      </c>
      <c r="F1175" s="26" t="s">
        <v>23</v>
      </c>
      <c r="G1175" s="26" t="s">
        <v>24</v>
      </c>
      <c r="H1175" s="26" t="s">
        <v>25</v>
      </c>
      <c r="I1175" s="26" t="s">
        <v>26</v>
      </c>
      <c r="J1175" s="26" t="s">
        <v>24</v>
      </c>
      <c r="K1175" s="27"/>
      <c r="L1175" s="28" t="s">
        <v>25</v>
      </c>
      <c r="M1175" s="29" t="str">
        <f t="shared" si="90"/>
        <v>✓ OK</v>
      </c>
      <c r="N1175" s="43">
        <v>46193</v>
      </c>
      <c r="O1175" s="26" t="s">
        <v>23</v>
      </c>
      <c r="P1175" s="26" t="s">
        <v>24</v>
      </c>
      <c r="Q1175" s="26" t="s">
        <v>25</v>
      </c>
      <c r="R1175" s="26" t="s">
        <v>26</v>
      </c>
      <c r="S1175" s="26" t="s">
        <v>24</v>
      </c>
      <c r="T1175" s="27"/>
      <c r="U1175" s="28" t="s">
        <v>25</v>
      </c>
      <c r="V1175" s="29" t="str">
        <f t="shared" si="91"/>
        <v>✓ OK</v>
      </c>
      <c r="W1175" s="45">
        <v>46248</v>
      </c>
      <c r="X1175" s="30" t="s">
        <v>23</v>
      </c>
      <c r="Y1175" s="30" t="s">
        <v>24</v>
      </c>
      <c r="Z1175" s="30" t="s">
        <v>25</v>
      </c>
      <c r="AA1175" s="30" t="s">
        <v>26</v>
      </c>
      <c r="AB1175" s="30" t="s">
        <v>24</v>
      </c>
      <c r="AC1175" s="27"/>
      <c r="AD1175" s="31" t="s">
        <v>25</v>
      </c>
      <c r="AE1175" s="32" t="str">
        <f t="shared" si="92"/>
        <v>✓ OK</v>
      </c>
      <c r="AF1175" s="33" t="s">
        <v>27</v>
      </c>
      <c r="AG1175" s="33" t="s">
        <v>23</v>
      </c>
      <c r="AH1175" s="33" t="s">
        <v>24</v>
      </c>
      <c r="AI1175" s="33" t="s">
        <v>25</v>
      </c>
      <c r="AJ1175" s="33" t="s">
        <v>26</v>
      </c>
      <c r="AK1175" s="33" t="s">
        <v>24</v>
      </c>
      <c r="AL1175" s="27"/>
      <c r="AM1175" s="34" t="s">
        <v>25</v>
      </c>
      <c r="AN1175" s="35" t="str">
        <f t="shared" si="93"/>
        <v>✓ OK</v>
      </c>
      <c r="AO1175" s="36"/>
      <c r="AP1175" s="36"/>
      <c r="AQ1175" s="36"/>
      <c r="AR1175" s="36"/>
      <c r="AS1175" s="36"/>
      <c r="AT1175" s="36"/>
      <c r="AU1175" s="27"/>
      <c r="AV1175" s="37"/>
      <c r="AW1175" s="38" t="str">
        <f t="shared" si="94"/>
        <v/>
      </c>
    </row>
    <row r="1176" spans="1:49" ht="18" customHeight="1" x14ac:dyDescent="0.3">
      <c r="A1176" s="39">
        <v>1172</v>
      </c>
      <c r="B1176" s="40" t="s">
        <v>4193</v>
      </c>
      <c r="C1176" s="41" t="s">
        <v>4194</v>
      </c>
      <c r="D1176" s="39" t="s">
        <v>4000</v>
      </c>
      <c r="E1176" s="43">
        <v>46125</v>
      </c>
      <c r="F1176" s="26" t="s">
        <v>23</v>
      </c>
      <c r="G1176" s="26" t="s">
        <v>24</v>
      </c>
      <c r="H1176" s="26" t="s">
        <v>25</v>
      </c>
      <c r="I1176" s="26" t="s">
        <v>26</v>
      </c>
      <c r="J1176" s="26" t="s">
        <v>24</v>
      </c>
      <c r="K1176" s="27"/>
      <c r="L1176" s="28" t="s">
        <v>25</v>
      </c>
      <c r="M1176" s="29" t="str">
        <f t="shared" si="90"/>
        <v>✓ OK</v>
      </c>
      <c r="N1176" s="43">
        <v>46193</v>
      </c>
      <c r="O1176" s="26" t="s">
        <v>23</v>
      </c>
      <c r="P1176" s="26" t="s">
        <v>24</v>
      </c>
      <c r="Q1176" s="26" t="s">
        <v>25</v>
      </c>
      <c r="R1176" s="26" t="s">
        <v>26</v>
      </c>
      <c r="S1176" s="26" t="s">
        <v>24</v>
      </c>
      <c r="T1176" s="27"/>
      <c r="U1176" s="28" t="s">
        <v>25</v>
      </c>
      <c r="V1176" s="29" t="str">
        <f t="shared" si="91"/>
        <v>✓ OK</v>
      </c>
      <c r="W1176" s="45">
        <v>46248</v>
      </c>
      <c r="X1176" s="30" t="s">
        <v>23</v>
      </c>
      <c r="Y1176" s="30" t="s">
        <v>24</v>
      </c>
      <c r="Z1176" s="30" t="s">
        <v>25</v>
      </c>
      <c r="AA1176" s="30" t="s">
        <v>26</v>
      </c>
      <c r="AB1176" s="30" t="s">
        <v>24</v>
      </c>
      <c r="AC1176" s="27"/>
      <c r="AD1176" s="31" t="s">
        <v>25</v>
      </c>
      <c r="AE1176" s="32" t="str">
        <f t="shared" si="92"/>
        <v>✓ OK</v>
      </c>
      <c r="AF1176" s="33" t="s">
        <v>27</v>
      </c>
      <c r="AG1176" s="33" t="s">
        <v>23</v>
      </c>
      <c r="AH1176" s="33" t="s">
        <v>24</v>
      </c>
      <c r="AI1176" s="33" t="s">
        <v>25</v>
      </c>
      <c r="AJ1176" s="33" t="s">
        <v>26</v>
      </c>
      <c r="AK1176" s="33" t="s">
        <v>24</v>
      </c>
      <c r="AL1176" s="27"/>
      <c r="AM1176" s="34" t="s">
        <v>25</v>
      </c>
      <c r="AN1176" s="35" t="str">
        <f t="shared" si="93"/>
        <v>✓ OK</v>
      </c>
      <c r="AO1176" s="36"/>
      <c r="AP1176" s="36"/>
      <c r="AQ1176" s="36"/>
      <c r="AR1176" s="36"/>
      <c r="AS1176" s="36"/>
      <c r="AT1176" s="36"/>
      <c r="AU1176" s="27"/>
      <c r="AV1176" s="37"/>
      <c r="AW1176" s="38" t="str">
        <f t="shared" si="94"/>
        <v/>
      </c>
    </row>
    <row r="1177" spans="1:49" ht="18" customHeight="1" x14ac:dyDescent="0.3">
      <c r="A1177" s="23">
        <v>1173</v>
      </c>
      <c r="B1177" s="24" t="s">
        <v>4195</v>
      </c>
      <c r="C1177" s="25" t="s">
        <v>4196</v>
      </c>
      <c r="D1177" s="23" t="s">
        <v>4000</v>
      </c>
      <c r="E1177" s="43">
        <v>46125</v>
      </c>
      <c r="F1177" s="26" t="s">
        <v>23</v>
      </c>
      <c r="G1177" s="26" t="s">
        <v>24</v>
      </c>
      <c r="H1177" s="26" t="s">
        <v>25</v>
      </c>
      <c r="I1177" s="26" t="s">
        <v>26</v>
      </c>
      <c r="J1177" s="26" t="s">
        <v>24</v>
      </c>
      <c r="K1177" s="27"/>
      <c r="L1177" s="28" t="s">
        <v>25</v>
      </c>
      <c r="M1177" s="29" t="str">
        <f t="shared" si="90"/>
        <v>✓ OK</v>
      </c>
      <c r="N1177" s="43">
        <v>46193</v>
      </c>
      <c r="O1177" s="26" t="s">
        <v>23</v>
      </c>
      <c r="P1177" s="26" t="s">
        <v>24</v>
      </c>
      <c r="Q1177" s="26" t="s">
        <v>25</v>
      </c>
      <c r="R1177" s="26" t="s">
        <v>26</v>
      </c>
      <c r="S1177" s="26" t="s">
        <v>24</v>
      </c>
      <c r="T1177" s="27"/>
      <c r="U1177" s="28" t="s">
        <v>25</v>
      </c>
      <c r="V1177" s="29" t="str">
        <f t="shared" si="91"/>
        <v>✓ OK</v>
      </c>
      <c r="W1177" s="45">
        <v>46248</v>
      </c>
      <c r="X1177" s="30" t="s">
        <v>23</v>
      </c>
      <c r="Y1177" s="30" t="s">
        <v>24</v>
      </c>
      <c r="Z1177" s="30" t="s">
        <v>25</v>
      </c>
      <c r="AA1177" s="30" t="s">
        <v>26</v>
      </c>
      <c r="AB1177" s="30" t="s">
        <v>24</v>
      </c>
      <c r="AC1177" s="27"/>
      <c r="AD1177" s="31" t="s">
        <v>25</v>
      </c>
      <c r="AE1177" s="32" t="str">
        <f t="shared" si="92"/>
        <v>✓ OK</v>
      </c>
      <c r="AF1177" s="33" t="s">
        <v>27</v>
      </c>
      <c r="AG1177" s="33" t="s">
        <v>23</v>
      </c>
      <c r="AH1177" s="33" t="s">
        <v>24</v>
      </c>
      <c r="AI1177" s="33" t="s">
        <v>25</v>
      </c>
      <c r="AJ1177" s="33" t="s">
        <v>26</v>
      </c>
      <c r="AK1177" s="33" t="s">
        <v>24</v>
      </c>
      <c r="AL1177" s="27"/>
      <c r="AM1177" s="34" t="s">
        <v>25</v>
      </c>
      <c r="AN1177" s="35" t="str">
        <f t="shared" si="93"/>
        <v>✓ OK</v>
      </c>
      <c r="AO1177" s="36"/>
      <c r="AP1177" s="36"/>
      <c r="AQ1177" s="36"/>
      <c r="AR1177" s="36"/>
      <c r="AS1177" s="36"/>
      <c r="AT1177" s="36"/>
      <c r="AU1177" s="27"/>
      <c r="AV1177" s="37"/>
      <c r="AW1177" s="38" t="str">
        <f t="shared" si="94"/>
        <v/>
      </c>
    </row>
    <row r="1178" spans="1:49" ht="18" customHeight="1" x14ac:dyDescent="0.3">
      <c r="A1178" s="39">
        <v>1174</v>
      </c>
      <c r="B1178" s="40" t="s">
        <v>4197</v>
      </c>
      <c r="C1178" s="41" t="s">
        <v>4198</v>
      </c>
      <c r="D1178" s="39" t="s">
        <v>4000</v>
      </c>
      <c r="E1178" s="43">
        <v>46125</v>
      </c>
      <c r="F1178" s="26" t="s">
        <v>23</v>
      </c>
      <c r="G1178" s="26" t="s">
        <v>24</v>
      </c>
      <c r="H1178" s="26" t="s">
        <v>25</v>
      </c>
      <c r="I1178" s="26" t="s">
        <v>26</v>
      </c>
      <c r="J1178" s="26" t="s">
        <v>24</v>
      </c>
      <c r="K1178" s="27"/>
      <c r="L1178" s="28" t="s">
        <v>25</v>
      </c>
      <c r="M1178" s="29" t="str">
        <f t="shared" si="90"/>
        <v>✓ OK</v>
      </c>
      <c r="N1178" s="43">
        <v>46193</v>
      </c>
      <c r="O1178" s="26" t="s">
        <v>23</v>
      </c>
      <c r="P1178" s="26" t="s">
        <v>24</v>
      </c>
      <c r="Q1178" s="26" t="s">
        <v>25</v>
      </c>
      <c r="R1178" s="26" t="s">
        <v>26</v>
      </c>
      <c r="S1178" s="26" t="s">
        <v>24</v>
      </c>
      <c r="T1178" s="27"/>
      <c r="U1178" s="28" t="s">
        <v>25</v>
      </c>
      <c r="V1178" s="29" t="str">
        <f t="shared" si="91"/>
        <v>✓ OK</v>
      </c>
      <c r="W1178" s="45">
        <v>46248</v>
      </c>
      <c r="X1178" s="30" t="s">
        <v>23</v>
      </c>
      <c r="Y1178" s="30" t="s">
        <v>24</v>
      </c>
      <c r="Z1178" s="30" t="s">
        <v>25</v>
      </c>
      <c r="AA1178" s="30" t="s">
        <v>26</v>
      </c>
      <c r="AB1178" s="30" t="s">
        <v>24</v>
      </c>
      <c r="AC1178" s="27"/>
      <c r="AD1178" s="31" t="s">
        <v>25</v>
      </c>
      <c r="AE1178" s="32" t="str">
        <f t="shared" si="92"/>
        <v>✓ OK</v>
      </c>
      <c r="AF1178" s="33" t="s">
        <v>27</v>
      </c>
      <c r="AG1178" s="33" t="s">
        <v>23</v>
      </c>
      <c r="AH1178" s="33" t="s">
        <v>24</v>
      </c>
      <c r="AI1178" s="33" t="s">
        <v>25</v>
      </c>
      <c r="AJ1178" s="33" t="s">
        <v>26</v>
      </c>
      <c r="AK1178" s="33" t="s">
        <v>24</v>
      </c>
      <c r="AL1178" s="27"/>
      <c r="AM1178" s="34" t="s">
        <v>25</v>
      </c>
      <c r="AN1178" s="35" t="str">
        <f t="shared" si="93"/>
        <v>✓ OK</v>
      </c>
      <c r="AO1178" s="36"/>
      <c r="AP1178" s="36"/>
      <c r="AQ1178" s="36"/>
      <c r="AR1178" s="36"/>
      <c r="AS1178" s="36"/>
      <c r="AT1178" s="36"/>
      <c r="AU1178" s="27"/>
      <c r="AV1178" s="37"/>
      <c r="AW1178" s="38" t="str">
        <f t="shared" si="94"/>
        <v/>
      </c>
    </row>
    <row r="1179" spans="1:49" ht="18" customHeight="1" x14ac:dyDescent="0.3">
      <c r="A1179" s="23">
        <v>1175</v>
      </c>
      <c r="B1179" s="24" t="s">
        <v>4199</v>
      </c>
      <c r="C1179" s="25" t="s">
        <v>4200</v>
      </c>
      <c r="D1179" s="23" t="s">
        <v>4000</v>
      </c>
      <c r="E1179" s="43">
        <v>46125</v>
      </c>
      <c r="F1179" s="26" t="s">
        <v>23</v>
      </c>
      <c r="G1179" s="26" t="s">
        <v>24</v>
      </c>
      <c r="H1179" s="26" t="s">
        <v>25</v>
      </c>
      <c r="I1179" s="26" t="s">
        <v>26</v>
      </c>
      <c r="J1179" s="26" t="s">
        <v>24</v>
      </c>
      <c r="K1179" s="27"/>
      <c r="L1179" s="28" t="s">
        <v>25</v>
      </c>
      <c r="M1179" s="29" t="str">
        <f t="shared" si="90"/>
        <v>✓ OK</v>
      </c>
      <c r="N1179" s="43">
        <v>46193</v>
      </c>
      <c r="O1179" s="26" t="s">
        <v>23</v>
      </c>
      <c r="P1179" s="26" t="s">
        <v>24</v>
      </c>
      <c r="Q1179" s="26" t="s">
        <v>25</v>
      </c>
      <c r="R1179" s="26" t="s">
        <v>26</v>
      </c>
      <c r="S1179" s="26" t="s">
        <v>24</v>
      </c>
      <c r="T1179" s="27"/>
      <c r="U1179" s="28" t="s">
        <v>25</v>
      </c>
      <c r="V1179" s="29" t="str">
        <f t="shared" si="91"/>
        <v>✓ OK</v>
      </c>
      <c r="W1179" s="45">
        <v>46248</v>
      </c>
      <c r="X1179" s="30" t="s">
        <v>23</v>
      </c>
      <c r="Y1179" s="30" t="s">
        <v>24</v>
      </c>
      <c r="Z1179" s="30" t="s">
        <v>25</v>
      </c>
      <c r="AA1179" s="30" t="s">
        <v>26</v>
      </c>
      <c r="AB1179" s="30" t="s">
        <v>24</v>
      </c>
      <c r="AC1179" s="27"/>
      <c r="AD1179" s="31" t="s">
        <v>25</v>
      </c>
      <c r="AE1179" s="32" t="str">
        <f t="shared" si="92"/>
        <v>✓ OK</v>
      </c>
      <c r="AF1179" s="33" t="s">
        <v>27</v>
      </c>
      <c r="AG1179" s="33" t="s">
        <v>23</v>
      </c>
      <c r="AH1179" s="33" t="s">
        <v>24</v>
      </c>
      <c r="AI1179" s="33" t="s">
        <v>25</v>
      </c>
      <c r="AJ1179" s="33" t="s">
        <v>26</v>
      </c>
      <c r="AK1179" s="33" t="s">
        <v>24</v>
      </c>
      <c r="AL1179" s="27"/>
      <c r="AM1179" s="34" t="s">
        <v>25</v>
      </c>
      <c r="AN1179" s="35" t="str">
        <f t="shared" si="93"/>
        <v>✓ OK</v>
      </c>
      <c r="AO1179" s="36"/>
      <c r="AP1179" s="36"/>
      <c r="AQ1179" s="36"/>
      <c r="AR1179" s="36"/>
      <c r="AS1179" s="36"/>
      <c r="AT1179" s="36"/>
      <c r="AU1179" s="27"/>
      <c r="AV1179" s="37"/>
      <c r="AW1179" s="38" t="str">
        <f t="shared" si="94"/>
        <v/>
      </c>
    </row>
    <row r="1180" spans="1:49" ht="18" customHeight="1" x14ac:dyDescent="0.3">
      <c r="A1180" s="39">
        <v>1176</v>
      </c>
      <c r="B1180" s="40" t="s">
        <v>4201</v>
      </c>
      <c r="C1180" s="41" t="s">
        <v>4202</v>
      </c>
      <c r="D1180" s="39" t="s">
        <v>4000</v>
      </c>
      <c r="E1180" s="43">
        <v>46125</v>
      </c>
      <c r="F1180" s="26" t="s">
        <v>23</v>
      </c>
      <c r="G1180" s="26" t="s">
        <v>24</v>
      </c>
      <c r="H1180" s="26" t="s">
        <v>25</v>
      </c>
      <c r="I1180" s="26" t="s">
        <v>26</v>
      </c>
      <c r="J1180" s="26" t="s">
        <v>24</v>
      </c>
      <c r="K1180" s="27"/>
      <c r="L1180" s="28" t="s">
        <v>25</v>
      </c>
      <c r="M1180" s="29" t="str">
        <f t="shared" si="90"/>
        <v>✓ OK</v>
      </c>
      <c r="N1180" s="43">
        <v>46193</v>
      </c>
      <c r="O1180" s="26" t="s">
        <v>23</v>
      </c>
      <c r="P1180" s="26" t="s">
        <v>24</v>
      </c>
      <c r="Q1180" s="26" t="s">
        <v>25</v>
      </c>
      <c r="R1180" s="26" t="s">
        <v>26</v>
      </c>
      <c r="S1180" s="26" t="s">
        <v>24</v>
      </c>
      <c r="T1180" s="27"/>
      <c r="U1180" s="28" t="s">
        <v>25</v>
      </c>
      <c r="V1180" s="29" t="str">
        <f t="shared" si="91"/>
        <v>✓ OK</v>
      </c>
      <c r="W1180" s="45">
        <v>46248</v>
      </c>
      <c r="X1180" s="30" t="s">
        <v>23</v>
      </c>
      <c r="Y1180" s="30" t="s">
        <v>24</v>
      </c>
      <c r="Z1180" s="30" t="s">
        <v>25</v>
      </c>
      <c r="AA1180" s="30" t="s">
        <v>26</v>
      </c>
      <c r="AB1180" s="30" t="s">
        <v>24</v>
      </c>
      <c r="AC1180" s="27"/>
      <c r="AD1180" s="31" t="s">
        <v>25</v>
      </c>
      <c r="AE1180" s="32" t="str">
        <f t="shared" si="92"/>
        <v>✓ OK</v>
      </c>
      <c r="AF1180" s="33" t="s">
        <v>27</v>
      </c>
      <c r="AG1180" s="33" t="s">
        <v>23</v>
      </c>
      <c r="AH1180" s="33" t="s">
        <v>24</v>
      </c>
      <c r="AI1180" s="33" t="s">
        <v>25</v>
      </c>
      <c r="AJ1180" s="33" t="s">
        <v>26</v>
      </c>
      <c r="AK1180" s="33" t="s">
        <v>24</v>
      </c>
      <c r="AL1180" s="27"/>
      <c r="AM1180" s="34" t="s">
        <v>25</v>
      </c>
      <c r="AN1180" s="35" t="str">
        <f t="shared" si="93"/>
        <v>✓ OK</v>
      </c>
      <c r="AO1180" s="36"/>
      <c r="AP1180" s="36"/>
      <c r="AQ1180" s="36"/>
      <c r="AR1180" s="36"/>
      <c r="AS1180" s="36"/>
      <c r="AT1180" s="36"/>
      <c r="AU1180" s="27"/>
      <c r="AV1180" s="37"/>
      <c r="AW1180" s="38" t="str">
        <f t="shared" si="94"/>
        <v/>
      </c>
    </row>
    <row r="1181" spans="1:49" ht="18" customHeight="1" x14ac:dyDescent="0.3">
      <c r="A1181" s="23">
        <v>1177</v>
      </c>
      <c r="B1181" s="24" t="s">
        <v>4203</v>
      </c>
      <c r="C1181" s="25" t="s">
        <v>4204</v>
      </c>
      <c r="D1181" s="23" t="s">
        <v>4000</v>
      </c>
      <c r="E1181" s="43">
        <v>46125</v>
      </c>
      <c r="F1181" s="26" t="s">
        <v>23</v>
      </c>
      <c r="G1181" s="26" t="s">
        <v>24</v>
      </c>
      <c r="H1181" s="26" t="s">
        <v>25</v>
      </c>
      <c r="I1181" s="26" t="s">
        <v>26</v>
      </c>
      <c r="J1181" s="26" t="s">
        <v>24</v>
      </c>
      <c r="K1181" s="27"/>
      <c r="L1181" s="28" t="s">
        <v>25</v>
      </c>
      <c r="M1181" s="29" t="str">
        <f t="shared" si="90"/>
        <v>✓ OK</v>
      </c>
      <c r="N1181" s="43">
        <v>46193</v>
      </c>
      <c r="O1181" s="26" t="s">
        <v>23</v>
      </c>
      <c r="P1181" s="26" t="s">
        <v>24</v>
      </c>
      <c r="Q1181" s="26" t="s">
        <v>25</v>
      </c>
      <c r="R1181" s="26" t="s">
        <v>26</v>
      </c>
      <c r="S1181" s="26" t="s">
        <v>24</v>
      </c>
      <c r="T1181" s="27"/>
      <c r="U1181" s="28" t="s">
        <v>25</v>
      </c>
      <c r="V1181" s="29" t="str">
        <f t="shared" si="91"/>
        <v>✓ OK</v>
      </c>
      <c r="W1181" s="45">
        <v>46248</v>
      </c>
      <c r="X1181" s="30" t="s">
        <v>23</v>
      </c>
      <c r="Y1181" s="30" t="s">
        <v>24</v>
      </c>
      <c r="Z1181" s="30" t="s">
        <v>25</v>
      </c>
      <c r="AA1181" s="30" t="s">
        <v>26</v>
      </c>
      <c r="AB1181" s="30" t="s">
        <v>24</v>
      </c>
      <c r="AC1181" s="27"/>
      <c r="AD1181" s="31" t="s">
        <v>25</v>
      </c>
      <c r="AE1181" s="32" t="str">
        <f t="shared" si="92"/>
        <v>✓ OK</v>
      </c>
      <c r="AF1181" s="33" t="s">
        <v>27</v>
      </c>
      <c r="AG1181" s="33" t="s">
        <v>23</v>
      </c>
      <c r="AH1181" s="33" t="s">
        <v>24</v>
      </c>
      <c r="AI1181" s="33" t="s">
        <v>25</v>
      </c>
      <c r="AJ1181" s="33" t="s">
        <v>26</v>
      </c>
      <c r="AK1181" s="33" t="s">
        <v>24</v>
      </c>
      <c r="AL1181" s="27"/>
      <c r="AM1181" s="34" t="s">
        <v>25</v>
      </c>
      <c r="AN1181" s="35" t="str">
        <f t="shared" si="93"/>
        <v>✓ OK</v>
      </c>
      <c r="AO1181" s="36"/>
      <c r="AP1181" s="36"/>
      <c r="AQ1181" s="36"/>
      <c r="AR1181" s="36"/>
      <c r="AS1181" s="36"/>
      <c r="AT1181" s="36"/>
      <c r="AU1181" s="27"/>
      <c r="AV1181" s="37"/>
      <c r="AW1181" s="38" t="str">
        <f t="shared" si="94"/>
        <v/>
      </c>
    </row>
    <row r="1182" spans="1:49" ht="18" customHeight="1" x14ac:dyDescent="0.3">
      <c r="A1182" s="39">
        <v>1178</v>
      </c>
      <c r="B1182" s="40" t="s">
        <v>4205</v>
      </c>
      <c r="C1182" s="41" t="s">
        <v>4206</v>
      </c>
      <c r="D1182" s="39" t="s">
        <v>4000</v>
      </c>
      <c r="E1182" s="43">
        <v>46125</v>
      </c>
      <c r="F1182" s="26" t="s">
        <v>23</v>
      </c>
      <c r="G1182" s="26" t="s">
        <v>24</v>
      </c>
      <c r="H1182" s="26" t="s">
        <v>25</v>
      </c>
      <c r="I1182" s="26" t="s">
        <v>26</v>
      </c>
      <c r="J1182" s="26" t="s">
        <v>24</v>
      </c>
      <c r="K1182" s="27"/>
      <c r="L1182" s="28" t="s">
        <v>25</v>
      </c>
      <c r="M1182" s="29" t="str">
        <f t="shared" si="90"/>
        <v>✓ OK</v>
      </c>
      <c r="N1182" s="43">
        <v>46193</v>
      </c>
      <c r="O1182" s="26" t="s">
        <v>23</v>
      </c>
      <c r="P1182" s="26" t="s">
        <v>24</v>
      </c>
      <c r="Q1182" s="26" t="s">
        <v>25</v>
      </c>
      <c r="R1182" s="26" t="s">
        <v>26</v>
      </c>
      <c r="S1182" s="26" t="s">
        <v>24</v>
      </c>
      <c r="T1182" s="27"/>
      <c r="U1182" s="28" t="s">
        <v>25</v>
      </c>
      <c r="V1182" s="29" t="str">
        <f t="shared" si="91"/>
        <v>✓ OK</v>
      </c>
      <c r="W1182" s="45">
        <v>46248</v>
      </c>
      <c r="X1182" s="30" t="s">
        <v>23</v>
      </c>
      <c r="Y1182" s="30" t="s">
        <v>24</v>
      </c>
      <c r="Z1182" s="30" t="s">
        <v>25</v>
      </c>
      <c r="AA1182" s="30" t="s">
        <v>26</v>
      </c>
      <c r="AB1182" s="30" t="s">
        <v>24</v>
      </c>
      <c r="AC1182" s="27"/>
      <c r="AD1182" s="31" t="s">
        <v>25</v>
      </c>
      <c r="AE1182" s="32" t="str">
        <f t="shared" si="92"/>
        <v>✓ OK</v>
      </c>
      <c r="AF1182" s="33" t="s">
        <v>27</v>
      </c>
      <c r="AG1182" s="33" t="s">
        <v>23</v>
      </c>
      <c r="AH1182" s="33" t="s">
        <v>24</v>
      </c>
      <c r="AI1182" s="33" t="s">
        <v>25</v>
      </c>
      <c r="AJ1182" s="33" t="s">
        <v>26</v>
      </c>
      <c r="AK1182" s="33" t="s">
        <v>24</v>
      </c>
      <c r="AL1182" s="27"/>
      <c r="AM1182" s="34" t="s">
        <v>25</v>
      </c>
      <c r="AN1182" s="35" t="str">
        <f t="shared" si="93"/>
        <v>✓ OK</v>
      </c>
      <c r="AO1182" s="36"/>
      <c r="AP1182" s="36"/>
      <c r="AQ1182" s="36"/>
      <c r="AR1182" s="36"/>
      <c r="AS1182" s="36"/>
      <c r="AT1182" s="36"/>
      <c r="AU1182" s="27"/>
      <c r="AV1182" s="37"/>
      <c r="AW1182" s="38" t="str">
        <f t="shared" si="94"/>
        <v/>
      </c>
    </row>
    <row r="1183" spans="1:49" ht="18" customHeight="1" x14ac:dyDescent="0.3">
      <c r="A1183" s="23">
        <v>1179</v>
      </c>
      <c r="B1183" s="24" t="s">
        <v>4207</v>
      </c>
      <c r="C1183" s="25" t="s">
        <v>4208</v>
      </c>
      <c r="D1183" s="23" t="s">
        <v>4000</v>
      </c>
      <c r="E1183" s="43">
        <v>46125</v>
      </c>
      <c r="F1183" s="26" t="s">
        <v>23</v>
      </c>
      <c r="G1183" s="26" t="s">
        <v>24</v>
      </c>
      <c r="H1183" s="26" t="s">
        <v>25</v>
      </c>
      <c r="I1183" s="26" t="s">
        <v>26</v>
      </c>
      <c r="J1183" s="26" t="s">
        <v>24</v>
      </c>
      <c r="K1183" s="27"/>
      <c r="L1183" s="28" t="s">
        <v>25</v>
      </c>
      <c r="M1183" s="29" t="str">
        <f t="shared" si="90"/>
        <v>✓ OK</v>
      </c>
      <c r="N1183" s="43">
        <v>46193</v>
      </c>
      <c r="O1183" s="26" t="s">
        <v>23</v>
      </c>
      <c r="P1183" s="26" t="s">
        <v>24</v>
      </c>
      <c r="Q1183" s="26" t="s">
        <v>25</v>
      </c>
      <c r="R1183" s="26" t="s">
        <v>26</v>
      </c>
      <c r="S1183" s="26" t="s">
        <v>24</v>
      </c>
      <c r="T1183" s="27"/>
      <c r="U1183" s="28" t="s">
        <v>25</v>
      </c>
      <c r="V1183" s="29" t="str">
        <f t="shared" si="91"/>
        <v>✓ OK</v>
      </c>
      <c r="W1183" s="45">
        <v>46248</v>
      </c>
      <c r="X1183" s="30" t="s">
        <v>23</v>
      </c>
      <c r="Y1183" s="30" t="s">
        <v>24</v>
      </c>
      <c r="Z1183" s="30" t="s">
        <v>25</v>
      </c>
      <c r="AA1183" s="30" t="s">
        <v>26</v>
      </c>
      <c r="AB1183" s="30" t="s">
        <v>24</v>
      </c>
      <c r="AC1183" s="27"/>
      <c r="AD1183" s="31" t="s">
        <v>25</v>
      </c>
      <c r="AE1183" s="32" t="str">
        <f t="shared" si="92"/>
        <v>✓ OK</v>
      </c>
      <c r="AF1183" s="33" t="s">
        <v>27</v>
      </c>
      <c r="AG1183" s="33" t="s">
        <v>23</v>
      </c>
      <c r="AH1183" s="33" t="s">
        <v>24</v>
      </c>
      <c r="AI1183" s="33" t="s">
        <v>25</v>
      </c>
      <c r="AJ1183" s="33" t="s">
        <v>26</v>
      </c>
      <c r="AK1183" s="33" t="s">
        <v>24</v>
      </c>
      <c r="AL1183" s="27"/>
      <c r="AM1183" s="34" t="s">
        <v>25</v>
      </c>
      <c r="AN1183" s="35" t="str">
        <f t="shared" si="93"/>
        <v>✓ OK</v>
      </c>
      <c r="AO1183" s="36"/>
      <c r="AP1183" s="36"/>
      <c r="AQ1183" s="36"/>
      <c r="AR1183" s="36"/>
      <c r="AS1183" s="36"/>
      <c r="AT1183" s="36"/>
      <c r="AU1183" s="27"/>
      <c r="AV1183" s="37"/>
      <c r="AW1183" s="38" t="str">
        <f t="shared" si="94"/>
        <v/>
      </c>
    </row>
    <row r="1184" spans="1:49" ht="18" customHeight="1" x14ac:dyDescent="0.3">
      <c r="A1184" s="39">
        <v>1180</v>
      </c>
      <c r="B1184" s="40" t="s">
        <v>4209</v>
      </c>
      <c r="C1184" s="41" t="s">
        <v>4210</v>
      </c>
      <c r="D1184" s="39" t="s">
        <v>4000</v>
      </c>
      <c r="E1184" s="43">
        <v>46125</v>
      </c>
      <c r="F1184" s="26" t="s">
        <v>23</v>
      </c>
      <c r="G1184" s="26" t="s">
        <v>24</v>
      </c>
      <c r="H1184" s="26" t="s">
        <v>25</v>
      </c>
      <c r="I1184" s="26" t="s">
        <v>26</v>
      </c>
      <c r="J1184" s="26" t="s">
        <v>24</v>
      </c>
      <c r="K1184" s="27"/>
      <c r="L1184" s="28" t="s">
        <v>25</v>
      </c>
      <c r="M1184" s="29" t="str">
        <f t="shared" si="90"/>
        <v>✓ OK</v>
      </c>
      <c r="N1184" s="43">
        <v>46193</v>
      </c>
      <c r="O1184" s="26" t="s">
        <v>23</v>
      </c>
      <c r="P1184" s="26" t="s">
        <v>24</v>
      </c>
      <c r="Q1184" s="26" t="s">
        <v>25</v>
      </c>
      <c r="R1184" s="26" t="s">
        <v>26</v>
      </c>
      <c r="S1184" s="26" t="s">
        <v>24</v>
      </c>
      <c r="T1184" s="27"/>
      <c r="U1184" s="28" t="s">
        <v>25</v>
      </c>
      <c r="V1184" s="29" t="str">
        <f t="shared" si="91"/>
        <v>✓ OK</v>
      </c>
      <c r="W1184" s="45">
        <v>46248</v>
      </c>
      <c r="X1184" s="30" t="s">
        <v>23</v>
      </c>
      <c r="Y1184" s="30" t="s">
        <v>24</v>
      </c>
      <c r="Z1184" s="30" t="s">
        <v>25</v>
      </c>
      <c r="AA1184" s="30" t="s">
        <v>26</v>
      </c>
      <c r="AB1184" s="30" t="s">
        <v>24</v>
      </c>
      <c r="AC1184" s="27"/>
      <c r="AD1184" s="31" t="s">
        <v>25</v>
      </c>
      <c r="AE1184" s="32" t="str">
        <f t="shared" si="92"/>
        <v>✓ OK</v>
      </c>
      <c r="AF1184" s="33" t="s">
        <v>27</v>
      </c>
      <c r="AG1184" s="33" t="s">
        <v>23</v>
      </c>
      <c r="AH1184" s="33" t="s">
        <v>24</v>
      </c>
      <c r="AI1184" s="33" t="s">
        <v>25</v>
      </c>
      <c r="AJ1184" s="33" t="s">
        <v>26</v>
      </c>
      <c r="AK1184" s="33" t="s">
        <v>24</v>
      </c>
      <c r="AL1184" s="27"/>
      <c r="AM1184" s="34" t="s">
        <v>25</v>
      </c>
      <c r="AN1184" s="35" t="str">
        <f t="shared" si="93"/>
        <v>✓ OK</v>
      </c>
      <c r="AO1184" s="36"/>
      <c r="AP1184" s="36"/>
      <c r="AQ1184" s="36"/>
      <c r="AR1184" s="36"/>
      <c r="AS1184" s="36"/>
      <c r="AT1184" s="36"/>
      <c r="AU1184" s="27"/>
      <c r="AV1184" s="37"/>
      <c r="AW1184" s="38" t="str">
        <f t="shared" si="94"/>
        <v/>
      </c>
    </row>
    <row r="1185" spans="1:49" ht="18" customHeight="1" x14ac:dyDescent="0.3">
      <c r="A1185" s="23">
        <v>1181</v>
      </c>
      <c r="B1185" s="24" t="s">
        <v>4211</v>
      </c>
      <c r="C1185" s="25" t="s">
        <v>4212</v>
      </c>
      <c r="D1185" s="23" t="s">
        <v>4000</v>
      </c>
      <c r="E1185" s="43">
        <v>46125</v>
      </c>
      <c r="F1185" s="26" t="s">
        <v>23</v>
      </c>
      <c r="G1185" s="26" t="s">
        <v>24</v>
      </c>
      <c r="H1185" s="26" t="s">
        <v>25</v>
      </c>
      <c r="I1185" s="26" t="s">
        <v>26</v>
      </c>
      <c r="J1185" s="26" t="s">
        <v>24</v>
      </c>
      <c r="K1185" s="27"/>
      <c r="L1185" s="28" t="s">
        <v>25</v>
      </c>
      <c r="M1185" s="29" t="str">
        <f t="shared" si="90"/>
        <v>✓ OK</v>
      </c>
      <c r="N1185" s="43">
        <v>46193</v>
      </c>
      <c r="O1185" s="26" t="s">
        <v>23</v>
      </c>
      <c r="P1185" s="26" t="s">
        <v>24</v>
      </c>
      <c r="Q1185" s="26" t="s">
        <v>25</v>
      </c>
      <c r="R1185" s="26" t="s">
        <v>26</v>
      </c>
      <c r="S1185" s="26" t="s">
        <v>24</v>
      </c>
      <c r="T1185" s="27"/>
      <c r="U1185" s="28" t="s">
        <v>25</v>
      </c>
      <c r="V1185" s="29" t="str">
        <f t="shared" si="91"/>
        <v>✓ OK</v>
      </c>
      <c r="W1185" s="45">
        <v>46248</v>
      </c>
      <c r="X1185" s="30" t="s">
        <v>23</v>
      </c>
      <c r="Y1185" s="30" t="s">
        <v>24</v>
      </c>
      <c r="Z1185" s="30" t="s">
        <v>25</v>
      </c>
      <c r="AA1185" s="30" t="s">
        <v>26</v>
      </c>
      <c r="AB1185" s="30" t="s">
        <v>24</v>
      </c>
      <c r="AC1185" s="27"/>
      <c r="AD1185" s="31" t="s">
        <v>25</v>
      </c>
      <c r="AE1185" s="32" t="str">
        <f t="shared" si="92"/>
        <v>✓ OK</v>
      </c>
      <c r="AF1185" s="33" t="s">
        <v>27</v>
      </c>
      <c r="AG1185" s="33" t="s">
        <v>23</v>
      </c>
      <c r="AH1185" s="33" t="s">
        <v>24</v>
      </c>
      <c r="AI1185" s="33" t="s">
        <v>25</v>
      </c>
      <c r="AJ1185" s="33" t="s">
        <v>26</v>
      </c>
      <c r="AK1185" s="33" t="s">
        <v>24</v>
      </c>
      <c r="AL1185" s="27"/>
      <c r="AM1185" s="34" t="s">
        <v>25</v>
      </c>
      <c r="AN1185" s="35" t="str">
        <f t="shared" si="93"/>
        <v>✓ OK</v>
      </c>
      <c r="AO1185" s="36"/>
      <c r="AP1185" s="36"/>
      <c r="AQ1185" s="36"/>
      <c r="AR1185" s="36"/>
      <c r="AS1185" s="36"/>
      <c r="AT1185" s="36"/>
      <c r="AU1185" s="27"/>
      <c r="AV1185" s="37"/>
      <c r="AW1185" s="38" t="str">
        <f t="shared" si="94"/>
        <v/>
      </c>
    </row>
    <row r="1186" spans="1:49" ht="18" customHeight="1" x14ac:dyDescent="0.3">
      <c r="A1186" s="39">
        <v>1182</v>
      </c>
      <c r="B1186" s="40" t="s">
        <v>4213</v>
      </c>
      <c r="C1186" s="41" t="s">
        <v>4214</v>
      </c>
      <c r="D1186" s="39" t="s">
        <v>4000</v>
      </c>
      <c r="E1186" s="43">
        <v>46125</v>
      </c>
      <c r="F1186" s="26" t="s">
        <v>23</v>
      </c>
      <c r="G1186" s="26" t="s">
        <v>24</v>
      </c>
      <c r="H1186" s="26" t="s">
        <v>25</v>
      </c>
      <c r="I1186" s="26" t="s">
        <v>26</v>
      </c>
      <c r="J1186" s="26" t="s">
        <v>24</v>
      </c>
      <c r="K1186" s="27"/>
      <c r="L1186" s="28" t="s">
        <v>25</v>
      </c>
      <c r="M1186" s="29" t="str">
        <f t="shared" si="90"/>
        <v>✓ OK</v>
      </c>
      <c r="N1186" s="43">
        <v>46193</v>
      </c>
      <c r="O1186" s="26" t="s">
        <v>23</v>
      </c>
      <c r="P1186" s="26" t="s">
        <v>24</v>
      </c>
      <c r="Q1186" s="26" t="s">
        <v>25</v>
      </c>
      <c r="R1186" s="26" t="s">
        <v>26</v>
      </c>
      <c r="S1186" s="26" t="s">
        <v>24</v>
      </c>
      <c r="T1186" s="27"/>
      <c r="U1186" s="28" t="s">
        <v>25</v>
      </c>
      <c r="V1186" s="29" t="str">
        <f t="shared" si="91"/>
        <v>✓ OK</v>
      </c>
      <c r="W1186" s="45">
        <v>46248</v>
      </c>
      <c r="X1186" s="30" t="s">
        <v>23</v>
      </c>
      <c r="Y1186" s="30" t="s">
        <v>24</v>
      </c>
      <c r="Z1186" s="30" t="s">
        <v>25</v>
      </c>
      <c r="AA1186" s="30" t="s">
        <v>26</v>
      </c>
      <c r="AB1186" s="30" t="s">
        <v>24</v>
      </c>
      <c r="AC1186" s="27"/>
      <c r="AD1186" s="31" t="s">
        <v>25</v>
      </c>
      <c r="AE1186" s="32" t="str">
        <f t="shared" si="92"/>
        <v>✓ OK</v>
      </c>
      <c r="AF1186" s="33" t="s">
        <v>27</v>
      </c>
      <c r="AG1186" s="33" t="s">
        <v>23</v>
      </c>
      <c r="AH1186" s="33" t="s">
        <v>24</v>
      </c>
      <c r="AI1186" s="33" t="s">
        <v>25</v>
      </c>
      <c r="AJ1186" s="33" t="s">
        <v>26</v>
      </c>
      <c r="AK1186" s="33" t="s">
        <v>24</v>
      </c>
      <c r="AL1186" s="27"/>
      <c r="AM1186" s="34" t="s">
        <v>25</v>
      </c>
      <c r="AN1186" s="35" t="str">
        <f t="shared" si="93"/>
        <v>✓ OK</v>
      </c>
      <c r="AO1186" s="36"/>
      <c r="AP1186" s="36"/>
      <c r="AQ1186" s="36"/>
      <c r="AR1186" s="36"/>
      <c r="AS1186" s="36"/>
      <c r="AT1186" s="36"/>
      <c r="AU1186" s="27"/>
      <c r="AV1186" s="37"/>
      <c r="AW1186" s="38" t="str">
        <f t="shared" si="94"/>
        <v/>
      </c>
    </row>
    <row r="1187" spans="1:49" ht="18" customHeight="1" x14ac:dyDescent="0.3">
      <c r="A1187" s="23">
        <v>1183</v>
      </c>
      <c r="B1187" s="24" t="s">
        <v>4215</v>
      </c>
      <c r="C1187" s="25" t="s">
        <v>4216</v>
      </c>
      <c r="D1187" s="23" t="s">
        <v>4000</v>
      </c>
      <c r="E1187" s="43">
        <v>46125</v>
      </c>
      <c r="F1187" s="26" t="s">
        <v>23</v>
      </c>
      <c r="G1187" s="26" t="s">
        <v>24</v>
      </c>
      <c r="H1187" s="26" t="s">
        <v>25</v>
      </c>
      <c r="I1187" s="26" t="s">
        <v>26</v>
      </c>
      <c r="J1187" s="26" t="s">
        <v>24</v>
      </c>
      <c r="K1187" s="27"/>
      <c r="L1187" s="28" t="s">
        <v>25</v>
      </c>
      <c r="M1187" s="29" t="str">
        <f t="shared" si="90"/>
        <v>✓ OK</v>
      </c>
      <c r="N1187" s="43">
        <v>46193</v>
      </c>
      <c r="O1187" s="26" t="s">
        <v>23</v>
      </c>
      <c r="P1187" s="26" t="s">
        <v>24</v>
      </c>
      <c r="Q1187" s="26" t="s">
        <v>25</v>
      </c>
      <c r="R1187" s="26" t="s">
        <v>26</v>
      </c>
      <c r="S1187" s="26" t="s">
        <v>24</v>
      </c>
      <c r="T1187" s="27"/>
      <c r="U1187" s="28" t="s">
        <v>25</v>
      </c>
      <c r="V1187" s="29" t="str">
        <f t="shared" si="91"/>
        <v>✓ OK</v>
      </c>
      <c r="W1187" s="45">
        <v>46248</v>
      </c>
      <c r="X1187" s="30" t="s">
        <v>23</v>
      </c>
      <c r="Y1187" s="30" t="s">
        <v>24</v>
      </c>
      <c r="Z1187" s="30" t="s">
        <v>25</v>
      </c>
      <c r="AA1187" s="30" t="s">
        <v>26</v>
      </c>
      <c r="AB1187" s="30" t="s">
        <v>24</v>
      </c>
      <c r="AC1187" s="27"/>
      <c r="AD1187" s="31" t="s">
        <v>25</v>
      </c>
      <c r="AE1187" s="32" t="str">
        <f t="shared" si="92"/>
        <v>✓ OK</v>
      </c>
      <c r="AF1187" s="33" t="s">
        <v>27</v>
      </c>
      <c r="AG1187" s="33" t="s">
        <v>23</v>
      </c>
      <c r="AH1187" s="33" t="s">
        <v>24</v>
      </c>
      <c r="AI1187" s="33" t="s">
        <v>25</v>
      </c>
      <c r="AJ1187" s="33" t="s">
        <v>26</v>
      </c>
      <c r="AK1187" s="33" t="s">
        <v>24</v>
      </c>
      <c r="AL1187" s="27"/>
      <c r="AM1187" s="34" t="s">
        <v>25</v>
      </c>
      <c r="AN1187" s="35" t="str">
        <f t="shared" si="93"/>
        <v>✓ OK</v>
      </c>
      <c r="AO1187" s="36"/>
      <c r="AP1187" s="36"/>
      <c r="AQ1187" s="36"/>
      <c r="AR1187" s="36"/>
      <c r="AS1187" s="36"/>
      <c r="AT1187" s="36"/>
      <c r="AU1187" s="27"/>
      <c r="AV1187" s="37"/>
      <c r="AW1187" s="38" t="str">
        <f t="shared" si="94"/>
        <v/>
      </c>
    </row>
    <row r="1188" spans="1:49" ht="18" customHeight="1" x14ac:dyDescent="0.3">
      <c r="A1188" s="39">
        <v>1184</v>
      </c>
      <c r="B1188" s="40" t="s">
        <v>4217</v>
      </c>
      <c r="C1188" s="41" t="s">
        <v>4218</v>
      </c>
      <c r="D1188" s="39" t="s">
        <v>4000</v>
      </c>
      <c r="E1188" s="43">
        <v>46125</v>
      </c>
      <c r="F1188" s="26" t="s">
        <v>23</v>
      </c>
      <c r="G1188" s="26" t="s">
        <v>24</v>
      </c>
      <c r="H1188" s="26" t="s">
        <v>25</v>
      </c>
      <c r="I1188" s="26" t="s">
        <v>26</v>
      </c>
      <c r="J1188" s="26" t="s">
        <v>24</v>
      </c>
      <c r="K1188" s="27"/>
      <c r="L1188" s="28" t="s">
        <v>25</v>
      </c>
      <c r="M1188" s="29" t="str">
        <f t="shared" si="90"/>
        <v>✓ OK</v>
      </c>
      <c r="N1188" s="43">
        <v>46193</v>
      </c>
      <c r="O1188" s="26" t="s">
        <v>23</v>
      </c>
      <c r="P1188" s="26" t="s">
        <v>24</v>
      </c>
      <c r="Q1188" s="26" t="s">
        <v>25</v>
      </c>
      <c r="R1188" s="26" t="s">
        <v>26</v>
      </c>
      <c r="S1188" s="26" t="s">
        <v>24</v>
      </c>
      <c r="T1188" s="27"/>
      <c r="U1188" s="28" t="s">
        <v>25</v>
      </c>
      <c r="V1188" s="29" t="str">
        <f t="shared" si="91"/>
        <v>✓ OK</v>
      </c>
      <c r="W1188" s="45">
        <v>46248</v>
      </c>
      <c r="X1188" s="30" t="s">
        <v>23</v>
      </c>
      <c r="Y1188" s="30" t="s">
        <v>24</v>
      </c>
      <c r="Z1188" s="30" t="s">
        <v>25</v>
      </c>
      <c r="AA1188" s="30" t="s">
        <v>26</v>
      </c>
      <c r="AB1188" s="30" t="s">
        <v>24</v>
      </c>
      <c r="AC1188" s="27"/>
      <c r="AD1188" s="31" t="s">
        <v>25</v>
      </c>
      <c r="AE1188" s="32" t="str">
        <f t="shared" si="92"/>
        <v>✓ OK</v>
      </c>
      <c r="AF1188" s="33" t="s">
        <v>27</v>
      </c>
      <c r="AG1188" s="33" t="s">
        <v>23</v>
      </c>
      <c r="AH1188" s="33" t="s">
        <v>24</v>
      </c>
      <c r="AI1188" s="33" t="s">
        <v>25</v>
      </c>
      <c r="AJ1188" s="33" t="s">
        <v>26</v>
      </c>
      <c r="AK1188" s="33" t="s">
        <v>24</v>
      </c>
      <c r="AL1188" s="27"/>
      <c r="AM1188" s="34" t="s">
        <v>25</v>
      </c>
      <c r="AN1188" s="35" t="str">
        <f t="shared" si="93"/>
        <v>✓ OK</v>
      </c>
      <c r="AO1188" s="36"/>
      <c r="AP1188" s="36"/>
      <c r="AQ1188" s="36"/>
      <c r="AR1188" s="36"/>
      <c r="AS1188" s="36"/>
      <c r="AT1188" s="36"/>
      <c r="AU1188" s="27"/>
      <c r="AV1188" s="37"/>
      <c r="AW1188" s="38" t="str">
        <f t="shared" si="94"/>
        <v/>
      </c>
    </row>
    <row r="1189" spans="1:49" ht="18" customHeight="1" x14ac:dyDescent="0.3">
      <c r="A1189" s="23">
        <v>1185</v>
      </c>
      <c r="B1189" s="24" t="s">
        <v>4219</v>
      </c>
      <c r="C1189" s="25" t="s">
        <v>4220</v>
      </c>
      <c r="D1189" s="23" t="s">
        <v>4000</v>
      </c>
      <c r="E1189" s="43">
        <v>46125</v>
      </c>
      <c r="F1189" s="26" t="s">
        <v>23</v>
      </c>
      <c r="G1189" s="26" t="s">
        <v>24</v>
      </c>
      <c r="H1189" s="26" t="s">
        <v>25</v>
      </c>
      <c r="I1189" s="26" t="s">
        <v>26</v>
      </c>
      <c r="J1189" s="26" t="s">
        <v>24</v>
      </c>
      <c r="K1189" s="27"/>
      <c r="L1189" s="28" t="s">
        <v>25</v>
      </c>
      <c r="M1189" s="29" t="str">
        <f t="shared" si="90"/>
        <v>✓ OK</v>
      </c>
      <c r="N1189" s="43">
        <v>46193</v>
      </c>
      <c r="O1189" s="26" t="s">
        <v>23</v>
      </c>
      <c r="P1189" s="26" t="s">
        <v>24</v>
      </c>
      <c r="Q1189" s="26" t="s">
        <v>25</v>
      </c>
      <c r="R1189" s="26" t="s">
        <v>26</v>
      </c>
      <c r="S1189" s="26" t="s">
        <v>24</v>
      </c>
      <c r="T1189" s="27"/>
      <c r="U1189" s="28" t="s">
        <v>25</v>
      </c>
      <c r="V1189" s="29" t="str">
        <f t="shared" si="91"/>
        <v>✓ OK</v>
      </c>
      <c r="W1189" s="45">
        <v>46248</v>
      </c>
      <c r="X1189" s="30" t="s">
        <v>23</v>
      </c>
      <c r="Y1189" s="30" t="s">
        <v>24</v>
      </c>
      <c r="Z1189" s="30" t="s">
        <v>25</v>
      </c>
      <c r="AA1189" s="30" t="s">
        <v>26</v>
      </c>
      <c r="AB1189" s="30" t="s">
        <v>24</v>
      </c>
      <c r="AC1189" s="27"/>
      <c r="AD1189" s="31" t="s">
        <v>25</v>
      </c>
      <c r="AE1189" s="32" t="str">
        <f t="shared" si="92"/>
        <v>✓ OK</v>
      </c>
      <c r="AF1189" s="33" t="s">
        <v>27</v>
      </c>
      <c r="AG1189" s="33" t="s">
        <v>23</v>
      </c>
      <c r="AH1189" s="33" t="s">
        <v>24</v>
      </c>
      <c r="AI1189" s="33" t="s">
        <v>25</v>
      </c>
      <c r="AJ1189" s="33" t="s">
        <v>26</v>
      </c>
      <c r="AK1189" s="33" t="s">
        <v>24</v>
      </c>
      <c r="AL1189" s="27"/>
      <c r="AM1189" s="34" t="s">
        <v>25</v>
      </c>
      <c r="AN1189" s="35" t="str">
        <f t="shared" si="93"/>
        <v>✓ OK</v>
      </c>
      <c r="AO1189" s="36"/>
      <c r="AP1189" s="36"/>
      <c r="AQ1189" s="36"/>
      <c r="AR1189" s="36"/>
      <c r="AS1189" s="36"/>
      <c r="AT1189" s="36"/>
      <c r="AU1189" s="27"/>
      <c r="AV1189" s="37"/>
      <c r="AW1189" s="38" t="str">
        <f t="shared" si="94"/>
        <v/>
      </c>
    </row>
    <row r="1190" spans="1:49" ht="18" customHeight="1" x14ac:dyDescent="0.3">
      <c r="A1190" s="39">
        <v>1186</v>
      </c>
      <c r="B1190" s="40" t="s">
        <v>4221</v>
      </c>
      <c r="C1190" s="41" t="s">
        <v>4222</v>
      </c>
      <c r="D1190" s="39" t="s">
        <v>4000</v>
      </c>
      <c r="E1190" s="43">
        <v>46125</v>
      </c>
      <c r="F1190" s="26" t="s">
        <v>23</v>
      </c>
      <c r="G1190" s="26" t="s">
        <v>24</v>
      </c>
      <c r="H1190" s="26" t="s">
        <v>25</v>
      </c>
      <c r="I1190" s="26" t="s">
        <v>26</v>
      </c>
      <c r="J1190" s="26" t="s">
        <v>24</v>
      </c>
      <c r="K1190" s="27"/>
      <c r="L1190" s="28" t="s">
        <v>25</v>
      </c>
      <c r="M1190" s="29" t="str">
        <f t="shared" si="90"/>
        <v>✓ OK</v>
      </c>
      <c r="N1190" s="43">
        <v>46193</v>
      </c>
      <c r="O1190" s="26" t="s">
        <v>23</v>
      </c>
      <c r="P1190" s="26" t="s">
        <v>24</v>
      </c>
      <c r="Q1190" s="26" t="s">
        <v>25</v>
      </c>
      <c r="R1190" s="26" t="s">
        <v>26</v>
      </c>
      <c r="S1190" s="26" t="s">
        <v>24</v>
      </c>
      <c r="T1190" s="27"/>
      <c r="U1190" s="28" t="s">
        <v>25</v>
      </c>
      <c r="V1190" s="29" t="str">
        <f t="shared" si="91"/>
        <v>✓ OK</v>
      </c>
      <c r="W1190" s="45">
        <v>46248</v>
      </c>
      <c r="X1190" s="30" t="s">
        <v>23</v>
      </c>
      <c r="Y1190" s="30" t="s">
        <v>24</v>
      </c>
      <c r="Z1190" s="30" t="s">
        <v>25</v>
      </c>
      <c r="AA1190" s="30" t="s">
        <v>26</v>
      </c>
      <c r="AB1190" s="30" t="s">
        <v>24</v>
      </c>
      <c r="AC1190" s="27"/>
      <c r="AD1190" s="31" t="s">
        <v>25</v>
      </c>
      <c r="AE1190" s="32" t="str">
        <f t="shared" si="92"/>
        <v>✓ OK</v>
      </c>
      <c r="AF1190" s="33" t="s">
        <v>27</v>
      </c>
      <c r="AG1190" s="33" t="s">
        <v>23</v>
      </c>
      <c r="AH1190" s="33" t="s">
        <v>24</v>
      </c>
      <c r="AI1190" s="33" t="s">
        <v>25</v>
      </c>
      <c r="AJ1190" s="33" t="s">
        <v>26</v>
      </c>
      <c r="AK1190" s="33" t="s">
        <v>24</v>
      </c>
      <c r="AL1190" s="27"/>
      <c r="AM1190" s="34" t="s">
        <v>25</v>
      </c>
      <c r="AN1190" s="35" t="str">
        <f t="shared" si="93"/>
        <v>✓ OK</v>
      </c>
      <c r="AO1190" s="36"/>
      <c r="AP1190" s="36"/>
      <c r="AQ1190" s="36"/>
      <c r="AR1190" s="36"/>
      <c r="AS1190" s="36"/>
      <c r="AT1190" s="36"/>
      <c r="AU1190" s="27"/>
      <c r="AV1190" s="37"/>
      <c r="AW1190" s="38" t="str">
        <f t="shared" si="94"/>
        <v/>
      </c>
    </row>
    <row r="1191" spans="1:49" ht="18" customHeight="1" x14ac:dyDescent="0.3">
      <c r="A1191" s="23">
        <v>1187</v>
      </c>
      <c r="B1191" s="24" t="s">
        <v>4223</v>
      </c>
      <c r="C1191" s="25" t="s">
        <v>4224</v>
      </c>
      <c r="D1191" s="23" t="s">
        <v>4000</v>
      </c>
      <c r="E1191" s="43">
        <v>46125</v>
      </c>
      <c r="F1191" s="26" t="s">
        <v>23</v>
      </c>
      <c r="G1191" s="26" t="s">
        <v>24</v>
      </c>
      <c r="H1191" s="26" t="s">
        <v>25</v>
      </c>
      <c r="I1191" s="26" t="s">
        <v>26</v>
      </c>
      <c r="J1191" s="26" t="s">
        <v>24</v>
      </c>
      <c r="K1191" s="27"/>
      <c r="L1191" s="28" t="s">
        <v>25</v>
      </c>
      <c r="M1191" s="29" t="str">
        <f t="shared" si="90"/>
        <v>✓ OK</v>
      </c>
      <c r="N1191" s="43">
        <v>46193</v>
      </c>
      <c r="O1191" s="26" t="s">
        <v>23</v>
      </c>
      <c r="P1191" s="26" t="s">
        <v>24</v>
      </c>
      <c r="Q1191" s="26" t="s">
        <v>25</v>
      </c>
      <c r="R1191" s="26" t="s">
        <v>26</v>
      </c>
      <c r="S1191" s="26" t="s">
        <v>24</v>
      </c>
      <c r="T1191" s="27"/>
      <c r="U1191" s="28" t="s">
        <v>25</v>
      </c>
      <c r="V1191" s="29" t="str">
        <f t="shared" si="91"/>
        <v>✓ OK</v>
      </c>
      <c r="W1191" s="45">
        <v>46248</v>
      </c>
      <c r="X1191" s="30" t="s">
        <v>23</v>
      </c>
      <c r="Y1191" s="30" t="s">
        <v>24</v>
      </c>
      <c r="Z1191" s="30" t="s">
        <v>25</v>
      </c>
      <c r="AA1191" s="30" t="s">
        <v>26</v>
      </c>
      <c r="AB1191" s="30" t="s">
        <v>24</v>
      </c>
      <c r="AC1191" s="27"/>
      <c r="AD1191" s="31" t="s">
        <v>25</v>
      </c>
      <c r="AE1191" s="32" t="str">
        <f t="shared" si="92"/>
        <v>✓ OK</v>
      </c>
      <c r="AF1191" s="33" t="s">
        <v>27</v>
      </c>
      <c r="AG1191" s="33" t="s">
        <v>23</v>
      </c>
      <c r="AH1191" s="33" t="s">
        <v>24</v>
      </c>
      <c r="AI1191" s="33" t="s">
        <v>25</v>
      </c>
      <c r="AJ1191" s="33" t="s">
        <v>26</v>
      </c>
      <c r="AK1191" s="33" t="s">
        <v>24</v>
      </c>
      <c r="AL1191" s="27"/>
      <c r="AM1191" s="34" t="s">
        <v>25</v>
      </c>
      <c r="AN1191" s="35" t="str">
        <f t="shared" si="93"/>
        <v>✓ OK</v>
      </c>
      <c r="AO1191" s="36"/>
      <c r="AP1191" s="36"/>
      <c r="AQ1191" s="36"/>
      <c r="AR1191" s="36"/>
      <c r="AS1191" s="36"/>
      <c r="AT1191" s="36"/>
      <c r="AU1191" s="27"/>
      <c r="AV1191" s="37"/>
      <c r="AW1191" s="38" t="str">
        <f t="shared" si="94"/>
        <v/>
      </c>
    </row>
    <row r="1192" spans="1:49" ht="18" customHeight="1" x14ac:dyDescent="0.3">
      <c r="A1192" s="39">
        <v>1188</v>
      </c>
      <c r="B1192" s="40" t="s">
        <v>4225</v>
      </c>
      <c r="C1192" s="41" t="s">
        <v>4226</v>
      </c>
      <c r="D1192" s="39" t="s">
        <v>4000</v>
      </c>
      <c r="E1192" s="43">
        <v>46125</v>
      </c>
      <c r="F1192" s="26" t="s">
        <v>23</v>
      </c>
      <c r="G1192" s="26" t="s">
        <v>24</v>
      </c>
      <c r="H1192" s="26" t="s">
        <v>25</v>
      </c>
      <c r="I1192" s="26" t="s">
        <v>26</v>
      </c>
      <c r="J1192" s="26" t="s">
        <v>24</v>
      </c>
      <c r="K1192" s="27"/>
      <c r="L1192" s="28" t="s">
        <v>25</v>
      </c>
      <c r="M1192" s="29" t="str">
        <f t="shared" si="90"/>
        <v>✓ OK</v>
      </c>
      <c r="N1192" s="43">
        <v>46193</v>
      </c>
      <c r="O1192" s="26" t="s">
        <v>23</v>
      </c>
      <c r="P1192" s="26" t="s">
        <v>24</v>
      </c>
      <c r="Q1192" s="26" t="s">
        <v>25</v>
      </c>
      <c r="R1192" s="26" t="s">
        <v>26</v>
      </c>
      <c r="S1192" s="26" t="s">
        <v>24</v>
      </c>
      <c r="T1192" s="27"/>
      <c r="U1192" s="28" t="s">
        <v>25</v>
      </c>
      <c r="V1192" s="29" t="str">
        <f t="shared" si="91"/>
        <v>✓ OK</v>
      </c>
      <c r="W1192" s="45">
        <v>46248</v>
      </c>
      <c r="X1192" s="30" t="s">
        <v>23</v>
      </c>
      <c r="Y1192" s="30" t="s">
        <v>24</v>
      </c>
      <c r="Z1192" s="30" t="s">
        <v>25</v>
      </c>
      <c r="AA1192" s="30" t="s">
        <v>26</v>
      </c>
      <c r="AB1192" s="30" t="s">
        <v>24</v>
      </c>
      <c r="AC1192" s="27"/>
      <c r="AD1192" s="31" t="s">
        <v>25</v>
      </c>
      <c r="AE1192" s="32" t="str">
        <f t="shared" si="92"/>
        <v>✓ OK</v>
      </c>
      <c r="AF1192" s="33" t="s">
        <v>27</v>
      </c>
      <c r="AG1192" s="33" t="s">
        <v>23</v>
      </c>
      <c r="AH1192" s="33" t="s">
        <v>24</v>
      </c>
      <c r="AI1192" s="33" t="s">
        <v>25</v>
      </c>
      <c r="AJ1192" s="33" t="s">
        <v>26</v>
      </c>
      <c r="AK1192" s="33" t="s">
        <v>24</v>
      </c>
      <c r="AL1192" s="27"/>
      <c r="AM1192" s="34" t="s">
        <v>25</v>
      </c>
      <c r="AN1192" s="35" t="str">
        <f t="shared" si="93"/>
        <v>✓ OK</v>
      </c>
      <c r="AO1192" s="36"/>
      <c r="AP1192" s="36"/>
      <c r="AQ1192" s="36"/>
      <c r="AR1192" s="36"/>
      <c r="AS1192" s="36"/>
      <c r="AT1192" s="36"/>
      <c r="AU1192" s="27"/>
      <c r="AV1192" s="37"/>
      <c r="AW1192" s="38" t="str">
        <f t="shared" si="94"/>
        <v/>
      </c>
    </row>
    <row r="1193" spans="1:49" ht="18" customHeight="1" x14ac:dyDescent="0.3">
      <c r="A1193" s="23">
        <v>1189</v>
      </c>
      <c r="B1193" s="24" t="s">
        <v>4227</v>
      </c>
      <c r="C1193" s="25" t="s">
        <v>4228</v>
      </c>
      <c r="D1193" s="23" t="s">
        <v>4000</v>
      </c>
      <c r="E1193" s="43">
        <v>46125</v>
      </c>
      <c r="F1193" s="26" t="s">
        <v>23</v>
      </c>
      <c r="G1193" s="26" t="s">
        <v>24</v>
      </c>
      <c r="H1193" s="26" t="s">
        <v>25</v>
      </c>
      <c r="I1193" s="26" t="s">
        <v>26</v>
      </c>
      <c r="J1193" s="26" t="s">
        <v>24</v>
      </c>
      <c r="K1193" s="27"/>
      <c r="L1193" s="28" t="s">
        <v>25</v>
      </c>
      <c r="M1193" s="29" t="str">
        <f t="shared" si="90"/>
        <v>✓ OK</v>
      </c>
      <c r="N1193" s="43">
        <v>46193</v>
      </c>
      <c r="O1193" s="26" t="s">
        <v>23</v>
      </c>
      <c r="P1193" s="26" t="s">
        <v>24</v>
      </c>
      <c r="Q1193" s="26" t="s">
        <v>25</v>
      </c>
      <c r="R1193" s="26" t="s">
        <v>26</v>
      </c>
      <c r="S1193" s="26" t="s">
        <v>24</v>
      </c>
      <c r="T1193" s="27"/>
      <c r="U1193" s="28" t="s">
        <v>25</v>
      </c>
      <c r="V1193" s="29" t="str">
        <f t="shared" si="91"/>
        <v>✓ OK</v>
      </c>
      <c r="W1193" s="45">
        <v>46248</v>
      </c>
      <c r="X1193" s="30" t="s">
        <v>23</v>
      </c>
      <c r="Y1193" s="30" t="s">
        <v>24</v>
      </c>
      <c r="Z1193" s="30" t="s">
        <v>25</v>
      </c>
      <c r="AA1193" s="30" t="s">
        <v>26</v>
      </c>
      <c r="AB1193" s="30" t="s">
        <v>24</v>
      </c>
      <c r="AC1193" s="27"/>
      <c r="AD1193" s="31" t="s">
        <v>25</v>
      </c>
      <c r="AE1193" s="32" t="str">
        <f t="shared" si="92"/>
        <v>✓ OK</v>
      </c>
      <c r="AF1193" s="33" t="s">
        <v>27</v>
      </c>
      <c r="AG1193" s="33" t="s">
        <v>23</v>
      </c>
      <c r="AH1193" s="33" t="s">
        <v>24</v>
      </c>
      <c r="AI1193" s="33" t="s">
        <v>25</v>
      </c>
      <c r="AJ1193" s="33" t="s">
        <v>26</v>
      </c>
      <c r="AK1193" s="33" t="s">
        <v>24</v>
      </c>
      <c r="AL1193" s="27"/>
      <c r="AM1193" s="34" t="s">
        <v>25</v>
      </c>
      <c r="AN1193" s="35" t="str">
        <f t="shared" si="93"/>
        <v>✓ OK</v>
      </c>
      <c r="AO1193" s="36"/>
      <c r="AP1193" s="36"/>
      <c r="AQ1193" s="36"/>
      <c r="AR1193" s="36"/>
      <c r="AS1193" s="36"/>
      <c r="AT1193" s="36"/>
      <c r="AU1193" s="27"/>
      <c r="AV1193" s="37"/>
      <c r="AW1193" s="38" t="str">
        <f t="shared" si="94"/>
        <v/>
      </c>
    </row>
    <row r="1194" spans="1:49" ht="18" customHeight="1" x14ac:dyDescent="0.3">
      <c r="A1194" s="39">
        <v>1190</v>
      </c>
      <c r="B1194" s="40" t="s">
        <v>4229</v>
      </c>
      <c r="C1194" s="41" t="s">
        <v>4230</v>
      </c>
      <c r="D1194" s="39" t="s">
        <v>4000</v>
      </c>
      <c r="E1194" s="43">
        <v>46125</v>
      </c>
      <c r="F1194" s="26" t="s">
        <v>23</v>
      </c>
      <c r="G1194" s="26" t="s">
        <v>24</v>
      </c>
      <c r="H1194" s="26" t="s">
        <v>25</v>
      </c>
      <c r="I1194" s="26" t="s">
        <v>26</v>
      </c>
      <c r="J1194" s="26" t="s">
        <v>24</v>
      </c>
      <c r="K1194" s="27"/>
      <c r="L1194" s="28" t="s">
        <v>25</v>
      </c>
      <c r="M1194" s="29" t="str">
        <f t="shared" si="90"/>
        <v>✓ OK</v>
      </c>
      <c r="N1194" s="43">
        <v>46193</v>
      </c>
      <c r="O1194" s="26" t="s">
        <v>23</v>
      </c>
      <c r="P1194" s="26" t="s">
        <v>24</v>
      </c>
      <c r="Q1194" s="26" t="s">
        <v>25</v>
      </c>
      <c r="R1194" s="26" t="s">
        <v>26</v>
      </c>
      <c r="S1194" s="26" t="s">
        <v>24</v>
      </c>
      <c r="T1194" s="27"/>
      <c r="U1194" s="28" t="s">
        <v>25</v>
      </c>
      <c r="V1194" s="29" t="str">
        <f t="shared" si="91"/>
        <v>✓ OK</v>
      </c>
      <c r="W1194" s="45">
        <v>46248</v>
      </c>
      <c r="X1194" s="30" t="s">
        <v>23</v>
      </c>
      <c r="Y1194" s="30" t="s">
        <v>24</v>
      </c>
      <c r="Z1194" s="30" t="s">
        <v>25</v>
      </c>
      <c r="AA1194" s="30" t="s">
        <v>26</v>
      </c>
      <c r="AB1194" s="30" t="s">
        <v>24</v>
      </c>
      <c r="AC1194" s="27"/>
      <c r="AD1194" s="31" t="s">
        <v>25</v>
      </c>
      <c r="AE1194" s="32" t="str">
        <f t="shared" si="92"/>
        <v>✓ OK</v>
      </c>
      <c r="AF1194" s="33" t="s">
        <v>27</v>
      </c>
      <c r="AG1194" s="33" t="s">
        <v>23</v>
      </c>
      <c r="AH1194" s="33" t="s">
        <v>24</v>
      </c>
      <c r="AI1194" s="33" t="s">
        <v>25</v>
      </c>
      <c r="AJ1194" s="33" t="s">
        <v>26</v>
      </c>
      <c r="AK1194" s="33" t="s">
        <v>24</v>
      </c>
      <c r="AL1194" s="27"/>
      <c r="AM1194" s="34" t="s">
        <v>25</v>
      </c>
      <c r="AN1194" s="35" t="str">
        <f t="shared" si="93"/>
        <v>✓ OK</v>
      </c>
      <c r="AO1194" s="36"/>
      <c r="AP1194" s="36"/>
      <c r="AQ1194" s="36"/>
      <c r="AR1194" s="36"/>
      <c r="AS1194" s="36"/>
      <c r="AT1194" s="36"/>
      <c r="AU1194" s="27"/>
      <c r="AV1194" s="37"/>
      <c r="AW1194" s="38" t="str">
        <f t="shared" si="94"/>
        <v/>
      </c>
    </row>
    <row r="1195" spans="1:49" ht="18" customHeight="1" x14ac:dyDescent="0.3">
      <c r="A1195" s="23">
        <v>1191</v>
      </c>
      <c r="B1195" s="24" t="s">
        <v>4231</v>
      </c>
      <c r="C1195" s="25" t="s">
        <v>4232</v>
      </c>
      <c r="D1195" s="23" t="s">
        <v>4000</v>
      </c>
      <c r="E1195" s="43">
        <v>46125</v>
      </c>
      <c r="F1195" s="26" t="s">
        <v>23</v>
      </c>
      <c r="G1195" s="26" t="s">
        <v>24</v>
      </c>
      <c r="H1195" s="26" t="s">
        <v>25</v>
      </c>
      <c r="I1195" s="26" t="s">
        <v>26</v>
      </c>
      <c r="J1195" s="26" t="s">
        <v>24</v>
      </c>
      <c r="K1195" s="27"/>
      <c r="L1195" s="28" t="s">
        <v>25</v>
      </c>
      <c r="M1195" s="29" t="str">
        <f t="shared" si="90"/>
        <v>✓ OK</v>
      </c>
      <c r="N1195" s="43">
        <v>46193</v>
      </c>
      <c r="O1195" s="26" t="s">
        <v>23</v>
      </c>
      <c r="P1195" s="26" t="s">
        <v>24</v>
      </c>
      <c r="Q1195" s="26" t="s">
        <v>25</v>
      </c>
      <c r="R1195" s="26" t="s">
        <v>26</v>
      </c>
      <c r="S1195" s="26" t="s">
        <v>24</v>
      </c>
      <c r="T1195" s="27"/>
      <c r="U1195" s="28" t="s">
        <v>25</v>
      </c>
      <c r="V1195" s="29" t="str">
        <f t="shared" si="91"/>
        <v>✓ OK</v>
      </c>
      <c r="W1195" s="45">
        <v>46248</v>
      </c>
      <c r="X1195" s="30" t="s">
        <v>23</v>
      </c>
      <c r="Y1195" s="30" t="s">
        <v>24</v>
      </c>
      <c r="Z1195" s="30" t="s">
        <v>25</v>
      </c>
      <c r="AA1195" s="30" t="s">
        <v>26</v>
      </c>
      <c r="AB1195" s="30" t="s">
        <v>24</v>
      </c>
      <c r="AC1195" s="27"/>
      <c r="AD1195" s="31" t="s">
        <v>25</v>
      </c>
      <c r="AE1195" s="32" t="str">
        <f t="shared" si="92"/>
        <v>✓ OK</v>
      </c>
      <c r="AF1195" s="33" t="s">
        <v>27</v>
      </c>
      <c r="AG1195" s="33" t="s">
        <v>23</v>
      </c>
      <c r="AH1195" s="33" t="s">
        <v>24</v>
      </c>
      <c r="AI1195" s="33" t="s">
        <v>25</v>
      </c>
      <c r="AJ1195" s="33" t="s">
        <v>26</v>
      </c>
      <c r="AK1195" s="33" t="s">
        <v>24</v>
      </c>
      <c r="AL1195" s="27"/>
      <c r="AM1195" s="34" t="s">
        <v>25</v>
      </c>
      <c r="AN1195" s="35" t="str">
        <f t="shared" si="93"/>
        <v>✓ OK</v>
      </c>
      <c r="AO1195" s="36"/>
      <c r="AP1195" s="36"/>
      <c r="AQ1195" s="36"/>
      <c r="AR1195" s="36"/>
      <c r="AS1195" s="36"/>
      <c r="AT1195" s="36"/>
      <c r="AU1195" s="27"/>
      <c r="AV1195" s="37"/>
      <c r="AW1195" s="38" t="str">
        <f t="shared" si="94"/>
        <v/>
      </c>
    </row>
    <row r="1196" spans="1:49" ht="18" customHeight="1" x14ac:dyDescent="0.3">
      <c r="A1196" s="39">
        <v>1192</v>
      </c>
      <c r="B1196" s="40" t="s">
        <v>4233</v>
      </c>
      <c r="C1196" s="41" t="s">
        <v>4234</v>
      </c>
      <c r="D1196" s="39" t="s">
        <v>4000</v>
      </c>
      <c r="E1196" s="43">
        <v>46125</v>
      </c>
      <c r="F1196" s="26" t="s">
        <v>23</v>
      </c>
      <c r="G1196" s="26" t="s">
        <v>24</v>
      </c>
      <c r="H1196" s="26" t="s">
        <v>25</v>
      </c>
      <c r="I1196" s="26" t="s">
        <v>26</v>
      </c>
      <c r="J1196" s="26" t="s">
        <v>24</v>
      </c>
      <c r="K1196" s="27"/>
      <c r="L1196" s="28" t="s">
        <v>25</v>
      </c>
      <c r="M1196" s="29" t="str">
        <f t="shared" si="90"/>
        <v>✓ OK</v>
      </c>
      <c r="N1196" s="43">
        <v>46193</v>
      </c>
      <c r="O1196" s="26" t="s">
        <v>23</v>
      </c>
      <c r="P1196" s="26" t="s">
        <v>24</v>
      </c>
      <c r="Q1196" s="26" t="s">
        <v>25</v>
      </c>
      <c r="R1196" s="26" t="s">
        <v>26</v>
      </c>
      <c r="S1196" s="26" t="s">
        <v>24</v>
      </c>
      <c r="T1196" s="27"/>
      <c r="U1196" s="28" t="s">
        <v>25</v>
      </c>
      <c r="V1196" s="29" t="str">
        <f t="shared" si="91"/>
        <v>✓ OK</v>
      </c>
      <c r="W1196" s="45">
        <v>46248</v>
      </c>
      <c r="X1196" s="30" t="s">
        <v>23</v>
      </c>
      <c r="Y1196" s="30" t="s">
        <v>24</v>
      </c>
      <c r="Z1196" s="30" t="s">
        <v>25</v>
      </c>
      <c r="AA1196" s="30" t="s">
        <v>26</v>
      </c>
      <c r="AB1196" s="30" t="s">
        <v>24</v>
      </c>
      <c r="AC1196" s="27"/>
      <c r="AD1196" s="31" t="s">
        <v>25</v>
      </c>
      <c r="AE1196" s="32" t="str">
        <f t="shared" si="92"/>
        <v>✓ OK</v>
      </c>
      <c r="AF1196" s="33" t="s">
        <v>27</v>
      </c>
      <c r="AG1196" s="33" t="s">
        <v>23</v>
      </c>
      <c r="AH1196" s="33" t="s">
        <v>24</v>
      </c>
      <c r="AI1196" s="33" t="s">
        <v>25</v>
      </c>
      <c r="AJ1196" s="33" t="s">
        <v>26</v>
      </c>
      <c r="AK1196" s="33" t="s">
        <v>24</v>
      </c>
      <c r="AL1196" s="27"/>
      <c r="AM1196" s="34" t="s">
        <v>25</v>
      </c>
      <c r="AN1196" s="35" t="str">
        <f t="shared" si="93"/>
        <v>✓ OK</v>
      </c>
      <c r="AO1196" s="36"/>
      <c r="AP1196" s="36"/>
      <c r="AQ1196" s="36"/>
      <c r="AR1196" s="36"/>
      <c r="AS1196" s="36"/>
      <c r="AT1196" s="36"/>
      <c r="AU1196" s="27"/>
      <c r="AV1196" s="37"/>
      <c r="AW1196" s="38" t="str">
        <f t="shared" si="94"/>
        <v/>
      </c>
    </row>
    <row r="1197" spans="1:49" ht="18" customHeight="1" x14ac:dyDescent="0.3">
      <c r="A1197" s="23">
        <v>1193</v>
      </c>
      <c r="B1197" s="24" t="s">
        <v>4235</v>
      </c>
      <c r="C1197" s="25" t="s">
        <v>4236</v>
      </c>
      <c r="D1197" s="23" t="s">
        <v>4000</v>
      </c>
      <c r="E1197" s="43">
        <v>46125</v>
      </c>
      <c r="F1197" s="26" t="s">
        <v>23</v>
      </c>
      <c r="G1197" s="26" t="s">
        <v>24</v>
      </c>
      <c r="H1197" s="26" t="s">
        <v>25</v>
      </c>
      <c r="I1197" s="26" t="s">
        <v>26</v>
      </c>
      <c r="J1197" s="26" t="s">
        <v>24</v>
      </c>
      <c r="K1197" s="27"/>
      <c r="L1197" s="28" t="s">
        <v>25</v>
      </c>
      <c r="M1197" s="29" t="str">
        <f t="shared" si="90"/>
        <v>✓ OK</v>
      </c>
      <c r="N1197" s="43">
        <v>46193</v>
      </c>
      <c r="O1197" s="26" t="s">
        <v>23</v>
      </c>
      <c r="P1197" s="26" t="s">
        <v>24</v>
      </c>
      <c r="Q1197" s="26" t="s">
        <v>25</v>
      </c>
      <c r="R1197" s="26" t="s">
        <v>26</v>
      </c>
      <c r="S1197" s="26" t="s">
        <v>24</v>
      </c>
      <c r="T1197" s="27"/>
      <c r="U1197" s="28" t="s">
        <v>25</v>
      </c>
      <c r="V1197" s="29" t="str">
        <f t="shared" si="91"/>
        <v>✓ OK</v>
      </c>
      <c r="W1197" s="45">
        <v>46248</v>
      </c>
      <c r="X1197" s="30" t="s">
        <v>23</v>
      </c>
      <c r="Y1197" s="30" t="s">
        <v>24</v>
      </c>
      <c r="Z1197" s="30" t="s">
        <v>25</v>
      </c>
      <c r="AA1197" s="30" t="s">
        <v>26</v>
      </c>
      <c r="AB1197" s="30" t="s">
        <v>24</v>
      </c>
      <c r="AC1197" s="27"/>
      <c r="AD1197" s="31" t="s">
        <v>25</v>
      </c>
      <c r="AE1197" s="32" t="str">
        <f t="shared" si="92"/>
        <v>✓ OK</v>
      </c>
      <c r="AF1197" s="33" t="s">
        <v>27</v>
      </c>
      <c r="AG1197" s="33" t="s">
        <v>23</v>
      </c>
      <c r="AH1197" s="33" t="s">
        <v>24</v>
      </c>
      <c r="AI1197" s="33" t="s">
        <v>25</v>
      </c>
      <c r="AJ1197" s="33" t="s">
        <v>26</v>
      </c>
      <c r="AK1197" s="33" t="s">
        <v>24</v>
      </c>
      <c r="AL1197" s="27"/>
      <c r="AM1197" s="34" t="s">
        <v>25</v>
      </c>
      <c r="AN1197" s="35" t="str">
        <f t="shared" si="93"/>
        <v>✓ OK</v>
      </c>
      <c r="AO1197" s="36"/>
      <c r="AP1197" s="36"/>
      <c r="AQ1197" s="36"/>
      <c r="AR1197" s="36"/>
      <c r="AS1197" s="36"/>
      <c r="AT1197" s="36"/>
      <c r="AU1197" s="27"/>
      <c r="AV1197" s="37"/>
      <c r="AW1197" s="38" t="str">
        <f t="shared" si="94"/>
        <v/>
      </c>
    </row>
    <row r="1198" spans="1:49" ht="18" customHeight="1" x14ac:dyDescent="0.3">
      <c r="A1198" s="39">
        <v>1194</v>
      </c>
      <c r="B1198" s="40" t="s">
        <v>4237</v>
      </c>
      <c r="C1198" s="41" t="s">
        <v>4238</v>
      </c>
      <c r="D1198" s="39" t="s">
        <v>4000</v>
      </c>
      <c r="E1198" s="43">
        <v>46125</v>
      </c>
      <c r="F1198" s="26" t="s">
        <v>23</v>
      </c>
      <c r="G1198" s="26" t="s">
        <v>24</v>
      </c>
      <c r="H1198" s="26" t="s">
        <v>25</v>
      </c>
      <c r="I1198" s="26" t="s">
        <v>26</v>
      </c>
      <c r="J1198" s="26" t="s">
        <v>24</v>
      </c>
      <c r="K1198" s="27"/>
      <c r="L1198" s="28" t="s">
        <v>25</v>
      </c>
      <c r="M1198" s="29" t="str">
        <f t="shared" si="90"/>
        <v>✓ OK</v>
      </c>
      <c r="N1198" s="43">
        <v>46193</v>
      </c>
      <c r="O1198" s="26" t="s">
        <v>23</v>
      </c>
      <c r="P1198" s="26" t="s">
        <v>24</v>
      </c>
      <c r="Q1198" s="26" t="s">
        <v>25</v>
      </c>
      <c r="R1198" s="26" t="s">
        <v>26</v>
      </c>
      <c r="S1198" s="26" t="s">
        <v>24</v>
      </c>
      <c r="T1198" s="27"/>
      <c r="U1198" s="28" t="s">
        <v>25</v>
      </c>
      <c r="V1198" s="29" t="str">
        <f t="shared" si="91"/>
        <v>✓ OK</v>
      </c>
      <c r="W1198" s="45">
        <v>46248</v>
      </c>
      <c r="X1198" s="30" t="s">
        <v>23</v>
      </c>
      <c r="Y1198" s="30" t="s">
        <v>24</v>
      </c>
      <c r="Z1198" s="30" t="s">
        <v>25</v>
      </c>
      <c r="AA1198" s="30" t="s">
        <v>26</v>
      </c>
      <c r="AB1198" s="30" t="s">
        <v>24</v>
      </c>
      <c r="AC1198" s="27"/>
      <c r="AD1198" s="31" t="s">
        <v>25</v>
      </c>
      <c r="AE1198" s="32" t="str">
        <f t="shared" si="92"/>
        <v>✓ OK</v>
      </c>
      <c r="AF1198" s="33" t="s">
        <v>27</v>
      </c>
      <c r="AG1198" s="33" t="s">
        <v>23</v>
      </c>
      <c r="AH1198" s="33" t="s">
        <v>24</v>
      </c>
      <c r="AI1198" s="33" t="s">
        <v>25</v>
      </c>
      <c r="AJ1198" s="33" t="s">
        <v>26</v>
      </c>
      <c r="AK1198" s="33" t="s">
        <v>24</v>
      </c>
      <c r="AL1198" s="27"/>
      <c r="AM1198" s="34" t="s">
        <v>25</v>
      </c>
      <c r="AN1198" s="35" t="str">
        <f t="shared" si="93"/>
        <v>✓ OK</v>
      </c>
      <c r="AO1198" s="36"/>
      <c r="AP1198" s="36"/>
      <c r="AQ1198" s="36"/>
      <c r="AR1198" s="36"/>
      <c r="AS1198" s="36"/>
      <c r="AT1198" s="36"/>
      <c r="AU1198" s="27"/>
      <c r="AV1198" s="37"/>
      <c r="AW1198" s="38" t="str">
        <f t="shared" si="94"/>
        <v/>
      </c>
    </row>
    <row r="1199" spans="1:49" ht="18" customHeight="1" x14ac:dyDescent="0.3">
      <c r="A1199" s="23">
        <v>1195</v>
      </c>
      <c r="B1199" s="24" t="s">
        <v>4239</v>
      </c>
      <c r="C1199" s="25" t="s">
        <v>4240</v>
      </c>
      <c r="D1199" s="23" t="s">
        <v>4000</v>
      </c>
      <c r="E1199" s="43">
        <v>46125</v>
      </c>
      <c r="F1199" s="26" t="s">
        <v>23</v>
      </c>
      <c r="G1199" s="26" t="s">
        <v>24</v>
      </c>
      <c r="H1199" s="26" t="s">
        <v>25</v>
      </c>
      <c r="I1199" s="26" t="s">
        <v>26</v>
      </c>
      <c r="J1199" s="26" t="s">
        <v>24</v>
      </c>
      <c r="K1199" s="27"/>
      <c r="L1199" s="28" t="s">
        <v>25</v>
      </c>
      <c r="M1199" s="29" t="str">
        <f t="shared" si="90"/>
        <v>✓ OK</v>
      </c>
      <c r="N1199" s="43">
        <v>46193</v>
      </c>
      <c r="O1199" s="26" t="s">
        <v>23</v>
      </c>
      <c r="P1199" s="26" t="s">
        <v>24</v>
      </c>
      <c r="Q1199" s="26" t="s">
        <v>25</v>
      </c>
      <c r="R1199" s="26" t="s">
        <v>26</v>
      </c>
      <c r="S1199" s="26" t="s">
        <v>24</v>
      </c>
      <c r="T1199" s="27"/>
      <c r="U1199" s="28" t="s">
        <v>25</v>
      </c>
      <c r="V1199" s="29" t="str">
        <f t="shared" si="91"/>
        <v>✓ OK</v>
      </c>
      <c r="W1199" s="45">
        <v>46248</v>
      </c>
      <c r="X1199" s="30" t="s">
        <v>23</v>
      </c>
      <c r="Y1199" s="30" t="s">
        <v>24</v>
      </c>
      <c r="Z1199" s="30" t="s">
        <v>25</v>
      </c>
      <c r="AA1199" s="30" t="s">
        <v>26</v>
      </c>
      <c r="AB1199" s="30" t="s">
        <v>24</v>
      </c>
      <c r="AC1199" s="27"/>
      <c r="AD1199" s="31" t="s">
        <v>25</v>
      </c>
      <c r="AE1199" s="32" t="str">
        <f t="shared" si="92"/>
        <v>✓ OK</v>
      </c>
      <c r="AF1199" s="33" t="s">
        <v>27</v>
      </c>
      <c r="AG1199" s="33" t="s">
        <v>23</v>
      </c>
      <c r="AH1199" s="33" t="s">
        <v>24</v>
      </c>
      <c r="AI1199" s="33" t="s">
        <v>25</v>
      </c>
      <c r="AJ1199" s="33" t="s">
        <v>26</v>
      </c>
      <c r="AK1199" s="33" t="s">
        <v>24</v>
      </c>
      <c r="AL1199" s="27"/>
      <c r="AM1199" s="34" t="s">
        <v>25</v>
      </c>
      <c r="AN1199" s="35" t="str">
        <f t="shared" si="93"/>
        <v>✓ OK</v>
      </c>
      <c r="AO1199" s="36"/>
      <c r="AP1199" s="36"/>
      <c r="AQ1199" s="36"/>
      <c r="AR1199" s="36"/>
      <c r="AS1199" s="36"/>
      <c r="AT1199" s="36"/>
      <c r="AU1199" s="27"/>
      <c r="AV1199" s="37"/>
      <c r="AW1199" s="38" t="str">
        <f t="shared" si="94"/>
        <v/>
      </c>
    </row>
    <row r="1200" spans="1:49" ht="18" customHeight="1" x14ac:dyDescent="0.3">
      <c r="A1200" s="39">
        <v>1196</v>
      </c>
      <c r="B1200" s="40" t="s">
        <v>4241</v>
      </c>
      <c r="C1200" s="41" t="s">
        <v>4242</v>
      </c>
      <c r="D1200" s="39" t="s">
        <v>4000</v>
      </c>
      <c r="E1200" s="43">
        <v>46125</v>
      </c>
      <c r="F1200" s="26" t="s">
        <v>23</v>
      </c>
      <c r="G1200" s="26" t="s">
        <v>24</v>
      </c>
      <c r="H1200" s="26" t="s">
        <v>25</v>
      </c>
      <c r="I1200" s="26" t="s">
        <v>26</v>
      </c>
      <c r="J1200" s="26" t="s">
        <v>24</v>
      </c>
      <c r="K1200" s="27"/>
      <c r="L1200" s="28" t="s">
        <v>25</v>
      </c>
      <c r="M1200" s="29" t="str">
        <f t="shared" si="90"/>
        <v>✓ OK</v>
      </c>
      <c r="N1200" s="43">
        <v>46193</v>
      </c>
      <c r="O1200" s="26" t="s">
        <v>23</v>
      </c>
      <c r="P1200" s="26" t="s">
        <v>24</v>
      </c>
      <c r="Q1200" s="26" t="s">
        <v>25</v>
      </c>
      <c r="R1200" s="26" t="s">
        <v>26</v>
      </c>
      <c r="S1200" s="26" t="s">
        <v>24</v>
      </c>
      <c r="T1200" s="27"/>
      <c r="U1200" s="28" t="s">
        <v>25</v>
      </c>
      <c r="V1200" s="29" t="str">
        <f t="shared" si="91"/>
        <v>✓ OK</v>
      </c>
      <c r="W1200" s="45">
        <v>46248</v>
      </c>
      <c r="X1200" s="30" t="s">
        <v>23</v>
      </c>
      <c r="Y1200" s="30" t="s">
        <v>24</v>
      </c>
      <c r="Z1200" s="30" t="s">
        <v>25</v>
      </c>
      <c r="AA1200" s="30" t="s">
        <v>26</v>
      </c>
      <c r="AB1200" s="30" t="s">
        <v>24</v>
      </c>
      <c r="AC1200" s="27"/>
      <c r="AD1200" s="31" t="s">
        <v>25</v>
      </c>
      <c r="AE1200" s="32" t="str">
        <f t="shared" si="92"/>
        <v>✓ OK</v>
      </c>
      <c r="AF1200" s="33" t="s">
        <v>27</v>
      </c>
      <c r="AG1200" s="33" t="s">
        <v>23</v>
      </c>
      <c r="AH1200" s="33" t="s">
        <v>24</v>
      </c>
      <c r="AI1200" s="33" t="s">
        <v>25</v>
      </c>
      <c r="AJ1200" s="33" t="s">
        <v>26</v>
      </c>
      <c r="AK1200" s="33" t="s">
        <v>24</v>
      </c>
      <c r="AL1200" s="27"/>
      <c r="AM1200" s="34" t="s">
        <v>25</v>
      </c>
      <c r="AN1200" s="35" t="str">
        <f t="shared" si="93"/>
        <v>✓ OK</v>
      </c>
      <c r="AO1200" s="36"/>
      <c r="AP1200" s="36"/>
      <c r="AQ1200" s="36"/>
      <c r="AR1200" s="36"/>
      <c r="AS1200" s="36"/>
      <c r="AT1200" s="36"/>
      <c r="AU1200" s="27"/>
      <c r="AV1200" s="37"/>
      <c r="AW1200" s="38" t="str">
        <f t="shared" si="94"/>
        <v/>
      </c>
    </row>
    <row r="1201" spans="1:49" ht="18" customHeight="1" x14ac:dyDescent="0.3">
      <c r="A1201" s="23">
        <v>1197</v>
      </c>
      <c r="B1201" s="24" t="s">
        <v>4243</v>
      </c>
      <c r="C1201" s="25" t="s">
        <v>4244</v>
      </c>
      <c r="D1201" s="23" t="s">
        <v>4000</v>
      </c>
      <c r="E1201" s="43">
        <v>46125</v>
      </c>
      <c r="F1201" s="26" t="s">
        <v>23</v>
      </c>
      <c r="G1201" s="26" t="s">
        <v>24</v>
      </c>
      <c r="H1201" s="26" t="s">
        <v>25</v>
      </c>
      <c r="I1201" s="26" t="s">
        <v>26</v>
      </c>
      <c r="J1201" s="26" t="s">
        <v>24</v>
      </c>
      <c r="K1201" s="27"/>
      <c r="L1201" s="28" t="s">
        <v>25</v>
      </c>
      <c r="M1201" s="29" t="str">
        <f t="shared" si="90"/>
        <v>✓ OK</v>
      </c>
      <c r="N1201" s="43">
        <v>46193</v>
      </c>
      <c r="O1201" s="26" t="s">
        <v>23</v>
      </c>
      <c r="P1201" s="26" t="s">
        <v>24</v>
      </c>
      <c r="Q1201" s="26" t="s">
        <v>25</v>
      </c>
      <c r="R1201" s="26" t="s">
        <v>26</v>
      </c>
      <c r="S1201" s="26" t="s">
        <v>24</v>
      </c>
      <c r="T1201" s="27"/>
      <c r="U1201" s="28" t="s">
        <v>25</v>
      </c>
      <c r="V1201" s="29" t="str">
        <f t="shared" si="91"/>
        <v>✓ OK</v>
      </c>
      <c r="W1201" s="45">
        <v>46248</v>
      </c>
      <c r="X1201" s="30" t="s">
        <v>23</v>
      </c>
      <c r="Y1201" s="30" t="s">
        <v>24</v>
      </c>
      <c r="Z1201" s="30" t="s">
        <v>25</v>
      </c>
      <c r="AA1201" s="30" t="s">
        <v>26</v>
      </c>
      <c r="AB1201" s="30" t="s">
        <v>24</v>
      </c>
      <c r="AC1201" s="27"/>
      <c r="AD1201" s="31" t="s">
        <v>25</v>
      </c>
      <c r="AE1201" s="32" t="str">
        <f t="shared" si="92"/>
        <v>✓ OK</v>
      </c>
      <c r="AF1201" s="33" t="s">
        <v>27</v>
      </c>
      <c r="AG1201" s="33" t="s">
        <v>23</v>
      </c>
      <c r="AH1201" s="33" t="s">
        <v>24</v>
      </c>
      <c r="AI1201" s="33" t="s">
        <v>25</v>
      </c>
      <c r="AJ1201" s="33" t="s">
        <v>26</v>
      </c>
      <c r="AK1201" s="33" t="s">
        <v>24</v>
      </c>
      <c r="AL1201" s="27"/>
      <c r="AM1201" s="34" t="s">
        <v>25</v>
      </c>
      <c r="AN1201" s="35" t="str">
        <f t="shared" si="93"/>
        <v>✓ OK</v>
      </c>
      <c r="AO1201" s="36"/>
      <c r="AP1201" s="36"/>
      <c r="AQ1201" s="36"/>
      <c r="AR1201" s="36"/>
      <c r="AS1201" s="36"/>
      <c r="AT1201" s="36"/>
      <c r="AU1201" s="27"/>
      <c r="AV1201" s="37"/>
      <c r="AW1201" s="38" t="str">
        <f t="shared" si="94"/>
        <v/>
      </c>
    </row>
    <row r="1202" spans="1:49" ht="18" customHeight="1" x14ac:dyDescent="0.3">
      <c r="A1202" s="39">
        <v>1198</v>
      </c>
      <c r="B1202" s="40" t="s">
        <v>4245</v>
      </c>
      <c r="C1202" s="41" t="s">
        <v>4246</v>
      </c>
      <c r="D1202" s="39" t="s">
        <v>4000</v>
      </c>
      <c r="E1202" s="43">
        <v>46125</v>
      </c>
      <c r="F1202" s="26" t="s">
        <v>23</v>
      </c>
      <c r="G1202" s="26" t="s">
        <v>24</v>
      </c>
      <c r="H1202" s="26" t="s">
        <v>25</v>
      </c>
      <c r="I1202" s="26" t="s">
        <v>26</v>
      </c>
      <c r="J1202" s="26" t="s">
        <v>24</v>
      </c>
      <c r="K1202" s="27"/>
      <c r="L1202" s="28" t="s">
        <v>25</v>
      </c>
      <c r="M1202" s="29" t="str">
        <f t="shared" si="90"/>
        <v>✓ OK</v>
      </c>
      <c r="N1202" s="43">
        <v>46193</v>
      </c>
      <c r="O1202" s="26" t="s">
        <v>23</v>
      </c>
      <c r="P1202" s="26" t="s">
        <v>24</v>
      </c>
      <c r="Q1202" s="26" t="s">
        <v>25</v>
      </c>
      <c r="R1202" s="26" t="s">
        <v>26</v>
      </c>
      <c r="S1202" s="26" t="s">
        <v>24</v>
      </c>
      <c r="T1202" s="27"/>
      <c r="U1202" s="28" t="s">
        <v>25</v>
      </c>
      <c r="V1202" s="29" t="str">
        <f t="shared" si="91"/>
        <v>✓ OK</v>
      </c>
      <c r="W1202" s="45">
        <v>46248</v>
      </c>
      <c r="X1202" s="30" t="s">
        <v>23</v>
      </c>
      <c r="Y1202" s="30" t="s">
        <v>24</v>
      </c>
      <c r="Z1202" s="30" t="s">
        <v>25</v>
      </c>
      <c r="AA1202" s="30" t="s">
        <v>26</v>
      </c>
      <c r="AB1202" s="30" t="s">
        <v>24</v>
      </c>
      <c r="AC1202" s="27"/>
      <c r="AD1202" s="31" t="s">
        <v>25</v>
      </c>
      <c r="AE1202" s="32" t="str">
        <f t="shared" si="92"/>
        <v>✓ OK</v>
      </c>
      <c r="AF1202" s="33" t="s">
        <v>27</v>
      </c>
      <c r="AG1202" s="33" t="s">
        <v>23</v>
      </c>
      <c r="AH1202" s="33" t="s">
        <v>24</v>
      </c>
      <c r="AI1202" s="33" t="s">
        <v>25</v>
      </c>
      <c r="AJ1202" s="33" t="s">
        <v>26</v>
      </c>
      <c r="AK1202" s="33" t="s">
        <v>24</v>
      </c>
      <c r="AL1202" s="27"/>
      <c r="AM1202" s="34" t="s">
        <v>25</v>
      </c>
      <c r="AN1202" s="35" t="str">
        <f t="shared" si="93"/>
        <v>✓ OK</v>
      </c>
      <c r="AO1202" s="36"/>
      <c r="AP1202" s="36"/>
      <c r="AQ1202" s="36"/>
      <c r="AR1202" s="36"/>
      <c r="AS1202" s="36"/>
      <c r="AT1202" s="36"/>
      <c r="AU1202" s="27"/>
      <c r="AV1202" s="37"/>
      <c r="AW1202" s="38" t="str">
        <f t="shared" si="94"/>
        <v/>
      </c>
    </row>
    <row r="1203" spans="1:49" ht="18" customHeight="1" x14ac:dyDescent="0.3">
      <c r="A1203" s="23">
        <v>1199</v>
      </c>
      <c r="B1203" s="24" t="s">
        <v>4247</v>
      </c>
      <c r="C1203" s="25" t="s">
        <v>4248</v>
      </c>
      <c r="D1203" s="23" t="s">
        <v>4000</v>
      </c>
      <c r="E1203" s="43">
        <v>46125</v>
      </c>
      <c r="F1203" s="26" t="s">
        <v>23</v>
      </c>
      <c r="G1203" s="26" t="s">
        <v>24</v>
      </c>
      <c r="H1203" s="26" t="s">
        <v>25</v>
      </c>
      <c r="I1203" s="26" t="s">
        <v>26</v>
      </c>
      <c r="J1203" s="26" t="s">
        <v>24</v>
      </c>
      <c r="K1203" s="27"/>
      <c r="L1203" s="28" t="s">
        <v>25</v>
      </c>
      <c r="M1203" s="29" t="str">
        <f t="shared" si="90"/>
        <v>✓ OK</v>
      </c>
      <c r="N1203" s="43">
        <v>46193</v>
      </c>
      <c r="O1203" s="26" t="s">
        <v>23</v>
      </c>
      <c r="P1203" s="26" t="s">
        <v>24</v>
      </c>
      <c r="Q1203" s="26" t="s">
        <v>25</v>
      </c>
      <c r="R1203" s="26" t="s">
        <v>26</v>
      </c>
      <c r="S1203" s="26" t="s">
        <v>24</v>
      </c>
      <c r="T1203" s="27"/>
      <c r="U1203" s="28" t="s">
        <v>25</v>
      </c>
      <c r="V1203" s="29" t="str">
        <f t="shared" si="91"/>
        <v>✓ OK</v>
      </c>
      <c r="W1203" s="45">
        <v>46248</v>
      </c>
      <c r="X1203" s="30" t="s">
        <v>23</v>
      </c>
      <c r="Y1203" s="30" t="s">
        <v>24</v>
      </c>
      <c r="Z1203" s="30" t="s">
        <v>25</v>
      </c>
      <c r="AA1203" s="30" t="s">
        <v>26</v>
      </c>
      <c r="AB1203" s="30" t="s">
        <v>24</v>
      </c>
      <c r="AC1203" s="27"/>
      <c r="AD1203" s="31" t="s">
        <v>25</v>
      </c>
      <c r="AE1203" s="32" t="str">
        <f t="shared" si="92"/>
        <v>✓ OK</v>
      </c>
      <c r="AF1203" s="33" t="s">
        <v>27</v>
      </c>
      <c r="AG1203" s="33" t="s">
        <v>23</v>
      </c>
      <c r="AH1203" s="33" t="s">
        <v>24</v>
      </c>
      <c r="AI1203" s="33" t="s">
        <v>25</v>
      </c>
      <c r="AJ1203" s="33" t="s">
        <v>26</v>
      </c>
      <c r="AK1203" s="33" t="s">
        <v>24</v>
      </c>
      <c r="AL1203" s="27"/>
      <c r="AM1203" s="34" t="s">
        <v>25</v>
      </c>
      <c r="AN1203" s="35" t="str">
        <f t="shared" si="93"/>
        <v>✓ OK</v>
      </c>
      <c r="AO1203" s="36"/>
      <c r="AP1203" s="36"/>
      <c r="AQ1203" s="36"/>
      <c r="AR1203" s="36"/>
      <c r="AS1203" s="36"/>
      <c r="AT1203" s="36"/>
      <c r="AU1203" s="27"/>
      <c r="AV1203" s="37"/>
      <c r="AW1203" s="38" t="str">
        <f t="shared" si="94"/>
        <v/>
      </c>
    </row>
    <row r="1204" spans="1:49" ht="18" customHeight="1" x14ac:dyDescent="0.3">
      <c r="A1204" s="39">
        <v>1200</v>
      </c>
      <c r="B1204" s="40" t="s">
        <v>4249</v>
      </c>
      <c r="C1204" s="41" t="s">
        <v>4250</v>
      </c>
      <c r="D1204" s="39" t="s">
        <v>4000</v>
      </c>
      <c r="E1204" s="43">
        <v>46125</v>
      </c>
      <c r="F1204" s="26" t="s">
        <v>23</v>
      </c>
      <c r="G1204" s="26" t="s">
        <v>24</v>
      </c>
      <c r="H1204" s="26" t="s">
        <v>25</v>
      </c>
      <c r="I1204" s="26" t="s">
        <v>26</v>
      </c>
      <c r="J1204" s="26" t="s">
        <v>24</v>
      </c>
      <c r="K1204" s="27"/>
      <c r="L1204" s="28" t="s">
        <v>25</v>
      </c>
      <c r="M1204" s="29" t="str">
        <f t="shared" si="90"/>
        <v>✓ OK</v>
      </c>
      <c r="N1204" s="43">
        <v>46193</v>
      </c>
      <c r="O1204" s="26" t="s">
        <v>23</v>
      </c>
      <c r="P1204" s="26" t="s">
        <v>24</v>
      </c>
      <c r="Q1204" s="26" t="s">
        <v>25</v>
      </c>
      <c r="R1204" s="26" t="s">
        <v>26</v>
      </c>
      <c r="S1204" s="26" t="s">
        <v>24</v>
      </c>
      <c r="T1204" s="27"/>
      <c r="U1204" s="28" t="s">
        <v>25</v>
      </c>
      <c r="V1204" s="29" t="str">
        <f t="shared" si="91"/>
        <v>✓ OK</v>
      </c>
      <c r="W1204" s="45">
        <v>46248</v>
      </c>
      <c r="X1204" s="30" t="s">
        <v>23</v>
      </c>
      <c r="Y1204" s="30" t="s">
        <v>24</v>
      </c>
      <c r="Z1204" s="30" t="s">
        <v>25</v>
      </c>
      <c r="AA1204" s="30" t="s">
        <v>26</v>
      </c>
      <c r="AB1204" s="30" t="s">
        <v>24</v>
      </c>
      <c r="AC1204" s="27"/>
      <c r="AD1204" s="31" t="s">
        <v>25</v>
      </c>
      <c r="AE1204" s="32" t="str">
        <f t="shared" si="92"/>
        <v>✓ OK</v>
      </c>
      <c r="AF1204" s="33" t="s">
        <v>27</v>
      </c>
      <c r="AG1204" s="33" t="s">
        <v>23</v>
      </c>
      <c r="AH1204" s="33" t="s">
        <v>24</v>
      </c>
      <c r="AI1204" s="33" t="s">
        <v>25</v>
      </c>
      <c r="AJ1204" s="33" t="s">
        <v>26</v>
      </c>
      <c r="AK1204" s="33" t="s">
        <v>24</v>
      </c>
      <c r="AL1204" s="27"/>
      <c r="AM1204" s="34" t="s">
        <v>25</v>
      </c>
      <c r="AN1204" s="35" t="str">
        <f t="shared" si="93"/>
        <v>✓ OK</v>
      </c>
      <c r="AO1204" s="36"/>
      <c r="AP1204" s="36"/>
      <c r="AQ1204" s="36"/>
      <c r="AR1204" s="36"/>
      <c r="AS1204" s="36"/>
      <c r="AT1204" s="36"/>
      <c r="AU1204" s="27"/>
      <c r="AV1204" s="37"/>
      <c r="AW1204" s="38" t="str">
        <f t="shared" si="94"/>
        <v/>
      </c>
    </row>
    <row r="1205" spans="1:49" ht="18" customHeight="1" x14ac:dyDescent="0.3">
      <c r="A1205" s="23">
        <v>1201</v>
      </c>
      <c r="B1205" s="24" t="s">
        <v>4251</v>
      </c>
      <c r="C1205" s="25" t="s">
        <v>4252</v>
      </c>
      <c r="D1205" s="23" t="s">
        <v>4000</v>
      </c>
      <c r="E1205" s="43">
        <v>46125</v>
      </c>
      <c r="F1205" s="26" t="s">
        <v>23</v>
      </c>
      <c r="G1205" s="26" t="s">
        <v>24</v>
      </c>
      <c r="H1205" s="26" t="s">
        <v>25</v>
      </c>
      <c r="I1205" s="26" t="s">
        <v>26</v>
      </c>
      <c r="J1205" s="26" t="s">
        <v>24</v>
      </c>
      <c r="K1205" s="27"/>
      <c r="L1205" s="28" t="s">
        <v>25</v>
      </c>
      <c r="M1205" s="29" t="str">
        <f t="shared" si="90"/>
        <v>✓ OK</v>
      </c>
      <c r="N1205" s="43">
        <v>46193</v>
      </c>
      <c r="O1205" s="26" t="s">
        <v>23</v>
      </c>
      <c r="P1205" s="26" t="s">
        <v>24</v>
      </c>
      <c r="Q1205" s="26" t="s">
        <v>25</v>
      </c>
      <c r="R1205" s="26" t="s">
        <v>26</v>
      </c>
      <c r="S1205" s="26" t="s">
        <v>24</v>
      </c>
      <c r="T1205" s="27"/>
      <c r="U1205" s="28" t="s">
        <v>25</v>
      </c>
      <c r="V1205" s="29" t="str">
        <f t="shared" si="91"/>
        <v>✓ OK</v>
      </c>
      <c r="W1205" s="45">
        <v>46248</v>
      </c>
      <c r="X1205" s="30" t="s">
        <v>23</v>
      </c>
      <c r="Y1205" s="30" t="s">
        <v>24</v>
      </c>
      <c r="Z1205" s="30" t="s">
        <v>25</v>
      </c>
      <c r="AA1205" s="30" t="s">
        <v>26</v>
      </c>
      <c r="AB1205" s="30" t="s">
        <v>24</v>
      </c>
      <c r="AC1205" s="27"/>
      <c r="AD1205" s="31" t="s">
        <v>25</v>
      </c>
      <c r="AE1205" s="32" t="str">
        <f t="shared" si="92"/>
        <v>✓ OK</v>
      </c>
      <c r="AF1205" s="33" t="s">
        <v>27</v>
      </c>
      <c r="AG1205" s="33" t="s">
        <v>23</v>
      </c>
      <c r="AH1205" s="33" t="s">
        <v>24</v>
      </c>
      <c r="AI1205" s="33" t="s">
        <v>25</v>
      </c>
      <c r="AJ1205" s="33" t="s">
        <v>26</v>
      </c>
      <c r="AK1205" s="33" t="s">
        <v>24</v>
      </c>
      <c r="AL1205" s="27"/>
      <c r="AM1205" s="34" t="s">
        <v>25</v>
      </c>
      <c r="AN1205" s="35" t="str">
        <f t="shared" si="93"/>
        <v>✓ OK</v>
      </c>
      <c r="AO1205" s="36"/>
      <c r="AP1205" s="36"/>
      <c r="AQ1205" s="36"/>
      <c r="AR1205" s="36"/>
      <c r="AS1205" s="36"/>
      <c r="AT1205" s="36"/>
      <c r="AU1205" s="27"/>
      <c r="AV1205" s="37"/>
      <c r="AW1205" s="38" t="str">
        <f t="shared" si="94"/>
        <v/>
      </c>
    </row>
    <row r="1206" spans="1:49" ht="18" customHeight="1" x14ac:dyDescent="0.3">
      <c r="A1206" s="39">
        <v>1202</v>
      </c>
      <c r="B1206" s="40" t="s">
        <v>4253</v>
      </c>
      <c r="C1206" s="41" t="s">
        <v>4254</v>
      </c>
      <c r="D1206" s="39" t="s">
        <v>4000</v>
      </c>
      <c r="E1206" s="43">
        <v>46125</v>
      </c>
      <c r="F1206" s="26" t="s">
        <v>23</v>
      </c>
      <c r="G1206" s="26" t="s">
        <v>24</v>
      </c>
      <c r="H1206" s="26" t="s">
        <v>25</v>
      </c>
      <c r="I1206" s="26" t="s">
        <v>26</v>
      </c>
      <c r="J1206" s="26" t="s">
        <v>24</v>
      </c>
      <c r="K1206" s="27"/>
      <c r="L1206" s="28" t="s">
        <v>25</v>
      </c>
      <c r="M1206" s="29" t="str">
        <f t="shared" si="90"/>
        <v>✓ OK</v>
      </c>
      <c r="N1206" s="43">
        <v>46193</v>
      </c>
      <c r="O1206" s="26" t="s">
        <v>23</v>
      </c>
      <c r="P1206" s="26" t="s">
        <v>24</v>
      </c>
      <c r="Q1206" s="26" t="s">
        <v>25</v>
      </c>
      <c r="R1206" s="26" t="s">
        <v>26</v>
      </c>
      <c r="S1206" s="26" t="s">
        <v>24</v>
      </c>
      <c r="T1206" s="27"/>
      <c r="U1206" s="28" t="s">
        <v>25</v>
      </c>
      <c r="V1206" s="29" t="str">
        <f t="shared" si="91"/>
        <v>✓ OK</v>
      </c>
      <c r="W1206" s="45">
        <v>46248</v>
      </c>
      <c r="X1206" s="30" t="s">
        <v>23</v>
      </c>
      <c r="Y1206" s="30" t="s">
        <v>24</v>
      </c>
      <c r="Z1206" s="30" t="s">
        <v>25</v>
      </c>
      <c r="AA1206" s="30" t="s">
        <v>26</v>
      </c>
      <c r="AB1206" s="30" t="s">
        <v>24</v>
      </c>
      <c r="AC1206" s="27"/>
      <c r="AD1206" s="31" t="s">
        <v>25</v>
      </c>
      <c r="AE1206" s="32" t="str">
        <f t="shared" si="92"/>
        <v>✓ OK</v>
      </c>
      <c r="AF1206" s="33" t="s">
        <v>27</v>
      </c>
      <c r="AG1206" s="33" t="s">
        <v>23</v>
      </c>
      <c r="AH1206" s="33" t="s">
        <v>24</v>
      </c>
      <c r="AI1206" s="33" t="s">
        <v>25</v>
      </c>
      <c r="AJ1206" s="33" t="s">
        <v>26</v>
      </c>
      <c r="AK1206" s="33" t="s">
        <v>24</v>
      </c>
      <c r="AL1206" s="27"/>
      <c r="AM1206" s="34" t="s">
        <v>25</v>
      </c>
      <c r="AN1206" s="35" t="str">
        <f t="shared" si="93"/>
        <v>✓ OK</v>
      </c>
      <c r="AO1206" s="36"/>
      <c r="AP1206" s="36"/>
      <c r="AQ1206" s="36"/>
      <c r="AR1206" s="36"/>
      <c r="AS1206" s="36"/>
      <c r="AT1206" s="36"/>
      <c r="AU1206" s="27"/>
      <c r="AV1206" s="37"/>
      <c r="AW1206" s="38" t="str">
        <f t="shared" si="94"/>
        <v/>
      </c>
    </row>
    <row r="1207" spans="1:49" ht="18" customHeight="1" x14ac:dyDescent="0.3">
      <c r="A1207" s="23">
        <v>1203</v>
      </c>
      <c r="B1207" s="24" t="s">
        <v>4255</v>
      </c>
      <c r="C1207" s="25" t="s">
        <v>4256</v>
      </c>
      <c r="D1207" s="23" t="s">
        <v>4000</v>
      </c>
      <c r="E1207" s="43">
        <v>46125</v>
      </c>
      <c r="F1207" s="26" t="s">
        <v>23</v>
      </c>
      <c r="G1207" s="26" t="s">
        <v>24</v>
      </c>
      <c r="H1207" s="26" t="s">
        <v>25</v>
      </c>
      <c r="I1207" s="26" t="s">
        <v>26</v>
      </c>
      <c r="J1207" s="26" t="s">
        <v>24</v>
      </c>
      <c r="K1207" s="27"/>
      <c r="L1207" s="28" t="s">
        <v>25</v>
      </c>
      <c r="M1207" s="29" t="str">
        <f t="shared" si="90"/>
        <v>✓ OK</v>
      </c>
      <c r="N1207" s="43">
        <v>46193</v>
      </c>
      <c r="O1207" s="26" t="s">
        <v>23</v>
      </c>
      <c r="P1207" s="26" t="s">
        <v>24</v>
      </c>
      <c r="Q1207" s="26" t="s">
        <v>25</v>
      </c>
      <c r="R1207" s="26" t="s">
        <v>26</v>
      </c>
      <c r="S1207" s="26" t="s">
        <v>24</v>
      </c>
      <c r="T1207" s="27"/>
      <c r="U1207" s="28" t="s">
        <v>25</v>
      </c>
      <c r="V1207" s="29" t="str">
        <f t="shared" si="91"/>
        <v>✓ OK</v>
      </c>
      <c r="W1207" s="45">
        <v>46248</v>
      </c>
      <c r="X1207" s="30" t="s">
        <v>23</v>
      </c>
      <c r="Y1207" s="30" t="s">
        <v>24</v>
      </c>
      <c r="Z1207" s="30" t="s">
        <v>25</v>
      </c>
      <c r="AA1207" s="30" t="s">
        <v>26</v>
      </c>
      <c r="AB1207" s="30" t="s">
        <v>24</v>
      </c>
      <c r="AC1207" s="27"/>
      <c r="AD1207" s="31" t="s">
        <v>25</v>
      </c>
      <c r="AE1207" s="32" t="str">
        <f t="shared" si="92"/>
        <v>✓ OK</v>
      </c>
      <c r="AF1207" s="33" t="s">
        <v>27</v>
      </c>
      <c r="AG1207" s="33" t="s">
        <v>23</v>
      </c>
      <c r="AH1207" s="33" t="s">
        <v>24</v>
      </c>
      <c r="AI1207" s="33" t="s">
        <v>25</v>
      </c>
      <c r="AJ1207" s="33" t="s">
        <v>26</v>
      </c>
      <c r="AK1207" s="33" t="s">
        <v>24</v>
      </c>
      <c r="AL1207" s="27"/>
      <c r="AM1207" s="34" t="s">
        <v>25</v>
      </c>
      <c r="AN1207" s="35" t="str">
        <f t="shared" si="93"/>
        <v>✓ OK</v>
      </c>
      <c r="AO1207" s="36"/>
      <c r="AP1207" s="36"/>
      <c r="AQ1207" s="36"/>
      <c r="AR1207" s="36"/>
      <c r="AS1207" s="36"/>
      <c r="AT1207" s="36"/>
      <c r="AU1207" s="27"/>
      <c r="AV1207" s="37"/>
      <c r="AW1207" s="38" t="str">
        <f t="shared" si="94"/>
        <v/>
      </c>
    </row>
    <row r="1208" spans="1:49" ht="18" customHeight="1" x14ac:dyDescent="0.3">
      <c r="A1208" s="39">
        <v>1204</v>
      </c>
      <c r="B1208" s="40" t="s">
        <v>4257</v>
      </c>
      <c r="C1208" s="41" t="s">
        <v>4258</v>
      </c>
      <c r="D1208" s="39" t="s">
        <v>4000</v>
      </c>
      <c r="E1208" s="43">
        <v>46125</v>
      </c>
      <c r="F1208" s="26" t="s">
        <v>23</v>
      </c>
      <c r="G1208" s="26" t="s">
        <v>24</v>
      </c>
      <c r="H1208" s="26" t="s">
        <v>25</v>
      </c>
      <c r="I1208" s="26" t="s">
        <v>26</v>
      </c>
      <c r="J1208" s="26" t="s">
        <v>24</v>
      </c>
      <c r="K1208" s="27"/>
      <c r="L1208" s="28" t="s">
        <v>25</v>
      </c>
      <c r="M1208" s="29" t="str">
        <f t="shared" si="90"/>
        <v>✓ OK</v>
      </c>
      <c r="N1208" s="43">
        <v>46193</v>
      </c>
      <c r="O1208" s="26" t="s">
        <v>23</v>
      </c>
      <c r="P1208" s="26" t="s">
        <v>24</v>
      </c>
      <c r="Q1208" s="26" t="s">
        <v>25</v>
      </c>
      <c r="R1208" s="26" t="s">
        <v>26</v>
      </c>
      <c r="S1208" s="26" t="s">
        <v>24</v>
      </c>
      <c r="T1208" s="27"/>
      <c r="U1208" s="28" t="s">
        <v>25</v>
      </c>
      <c r="V1208" s="29" t="str">
        <f t="shared" si="91"/>
        <v>✓ OK</v>
      </c>
      <c r="W1208" s="45">
        <v>46248</v>
      </c>
      <c r="X1208" s="30" t="s">
        <v>23</v>
      </c>
      <c r="Y1208" s="30" t="s">
        <v>24</v>
      </c>
      <c r="Z1208" s="30" t="s">
        <v>25</v>
      </c>
      <c r="AA1208" s="30" t="s">
        <v>26</v>
      </c>
      <c r="AB1208" s="30" t="s">
        <v>24</v>
      </c>
      <c r="AC1208" s="27"/>
      <c r="AD1208" s="31" t="s">
        <v>25</v>
      </c>
      <c r="AE1208" s="32" t="str">
        <f t="shared" si="92"/>
        <v>✓ OK</v>
      </c>
      <c r="AF1208" s="33" t="s">
        <v>27</v>
      </c>
      <c r="AG1208" s="33" t="s">
        <v>23</v>
      </c>
      <c r="AH1208" s="33" t="s">
        <v>24</v>
      </c>
      <c r="AI1208" s="33" t="s">
        <v>25</v>
      </c>
      <c r="AJ1208" s="33" t="s">
        <v>26</v>
      </c>
      <c r="AK1208" s="33" t="s">
        <v>24</v>
      </c>
      <c r="AL1208" s="27"/>
      <c r="AM1208" s="34" t="s">
        <v>25</v>
      </c>
      <c r="AN1208" s="35" t="str">
        <f t="shared" si="93"/>
        <v>✓ OK</v>
      </c>
      <c r="AO1208" s="36"/>
      <c r="AP1208" s="36"/>
      <c r="AQ1208" s="36"/>
      <c r="AR1208" s="36"/>
      <c r="AS1208" s="36"/>
      <c r="AT1208" s="36"/>
      <c r="AU1208" s="27"/>
      <c r="AV1208" s="37"/>
      <c r="AW1208" s="38" t="str">
        <f t="shared" si="94"/>
        <v/>
      </c>
    </row>
    <row r="1209" spans="1:49" ht="18" customHeight="1" x14ac:dyDescent="0.3">
      <c r="A1209" s="23">
        <v>1205</v>
      </c>
      <c r="B1209" s="24" t="s">
        <v>4259</v>
      </c>
      <c r="C1209" s="25" t="s">
        <v>4260</v>
      </c>
      <c r="D1209" s="23" t="s">
        <v>4000</v>
      </c>
      <c r="E1209" s="43">
        <v>46125</v>
      </c>
      <c r="F1209" s="26" t="s">
        <v>23</v>
      </c>
      <c r="G1209" s="26" t="s">
        <v>24</v>
      </c>
      <c r="H1209" s="26" t="s">
        <v>25</v>
      </c>
      <c r="I1209" s="26" t="s">
        <v>26</v>
      </c>
      <c r="J1209" s="26" t="s">
        <v>24</v>
      </c>
      <c r="K1209" s="27"/>
      <c r="L1209" s="28" t="s">
        <v>25</v>
      </c>
      <c r="M1209" s="29" t="str">
        <f t="shared" si="90"/>
        <v>✓ OK</v>
      </c>
      <c r="N1209" s="43">
        <v>46193</v>
      </c>
      <c r="O1209" s="26" t="s">
        <v>23</v>
      </c>
      <c r="P1209" s="26" t="s">
        <v>24</v>
      </c>
      <c r="Q1209" s="26" t="s">
        <v>25</v>
      </c>
      <c r="R1209" s="26" t="s">
        <v>26</v>
      </c>
      <c r="S1209" s="26" t="s">
        <v>24</v>
      </c>
      <c r="T1209" s="27"/>
      <c r="U1209" s="28" t="s">
        <v>25</v>
      </c>
      <c r="V1209" s="29" t="str">
        <f t="shared" si="91"/>
        <v>✓ OK</v>
      </c>
      <c r="W1209" s="45">
        <v>46248</v>
      </c>
      <c r="X1209" s="30" t="s">
        <v>23</v>
      </c>
      <c r="Y1209" s="30" t="s">
        <v>24</v>
      </c>
      <c r="Z1209" s="30" t="s">
        <v>25</v>
      </c>
      <c r="AA1209" s="30" t="s">
        <v>26</v>
      </c>
      <c r="AB1209" s="30" t="s">
        <v>24</v>
      </c>
      <c r="AC1209" s="27"/>
      <c r="AD1209" s="31" t="s">
        <v>25</v>
      </c>
      <c r="AE1209" s="32" t="str">
        <f t="shared" si="92"/>
        <v>✓ OK</v>
      </c>
      <c r="AF1209" s="33" t="s">
        <v>27</v>
      </c>
      <c r="AG1209" s="33" t="s">
        <v>23</v>
      </c>
      <c r="AH1209" s="33" t="s">
        <v>24</v>
      </c>
      <c r="AI1209" s="33" t="s">
        <v>25</v>
      </c>
      <c r="AJ1209" s="33" t="s">
        <v>26</v>
      </c>
      <c r="AK1209" s="33" t="s">
        <v>24</v>
      </c>
      <c r="AL1209" s="27"/>
      <c r="AM1209" s="34" t="s">
        <v>25</v>
      </c>
      <c r="AN1209" s="35" t="str">
        <f t="shared" si="93"/>
        <v>✓ OK</v>
      </c>
      <c r="AO1209" s="36"/>
      <c r="AP1209" s="36"/>
      <c r="AQ1209" s="36"/>
      <c r="AR1209" s="36"/>
      <c r="AS1209" s="36"/>
      <c r="AT1209" s="36"/>
      <c r="AU1209" s="27"/>
      <c r="AV1209" s="37"/>
      <c r="AW1209" s="38" t="str">
        <f t="shared" si="94"/>
        <v/>
      </c>
    </row>
    <row r="1210" spans="1:49" ht="18" customHeight="1" x14ac:dyDescent="0.3">
      <c r="A1210" s="39">
        <v>1206</v>
      </c>
      <c r="B1210" s="40" t="s">
        <v>4261</v>
      </c>
      <c r="C1210" s="41" t="s">
        <v>4262</v>
      </c>
      <c r="D1210" s="39" t="s">
        <v>4000</v>
      </c>
      <c r="E1210" s="43">
        <v>46125</v>
      </c>
      <c r="F1210" s="26" t="s">
        <v>23</v>
      </c>
      <c r="G1210" s="26" t="s">
        <v>24</v>
      </c>
      <c r="H1210" s="26" t="s">
        <v>25</v>
      </c>
      <c r="I1210" s="26" t="s">
        <v>26</v>
      </c>
      <c r="J1210" s="26" t="s">
        <v>24</v>
      </c>
      <c r="K1210" s="27"/>
      <c r="L1210" s="28" t="s">
        <v>25</v>
      </c>
      <c r="M1210" s="29" t="str">
        <f t="shared" si="90"/>
        <v>✓ OK</v>
      </c>
      <c r="N1210" s="43">
        <v>46193</v>
      </c>
      <c r="O1210" s="26" t="s">
        <v>23</v>
      </c>
      <c r="P1210" s="26" t="s">
        <v>24</v>
      </c>
      <c r="Q1210" s="26" t="s">
        <v>25</v>
      </c>
      <c r="R1210" s="26" t="s">
        <v>26</v>
      </c>
      <c r="S1210" s="26" t="s">
        <v>24</v>
      </c>
      <c r="T1210" s="27"/>
      <c r="U1210" s="28" t="s">
        <v>25</v>
      </c>
      <c r="V1210" s="29" t="str">
        <f t="shared" si="91"/>
        <v>✓ OK</v>
      </c>
      <c r="W1210" s="45">
        <v>46248</v>
      </c>
      <c r="X1210" s="30" t="s">
        <v>23</v>
      </c>
      <c r="Y1210" s="30" t="s">
        <v>24</v>
      </c>
      <c r="Z1210" s="30" t="s">
        <v>25</v>
      </c>
      <c r="AA1210" s="30" t="s">
        <v>26</v>
      </c>
      <c r="AB1210" s="30" t="s">
        <v>24</v>
      </c>
      <c r="AC1210" s="27"/>
      <c r="AD1210" s="31" t="s">
        <v>25</v>
      </c>
      <c r="AE1210" s="32" t="str">
        <f t="shared" si="92"/>
        <v>✓ OK</v>
      </c>
      <c r="AF1210" s="33" t="s">
        <v>27</v>
      </c>
      <c r="AG1210" s="33" t="s">
        <v>23</v>
      </c>
      <c r="AH1210" s="33" t="s">
        <v>24</v>
      </c>
      <c r="AI1210" s="33" t="s">
        <v>25</v>
      </c>
      <c r="AJ1210" s="33" t="s">
        <v>26</v>
      </c>
      <c r="AK1210" s="33" t="s">
        <v>24</v>
      </c>
      <c r="AL1210" s="27"/>
      <c r="AM1210" s="34" t="s">
        <v>25</v>
      </c>
      <c r="AN1210" s="35" t="str">
        <f t="shared" si="93"/>
        <v>✓ OK</v>
      </c>
      <c r="AO1210" s="36"/>
      <c r="AP1210" s="36"/>
      <c r="AQ1210" s="36"/>
      <c r="AR1210" s="36"/>
      <c r="AS1210" s="36"/>
      <c r="AT1210" s="36"/>
      <c r="AU1210" s="27"/>
      <c r="AV1210" s="37"/>
      <c r="AW1210" s="38" t="str">
        <f t="shared" si="94"/>
        <v/>
      </c>
    </row>
    <row r="1211" spans="1:49" ht="18" customHeight="1" x14ac:dyDescent="0.3">
      <c r="A1211" s="23">
        <v>1207</v>
      </c>
      <c r="B1211" s="24" t="s">
        <v>4263</v>
      </c>
      <c r="C1211" s="25" t="s">
        <v>4264</v>
      </c>
      <c r="D1211" s="23" t="s">
        <v>4000</v>
      </c>
      <c r="E1211" s="43">
        <v>46125</v>
      </c>
      <c r="F1211" s="26" t="s">
        <v>23</v>
      </c>
      <c r="G1211" s="26" t="s">
        <v>24</v>
      </c>
      <c r="H1211" s="26" t="s">
        <v>25</v>
      </c>
      <c r="I1211" s="26" t="s">
        <v>26</v>
      </c>
      <c r="J1211" s="26" t="s">
        <v>24</v>
      </c>
      <c r="K1211" s="27"/>
      <c r="L1211" s="28" t="s">
        <v>25</v>
      </c>
      <c r="M1211" s="29" t="str">
        <f t="shared" si="90"/>
        <v>✓ OK</v>
      </c>
      <c r="N1211" s="43">
        <v>46193</v>
      </c>
      <c r="O1211" s="26" t="s">
        <v>23</v>
      </c>
      <c r="P1211" s="26" t="s">
        <v>24</v>
      </c>
      <c r="Q1211" s="26" t="s">
        <v>25</v>
      </c>
      <c r="R1211" s="26" t="s">
        <v>26</v>
      </c>
      <c r="S1211" s="26" t="s">
        <v>24</v>
      </c>
      <c r="T1211" s="27"/>
      <c r="U1211" s="28" t="s">
        <v>25</v>
      </c>
      <c r="V1211" s="29" t="str">
        <f t="shared" si="91"/>
        <v>✓ OK</v>
      </c>
      <c r="W1211" s="45">
        <v>46248</v>
      </c>
      <c r="X1211" s="30" t="s">
        <v>23</v>
      </c>
      <c r="Y1211" s="30" t="s">
        <v>24</v>
      </c>
      <c r="Z1211" s="30" t="s">
        <v>25</v>
      </c>
      <c r="AA1211" s="30" t="s">
        <v>26</v>
      </c>
      <c r="AB1211" s="30" t="s">
        <v>24</v>
      </c>
      <c r="AC1211" s="27"/>
      <c r="AD1211" s="31" t="s">
        <v>25</v>
      </c>
      <c r="AE1211" s="32" t="str">
        <f t="shared" si="92"/>
        <v>✓ OK</v>
      </c>
      <c r="AF1211" s="33" t="s">
        <v>27</v>
      </c>
      <c r="AG1211" s="33" t="s">
        <v>23</v>
      </c>
      <c r="AH1211" s="33" t="s">
        <v>24</v>
      </c>
      <c r="AI1211" s="33" t="s">
        <v>25</v>
      </c>
      <c r="AJ1211" s="33" t="s">
        <v>26</v>
      </c>
      <c r="AK1211" s="33" t="s">
        <v>24</v>
      </c>
      <c r="AL1211" s="27"/>
      <c r="AM1211" s="34" t="s">
        <v>25</v>
      </c>
      <c r="AN1211" s="35" t="str">
        <f t="shared" si="93"/>
        <v>✓ OK</v>
      </c>
      <c r="AO1211" s="36"/>
      <c r="AP1211" s="36"/>
      <c r="AQ1211" s="36"/>
      <c r="AR1211" s="36"/>
      <c r="AS1211" s="36"/>
      <c r="AT1211" s="36"/>
      <c r="AU1211" s="27"/>
      <c r="AV1211" s="37"/>
      <c r="AW1211" s="38" t="str">
        <f t="shared" si="94"/>
        <v/>
      </c>
    </row>
    <row r="1212" spans="1:49" ht="18" customHeight="1" x14ac:dyDescent="0.3">
      <c r="A1212" s="39">
        <v>1208</v>
      </c>
      <c r="B1212" s="40" t="s">
        <v>4265</v>
      </c>
      <c r="C1212" s="41" t="s">
        <v>4266</v>
      </c>
      <c r="D1212" s="39" t="s">
        <v>4000</v>
      </c>
      <c r="E1212" s="43">
        <v>46125</v>
      </c>
      <c r="F1212" s="26" t="s">
        <v>23</v>
      </c>
      <c r="G1212" s="26" t="s">
        <v>24</v>
      </c>
      <c r="H1212" s="26" t="s">
        <v>25</v>
      </c>
      <c r="I1212" s="26" t="s">
        <v>26</v>
      </c>
      <c r="J1212" s="26" t="s">
        <v>24</v>
      </c>
      <c r="K1212" s="27"/>
      <c r="L1212" s="28" t="s">
        <v>25</v>
      </c>
      <c r="M1212" s="29" t="str">
        <f t="shared" si="90"/>
        <v>✓ OK</v>
      </c>
      <c r="N1212" s="43">
        <v>46193</v>
      </c>
      <c r="O1212" s="26" t="s">
        <v>23</v>
      </c>
      <c r="P1212" s="26" t="s">
        <v>24</v>
      </c>
      <c r="Q1212" s="26" t="s">
        <v>25</v>
      </c>
      <c r="R1212" s="26" t="s">
        <v>26</v>
      </c>
      <c r="S1212" s="26" t="s">
        <v>24</v>
      </c>
      <c r="T1212" s="27"/>
      <c r="U1212" s="28" t="s">
        <v>25</v>
      </c>
      <c r="V1212" s="29" t="str">
        <f t="shared" si="91"/>
        <v>✓ OK</v>
      </c>
      <c r="W1212" s="45">
        <v>46248</v>
      </c>
      <c r="X1212" s="30" t="s">
        <v>23</v>
      </c>
      <c r="Y1212" s="30" t="s">
        <v>24</v>
      </c>
      <c r="Z1212" s="30" t="s">
        <v>25</v>
      </c>
      <c r="AA1212" s="30" t="s">
        <v>26</v>
      </c>
      <c r="AB1212" s="30" t="s">
        <v>24</v>
      </c>
      <c r="AC1212" s="27"/>
      <c r="AD1212" s="31" t="s">
        <v>25</v>
      </c>
      <c r="AE1212" s="32" t="str">
        <f t="shared" si="92"/>
        <v>✓ OK</v>
      </c>
      <c r="AF1212" s="33" t="s">
        <v>27</v>
      </c>
      <c r="AG1212" s="33" t="s">
        <v>23</v>
      </c>
      <c r="AH1212" s="33" t="s">
        <v>24</v>
      </c>
      <c r="AI1212" s="33" t="s">
        <v>25</v>
      </c>
      <c r="AJ1212" s="33" t="s">
        <v>26</v>
      </c>
      <c r="AK1212" s="33" t="s">
        <v>24</v>
      </c>
      <c r="AL1212" s="27"/>
      <c r="AM1212" s="34" t="s">
        <v>25</v>
      </c>
      <c r="AN1212" s="35" t="str">
        <f t="shared" si="93"/>
        <v>✓ OK</v>
      </c>
      <c r="AO1212" s="36"/>
      <c r="AP1212" s="36"/>
      <c r="AQ1212" s="36"/>
      <c r="AR1212" s="36"/>
      <c r="AS1212" s="36"/>
      <c r="AT1212" s="36"/>
      <c r="AU1212" s="27"/>
      <c r="AV1212" s="37"/>
      <c r="AW1212" s="38" t="str">
        <f t="shared" si="94"/>
        <v/>
      </c>
    </row>
    <row r="1213" spans="1:49" ht="18" customHeight="1" x14ac:dyDescent="0.3">
      <c r="A1213" s="23">
        <v>1209</v>
      </c>
      <c r="B1213" s="24" t="s">
        <v>4267</v>
      </c>
      <c r="C1213" s="25" t="s">
        <v>4268</v>
      </c>
      <c r="D1213" s="23" t="s">
        <v>4000</v>
      </c>
      <c r="E1213" s="43">
        <v>46125</v>
      </c>
      <c r="F1213" s="26" t="s">
        <v>23</v>
      </c>
      <c r="G1213" s="26" t="s">
        <v>24</v>
      </c>
      <c r="H1213" s="26" t="s">
        <v>25</v>
      </c>
      <c r="I1213" s="26" t="s">
        <v>26</v>
      </c>
      <c r="J1213" s="26" t="s">
        <v>24</v>
      </c>
      <c r="K1213" s="27"/>
      <c r="L1213" s="28" t="s">
        <v>25</v>
      </c>
      <c r="M1213" s="29" t="str">
        <f t="shared" si="90"/>
        <v>✓ OK</v>
      </c>
      <c r="N1213" s="43">
        <v>46193</v>
      </c>
      <c r="O1213" s="26" t="s">
        <v>23</v>
      </c>
      <c r="P1213" s="26" t="s">
        <v>24</v>
      </c>
      <c r="Q1213" s="26" t="s">
        <v>25</v>
      </c>
      <c r="R1213" s="26" t="s">
        <v>26</v>
      </c>
      <c r="S1213" s="26" t="s">
        <v>24</v>
      </c>
      <c r="T1213" s="27"/>
      <c r="U1213" s="28" t="s">
        <v>25</v>
      </c>
      <c r="V1213" s="29" t="str">
        <f t="shared" si="91"/>
        <v>✓ OK</v>
      </c>
      <c r="W1213" s="45">
        <v>46248</v>
      </c>
      <c r="X1213" s="30" t="s">
        <v>23</v>
      </c>
      <c r="Y1213" s="30" t="s">
        <v>24</v>
      </c>
      <c r="Z1213" s="30" t="s">
        <v>25</v>
      </c>
      <c r="AA1213" s="30" t="s">
        <v>26</v>
      </c>
      <c r="AB1213" s="30" t="s">
        <v>24</v>
      </c>
      <c r="AC1213" s="27"/>
      <c r="AD1213" s="31" t="s">
        <v>25</v>
      </c>
      <c r="AE1213" s="32" t="str">
        <f t="shared" si="92"/>
        <v>✓ OK</v>
      </c>
      <c r="AF1213" s="33" t="s">
        <v>27</v>
      </c>
      <c r="AG1213" s="33" t="s">
        <v>23</v>
      </c>
      <c r="AH1213" s="33" t="s">
        <v>24</v>
      </c>
      <c r="AI1213" s="33" t="s">
        <v>25</v>
      </c>
      <c r="AJ1213" s="33" t="s">
        <v>26</v>
      </c>
      <c r="AK1213" s="33" t="s">
        <v>24</v>
      </c>
      <c r="AL1213" s="27"/>
      <c r="AM1213" s="34" t="s">
        <v>25</v>
      </c>
      <c r="AN1213" s="35" t="str">
        <f t="shared" si="93"/>
        <v>✓ OK</v>
      </c>
      <c r="AO1213" s="36"/>
      <c r="AP1213" s="36"/>
      <c r="AQ1213" s="36"/>
      <c r="AR1213" s="36"/>
      <c r="AS1213" s="36"/>
      <c r="AT1213" s="36"/>
      <c r="AU1213" s="27"/>
      <c r="AV1213" s="37"/>
      <c r="AW1213" s="38" t="str">
        <f t="shared" si="94"/>
        <v/>
      </c>
    </row>
    <row r="1214" spans="1:49" ht="18" customHeight="1" x14ac:dyDescent="0.3">
      <c r="A1214" s="39">
        <v>1210</v>
      </c>
      <c r="B1214" s="40" t="s">
        <v>4269</v>
      </c>
      <c r="C1214" s="41" t="s">
        <v>4270</v>
      </c>
      <c r="D1214" s="39" t="s">
        <v>4000</v>
      </c>
      <c r="E1214" s="43">
        <v>46125</v>
      </c>
      <c r="F1214" s="26" t="s">
        <v>23</v>
      </c>
      <c r="G1214" s="26" t="s">
        <v>24</v>
      </c>
      <c r="H1214" s="26" t="s">
        <v>25</v>
      </c>
      <c r="I1214" s="26" t="s">
        <v>26</v>
      </c>
      <c r="J1214" s="26" t="s">
        <v>24</v>
      </c>
      <c r="K1214" s="27"/>
      <c r="L1214" s="28" t="s">
        <v>25</v>
      </c>
      <c r="M1214" s="29" t="str">
        <f t="shared" si="90"/>
        <v>✓ OK</v>
      </c>
      <c r="N1214" s="43">
        <v>46193</v>
      </c>
      <c r="O1214" s="26" t="s">
        <v>23</v>
      </c>
      <c r="P1214" s="26" t="s">
        <v>24</v>
      </c>
      <c r="Q1214" s="26" t="s">
        <v>25</v>
      </c>
      <c r="R1214" s="26" t="s">
        <v>26</v>
      </c>
      <c r="S1214" s="26" t="s">
        <v>24</v>
      </c>
      <c r="T1214" s="27"/>
      <c r="U1214" s="28" t="s">
        <v>25</v>
      </c>
      <c r="V1214" s="29" t="str">
        <f t="shared" si="91"/>
        <v>✓ OK</v>
      </c>
      <c r="W1214" s="45">
        <v>46248</v>
      </c>
      <c r="X1214" s="30" t="s">
        <v>23</v>
      </c>
      <c r="Y1214" s="30" t="s">
        <v>24</v>
      </c>
      <c r="Z1214" s="30" t="s">
        <v>25</v>
      </c>
      <c r="AA1214" s="30" t="s">
        <v>26</v>
      </c>
      <c r="AB1214" s="30" t="s">
        <v>24</v>
      </c>
      <c r="AC1214" s="27"/>
      <c r="AD1214" s="31" t="s">
        <v>25</v>
      </c>
      <c r="AE1214" s="32" t="str">
        <f t="shared" si="92"/>
        <v>✓ OK</v>
      </c>
      <c r="AF1214" s="33" t="s">
        <v>27</v>
      </c>
      <c r="AG1214" s="33" t="s">
        <v>23</v>
      </c>
      <c r="AH1214" s="33" t="s">
        <v>24</v>
      </c>
      <c r="AI1214" s="33" t="s">
        <v>25</v>
      </c>
      <c r="AJ1214" s="33" t="s">
        <v>26</v>
      </c>
      <c r="AK1214" s="33" t="s">
        <v>24</v>
      </c>
      <c r="AL1214" s="27"/>
      <c r="AM1214" s="34" t="s">
        <v>25</v>
      </c>
      <c r="AN1214" s="35" t="str">
        <f t="shared" si="93"/>
        <v>✓ OK</v>
      </c>
      <c r="AO1214" s="36"/>
      <c r="AP1214" s="36"/>
      <c r="AQ1214" s="36"/>
      <c r="AR1214" s="36"/>
      <c r="AS1214" s="36"/>
      <c r="AT1214" s="36"/>
      <c r="AU1214" s="27"/>
      <c r="AV1214" s="37"/>
      <c r="AW1214" s="38" t="str">
        <f t="shared" si="94"/>
        <v/>
      </c>
    </row>
    <row r="1215" spans="1:49" ht="18" customHeight="1" x14ac:dyDescent="0.3">
      <c r="A1215" s="23">
        <v>1211</v>
      </c>
      <c r="B1215" s="24" t="s">
        <v>4271</v>
      </c>
      <c r="C1215" s="25" t="s">
        <v>4272</v>
      </c>
      <c r="D1215" s="23" t="s">
        <v>4000</v>
      </c>
      <c r="E1215" s="43">
        <v>46125</v>
      </c>
      <c r="F1215" s="26" t="s">
        <v>23</v>
      </c>
      <c r="G1215" s="26" t="s">
        <v>24</v>
      </c>
      <c r="H1215" s="26" t="s">
        <v>25</v>
      </c>
      <c r="I1215" s="26" t="s">
        <v>26</v>
      </c>
      <c r="J1215" s="26" t="s">
        <v>24</v>
      </c>
      <c r="K1215" s="27"/>
      <c r="L1215" s="28" t="s">
        <v>25</v>
      </c>
      <c r="M1215" s="29" t="str">
        <f t="shared" si="90"/>
        <v>✓ OK</v>
      </c>
      <c r="N1215" s="43">
        <v>46193</v>
      </c>
      <c r="O1215" s="26" t="s">
        <v>23</v>
      </c>
      <c r="P1215" s="26" t="s">
        <v>24</v>
      </c>
      <c r="Q1215" s="26" t="s">
        <v>25</v>
      </c>
      <c r="R1215" s="26" t="s">
        <v>26</v>
      </c>
      <c r="S1215" s="26" t="s">
        <v>24</v>
      </c>
      <c r="T1215" s="27"/>
      <c r="U1215" s="28" t="s">
        <v>25</v>
      </c>
      <c r="V1215" s="29" t="str">
        <f t="shared" si="91"/>
        <v>✓ OK</v>
      </c>
      <c r="W1215" s="45">
        <v>46248</v>
      </c>
      <c r="X1215" s="30" t="s">
        <v>23</v>
      </c>
      <c r="Y1215" s="30" t="s">
        <v>24</v>
      </c>
      <c r="Z1215" s="30" t="s">
        <v>25</v>
      </c>
      <c r="AA1215" s="30" t="s">
        <v>26</v>
      </c>
      <c r="AB1215" s="30" t="s">
        <v>24</v>
      </c>
      <c r="AC1215" s="27"/>
      <c r="AD1215" s="31" t="s">
        <v>25</v>
      </c>
      <c r="AE1215" s="32" t="str">
        <f t="shared" si="92"/>
        <v>✓ OK</v>
      </c>
      <c r="AF1215" s="33" t="s">
        <v>27</v>
      </c>
      <c r="AG1215" s="33" t="s">
        <v>23</v>
      </c>
      <c r="AH1215" s="33" t="s">
        <v>24</v>
      </c>
      <c r="AI1215" s="33" t="s">
        <v>25</v>
      </c>
      <c r="AJ1215" s="33" t="s">
        <v>26</v>
      </c>
      <c r="AK1215" s="33" t="s">
        <v>24</v>
      </c>
      <c r="AL1215" s="27"/>
      <c r="AM1215" s="34" t="s">
        <v>25</v>
      </c>
      <c r="AN1215" s="35" t="str">
        <f t="shared" si="93"/>
        <v>✓ OK</v>
      </c>
      <c r="AO1215" s="36"/>
      <c r="AP1215" s="36"/>
      <c r="AQ1215" s="36"/>
      <c r="AR1215" s="36"/>
      <c r="AS1215" s="36"/>
      <c r="AT1215" s="36"/>
      <c r="AU1215" s="27"/>
      <c r="AV1215" s="37"/>
      <c r="AW1215" s="38" t="str">
        <f t="shared" si="94"/>
        <v/>
      </c>
    </row>
    <row r="1216" spans="1:49" ht="18" customHeight="1" x14ac:dyDescent="0.3">
      <c r="A1216" s="39">
        <v>1212</v>
      </c>
      <c r="B1216" s="40" t="s">
        <v>4273</v>
      </c>
      <c r="C1216" s="41" t="s">
        <v>4274</v>
      </c>
      <c r="D1216" s="39" t="s">
        <v>4000</v>
      </c>
      <c r="E1216" s="43">
        <v>46125</v>
      </c>
      <c r="F1216" s="26" t="s">
        <v>23</v>
      </c>
      <c r="G1216" s="26" t="s">
        <v>24</v>
      </c>
      <c r="H1216" s="26" t="s">
        <v>25</v>
      </c>
      <c r="I1216" s="26" t="s">
        <v>26</v>
      </c>
      <c r="J1216" s="26" t="s">
        <v>24</v>
      </c>
      <c r="K1216" s="27"/>
      <c r="L1216" s="28" t="s">
        <v>25</v>
      </c>
      <c r="M1216" s="29" t="str">
        <f t="shared" si="90"/>
        <v>✓ OK</v>
      </c>
      <c r="N1216" s="43">
        <v>46193</v>
      </c>
      <c r="O1216" s="26" t="s">
        <v>23</v>
      </c>
      <c r="P1216" s="26" t="s">
        <v>24</v>
      </c>
      <c r="Q1216" s="26" t="s">
        <v>25</v>
      </c>
      <c r="R1216" s="26" t="s">
        <v>26</v>
      </c>
      <c r="S1216" s="26" t="s">
        <v>24</v>
      </c>
      <c r="T1216" s="27"/>
      <c r="U1216" s="28" t="s">
        <v>25</v>
      </c>
      <c r="V1216" s="29" t="str">
        <f t="shared" si="91"/>
        <v>✓ OK</v>
      </c>
      <c r="W1216" s="45">
        <v>46248</v>
      </c>
      <c r="X1216" s="30" t="s">
        <v>23</v>
      </c>
      <c r="Y1216" s="30" t="s">
        <v>24</v>
      </c>
      <c r="Z1216" s="30" t="s">
        <v>25</v>
      </c>
      <c r="AA1216" s="30" t="s">
        <v>26</v>
      </c>
      <c r="AB1216" s="30" t="s">
        <v>24</v>
      </c>
      <c r="AC1216" s="27"/>
      <c r="AD1216" s="31" t="s">
        <v>25</v>
      </c>
      <c r="AE1216" s="32" t="str">
        <f t="shared" si="92"/>
        <v>✓ OK</v>
      </c>
      <c r="AF1216" s="33" t="s">
        <v>27</v>
      </c>
      <c r="AG1216" s="33" t="s">
        <v>23</v>
      </c>
      <c r="AH1216" s="33" t="s">
        <v>24</v>
      </c>
      <c r="AI1216" s="33" t="s">
        <v>25</v>
      </c>
      <c r="AJ1216" s="33" t="s">
        <v>26</v>
      </c>
      <c r="AK1216" s="33" t="s">
        <v>24</v>
      </c>
      <c r="AL1216" s="27"/>
      <c r="AM1216" s="34" t="s">
        <v>25</v>
      </c>
      <c r="AN1216" s="35" t="str">
        <f t="shared" si="93"/>
        <v>✓ OK</v>
      </c>
      <c r="AO1216" s="36"/>
      <c r="AP1216" s="36"/>
      <c r="AQ1216" s="36"/>
      <c r="AR1216" s="36"/>
      <c r="AS1216" s="36"/>
      <c r="AT1216" s="36"/>
      <c r="AU1216" s="27"/>
      <c r="AV1216" s="37"/>
      <c r="AW1216" s="38" t="str">
        <f t="shared" si="94"/>
        <v/>
      </c>
    </row>
    <row r="1217" spans="1:49" ht="18" customHeight="1" x14ac:dyDescent="0.3">
      <c r="A1217" s="23">
        <v>1213</v>
      </c>
      <c r="B1217" s="24" t="s">
        <v>4275</v>
      </c>
      <c r="C1217" s="25" t="s">
        <v>4276</v>
      </c>
      <c r="D1217" s="23" t="s">
        <v>4000</v>
      </c>
      <c r="E1217" s="43">
        <v>46125</v>
      </c>
      <c r="F1217" s="26" t="s">
        <v>23</v>
      </c>
      <c r="G1217" s="26" t="s">
        <v>24</v>
      </c>
      <c r="H1217" s="26" t="s">
        <v>25</v>
      </c>
      <c r="I1217" s="26" t="s">
        <v>26</v>
      </c>
      <c r="J1217" s="26" t="s">
        <v>24</v>
      </c>
      <c r="K1217" s="27"/>
      <c r="L1217" s="28" t="s">
        <v>25</v>
      </c>
      <c r="M1217" s="29" t="str">
        <f t="shared" si="90"/>
        <v>✓ OK</v>
      </c>
      <c r="N1217" s="43">
        <v>46193</v>
      </c>
      <c r="O1217" s="26" t="s">
        <v>23</v>
      </c>
      <c r="P1217" s="26" t="s">
        <v>24</v>
      </c>
      <c r="Q1217" s="26" t="s">
        <v>25</v>
      </c>
      <c r="R1217" s="26" t="s">
        <v>26</v>
      </c>
      <c r="S1217" s="26" t="s">
        <v>24</v>
      </c>
      <c r="T1217" s="27"/>
      <c r="U1217" s="28" t="s">
        <v>25</v>
      </c>
      <c r="V1217" s="29" t="str">
        <f t="shared" si="91"/>
        <v>✓ OK</v>
      </c>
      <c r="W1217" s="45">
        <v>46248</v>
      </c>
      <c r="X1217" s="30" t="s">
        <v>23</v>
      </c>
      <c r="Y1217" s="30" t="s">
        <v>24</v>
      </c>
      <c r="Z1217" s="30" t="s">
        <v>25</v>
      </c>
      <c r="AA1217" s="30" t="s">
        <v>26</v>
      </c>
      <c r="AB1217" s="30" t="s">
        <v>24</v>
      </c>
      <c r="AC1217" s="27"/>
      <c r="AD1217" s="31" t="s">
        <v>25</v>
      </c>
      <c r="AE1217" s="32" t="str">
        <f t="shared" si="92"/>
        <v>✓ OK</v>
      </c>
      <c r="AF1217" s="33" t="s">
        <v>27</v>
      </c>
      <c r="AG1217" s="33" t="s">
        <v>23</v>
      </c>
      <c r="AH1217" s="33" t="s">
        <v>24</v>
      </c>
      <c r="AI1217" s="33" t="s">
        <v>25</v>
      </c>
      <c r="AJ1217" s="33" t="s">
        <v>26</v>
      </c>
      <c r="AK1217" s="33" t="s">
        <v>24</v>
      </c>
      <c r="AL1217" s="27"/>
      <c r="AM1217" s="34" t="s">
        <v>25</v>
      </c>
      <c r="AN1217" s="35" t="str">
        <f t="shared" si="93"/>
        <v>✓ OK</v>
      </c>
      <c r="AO1217" s="36"/>
      <c r="AP1217" s="36"/>
      <c r="AQ1217" s="36"/>
      <c r="AR1217" s="36"/>
      <c r="AS1217" s="36"/>
      <c r="AT1217" s="36"/>
      <c r="AU1217" s="27"/>
      <c r="AV1217" s="37"/>
      <c r="AW1217" s="38" t="str">
        <f t="shared" si="94"/>
        <v/>
      </c>
    </row>
    <row r="1218" spans="1:49" ht="18" customHeight="1" x14ac:dyDescent="0.3">
      <c r="A1218" s="39">
        <v>1214</v>
      </c>
      <c r="B1218" s="40" t="s">
        <v>4277</v>
      </c>
      <c r="C1218" s="41" t="s">
        <v>4278</v>
      </c>
      <c r="D1218" s="39" t="s">
        <v>4000</v>
      </c>
      <c r="E1218" s="43">
        <v>46125</v>
      </c>
      <c r="F1218" s="26" t="s">
        <v>23</v>
      </c>
      <c r="G1218" s="26" t="s">
        <v>24</v>
      </c>
      <c r="H1218" s="26" t="s">
        <v>25</v>
      </c>
      <c r="I1218" s="26" t="s">
        <v>26</v>
      </c>
      <c r="J1218" s="26" t="s">
        <v>24</v>
      </c>
      <c r="K1218" s="27"/>
      <c r="L1218" s="28" t="s">
        <v>25</v>
      </c>
      <c r="M1218" s="29" t="str">
        <f t="shared" si="90"/>
        <v>✓ OK</v>
      </c>
      <c r="N1218" s="43">
        <v>46193</v>
      </c>
      <c r="O1218" s="26" t="s">
        <v>23</v>
      </c>
      <c r="P1218" s="26" t="s">
        <v>24</v>
      </c>
      <c r="Q1218" s="26" t="s">
        <v>25</v>
      </c>
      <c r="R1218" s="26" t="s">
        <v>26</v>
      </c>
      <c r="S1218" s="26" t="s">
        <v>24</v>
      </c>
      <c r="T1218" s="27"/>
      <c r="U1218" s="28" t="s">
        <v>25</v>
      </c>
      <c r="V1218" s="29" t="str">
        <f t="shared" si="91"/>
        <v>✓ OK</v>
      </c>
      <c r="W1218" s="45">
        <v>46248</v>
      </c>
      <c r="X1218" s="30" t="s">
        <v>23</v>
      </c>
      <c r="Y1218" s="30" t="s">
        <v>24</v>
      </c>
      <c r="Z1218" s="30" t="s">
        <v>25</v>
      </c>
      <c r="AA1218" s="30" t="s">
        <v>26</v>
      </c>
      <c r="AB1218" s="30" t="s">
        <v>24</v>
      </c>
      <c r="AC1218" s="27"/>
      <c r="AD1218" s="31" t="s">
        <v>25</v>
      </c>
      <c r="AE1218" s="32" t="str">
        <f t="shared" si="92"/>
        <v>✓ OK</v>
      </c>
      <c r="AF1218" s="33" t="s">
        <v>27</v>
      </c>
      <c r="AG1218" s="33" t="s">
        <v>23</v>
      </c>
      <c r="AH1218" s="33" t="s">
        <v>24</v>
      </c>
      <c r="AI1218" s="33" t="s">
        <v>25</v>
      </c>
      <c r="AJ1218" s="33" t="s">
        <v>26</v>
      </c>
      <c r="AK1218" s="33" t="s">
        <v>24</v>
      </c>
      <c r="AL1218" s="27"/>
      <c r="AM1218" s="34" t="s">
        <v>25</v>
      </c>
      <c r="AN1218" s="35" t="str">
        <f t="shared" si="93"/>
        <v>✓ OK</v>
      </c>
      <c r="AO1218" s="36"/>
      <c r="AP1218" s="36"/>
      <c r="AQ1218" s="36"/>
      <c r="AR1218" s="36"/>
      <c r="AS1218" s="36"/>
      <c r="AT1218" s="36"/>
      <c r="AU1218" s="27"/>
      <c r="AV1218" s="37"/>
      <c r="AW1218" s="38" t="str">
        <f t="shared" si="94"/>
        <v/>
      </c>
    </row>
    <row r="1219" spans="1:49" ht="18" customHeight="1" x14ac:dyDescent="0.3">
      <c r="A1219" s="23">
        <v>1215</v>
      </c>
      <c r="B1219" s="24" t="s">
        <v>4279</v>
      </c>
      <c r="C1219" s="25" t="s">
        <v>4280</v>
      </c>
      <c r="D1219" s="23" t="s">
        <v>4000</v>
      </c>
      <c r="E1219" s="43">
        <v>46125</v>
      </c>
      <c r="F1219" s="26" t="s">
        <v>23</v>
      </c>
      <c r="G1219" s="26" t="s">
        <v>24</v>
      </c>
      <c r="H1219" s="26" t="s">
        <v>25</v>
      </c>
      <c r="I1219" s="26" t="s">
        <v>26</v>
      </c>
      <c r="J1219" s="26" t="s">
        <v>24</v>
      </c>
      <c r="K1219" s="27"/>
      <c r="L1219" s="28" t="s">
        <v>25</v>
      </c>
      <c r="M1219" s="29" t="str">
        <f t="shared" si="90"/>
        <v>✓ OK</v>
      </c>
      <c r="N1219" s="43">
        <v>46193</v>
      </c>
      <c r="O1219" s="26" t="s">
        <v>23</v>
      </c>
      <c r="P1219" s="26" t="s">
        <v>24</v>
      </c>
      <c r="Q1219" s="26" t="s">
        <v>25</v>
      </c>
      <c r="R1219" s="26" t="s">
        <v>26</v>
      </c>
      <c r="S1219" s="26" t="s">
        <v>24</v>
      </c>
      <c r="T1219" s="27"/>
      <c r="U1219" s="28" t="s">
        <v>25</v>
      </c>
      <c r="V1219" s="29" t="str">
        <f t="shared" si="91"/>
        <v>✓ OK</v>
      </c>
      <c r="W1219" s="45">
        <v>46248</v>
      </c>
      <c r="X1219" s="30" t="s">
        <v>23</v>
      </c>
      <c r="Y1219" s="30" t="s">
        <v>24</v>
      </c>
      <c r="Z1219" s="30" t="s">
        <v>25</v>
      </c>
      <c r="AA1219" s="30" t="s">
        <v>26</v>
      </c>
      <c r="AB1219" s="30" t="s">
        <v>24</v>
      </c>
      <c r="AC1219" s="27"/>
      <c r="AD1219" s="31" t="s">
        <v>25</v>
      </c>
      <c r="AE1219" s="32" t="str">
        <f t="shared" si="92"/>
        <v>✓ OK</v>
      </c>
      <c r="AF1219" s="33" t="s">
        <v>27</v>
      </c>
      <c r="AG1219" s="33" t="s">
        <v>23</v>
      </c>
      <c r="AH1219" s="33" t="s">
        <v>24</v>
      </c>
      <c r="AI1219" s="33" t="s">
        <v>25</v>
      </c>
      <c r="AJ1219" s="33" t="s">
        <v>26</v>
      </c>
      <c r="AK1219" s="33" t="s">
        <v>24</v>
      </c>
      <c r="AL1219" s="27"/>
      <c r="AM1219" s="34" t="s">
        <v>25</v>
      </c>
      <c r="AN1219" s="35" t="str">
        <f t="shared" si="93"/>
        <v>✓ OK</v>
      </c>
      <c r="AO1219" s="36"/>
      <c r="AP1219" s="36"/>
      <c r="AQ1219" s="36"/>
      <c r="AR1219" s="36"/>
      <c r="AS1219" s="36"/>
      <c r="AT1219" s="36"/>
      <c r="AU1219" s="27"/>
      <c r="AV1219" s="37"/>
      <c r="AW1219" s="38" t="str">
        <f t="shared" si="94"/>
        <v/>
      </c>
    </row>
    <row r="1220" spans="1:49" ht="18" customHeight="1" x14ac:dyDescent="0.3">
      <c r="A1220" s="39">
        <v>1216</v>
      </c>
      <c r="B1220" s="40" t="s">
        <v>4281</v>
      </c>
      <c r="C1220" s="41" t="s">
        <v>4282</v>
      </c>
      <c r="D1220" s="39" t="s">
        <v>4000</v>
      </c>
      <c r="E1220" s="43">
        <v>46125</v>
      </c>
      <c r="F1220" s="26" t="s">
        <v>23</v>
      </c>
      <c r="G1220" s="26" t="s">
        <v>24</v>
      </c>
      <c r="H1220" s="26" t="s">
        <v>25</v>
      </c>
      <c r="I1220" s="26" t="s">
        <v>26</v>
      </c>
      <c r="J1220" s="26" t="s">
        <v>24</v>
      </c>
      <c r="K1220" s="27"/>
      <c r="L1220" s="28" t="s">
        <v>25</v>
      </c>
      <c r="M1220" s="29" t="str">
        <f t="shared" si="90"/>
        <v>✓ OK</v>
      </c>
      <c r="N1220" s="43">
        <v>46193</v>
      </c>
      <c r="O1220" s="26" t="s">
        <v>23</v>
      </c>
      <c r="P1220" s="26" t="s">
        <v>24</v>
      </c>
      <c r="Q1220" s="26" t="s">
        <v>25</v>
      </c>
      <c r="R1220" s="26" t="s">
        <v>26</v>
      </c>
      <c r="S1220" s="26" t="s">
        <v>24</v>
      </c>
      <c r="T1220" s="27"/>
      <c r="U1220" s="28" t="s">
        <v>25</v>
      </c>
      <c r="V1220" s="29" t="str">
        <f t="shared" si="91"/>
        <v>✓ OK</v>
      </c>
      <c r="W1220" s="45">
        <v>46248</v>
      </c>
      <c r="X1220" s="30" t="s">
        <v>23</v>
      </c>
      <c r="Y1220" s="30" t="s">
        <v>24</v>
      </c>
      <c r="Z1220" s="30" t="s">
        <v>25</v>
      </c>
      <c r="AA1220" s="30" t="s">
        <v>26</v>
      </c>
      <c r="AB1220" s="30" t="s">
        <v>24</v>
      </c>
      <c r="AC1220" s="27"/>
      <c r="AD1220" s="31" t="s">
        <v>25</v>
      </c>
      <c r="AE1220" s="32" t="str">
        <f t="shared" si="92"/>
        <v>✓ OK</v>
      </c>
      <c r="AF1220" s="33" t="s">
        <v>27</v>
      </c>
      <c r="AG1220" s="33" t="s">
        <v>23</v>
      </c>
      <c r="AH1220" s="33" t="s">
        <v>24</v>
      </c>
      <c r="AI1220" s="33" t="s">
        <v>25</v>
      </c>
      <c r="AJ1220" s="33" t="s">
        <v>26</v>
      </c>
      <c r="AK1220" s="33" t="s">
        <v>24</v>
      </c>
      <c r="AL1220" s="27"/>
      <c r="AM1220" s="34" t="s">
        <v>25</v>
      </c>
      <c r="AN1220" s="35" t="str">
        <f t="shared" si="93"/>
        <v>✓ OK</v>
      </c>
      <c r="AO1220" s="36"/>
      <c r="AP1220" s="36"/>
      <c r="AQ1220" s="36"/>
      <c r="AR1220" s="36"/>
      <c r="AS1220" s="36"/>
      <c r="AT1220" s="36"/>
      <c r="AU1220" s="27"/>
      <c r="AV1220" s="37"/>
      <c r="AW1220" s="38" t="str">
        <f t="shared" si="94"/>
        <v/>
      </c>
    </row>
    <row r="1221" spans="1:49" ht="18" customHeight="1" x14ac:dyDescent="0.3">
      <c r="A1221" s="23">
        <v>1217</v>
      </c>
      <c r="B1221" s="24" t="s">
        <v>4283</v>
      </c>
      <c r="C1221" s="25" t="s">
        <v>4284</v>
      </c>
      <c r="D1221" s="23" t="s">
        <v>4000</v>
      </c>
      <c r="E1221" s="43">
        <v>46125</v>
      </c>
      <c r="F1221" s="26" t="s">
        <v>23</v>
      </c>
      <c r="G1221" s="26" t="s">
        <v>24</v>
      </c>
      <c r="H1221" s="26" t="s">
        <v>25</v>
      </c>
      <c r="I1221" s="26" t="s">
        <v>26</v>
      </c>
      <c r="J1221" s="26" t="s">
        <v>24</v>
      </c>
      <c r="K1221" s="27"/>
      <c r="L1221" s="28" t="s">
        <v>25</v>
      </c>
      <c r="M1221" s="29" t="str">
        <f t="shared" ref="M1221:M1284" si="95">IF(E1221="","",IF(H1221="Yes","❌ Disc",IF(G1221="No","⚠ Missing",IF(J1221="Yes","✓ OK","⚠ Check"))))</f>
        <v>✓ OK</v>
      </c>
      <c r="N1221" s="43">
        <v>46193</v>
      </c>
      <c r="O1221" s="26" t="s">
        <v>23</v>
      </c>
      <c r="P1221" s="26" t="s">
        <v>24</v>
      </c>
      <c r="Q1221" s="26" t="s">
        <v>25</v>
      </c>
      <c r="R1221" s="26" t="s">
        <v>26</v>
      </c>
      <c r="S1221" s="26" t="s">
        <v>24</v>
      </c>
      <c r="T1221" s="27"/>
      <c r="U1221" s="28" t="s">
        <v>25</v>
      </c>
      <c r="V1221" s="29" t="str">
        <f t="shared" ref="V1221:V1284" si="96">IF(N1221="","",IF(Q1221="Yes","❌ Disc",IF(P1221="No","⚠ Missing",IF(S1221="Yes","✓ OK","⚠ Check"))))</f>
        <v>✓ OK</v>
      </c>
      <c r="W1221" s="45">
        <v>46248</v>
      </c>
      <c r="X1221" s="30" t="s">
        <v>23</v>
      </c>
      <c r="Y1221" s="30" t="s">
        <v>24</v>
      </c>
      <c r="Z1221" s="30" t="s">
        <v>25</v>
      </c>
      <c r="AA1221" s="30" t="s">
        <v>26</v>
      </c>
      <c r="AB1221" s="30" t="s">
        <v>24</v>
      </c>
      <c r="AC1221" s="27"/>
      <c r="AD1221" s="31" t="s">
        <v>25</v>
      </c>
      <c r="AE1221" s="32" t="str">
        <f t="shared" ref="AE1221:AE1284" si="97">IF(W1221="","",IF(Z1221="Yes","❌ Disc",IF(Y1221="No","⚠ Missing",IF(AB1221="Yes","✓ OK","⚠ Check"))))</f>
        <v>✓ OK</v>
      </c>
      <c r="AF1221" s="33" t="s">
        <v>27</v>
      </c>
      <c r="AG1221" s="33" t="s">
        <v>23</v>
      </c>
      <c r="AH1221" s="33" t="s">
        <v>24</v>
      </c>
      <c r="AI1221" s="33" t="s">
        <v>25</v>
      </c>
      <c r="AJ1221" s="33" t="s">
        <v>26</v>
      </c>
      <c r="AK1221" s="33" t="s">
        <v>24</v>
      </c>
      <c r="AL1221" s="27"/>
      <c r="AM1221" s="34" t="s">
        <v>25</v>
      </c>
      <c r="AN1221" s="35" t="str">
        <f t="shared" ref="AN1221:AN1284" si="98">IF(AF1221="","",IF(AI1221="Yes","❌ Disc",IF(AH1221="No","⚠ Missing",IF(AK1221="Yes","✓ OK","⚠ Check"))))</f>
        <v>✓ OK</v>
      </c>
      <c r="AO1221" s="36"/>
      <c r="AP1221" s="36"/>
      <c r="AQ1221" s="36"/>
      <c r="AR1221" s="36"/>
      <c r="AS1221" s="36"/>
      <c r="AT1221" s="36"/>
      <c r="AU1221" s="27"/>
      <c r="AV1221" s="37"/>
      <c r="AW1221" s="38" t="str">
        <f t="shared" ref="AW1221:AW1284" si="99">IF(AO1221="","",IF(AR1221="Yes","❌ Disc",IF(AQ1221="No","⚠ Missing",IF(AT1221="Yes","✓ OK","⚠ Check"))))</f>
        <v/>
      </c>
    </row>
    <row r="1222" spans="1:49" ht="18" customHeight="1" x14ac:dyDescent="0.3">
      <c r="A1222" s="39">
        <v>1218</v>
      </c>
      <c r="B1222" s="40" t="s">
        <v>4285</v>
      </c>
      <c r="C1222" s="41" t="s">
        <v>4286</v>
      </c>
      <c r="D1222" s="39" t="s">
        <v>4000</v>
      </c>
      <c r="E1222" s="43">
        <v>46125</v>
      </c>
      <c r="F1222" s="26" t="s">
        <v>23</v>
      </c>
      <c r="G1222" s="26" t="s">
        <v>24</v>
      </c>
      <c r="H1222" s="26" t="s">
        <v>25</v>
      </c>
      <c r="I1222" s="26" t="s">
        <v>26</v>
      </c>
      <c r="J1222" s="26" t="s">
        <v>24</v>
      </c>
      <c r="K1222" s="27"/>
      <c r="L1222" s="28" t="s">
        <v>25</v>
      </c>
      <c r="M1222" s="29" t="str">
        <f t="shared" si="95"/>
        <v>✓ OK</v>
      </c>
      <c r="N1222" s="43">
        <v>46193</v>
      </c>
      <c r="O1222" s="26" t="s">
        <v>23</v>
      </c>
      <c r="P1222" s="26" t="s">
        <v>24</v>
      </c>
      <c r="Q1222" s="26" t="s">
        <v>25</v>
      </c>
      <c r="R1222" s="26" t="s">
        <v>26</v>
      </c>
      <c r="S1222" s="26" t="s">
        <v>24</v>
      </c>
      <c r="T1222" s="27"/>
      <c r="U1222" s="28" t="s">
        <v>25</v>
      </c>
      <c r="V1222" s="29" t="str">
        <f t="shared" si="96"/>
        <v>✓ OK</v>
      </c>
      <c r="W1222" s="45">
        <v>46248</v>
      </c>
      <c r="X1222" s="30" t="s">
        <v>23</v>
      </c>
      <c r="Y1222" s="30" t="s">
        <v>24</v>
      </c>
      <c r="Z1222" s="30" t="s">
        <v>25</v>
      </c>
      <c r="AA1222" s="30" t="s">
        <v>26</v>
      </c>
      <c r="AB1222" s="30" t="s">
        <v>24</v>
      </c>
      <c r="AC1222" s="27"/>
      <c r="AD1222" s="31" t="s">
        <v>25</v>
      </c>
      <c r="AE1222" s="32" t="str">
        <f t="shared" si="97"/>
        <v>✓ OK</v>
      </c>
      <c r="AF1222" s="33" t="s">
        <v>27</v>
      </c>
      <c r="AG1222" s="33" t="s">
        <v>23</v>
      </c>
      <c r="AH1222" s="33" t="s">
        <v>24</v>
      </c>
      <c r="AI1222" s="33" t="s">
        <v>25</v>
      </c>
      <c r="AJ1222" s="33" t="s">
        <v>26</v>
      </c>
      <c r="AK1222" s="33" t="s">
        <v>24</v>
      </c>
      <c r="AL1222" s="27"/>
      <c r="AM1222" s="34" t="s">
        <v>25</v>
      </c>
      <c r="AN1222" s="35" t="str">
        <f t="shared" si="98"/>
        <v>✓ OK</v>
      </c>
      <c r="AO1222" s="36"/>
      <c r="AP1222" s="36"/>
      <c r="AQ1222" s="36"/>
      <c r="AR1222" s="36"/>
      <c r="AS1222" s="36"/>
      <c r="AT1222" s="36"/>
      <c r="AU1222" s="27"/>
      <c r="AV1222" s="37"/>
      <c r="AW1222" s="38" t="str">
        <f t="shared" si="99"/>
        <v/>
      </c>
    </row>
    <row r="1223" spans="1:49" ht="18" customHeight="1" x14ac:dyDescent="0.3">
      <c r="A1223" s="23">
        <v>1219</v>
      </c>
      <c r="B1223" s="24" t="s">
        <v>4287</v>
      </c>
      <c r="C1223" s="25" t="s">
        <v>4288</v>
      </c>
      <c r="D1223" s="23" t="s">
        <v>4000</v>
      </c>
      <c r="E1223" s="43">
        <v>46125</v>
      </c>
      <c r="F1223" s="26" t="s">
        <v>23</v>
      </c>
      <c r="G1223" s="26" t="s">
        <v>24</v>
      </c>
      <c r="H1223" s="26" t="s">
        <v>25</v>
      </c>
      <c r="I1223" s="26" t="s">
        <v>26</v>
      </c>
      <c r="J1223" s="26" t="s">
        <v>24</v>
      </c>
      <c r="K1223" s="27"/>
      <c r="L1223" s="28" t="s">
        <v>25</v>
      </c>
      <c r="M1223" s="29" t="str">
        <f t="shared" si="95"/>
        <v>✓ OK</v>
      </c>
      <c r="N1223" s="43">
        <v>46193</v>
      </c>
      <c r="O1223" s="26" t="s">
        <v>23</v>
      </c>
      <c r="P1223" s="26" t="s">
        <v>24</v>
      </c>
      <c r="Q1223" s="26" t="s">
        <v>25</v>
      </c>
      <c r="R1223" s="26" t="s">
        <v>26</v>
      </c>
      <c r="S1223" s="26" t="s">
        <v>24</v>
      </c>
      <c r="T1223" s="27"/>
      <c r="U1223" s="28" t="s">
        <v>25</v>
      </c>
      <c r="V1223" s="29" t="str">
        <f t="shared" si="96"/>
        <v>✓ OK</v>
      </c>
      <c r="W1223" s="45">
        <v>46248</v>
      </c>
      <c r="X1223" s="30" t="s">
        <v>23</v>
      </c>
      <c r="Y1223" s="30" t="s">
        <v>24</v>
      </c>
      <c r="Z1223" s="30" t="s">
        <v>25</v>
      </c>
      <c r="AA1223" s="30" t="s">
        <v>26</v>
      </c>
      <c r="AB1223" s="30" t="s">
        <v>24</v>
      </c>
      <c r="AC1223" s="27"/>
      <c r="AD1223" s="31" t="s">
        <v>25</v>
      </c>
      <c r="AE1223" s="32" t="str">
        <f t="shared" si="97"/>
        <v>✓ OK</v>
      </c>
      <c r="AF1223" s="33" t="s">
        <v>27</v>
      </c>
      <c r="AG1223" s="33" t="s">
        <v>23</v>
      </c>
      <c r="AH1223" s="33" t="s">
        <v>24</v>
      </c>
      <c r="AI1223" s="33" t="s">
        <v>25</v>
      </c>
      <c r="AJ1223" s="33" t="s">
        <v>26</v>
      </c>
      <c r="AK1223" s="33" t="s">
        <v>24</v>
      </c>
      <c r="AL1223" s="27"/>
      <c r="AM1223" s="34" t="s">
        <v>25</v>
      </c>
      <c r="AN1223" s="35" t="str">
        <f t="shared" si="98"/>
        <v>✓ OK</v>
      </c>
      <c r="AO1223" s="36"/>
      <c r="AP1223" s="36"/>
      <c r="AQ1223" s="36"/>
      <c r="AR1223" s="36"/>
      <c r="AS1223" s="36"/>
      <c r="AT1223" s="36"/>
      <c r="AU1223" s="27"/>
      <c r="AV1223" s="37"/>
      <c r="AW1223" s="38" t="str">
        <f t="shared" si="99"/>
        <v/>
      </c>
    </row>
    <row r="1224" spans="1:49" ht="18" customHeight="1" x14ac:dyDescent="0.3">
      <c r="A1224" s="39">
        <v>1220</v>
      </c>
      <c r="B1224" s="40" t="s">
        <v>4289</v>
      </c>
      <c r="C1224" s="41" t="s">
        <v>4290</v>
      </c>
      <c r="D1224" s="39" t="s">
        <v>4000</v>
      </c>
      <c r="E1224" s="43">
        <v>46125</v>
      </c>
      <c r="F1224" s="26" t="s">
        <v>23</v>
      </c>
      <c r="G1224" s="26" t="s">
        <v>24</v>
      </c>
      <c r="H1224" s="26" t="s">
        <v>25</v>
      </c>
      <c r="I1224" s="26" t="s">
        <v>26</v>
      </c>
      <c r="J1224" s="26" t="s">
        <v>24</v>
      </c>
      <c r="K1224" s="27"/>
      <c r="L1224" s="28" t="s">
        <v>25</v>
      </c>
      <c r="M1224" s="29" t="str">
        <f t="shared" si="95"/>
        <v>✓ OK</v>
      </c>
      <c r="N1224" s="43">
        <v>46193</v>
      </c>
      <c r="O1224" s="26" t="s">
        <v>23</v>
      </c>
      <c r="P1224" s="26" t="s">
        <v>24</v>
      </c>
      <c r="Q1224" s="26" t="s">
        <v>25</v>
      </c>
      <c r="R1224" s="26" t="s">
        <v>26</v>
      </c>
      <c r="S1224" s="26" t="s">
        <v>24</v>
      </c>
      <c r="T1224" s="27"/>
      <c r="U1224" s="28" t="s">
        <v>25</v>
      </c>
      <c r="V1224" s="29" t="str">
        <f t="shared" si="96"/>
        <v>✓ OK</v>
      </c>
      <c r="W1224" s="45">
        <v>46248</v>
      </c>
      <c r="X1224" s="30" t="s">
        <v>23</v>
      </c>
      <c r="Y1224" s="30" t="s">
        <v>24</v>
      </c>
      <c r="Z1224" s="30" t="s">
        <v>25</v>
      </c>
      <c r="AA1224" s="30" t="s">
        <v>26</v>
      </c>
      <c r="AB1224" s="30" t="s">
        <v>24</v>
      </c>
      <c r="AC1224" s="27"/>
      <c r="AD1224" s="31" t="s">
        <v>25</v>
      </c>
      <c r="AE1224" s="32" t="str">
        <f t="shared" si="97"/>
        <v>✓ OK</v>
      </c>
      <c r="AF1224" s="33" t="s">
        <v>27</v>
      </c>
      <c r="AG1224" s="33" t="s">
        <v>23</v>
      </c>
      <c r="AH1224" s="33" t="s">
        <v>24</v>
      </c>
      <c r="AI1224" s="33" t="s">
        <v>25</v>
      </c>
      <c r="AJ1224" s="33" t="s">
        <v>26</v>
      </c>
      <c r="AK1224" s="33" t="s">
        <v>24</v>
      </c>
      <c r="AL1224" s="27"/>
      <c r="AM1224" s="34" t="s">
        <v>25</v>
      </c>
      <c r="AN1224" s="35" t="str">
        <f t="shared" si="98"/>
        <v>✓ OK</v>
      </c>
      <c r="AO1224" s="36"/>
      <c r="AP1224" s="36"/>
      <c r="AQ1224" s="36"/>
      <c r="AR1224" s="36"/>
      <c r="AS1224" s="36"/>
      <c r="AT1224" s="36"/>
      <c r="AU1224" s="27"/>
      <c r="AV1224" s="37"/>
      <c r="AW1224" s="38" t="str">
        <f t="shared" si="99"/>
        <v/>
      </c>
    </row>
    <row r="1225" spans="1:49" ht="18" customHeight="1" x14ac:dyDescent="0.3">
      <c r="A1225" s="23">
        <v>1221</v>
      </c>
      <c r="B1225" s="24" t="s">
        <v>4291</v>
      </c>
      <c r="C1225" s="25" t="s">
        <v>4292</v>
      </c>
      <c r="D1225" s="23" t="s">
        <v>4000</v>
      </c>
      <c r="E1225" s="43">
        <v>46125</v>
      </c>
      <c r="F1225" s="26" t="s">
        <v>23</v>
      </c>
      <c r="G1225" s="26" t="s">
        <v>24</v>
      </c>
      <c r="H1225" s="26" t="s">
        <v>25</v>
      </c>
      <c r="I1225" s="26" t="s">
        <v>26</v>
      </c>
      <c r="J1225" s="26" t="s">
        <v>24</v>
      </c>
      <c r="K1225" s="27"/>
      <c r="L1225" s="28" t="s">
        <v>25</v>
      </c>
      <c r="M1225" s="29" t="str">
        <f t="shared" si="95"/>
        <v>✓ OK</v>
      </c>
      <c r="N1225" s="43">
        <v>46193</v>
      </c>
      <c r="O1225" s="26" t="s">
        <v>23</v>
      </c>
      <c r="P1225" s="26" t="s">
        <v>24</v>
      </c>
      <c r="Q1225" s="26" t="s">
        <v>25</v>
      </c>
      <c r="R1225" s="26" t="s">
        <v>26</v>
      </c>
      <c r="S1225" s="26" t="s">
        <v>24</v>
      </c>
      <c r="T1225" s="27"/>
      <c r="U1225" s="28" t="s">
        <v>25</v>
      </c>
      <c r="V1225" s="29" t="str">
        <f t="shared" si="96"/>
        <v>✓ OK</v>
      </c>
      <c r="W1225" s="45">
        <v>46248</v>
      </c>
      <c r="X1225" s="30" t="s">
        <v>23</v>
      </c>
      <c r="Y1225" s="30" t="s">
        <v>24</v>
      </c>
      <c r="Z1225" s="30" t="s">
        <v>25</v>
      </c>
      <c r="AA1225" s="30" t="s">
        <v>26</v>
      </c>
      <c r="AB1225" s="30" t="s">
        <v>24</v>
      </c>
      <c r="AC1225" s="27"/>
      <c r="AD1225" s="31" t="s">
        <v>25</v>
      </c>
      <c r="AE1225" s="32" t="str">
        <f t="shared" si="97"/>
        <v>✓ OK</v>
      </c>
      <c r="AF1225" s="33" t="s">
        <v>27</v>
      </c>
      <c r="AG1225" s="33" t="s">
        <v>23</v>
      </c>
      <c r="AH1225" s="33" t="s">
        <v>24</v>
      </c>
      <c r="AI1225" s="33" t="s">
        <v>25</v>
      </c>
      <c r="AJ1225" s="33" t="s">
        <v>26</v>
      </c>
      <c r="AK1225" s="33" t="s">
        <v>24</v>
      </c>
      <c r="AL1225" s="27"/>
      <c r="AM1225" s="34" t="s">
        <v>25</v>
      </c>
      <c r="AN1225" s="35" t="str">
        <f t="shared" si="98"/>
        <v>✓ OK</v>
      </c>
      <c r="AO1225" s="36"/>
      <c r="AP1225" s="36"/>
      <c r="AQ1225" s="36"/>
      <c r="AR1225" s="36"/>
      <c r="AS1225" s="36"/>
      <c r="AT1225" s="36"/>
      <c r="AU1225" s="27"/>
      <c r="AV1225" s="37"/>
      <c r="AW1225" s="38" t="str">
        <f t="shared" si="99"/>
        <v/>
      </c>
    </row>
    <row r="1226" spans="1:49" ht="18" customHeight="1" x14ac:dyDescent="0.3">
      <c r="A1226" s="39">
        <v>1222</v>
      </c>
      <c r="B1226" s="40" t="s">
        <v>4293</v>
      </c>
      <c r="C1226" s="41" t="s">
        <v>4294</v>
      </c>
      <c r="D1226" s="39" t="s">
        <v>4000</v>
      </c>
      <c r="E1226" s="43">
        <v>46125</v>
      </c>
      <c r="F1226" s="26" t="s">
        <v>23</v>
      </c>
      <c r="G1226" s="26" t="s">
        <v>24</v>
      </c>
      <c r="H1226" s="26" t="s">
        <v>25</v>
      </c>
      <c r="I1226" s="26" t="s">
        <v>26</v>
      </c>
      <c r="J1226" s="26" t="s">
        <v>24</v>
      </c>
      <c r="K1226" s="27"/>
      <c r="L1226" s="28" t="s">
        <v>25</v>
      </c>
      <c r="M1226" s="29" t="str">
        <f t="shared" si="95"/>
        <v>✓ OK</v>
      </c>
      <c r="N1226" s="43">
        <v>46193</v>
      </c>
      <c r="O1226" s="26" t="s">
        <v>23</v>
      </c>
      <c r="P1226" s="26" t="s">
        <v>24</v>
      </c>
      <c r="Q1226" s="26" t="s">
        <v>25</v>
      </c>
      <c r="R1226" s="26" t="s">
        <v>26</v>
      </c>
      <c r="S1226" s="26" t="s">
        <v>24</v>
      </c>
      <c r="T1226" s="27"/>
      <c r="U1226" s="28" t="s">
        <v>25</v>
      </c>
      <c r="V1226" s="29" t="str">
        <f t="shared" si="96"/>
        <v>✓ OK</v>
      </c>
      <c r="W1226" s="45">
        <v>46248</v>
      </c>
      <c r="X1226" s="30" t="s">
        <v>23</v>
      </c>
      <c r="Y1226" s="30" t="s">
        <v>24</v>
      </c>
      <c r="Z1226" s="30" t="s">
        <v>25</v>
      </c>
      <c r="AA1226" s="30" t="s">
        <v>26</v>
      </c>
      <c r="AB1226" s="30" t="s">
        <v>24</v>
      </c>
      <c r="AC1226" s="27"/>
      <c r="AD1226" s="31" t="s">
        <v>25</v>
      </c>
      <c r="AE1226" s="32" t="str">
        <f t="shared" si="97"/>
        <v>✓ OK</v>
      </c>
      <c r="AF1226" s="33" t="s">
        <v>27</v>
      </c>
      <c r="AG1226" s="33" t="s">
        <v>23</v>
      </c>
      <c r="AH1226" s="33" t="s">
        <v>24</v>
      </c>
      <c r="AI1226" s="33" t="s">
        <v>25</v>
      </c>
      <c r="AJ1226" s="33" t="s">
        <v>26</v>
      </c>
      <c r="AK1226" s="33" t="s">
        <v>24</v>
      </c>
      <c r="AL1226" s="27"/>
      <c r="AM1226" s="34" t="s">
        <v>25</v>
      </c>
      <c r="AN1226" s="35" t="str">
        <f t="shared" si="98"/>
        <v>✓ OK</v>
      </c>
      <c r="AO1226" s="36"/>
      <c r="AP1226" s="36"/>
      <c r="AQ1226" s="36"/>
      <c r="AR1226" s="36"/>
      <c r="AS1226" s="36"/>
      <c r="AT1226" s="36"/>
      <c r="AU1226" s="27"/>
      <c r="AV1226" s="37"/>
      <c r="AW1226" s="38" t="str">
        <f t="shared" si="99"/>
        <v/>
      </c>
    </row>
    <row r="1227" spans="1:49" ht="18" customHeight="1" x14ac:dyDescent="0.3">
      <c r="A1227" s="23">
        <v>1223</v>
      </c>
      <c r="B1227" s="24" t="s">
        <v>4295</v>
      </c>
      <c r="C1227" s="25" t="s">
        <v>4296</v>
      </c>
      <c r="D1227" s="23" t="s">
        <v>4000</v>
      </c>
      <c r="E1227" s="43">
        <v>46125</v>
      </c>
      <c r="F1227" s="26" t="s">
        <v>23</v>
      </c>
      <c r="G1227" s="26" t="s">
        <v>24</v>
      </c>
      <c r="H1227" s="26" t="s">
        <v>25</v>
      </c>
      <c r="I1227" s="26" t="s">
        <v>26</v>
      </c>
      <c r="J1227" s="26" t="s">
        <v>24</v>
      </c>
      <c r="K1227" s="27"/>
      <c r="L1227" s="28" t="s">
        <v>25</v>
      </c>
      <c r="M1227" s="29" t="str">
        <f t="shared" si="95"/>
        <v>✓ OK</v>
      </c>
      <c r="N1227" s="43">
        <v>46193</v>
      </c>
      <c r="O1227" s="26" t="s">
        <v>23</v>
      </c>
      <c r="P1227" s="26" t="s">
        <v>24</v>
      </c>
      <c r="Q1227" s="26" t="s">
        <v>25</v>
      </c>
      <c r="R1227" s="26" t="s">
        <v>26</v>
      </c>
      <c r="S1227" s="26" t="s">
        <v>24</v>
      </c>
      <c r="T1227" s="27"/>
      <c r="U1227" s="28" t="s">
        <v>25</v>
      </c>
      <c r="V1227" s="29" t="str">
        <f t="shared" si="96"/>
        <v>✓ OK</v>
      </c>
      <c r="W1227" s="45">
        <v>46248</v>
      </c>
      <c r="X1227" s="30" t="s">
        <v>23</v>
      </c>
      <c r="Y1227" s="30" t="s">
        <v>24</v>
      </c>
      <c r="Z1227" s="30" t="s">
        <v>25</v>
      </c>
      <c r="AA1227" s="30" t="s">
        <v>26</v>
      </c>
      <c r="AB1227" s="30" t="s">
        <v>24</v>
      </c>
      <c r="AC1227" s="27"/>
      <c r="AD1227" s="31" t="s">
        <v>25</v>
      </c>
      <c r="AE1227" s="32" t="str">
        <f t="shared" si="97"/>
        <v>✓ OK</v>
      </c>
      <c r="AF1227" s="33" t="s">
        <v>27</v>
      </c>
      <c r="AG1227" s="33" t="s">
        <v>23</v>
      </c>
      <c r="AH1227" s="33" t="s">
        <v>24</v>
      </c>
      <c r="AI1227" s="33" t="s">
        <v>25</v>
      </c>
      <c r="AJ1227" s="33" t="s">
        <v>26</v>
      </c>
      <c r="AK1227" s="33" t="s">
        <v>24</v>
      </c>
      <c r="AL1227" s="27"/>
      <c r="AM1227" s="34" t="s">
        <v>25</v>
      </c>
      <c r="AN1227" s="35" t="str">
        <f t="shared" si="98"/>
        <v>✓ OK</v>
      </c>
      <c r="AO1227" s="36"/>
      <c r="AP1227" s="36"/>
      <c r="AQ1227" s="36"/>
      <c r="AR1227" s="36"/>
      <c r="AS1227" s="36"/>
      <c r="AT1227" s="36"/>
      <c r="AU1227" s="27"/>
      <c r="AV1227" s="37"/>
      <c r="AW1227" s="38" t="str">
        <f t="shared" si="99"/>
        <v/>
      </c>
    </row>
    <row r="1228" spans="1:49" ht="18" customHeight="1" x14ac:dyDescent="0.3">
      <c r="A1228" s="39">
        <v>1224</v>
      </c>
      <c r="B1228" s="40" t="s">
        <v>4297</v>
      </c>
      <c r="C1228" s="41" t="s">
        <v>4298</v>
      </c>
      <c r="D1228" s="39" t="s">
        <v>4000</v>
      </c>
      <c r="E1228" s="43">
        <v>46125</v>
      </c>
      <c r="F1228" s="26" t="s">
        <v>23</v>
      </c>
      <c r="G1228" s="26" t="s">
        <v>24</v>
      </c>
      <c r="H1228" s="26" t="s">
        <v>25</v>
      </c>
      <c r="I1228" s="26" t="s">
        <v>26</v>
      </c>
      <c r="J1228" s="26" t="s">
        <v>24</v>
      </c>
      <c r="K1228" s="27"/>
      <c r="L1228" s="28" t="s">
        <v>25</v>
      </c>
      <c r="M1228" s="29" t="str">
        <f t="shared" si="95"/>
        <v>✓ OK</v>
      </c>
      <c r="N1228" s="43">
        <v>46193</v>
      </c>
      <c r="O1228" s="26" t="s">
        <v>23</v>
      </c>
      <c r="P1228" s="26" t="s">
        <v>24</v>
      </c>
      <c r="Q1228" s="26" t="s">
        <v>25</v>
      </c>
      <c r="R1228" s="26" t="s">
        <v>26</v>
      </c>
      <c r="S1228" s="26" t="s">
        <v>24</v>
      </c>
      <c r="T1228" s="27"/>
      <c r="U1228" s="28" t="s">
        <v>25</v>
      </c>
      <c r="V1228" s="29" t="str">
        <f t="shared" si="96"/>
        <v>✓ OK</v>
      </c>
      <c r="W1228" s="45">
        <v>46248</v>
      </c>
      <c r="X1228" s="30" t="s">
        <v>23</v>
      </c>
      <c r="Y1228" s="30" t="s">
        <v>24</v>
      </c>
      <c r="Z1228" s="30" t="s">
        <v>25</v>
      </c>
      <c r="AA1228" s="30" t="s">
        <v>26</v>
      </c>
      <c r="AB1228" s="30" t="s">
        <v>24</v>
      </c>
      <c r="AC1228" s="27"/>
      <c r="AD1228" s="31" t="s">
        <v>25</v>
      </c>
      <c r="AE1228" s="32" t="str">
        <f t="shared" si="97"/>
        <v>✓ OK</v>
      </c>
      <c r="AF1228" s="33" t="s">
        <v>27</v>
      </c>
      <c r="AG1228" s="33" t="s">
        <v>23</v>
      </c>
      <c r="AH1228" s="33" t="s">
        <v>24</v>
      </c>
      <c r="AI1228" s="33" t="s">
        <v>25</v>
      </c>
      <c r="AJ1228" s="33" t="s">
        <v>26</v>
      </c>
      <c r="AK1228" s="33" t="s">
        <v>24</v>
      </c>
      <c r="AL1228" s="27"/>
      <c r="AM1228" s="34" t="s">
        <v>25</v>
      </c>
      <c r="AN1228" s="35" t="str">
        <f t="shared" si="98"/>
        <v>✓ OK</v>
      </c>
      <c r="AO1228" s="36"/>
      <c r="AP1228" s="36"/>
      <c r="AQ1228" s="36"/>
      <c r="AR1228" s="36"/>
      <c r="AS1228" s="36"/>
      <c r="AT1228" s="36"/>
      <c r="AU1228" s="27"/>
      <c r="AV1228" s="37"/>
      <c r="AW1228" s="38" t="str">
        <f t="shared" si="99"/>
        <v/>
      </c>
    </row>
    <row r="1229" spans="1:49" ht="18" customHeight="1" x14ac:dyDescent="0.3">
      <c r="A1229" s="23">
        <v>1225</v>
      </c>
      <c r="B1229" s="24" t="s">
        <v>4299</v>
      </c>
      <c r="C1229" s="25" t="s">
        <v>4300</v>
      </c>
      <c r="D1229" s="23" t="s">
        <v>4000</v>
      </c>
      <c r="E1229" s="43">
        <v>46125</v>
      </c>
      <c r="F1229" s="26" t="s">
        <v>23</v>
      </c>
      <c r="G1229" s="26" t="s">
        <v>24</v>
      </c>
      <c r="H1229" s="26" t="s">
        <v>25</v>
      </c>
      <c r="I1229" s="26" t="s">
        <v>26</v>
      </c>
      <c r="J1229" s="26" t="s">
        <v>24</v>
      </c>
      <c r="K1229" s="27"/>
      <c r="L1229" s="28" t="s">
        <v>25</v>
      </c>
      <c r="M1229" s="29" t="str">
        <f t="shared" si="95"/>
        <v>✓ OK</v>
      </c>
      <c r="N1229" s="43">
        <v>46193</v>
      </c>
      <c r="O1229" s="26" t="s">
        <v>23</v>
      </c>
      <c r="P1229" s="26" t="s">
        <v>24</v>
      </c>
      <c r="Q1229" s="26" t="s">
        <v>25</v>
      </c>
      <c r="R1229" s="26" t="s">
        <v>26</v>
      </c>
      <c r="S1229" s="26" t="s">
        <v>24</v>
      </c>
      <c r="T1229" s="27"/>
      <c r="U1229" s="28" t="s">
        <v>25</v>
      </c>
      <c r="V1229" s="29" t="str">
        <f t="shared" si="96"/>
        <v>✓ OK</v>
      </c>
      <c r="W1229" s="45">
        <v>46248</v>
      </c>
      <c r="X1229" s="30" t="s">
        <v>23</v>
      </c>
      <c r="Y1229" s="30" t="s">
        <v>24</v>
      </c>
      <c r="Z1229" s="30" t="s">
        <v>25</v>
      </c>
      <c r="AA1229" s="30" t="s">
        <v>26</v>
      </c>
      <c r="AB1229" s="30" t="s">
        <v>24</v>
      </c>
      <c r="AC1229" s="27"/>
      <c r="AD1229" s="31" t="s">
        <v>25</v>
      </c>
      <c r="AE1229" s="32" t="str">
        <f t="shared" si="97"/>
        <v>✓ OK</v>
      </c>
      <c r="AF1229" s="33" t="s">
        <v>27</v>
      </c>
      <c r="AG1229" s="33" t="s">
        <v>23</v>
      </c>
      <c r="AH1229" s="33" t="s">
        <v>24</v>
      </c>
      <c r="AI1229" s="33" t="s">
        <v>25</v>
      </c>
      <c r="AJ1229" s="33" t="s">
        <v>26</v>
      </c>
      <c r="AK1229" s="33" t="s">
        <v>24</v>
      </c>
      <c r="AL1229" s="27"/>
      <c r="AM1229" s="34" t="s">
        <v>25</v>
      </c>
      <c r="AN1229" s="35" t="str">
        <f t="shared" si="98"/>
        <v>✓ OK</v>
      </c>
      <c r="AO1229" s="36"/>
      <c r="AP1229" s="36"/>
      <c r="AQ1229" s="36"/>
      <c r="AR1229" s="36"/>
      <c r="AS1229" s="36"/>
      <c r="AT1229" s="36"/>
      <c r="AU1229" s="27"/>
      <c r="AV1229" s="37"/>
      <c r="AW1229" s="38" t="str">
        <f t="shared" si="99"/>
        <v/>
      </c>
    </row>
    <row r="1230" spans="1:49" ht="18" customHeight="1" x14ac:dyDescent="0.3">
      <c r="A1230" s="39">
        <v>1226</v>
      </c>
      <c r="B1230" s="40" t="s">
        <v>4301</v>
      </c>
      <c r="C1230" s="41" t="s">
        <v>4302</v>
      </c>
      <c r="D1230" s="39" t="s">
        <v>4000</v>
      </c>
      <c r="E1230" s="43">
        <v>46125</v>
      </c>
      <c r="F1230" s="26" t="s">
        <v>23</v>
      </c>
      <c r="G1230" s="26" t="s">
        <v>24</v>
      </c>
      <c r="H1230" s="26" t="s">
        <v>25</v>
      </c>
      <c r="I1230" s="26" t="s">
        <v>26</v>
      </c>
      <c r="J1230" s="26" t="s">
        <v>24</v>
      </c>
      <c r="K1230" s="27"/>
      <c r="L1230" s="28" t="s">
        <v>25</v>
      </c>
      <c r="M1230" s="29" t="str">
        <f t="shared" si="95"/>
        <v>✓ OK</v>
      </c>
      <c r="N1230" s="43">
        <v>46193</v>
      </c>
      <c r="O1230" s="26" t="s">
        <v>23</v>
      </c>
      <c r="P1230" s="26" t="s">
        <v>24</v>
      </c>
      <c r="Q1230" s="26" t="s">
        <v>25</v>
      </c>
      <c r="R1230" s="26" t="s">
        <v>26</v>
      </c>
      <c r="S1230" s="26" t="s">
        <v>24</v>
      </c>
      <c r="T1230" s="27"/>
      <c r="U1230" s="28" t="s">
        <v>25</v>
      </c>
      <c r="V1230" s="29" t="str">
        <f t="shared" si="96"/>
        <v>✓ OK</v>
      </c>
      <c r="W1230" s="45">
        <v>46248</v>
      </c>
      <c r="X1230" s="30" t="s">
        <v>23</v>
      </c>
      <c r="Y1230" s="30" t="s">
        <v>24</v>
      </c>
      <c r="Z1230" s="30" t="s">
        <v>25</v>
      </c>
      <c r="AA1230" s="30" t="s">
        <v>26</v>
      </c>
      <c r="AB1230" s="30" t="s">
        <v>24</v>
      </c>
      <c r="AC1230" s="27"/>
      <c r="AD1230" s="31" t="s">
        <v>25</v>
      </c>
      <c r="AE1230" s="32" t="str">
        <f t="shared" si="97"/>
        <v>✓ OK</v>
      </c>
      <c r="AF1230" s="33" t="s">
        <v>27</v>
      </c>
      <c r="AG1230" s="33" t="s">
        <v>23</v>
      </c>
      <c r="AH1230" s="33" t="s">
        <v>24</v>
      </c>
      <c r="AI1230" s="33" t="s">
        <v>25</v>
      </c>
      <c r="AJ1230" s="33" t="s">
        <v>26</v>
      </c>
      <c r="AK1230" s="33" t="s">
        <v>24</v>
      </c>
      <c r="AL1230" s="27"/>
      <c r="AM1230" s="34" t="s">
        <v>25</v>
      </c>
      <c r="AN1230" s="35" t="str">
        <f t="shared" si="98"/>
        <v>✓ OK</v>
      </c>
      <c r="AO1230" s="36"/>
      <c r="AP1230" s="36"/>
      <c r="AQ1230" s="36"/>
      <c r="AR1230" s="36"/>
      <c r="AS1230" s="36"/>
      <c r="AT1230" s="36"/>
      <c r="AU1230" s="27"/>
      <c r="AV1230" s="37"/>
      <c r="AW1230" s="38" t="str">
        <f t="shared" si="99"/>
        <v/>
      </c>
    </row>
    <row r="1231" spans="1:49" ht="18" customHeight="1" x14ac:dyDescent="0.3">
      <c r="A1231" s="23">
        <v>1227</v>
      </c>
      <c r="B1231" s="24" t="s">
        <v>4303</v>
      </c>
      <c r="C1231" s="25" t="s">
        <v>4304</v>
      </c>
      <c r="D1231" s="23" t="s">
        <v>4000</v>
      </c>
      <c r="E1231" s="43">
        <v>46125</v>
      </c>
      <c r="F1231" s="26" t="s">
        <v>23</v>
      </c>
      <c r="G1231" s="26" t="s">
        <v>24</v>
      </c>
      <c r="H1231" s="26" t="s">
        <v>25</v>
      </c>
      <c r="I1231" s="26" t="s">
        <v>26</v>
      </c>
      <c r="J1231" s="26" t="s">
        <v>24</v>
      </c>
      <c r="K1231" s="27"/>
      <c r="L1231" s="28" t="s">
        <v>25</v>
      </c>
      <c r="M1231" s="29" t="str">
        <f t="shared" si="95"/>
        <v>✓ OK</v>
      </c>
      <c r="N1231" s="43">
        <v>46193</v>
      </c>
      <c r="O1231" s="26" t="s">
        <v>23</v>
      </c>
      <c r="P1231" s="26" t="s">
        <v>24</v>
      </c>
      <c r="Q1231" s="26" t="s">
        <v>25</v>
      </c>
      <c r="R1231" s="26" t="s">
        <v>26</v>
      </c>
      <c r="S1231" s="26" t="s">
        <v>24</v>
      </c>
      <c r="T1231" s="27"/>
      <c r="U1231" s="28" t="s">
        <v>25</v>
      </c>
      <c r="V1231" s="29" t="str">
        <f t="shared" si="96"/>
        <v>✓ OK</v>
      </c>
      <c r="W1231" s="45">
        <v>46248</v>
      </c>
      <c r="X1231" s="30" t="s">
        <v>23</v>
      </c>
      <c r="Y1231" s="30" t="s">
        <v>24</v>
      </c>
      <c r="Z1231" s="30" t="s">
        <v>25</v>
      </c>
      <c r="AA1231" s="30" t="s">
        <v>26</v>
      </c>
      <c r="AB1231" s="30" t="s">
        <v>24</v>
      </c>
      <c r="AC1231" s="27"/>
      <c r="AD1231" s="31" t="s">
        <v>25</v>
      </c>
      <c r="AE1231" s="32" t="str">
        <f t="shared" si="97"/>
        <v>✓ OK</v>
      </c>
      <c r="AF1231" s="33" t="s">
        <v>27</v>
      </c>
      <c r="AG1231" s="33" t="s">
        <v>23</v>
      </c>
      <c r="AH1231" s="33" t="s">
        <v>24</v>
      </c>
      <c r="AI1231" s="33" t="s">
        <v>25</v>
      </c>
      <c r="AJ1231" s="33" t="s">
        <v>26</v>
      </c>
      <c r="AK1231" s="33" t="s">
        <v>24</v>
      </c>
      <c r="AL1231" s="27"/>
      <c r="AM1231" s="34" t="s">
        <v>25</v>
      </c>
      <c r="AN1231" s="35" t="str">
        <f t="shared" si="98"/>
        <v>✓ OK</v>
      </c>
      <c r="AO1231" s="36"/>
      <c r="AP1231" s="36"/>
      <c r="AQ1231" s="36"/>
      <c r="AR1231" s="36"/>
      <c r="AS1231" s="36"/>
      <c r="AT1231" s="36"/>
      <c r="AU1231" s="27"/>
      <c r="AV1231" s="37"/>
      <c r="AW1231" s="38" t="str">
        <f t="shared" si="99"/>
        <v/>
      </c>
    </row>
    <row r="1232" spans="1:49" ht="18" customHeight="1" x14ac:dyDescent="0.3">
      <c r="A1232" s="39">
        <v>1228</v>
      </c>
      <c r="B1232" s="40" t="s">
        <v>4305</v>
      </c>
      <c r="C1232" s="41" t="s">
        <v>4306</v>
      </c>
      <c r="D1232" s="39" t="s">
        <v>4000</v>
      </c>
      <c r="E1232" s="43">
        <v>46125</v>
      </c>
      <c r="F1232" s="26" t="s">
        <v>23</v>
      </c>
      <c r="G1232" s="26" t="s">
        <v>24</v>
      </c>
      <c r="H1232" s="26" t="s">
        <v>25</v>
      </c>
      <c r="I1232" s="26" t="s">
        <v>26</v>
      </c>
      <c r="J1232" s="26" t="s">
        <v>24</v>
      </c>
      <c r="K1232" s="27"/>
      <c r="L1232" s="28" t="s">
        <v>25</v>
      </c>
      <c r="M1232" s="29" t="str">
        <f t="shared" si="95"/>
        <v>✓ OK</v>
      </c>
      <c r="N1232" s="43">
        <v>46193</v>
      </c>
      <c r="O1232" s="26" t="s">
        <v>23</v>
      </c>
      <c r="P1232" s="26" t="s">
        <v>24</v>
      </c>
      <c r="Q1232" s="26" t="s">
        <v>25</v>
      </c>
      <c r="R1232" s="26" t="s">
        <v>26</v>
      </c>
      <c r="S1232" s="26" t="s">
        <v>24</v>
      </c>
      <c r="T1232" s="27"/>
      <c r="U1232" s="28" t="s">
        <v>25</v>
      </c>
      <c r="V1232" s="29" t="str">
        <f t="shared" si="96"/>
        <v>✓ OK</v>
      </c>
      <c r="W1232" s="45">
        <v>46248</v>
      </c>
      <c r="X1232" s="30" t="s">
        <v>23</v>
      </c>
      <c r="Y1232" s="30" t="s">
        <v>24</v>
      </c>
      <c r="Z1232" s="30" t="s">
        <v>25</v>
      </c>
      <c r="AA1232" s="30" t="s">
        <v>26</v>
      </c>
      <c r="AB1232" s="30" t="s">
        <v>24</v>
      </c>
      <c r="AC1232" s="27"/>
      <c r="AD1232" s="31" t="s">
        <v>25</v>
      </c>
      <c r="AE1232" s="32" t="str">
        <f t="shared" si="97"/>
        <v>✓ OK</v>
      </c>
      <c r="AF1232" s="33" t="s">
        <v>27</v>
      </c>
      <c r="AG1232" s="33" t="s">
        <v>23</v>
      </c>
      <c r="AH1232" s="33" t="s">
        <v>24</v>
      </c>
      <c r="AI1232" s="33" t="s">
        <v>25</v>
      </c>
      <c r="AJ1232" s="33" t="s">
        <v>26</v>
      </c>
      <c r="AK1232" s="33" t="s">
        <v>24</v>
      </c>
      <c r="AL1232" s="27"/>
      <c r="AM1232" s="34" t="s">
        <v>25</v>
      </c>
      <c r="AN1232" s="35" t="str">
        <f t="shared" si="98"/>
        <v>✓ OK</v>
      </c>
      <c r="AO1232" s="36"/>
      <c r="AP1232" s="36"/>
      <c r="AQ1232" s="36"/>
      <c r="AR1232" s="36"/>
      <c r="AS1232" s="36"/>
      <c r="AT1232" s="36"/>
      <c r="AU1232" s="27"/>
      <c r="AV1232" s="37"/>
      <c r="AW1232" s="38" t="str">
        <f t="shared" si="99"/>
        <v/>
      </c>
    </row>
    <row r="1233" spans="1:49" ht="18" customHeight="1" x14ac:dyDescent="0.3">
      <c r="A1233" s="23">
        <v>1229</v>
      </c>
      <c r="B1233" s="24" t="s">
        <v>4307</v>
      </c>
      <c r="C1233" s="25" t="s">
        <v>4308</v>
      </c>
      <c r="D1233" s="23" t="s">
        <v>4000</v>
      </c>
      <c r="E1233" s="43">
        <v>46125</v>
      </c>
      <c r="F1233" s="26" t="s">
        <v>23</v>
      </c>
      <c r="G1233" s="26" t="s">
        <v>24</v>
      </c>
      <c r="H1233" s="26" t="s">
        <v>25</v>
      </c>
      <c r="I1233" s="26" t="s">
        <v>26</v>
      </c>
      <c r="J1233" s="26" t="s">
        <v>24</v>
      </c>
      <c r="K1233" s="27"/>
      <c r="L1233" s="28" t="s">
        <v>25</v>
      </c>
      <c r="M1233" s="29" t="str">
        <f t="shared" si="95"/>
        <v>✓ OK</v>
      </c>
      <c r="N1233" s="43">
        <v>46193</v>
      </c>
      <c r="O1233" s="26" t="s">
        <v>23</v>
      </c>
      <c r="P1233" s="26" t="s">
        <v>24</v>
      </c>
      <c r="Q1233" s="26" t="s">
        <v>25</v>
      </c>
      <c r="R1233" s="26" t="s">
        <v>26</v>
      </c>
      <c r="S1233" s="26" t="s">
        <v>24</v>
      </c>
      <c r="T1233" s="27"/>
      <c r="U1233" s="28" t="s">
        <v>25</v>
      </c>
      <c r="V1233" s="29" t="str">
        <f t="shared" si="96"/>
        <v>✓ OK</v>
      </c>
      <c r="W1233" s="45">
        <v>46248</v>
      </c>
      <c r="X1233" s="30" t="s">
        <v>23</v>
      </c>
      <c r="Y1233" s="30" t="s">
        <v>24</v>
      </c>
      <c r="Z1233" s="30" t="s">
        <v>25</v>
      </c>
      <c r="AA1233" s="30" t="s">
        <v>26</v>
      </c>
      <c r="AB1233" s="30" t="s">
        <v>24</v>
      </c>
      <c r="AC1233" s="27"/>
      <c r="AD1233" s="31" t="s">
        <v>25</v>
      </c>
      <c r="AE1233" s="32" t="str">
        <f t="shared" si="97"/>
        <v>✓ OK</v>
      </c>
      <c r="AF1233" s="33" t="s">
        <v>27</v>
      </c>
      <c r="AG1233" s="33" t="s">
        <v>23</v>
      </c>
      <c r="AH1233" s="33" t="s">
        <v>24</v>
      </c>
      <c r="AI1233" s="33" t="s">
        <v>25</v>
      </c>
      <c r="AJ1233" s="33" t="s">
        <v>26</v>
      </c>
      <c r="AK1233" s="33" t="s">
        <v>24</v>
      </c>
      <c r="AL1233" s="27"/>
      <c r="AM1233" s="34" t="s">
        <v>25</v>
      </c>
      <c r="AN1233" s="35" t="str">
        <f t="shared" si="98"/>
        <v>✓ OK</v>
      </c>
      <c r="AO1233" s="36"/>
      <c r="AP1233" s="36"/>
      <c r="AQ1233" s="36"/>
      <c r="AR1233" s="36"/>
      <c r="AS1233" s="36"/>
      <c r="AT1233" s="36"/>
      <c r="AU1233" s="27"/>
      <c r="AV1233" s="37"/>
      <c r="AW1233" s="38" t="str">
        <f t="shared" si="99"/>
        <v/>
      </c>
    </row>
    <row r="1234" spans="1:49" ht="18" customHeight="1" x14ac:dyDescent="0.3">
      <c r="A1234" s="39">
        <v>1230</v>
      </c>
      <c r="B1234" s="40" t="s">
        <v>4309</v>
      </c>
      <c r="C1234" s="41" t="s">
        <v>4310</v>
      </c>
      <c r="D1234" s="39" t="s">
        <v>4000</v>
      </c>
      <c r="E1234" s="43">
        <v>46125</v>
      </c>
      <c r="F1234" s="26" t="s">
        <v>23</v>
      </c>
      <c r="G1234" s="26" t="s">
        <v>24</v>
      </c>
      <c r="H1234" s="26" t="s">
        <v>25</v>
      </c>
      <c r="I1234" s="26" t="s">
        <v>26</v>
      </c>
      <c r="J1234" s="26" t="s">
        <v>24</v>
      </c>
      <c r="K1234" s="27"/>
      <c r="L1234" s="28" t="s">
        <v>25</v>
      </c>
      <c r="M1234" s="29" t="str">
        <f t="shared" si="95"/>
        <v>✓ OK</v>
      </c>
      <c r="N1234" s="43">
        <v>46193</v>
      </c>
      <c r="O1234" s="26" t="s">
        <v>23</v>
      </c>
      <c r="P1234" s="26" t="s">
        <v>24</v>
      </c>
      <c r="Q1234" s="26" t="s">
        <v>25</v>
      </c>
      <c r="R1234" s="26" t="s">
        <v>26</v>
      </c>
      <c r="S1234" s="26" t="s">
        <v>24</v>
      </c>
      <c r="T1234" s="27"/>
      <c r="U1234" s="28" t="s">
        <v>25</v>
      </c>
      <c r="V1234" s="29" t="str">
        <f t="shared" si="96"/>
        <v>✓ OK</v>
      </c>
      <c r="W1234" s="45">
        <v>46248</v>
      </c>
      <c r="X1234" s="30" t="s">
        <v>23</v>
      </c>
      <c r="Y1234" s="30" t="s">
        <v>24</v>
      </c>
      <c r="Z1234" s="30" t="s">
        <v>25</v>
      </c>
      <c r="AA1234" s="30" t="s">
        <v>26</v>
      </c>
      <c r="AB1234" s="30" t="s">
        <v>24</v>
      </c>
      <c r="AC1234" s="27"/>
      <c r="AD1234" s="31" t="s">
        <v>25</v>
      </c>
      <c r="AE1234" s="32" t="str">
        <f t="shared" si="97"/>
        <v>✓ OK</v>
      </c>
      <c r="AF1234" s="33" t="s">
        <v>27</v>
      </c>
      <c r="AG1234" s="33" t="s">
        <v>23</v>
      </c>
      <c r="AH1234" s="33" t="s">
        <v>24</v>
      </c>
      <c r="AI1234" s="33" t="s">
        <v>25</v>
      </c>
      <c r="AJ1234" s="33" t="s">
        <v>26</v>
      </c>
      <c r="AK1234" s="33" t="s">
        <v>24</v>
      </c>
      <c r="AL1234" s="27"/>
      <c r="AM1234" s="34" t="s">
        <v>25</v>
      </c>
      <c r="AN1234" s="35" t="str">
        <f t="shared" si="98"/>
        <v>✓ OK</v>
      </c>
      <c r="AO1234" s="36"/>
      <c r="AP1234" s="36"/>
      <c r="AQ1234" s="36"/>
      <c r="AR1234" s="36"/>
      <c r="AS1234" s="36"/>
      <c r="AT1234" s="36"/>
      <c r="AU1234" s="27"/>
      <c r="AV1234" s="37"/>
      <c r="AW1234" s="38" t="str">
        <f t="shared" si="99"/>
        <v/>
      </c>
    </row>
    <row r="1235" spans="1:49" ht="18" customHeight="1" x14ac:dyDescent="0.3">
      <c r="A1235" s="23">
        <v>1231</v>
      </c>
      <c r="B1235" s="24" t="s">
        <v>4311</v>
      </c>
      <c r="C1235" s="25" t="s">
        <v>4312</v>
      </c>
      <c r="D1235" s="23" t="s">
        <v>4000</v>
      </c>
      <c r="E1235" s="43">
        <v>46125</v>
      </c>
      <c r="F1235" s="26" t="s">
        <v>23</v>
      </c>
      <c r="G1235" s="26" t="s">
        <v>24</v>
      </c>
      <c r="H1235" s="26" t="s">
        <v>25</v>
      </c>
      <c r="I1235" s="26" t="s">
        <v>26</v>
      </c>
      <c r="J1235" s="26" t="s">
        <v>24</v>
      </c>
      <c r="K1235" s="27"/>
      <c r="L1235" s="28" t="s">
        <v>25</v>
      </c>
      <c r="M1235" s="29" t="str">
        <f t="shared" si="95"/>
        <v>✓ OK</v>
      </c>
      <c r="N1235" s="43">
        <v>46193</v>
      </c>
      <c r="O1235" s="26" t="s">
        <v>23</v>
      </c>
      <c r="P1235" s="26" t="s">
        <v>24</v>
      </c>
      <c r="Q1235" s="26" t="s">
        <v>25</v>
      </c>
      <c r="R1235" s="26" t="s">
        <v>26</v>
      </c>
      <c r="S1235" s="26" t="s">
        <v>24</v>
      </c>
      <c r="T1235" s="27"/>
      <c r="U1235" s="28" t="s">
        <v>25</v>
      </c>
      <c r="V1235" s="29" t="str">
        <f t="shared" si="96"/>
        <v>✓ OK</v>
      </c>
      <c r="W1235" s="45">
        <v>46248</v>
      </c>
      <c r="X1235" s="30" t="s">
        <v>23</v>
      </c>
      <c r="Y1235" s="30" t="s">
        <v>24</v>
      </c>
      <c r="Z1235" s="30" t="s">
        <v>25</v>
      </c>
      <c r="AA1235" s="30" t="s">
        <v>26</v>
      </c>
      <c r="AB1235" s="30" t="s">
        <v>24</v>
      </c>
      <c r="AC1235" s="27"/>
      <c r="AD1235" s="31" t="s">
        <v>25</v>
      </c>
      <c r="AE1235" s="32" t="str">
        <f t="shared" si="97"/>
        <v>✓ OK</v>
      </c>
      <c r="AF1235" s="33" t="s">
        <v>27</v>
      </c>
      <c r="AG1235" s="33" t="s">
        <v>23</v>
      </c>
      <c r="AH1235" s="33" t="s">
        <v>24</v>
      </c>
      <c r="AI1235" s="33" t="s">
        <v>25</v>
      </c>
      <c r="AJ1235" s="33" t="s">
        <v>26</v>
      </c>
      <c r="AK1235" s="33" t="s">
        <v>24</v>
      </c>
      <c r="AL1235" s="27"/>
      <c r="AM1235" s="34" t="s">
        <v>25</v>
      </c>
      <c r="AN1235" s="35" t="str">
        <f t="shared" si="98"/>
        <v>✓ OK</v>
      </c>
      <c r="AO1235" s="36"/>
      <c r="AP1235" s="36"/>
      <c r="AQ1235" s="36"/>
      <c r="AR1235" s="36"/>
      <c r="AS1235" s="36"/>
      <c r="AT1235" s="36"/>
      <c r="AU1235" s="27"/>
      <c r="AV1235" s="37"/>
      <c r="AW1235" s="38" t="str">
        <f t="shared" si="99"/>
        <v/>
      </c>
    </row>
    <row r="1236" spans="1:49" ht="18" customHeight="1" x14ac:dyDescent="0.3">
      <c r="A1236" s="39">
        <v>1232</v>
      </c>
      <c r="B1236" s="40" t="s">
        <v>4313</v>
      </c>
      <c r="C1236" s="41" t="s">
        <v>4314</v>
      </c>
      <c r="D1236" s="39" t="s">
        <v>4000</v>
      </c>
      <c r="E1236" s="43">
        <v>46125</v>
      </c>
      <c r="F1236" s="26" t="s">
        <v>23</v>
      </c>
      <c r="G1236" s="26" t="s">
        <v>24</v>
      </c>
      <c r="H1236" s="26" t="s">
        <v>25</v>
      </c>
      <c r="I1236" s="26" t="s">
        <v>26</v>
      </c>
      <c r="J1236" s="26" t="s">
        <v>24</v>
      </c>
      <c r="K1236" s="27"/>
      <c r="L1236" s="28" t="s">
        <v>25</v>
      </c>
      <c r="M1236" s="29" t="str">
        <f t="shared" si="95"/>
        <v>✓ OK</v>
      </c>
      <c r="N1236" s="43">
        <v>46193</v>
      </c>
      <c r="O1236" s="26" t="s">
        <v>23</v>
      </c>
      <c r="P1236" s="26" t="s">
        <v>24</v>
      </c>
      <c r="Q1236" s="26" t="s">
        <v>25</v>
      </c>
      <c r="R1236" s="26" t="s">
        <v>26</v>
      </c>
      <c r="S1236" s="26" t="s">
        <v>24</v>
      </c>
      <c r="T1236" s="27"/>
      <c r="U1236" s="28" t="s">
        <v>25</v>
      </c>
      <c r="V1236" s="29" t="str">
        <f t="shared" si="96"/>
        <v>✓ OK</v>
      </c>
      <c r="W1236" s="45">
        <v>46248</v>
      </c>
      <c r="X1236" s="30" t="s">
        <v>23</v>
      </c>
      <c r="Y1236" s="30" t="s">
        <v>24</v>
      </c>
      <c r="Z1236" s="30" t="s">
        <v>25</v>
      </c>
      <c r="AA1236" s="30" t="s">
        <v>26</v>
      </c>
      <c r="AB1236" s="30" t="s">
        <v>24</v>
      </c>
      <c r="AC1236" s="27"/>
      <c r="AD1236" s="31" t="s">
        <v>25</v>
      </c>
      <c r="AE1236" s="32" t="str">
        <f t="shared" si="97"/>
        <v>✓ OK</v>
      </c>
      <c r="AF1236" s="33" t="s">
        <v>27</v>
      </c>
      <c r="AG1236" s="33" t="s">
        <v>23</v>
      </c>
      <c r="AH1236" s="33" t="s">
        <v>24</v>
      </c>
      <c r="AI1236" s="33" t="s">
        <v>25</v>
      </c>
      <c r="AJ1236" s="33" t="s">
        <v>26</v>
      </c>
      <c r="AK1236" s="33" t="s">
        <v>24</v>
      </c>
      <c r="AL1236" s="27"/>
      <c r="AM1236" s="34" t="s">
        <v>25</v>
      </c>
      <c r="AN1236" s="35" t="str">
        <f t="shared" si="98"/>
        <v>✓ OK</v>
      </c>
      <c r="AO1236" s="36"/>
      <c r="AP1236" s="36"/>
      <c r="AQ1236" s="36"/>
      <c r="AR1236" s="36"/>
      <c r="AS1236" s="36"/>
      <c r="AT1236" s="36"/>
      <c r="AU1236" s="27"/>
      <c r="AV1236" s="37"/>
      <c r="AW1236" s="38" t="str">
        <f t="shared" si="99"/>
        <v/>
      </c>
    </row>
    <row r="1237" spans="1:49" ht="18" customHeight="1" x14ac:dyDescent="0.3">
      <c r="A1237" s="23">
        <v>1233</v>
      </c>
      <c r="B1237" s="24" t="s">
        <v>4315</v>
      </c>
      <c r="C1237" s="25" t="s">
        <v>4316</v>
      </c>
      <c r="D1237" s="23" t="s">
        <v>4000</v>
      </c>
      <c r="E1237" s="43">
        <v>46125</v>
      </c>
      <c r="F1237" s="26" t="s">
        <v>23</v>
      </c>
      <c r="G1237" s="26" t="s">
        <v>24</v>
      </c>
      <c r="H1237" s="26" t="s">
        <v>25</v>
      </c>
      <c r="I1237" s="26" t="s">
        <v>26</v>
      </c>
      <c r="J1237" s="26" t="s">
        <v>24</v>
      </c>
      <c r="K1237" s="27"/>
      <c r="L1237" s="28" t="s">
        <v>25</v>
      </c>
      <c r="M1237" s="29" t="str">
        <f t="shared" si="95"/>
        <v>✓ OK</v>
      </c>
      <c r="N1237" s="43">
        <v>46193</v>
      </c>
      <c r="O1237" s="26" t="s">
        <v>23</v>
      </c>
      <c r="P1237" s="26" t="s">
        <v>24</v>
      </c>
      <c r="Q1237" s="26" t="s">
        <v>25</v>
      </c>
      <c r="R1237" s="26" t="s">
        <v>26</v>
      </c>
      <c r="S1237" s="26" t="s">
        <v>24</v>
      </c>
      <c r="T1237" s="27"/>
      <c r="U1237" s="28" t="s">
        <v>25</v>
      </c>
      <c r="V1237" s="29" t="str">
        <f t="shared" si="96"/>
        <v>✓ OK</v>
      </c>
      <c r="W1237" s="45">
        <v>46248</v>
      </c>
      <c r="X1237" s="30" t="s">
        <v>23</v>
      </c>
      <c r="Y1237" s="30" t="s">
        <v>24</v>
      </c>
      <c r="Z1237" s="30" t="s">
        <v>25</v>
      </c>
      <c r="AA1237" s="30" t="s">
        <v>26</v>
      </c>
      <c r="AB1237" s="30" t="s">
        <v>24</v>
      </c>
      <c r="AC1237" s="27"/>
      <c r="AD1237" s="31" t="s">
        <v>25</v>
      </c>
      <c r="AE1237" s="32" t="str">
        <f t="shared" si="97"/>
        <v>✓ OK</v>
      </c>
      <c r="AF1237" s="33" t="s">
        <v>27</v>
      </c>
      <c r="AG1237" s="33" t="s">
        <v>23</v>
      </c>
      <c r="AH1237" s="33" t="s">
        <v>24</v>
      </c>
      <c r="AI1237" s="33" t="s">
        <v>25</v>
      </c>
      <c r="AJ1237" s="33" t="s">
        <v>26</v>
      </c>
      <c r="AK1237" s="33" t="s">
        <v>24</v>
      </c>
      <c r="AL1237" s="27"/>
      <c r="AM1237" s="34" t="s">
        <v>25</v>
      </c>
      <c r="AN1237" s="35" t="str">
        <f t="shared" si="98"/>
        <v>✓ OK</v>
      </c>
      <c r="AO1237" s="36"/>
      <c r="AP1237" s="36"/>
      <c r="AQ1237" s="36"/>
      <c r="AR1237" s="36"/>
      <c r="AS1237" s="36"/>
      <c r="AT1237" s="36"/>
      <c r="AU1237" s="27"/>
      <c r="AV1237" s="37"/>
      <c r="AW1237" s="38" t="str">
        <f t="shared" si="99"/>
        <v/>
      </c>
    </row>
    <row r="1238" spans="1:49" ht="18" customHeight="1" x14ac:dyDescent="0.3">
      <c r="A1238" s="39">
        <v>1234</v>
      </c>
      <c r="B1238" s="40" t="s">
        <v>4317</v>
      </c>
      <c r="C1238" s="41" t="s">
        <v>4318</v>
      </c>
      <c r="D1238" s="39" t="s">
        <v>4000</v>
      </c>
      <c r="E1238" s="43">
        <v>46125</v>
      </c>
      <c r="F1238" s="26" t="s">
        <v>23</v>
      </c>
      <c r="G1238" s="26" t="s">
        <v>24</v>
      </c>
      <c r="H1238" s="26" t="s">
        <v>25</v>
      </c>
      <c r="I1238" s="26" t="s">
        <v>26</v>
      </c>
      <c r="J1238" s="26" t="s">
        <v>24</v>
      </c>
      <c r="K1238" s="27"/>
      <c r="L1238" s="28" t="s">
        <v>25</v>
      </c>
      <c r="M1238" s="29" t="str">
        <f t="shared" si="95"/>
        <v>✓ OK</v>
      </c>
      <c r="N1238" s="43">
        <v>46193</v>
      </c>
      <c r="O1238" s="26" t="s">
        <v>23</v>
      </c>
      <c r="P1238" s="26" t="s">
        <v>24</v>
      </c>
      <c r="Q1238" s="26" t="s">
        <v>25</v>
      </c>
      <c r="R1238" s="26" t="s">
        <v>26</v>
      </c>
      <c r="S1238" s="26" t="s">
        <v>24</v>
      </c>
      <c r="T1238" s="27"/>
      <c r="U1238" s="28" t="s">
        <v>25</v>
      </c>
      <c r="V1238" s="29" t="str">
        <f t="shared" si="96"/>
        <v>✓ OK</v>
      </c>
      <c r="W1238" s="45">
        <v>46248</v>
      </c>
      <c r="X1238" s="30" t="s">
        <v>23</v>
      </c>
      <c r="Y1238" s="30" t="s">
        <v>24</v>
      </c>
      <c r="Z1238" s="30" t="s">
        <v>25</v>
      </c>
      <c r="AA1238" s="30" t="s">
        <v>26</v>
      </c>
      <c r="AB1238" s="30" t="s">
        <v>24</v>
      </c>
      <c r="AC1238" s="27"/>
      <c r="AD1238" s="31" t="s">
        <v>25</v>
      </c>
      <c r="AE1238" s="32" t="str">
        <f t="shared" si="97"/>
        <v>✓ OK</v>
      </c>
      <c r="AF1238" s="33" t="s">
        <v>27</v>
      </c>
      <c r="AG1238" s="33" t="s">
        <v>23</v>
      </c>
      <c r="AH1238" s="33" t="s">
        <v>24</v>
      </c>
      <c r="AI1238" s="33" t="s">
        <v>25</v>
      </c>
      <c r="AJ1238" s="33" t="s">
        <v>26</v>
      </c>
      <c r="AK1238" s="33" t="s">
        <v>24</v>
      </c>
      <c r="AL1238" s="27"/>
      <c r="AM1238" s="34" t="s">
        <v>25</v>
      </c>
      <c r="AN1238" s="35" t="str">
        <f t="shared" si="98"/>
        <v>✓ OK</v>
      </c>
      <c r="AO1238" s="36"/>
      <c r="AP1238" s="36"/>
      <c r="AQ1238" s="36"/>
      <c r="AR1238" s="36"/>
      <c r="AS1238" s="36"/>
      <c r="AT1238" s="36"/>
      <c r="AU1238" s="27"/>
      <c r="AV1238" s="37"/>
      <c r="AW1238" s="38" t="str">
        <f t="shared" si="99"/>
        <v/>
      </c>
    </row>
    <row r="1239" spans="1:49" ht="18" customHeight="1" x14ac:dyDescent="0.3">
      <c r="A1239" s="23">
        <v>1235</v>
      </c>
      <c r="B1239" s="24" t="s">
        <v>4319</v>
      </c>
      <c r="C1239" s="25" t="s">
        <v>4320</v>
      </c>
      <c r="D1239" s="23" t="s">
        <v>4000</v>
      </c>
      <c r="E1239" s="43">
        <v>46125</v>
      </c>
      <c r="F1239" s="26" t="s">
        <v>23</v>
      </c>
      <c r="G1239" s="26" t="s">
        <v>24</v>
      </c>
      <c r="H1239" s="26" t="s">
        <v>25</v>
      </c>
      <c r="I1239" s="26" t="s">
        <v>26</v>
      </c>
      <c r="J1239" s="26" t="s">
        <v>24</v>
      </c>
      <c r="K1239" s="27"/>
      <c r="L1239" s="28" t="s">
        <v>25</v>
      </c>
      <c r="M1239" s="29" t="str">
        <f t="shared" si="95"/>
        <v>✓ OK</v>
      </c>
      <c r="N1239" s="43">
        <v>46193</v>
      </c>
      <c r="O1239" s="26" t="s">
        <v>23</v>
      </c>
      <c r="P1239" s="26" t="s">
        <v>24</v>
      </c>
      <c r="Q1239" s="26" t="s">
        <v>25</v>
      </c>
      <c r="R1239" s="26" t="s">
        <v>26</v>
      </c>
      <c r="S1239" s="26" t="s">
        <v>24</v>
      </c>
      <c r="T1239" s="27"/>
      <c r="U1239" s="28" t="s">
        <v>25</v>
      </c>
      <c r="V1239" s="29" t="str">
        <f t="shared" si="96"/>
        <v>✓ OK</v>
      </c>
      <c r="W1239" s="45">
        <v>46248</v>
      </c>
      <c r="X1239" s="30" t="s">
        <v>23</v>
      </c>
      <c r="Y1239" s="30" t="s">
        <v>24</v>
      </c>
      <c r="Z1239" s="30" t="s">
        <v>25</v>
      </c>
      <c r="AA1239" s="30" t="s">
        <v>26</v>
      </c>
      <c r="AB1239" s="30" t="s">
        <v>24</v>
      </c>
      <c r="AC1239" s="27"/>
      <c r="AD1239" s="31" t="s">
        <v>25</v>
      </c>
      <c r="AE1239" s="32" t="str">
        <f t="shared" si="97"/>
        <v>✓ OK</v>
      </c>
      <c r="AF1239" s="33" t="s">
        <v>27</v>
      </c>
      <c r="AG1239" s="33" t="s">
        <v>23</v>
      </c>
      <c r="AH1239" s="33" t="s">
        <v>24</v>
      </c>
      <c r="AI1239" s="33" t="s">
        <v>25</v>
      </c>
      <c r="AJ1239" s="33" t="s">
        <v>26</v>
      </c>
      <c r="AK1239" s="33" t="s">
        <v>24</v>
      </c>
      <c r="AL1239" s="27"/>
      <c r="AM1239" s="34" t="s">
        <v>25</v>
      </c>
      <c r="AN1239" s="35" t="str">
        <f t="shared" si="98"/>
        <v>✓ OK</v>
      </c>
      <c r="AO1239" s="36"/>
      <c r="AP1239" s="36"/>
      <c r="AQ1239" s="36"/>
      <c r="AR1239" s="36"/>
      <c r="AS1239" s="36"/>
      <c r="AT1239" s="36"/>
      <c r="AU1239" s="27"/>
      <c r="AV1239" s="37"/>
      <c r="AW1239" s="38" t="str">
        <f t="shared" si="99"/>
        <v/>
      </c>
    </row>
    <row r="1240" spans="1:49" ht="18" customHeight="1" x14ac:dyDescent="0.3">
      <c r="A1240" s="39">
        <v>1236</v>
      </c>
      <c r="B1240" s="40" t="s">
        <v>4321</v>
      </c>
      <c r="C1240" s="41" t="s">
        <v>4322</v>
      </c>
      <c r="D1240" s="39" t="s">
        <v>4000</v>
      </c>
      <c r="E1240" s="43">
        <v>46125</v>
      </c>
      <c r="F1240" s="26" t="s">
        <v>23</v>
      </c>
      <c r="G1240" s="26" t="s">
        <v>24</v>
      </c>
      <c r="H1240" s="26" t="s">
        <v>25</v>
      </c>
      <c r="I1240" s="26" t="s">
        <v>26</v>
      </c>
      <c r="J1240" s="26" t="s">
        <v>24</v>
      </c>
      <c r="K1240" s="27"/>
      <c r="L1240" s="28" t="s">
        <v>25</v>
      </c>
      <c r="M1240" s="29" t="str">
        <f t="shared" si="95"/>
        <v>✓ OK</v>
      </c>
      <c r="N1240" s="43">
        <v>46193</v>
      </c>
      <c r="O1240" s="26" t="s">
        <v>23</v>
      </c>
      <c r="P1240" s="26" t="s">
        <v>24</v>
      </c>
      <c r="Q1240" s="26" t="s">
        <v>25</v>
      </c>
      <c r="R1240" s="26" t="s">
        <v>26</v>
      </c>
      <c r="S1240" s="26" t="s">
        <v>24</v>
      </c>
      <c r="T1240" s="27"/>
      <c r="U1240" s="28" t="s">
        <v>25</v>
      </c>
      <c r="V1240" s="29" t="str">
        <f t="shared" si="96"/>
        <v>✓ OK</v>
      </c>
      <c r="W1240" s="45">
        <v>46248</v>
      </c>
      <c r="X1240" s="30" t="s">
        <v>23</v>
      </c>
      <c r="Y1240" s="30" t="s">
        <v>24</v>
      </c>
      <c r="Z1240" s="30" t="s">
        <v>25</v>
      </c>
      <c r="AA1240" s="30" t="s">
        <v>26</v>
      </c>
      <c r="AB1240" s="30" t="s">
        <v>24</v>
      </c>
      <c r="AC1240" s="27"/>
      <c r="AD1240" s="31" t="s">
        <v>25</v>
      </c>
      <c r="AE1240" s="32" t="str">
        <f t="shared" si="97"/>
        <v>✓ OK</v>
      </c>
      <c r="AF1240" s="33" t="s">
        <v>27</v>
      </c>
      <c r="AG1240" s="33" t="s">
        <v>23</v>
      </c>
      <c r="AH1240" s="33" t="s">
        <v>24</v>
      </c>
      <c r="AI1240" s="33" t="s">
        <v>25</v>
      </c>
      <c r="AJ1240" s="33" t="s">
        <v>26</v>
      </c>
      <c r="AK1240" s="33" t="s">
        <v>24</v>
      </c>
      <c r="AL1240" s="27"/>
      <c r="AM1240" s="34" t="s">
        <v>25</v>
      </c>
      <c r="AN1240" s="35" t="str">
        <f t="shared" si="98"/>
        <v>✓ OK</v>
      </c>
      <c r="AO1240" s="36"/>
      <c r="AP1240" s="36"/>
      <c r="AQ1240" s="36"/>
      <c r="AR1240" s="36"/>
      <c r="AS1240" s="36"/>
      <c r="AT1240" s="36"/>
      <c r="AU1240" s="27"/>
      <c r="AV1240" s="37"/>
      <c r="AW1240" s="38" t="str">
        <f t="shared" si="99"/>
        <v/>
      </c>
    </row>
    <row r="1241" spans="1:49" ht="18" customHeight="1" x14ac:dyDescent="0.3">
      <c r="A1241" s="23">
        <v>1237</v>
      </c>
      <c r="B1241" s="24" t="s">
        <v>4323</v>
      </c>
      <c r="C1241" s="25" t="s">
        <v>4324</v>
      </c>
      <c r="D1241" s="23" t="s">
        <v>4000</v>
      </c>
      <c r="E1241" s="43">
        <v>46125</v>
      </c>
      <c r="F1241" s="26" t="s">
        <v>23</v>
      </c>
      <c r="G1241" s="26" t="s">
        <v>24</v>
      </c>
      <c r="H1241" s="26" t="s">
        <v>25</v>
      </c>
      <c r="I1241" s="26" t="s">
        <v>26</v>
      </c>
      <c r="J1241" s="26" t="s">
        <v>24</v>
      </c>
      <c r="K1241" s="27"/>
      <c r="L1241" s="28" t="s">
        <v>25</v>
      </c>
      <c r="M1241" s="29" t="str">
        <f t="shared" si="95"/>
        <v>✓ OK</v>
      </c>
      <c r="N1241" s="43">
        <v>46193</v>
      </c>
      <c r="O1241" s="26" t="s">
        <v>23</v>
      </c>
      <c r="P1241" s="26" t="s">
        <v>24</v>
      </c>
      <c r="Q1241" s="26" t="s">
        <v>25</v>
      </c>
      <c r="R1241" s="26" t="s">
        <v>26</v>
      </c>
      <c r="S1241" s="26" t="s">
        <v>24</v>
      </c>
      <c r="T1241" s="27"/>
      <c r="U1241" s="28" t="s">
        <v>25</v>
      </c>
      <c r="V1241" s="29" t="str">
        <f t="shared" si="96"/>
        <v>✓ OK</v>
      </c>
      <c r="W1241" s="45">
        <v>46248</v>
      </c>
      <c r="X1241" s="30" t="s">
        <v>23</v>
      </c>
      <c r="Y1241" s="30" t="s">
        <v>24</v>
      </c>
      <c r="Z1241" s="30" t="s">
        <v>25</v>
      </c>
      <c r="AA1241" s="30" t="s">
        <v>26</v>
      </c>
      <c r="AB1241" s="30" t="s">
        <v>24</v>
      </c>
      <c r="AC1241" s="27"/>
      <c r="AD1241" s="31" t="s">
        <v>25</v>
      </c>
      <c r="AE1241" s="32" t="str">
        <f t="shared" si="97"/>
        <v>✓ OK</v>
      </c>
      <c r="AF1241" s="33" t="s">
        <v>27</v>
      </c>
      <c r="AG1241" s="33" t="s">
        <v>23</v>
      </c>
      <c r="AH1241" s="33" t="s">
        <v>24</v>
      </c>
      <c r="AI1241" s="33" t="s">
        <v>25</v>
      </c>
      <c r="AJ1241" s="33" t="s">
        <v>26</v>
      </c>
      <c r="AK1241" s="33" t="s">
        <v>24</v>
      </c>
      <c r="AL1241" s="27"/>
      <c r="AM1241" s="34" t="s">
        <v>25</v>
      </c>
      <c r="AN1241" s="35" t="str">
        <f t="shared" si="98"/>
        <v>✓ OK</v>
      </c>
      <c r="AO1241" s="36"/>
      <c r="AP1241" s="36"/>
      <c r="AQ1241" s="36"/>
      <c r="AR1241" s="36"/>
      <c r="AS1241" s="36"/>
      <c r="AT1241" s="36"/>
      <c r="AU1241" s="27"/>
      <c r="AV1241" s="37"/>
      <c r="AW1241" s="38" t="str">
        <f t="shared" si="99"/>
        <v/>
      </c>
    </row>
    <row r="1242" spans="1:49" ht="18" customHeight="1" x14ac:dyDescent="0.3">
      <c r="A1242" s="39">
        <v>1238</v>
      </c>
      <c r="B1242" s="40" t="s">
        <v>4325</v>
      </c>
      <c r="C1242" s="41" t="s">
        <v>4326</v>
      </c>
      <c r="D1242" s="39" t="s">
        <v>4000</v>
      </c>
      <c r="E1242" s="43">
        <v>46125</v>
      </c>
      <c r="F1242" s="26" t="s">
        <v>23</v>
      </c>
      <c r="G1242" s="26" t="s">
        <v>24</v>
      </c>
      <c r="H1242" s="26" t="s">
        <v>25</v>
      </c>
      <c r="I1242" s="26" t="s">
        <v>26</v>
      </c>
      <c r="J1242" s="26" t="s">
        <v>24</v>
      </c>
      <c r="K1242" s="27"/>
      <c r="L1242" s="28" t="s">
        <v>25</v>
      </c>
      <c r="M1242" s="29" t="str">
        <f t="shared" si="95"/>
        <v>✓ OK</v>
      </c>
      <c r="N1242" s="43">
        <v>46193</v>
      </c>
      <c r="O1242" s="26" t="s">
        <v>23</v>
      </c>
      <c r="P1242" s="26" t="s">
        <v>24</v>
      </c>
      <c r="Q1242" s="26" t="s">
        <v>25</v>
      </c>
      <c r="R1242" s="26" t="s">
        <v>26</v>
      </c>
      <c r="S1242" s="26" t="s">
        <v>24</v>
      </c>
      <c r="T1242" s="27"/>
      <c r="U1242" s="28" t="s">
        <v>25</v>
      </c>
      <c r="V1242" s="29" t="str">
        <f t="shared" si="96"/>
        <v>✓ OK</v>
      </c>
      <c r="W1242" s="45">
        <v>46248</v>
      </c>
      <c r="X1242" s="30" t="s">
        <v>23</v>
      </c>
      <c r="Y1242" s="30" t="s">
        <v>24</v>
      </c>
      <c r="Z1242" s="30" t="s">
        <v>25</v>
      </c>
      <c r="AA1242" s="30" t="s">
        <v>26</v>
      </c>
      <c r="AB1242" s="30" t="s">
        <v>24</v>
      </c>
      <c r="AC1242" s="27"/>
      <c r="AD1242" s="31" t="s">
        <v>25</v>
      </c>
      <c r="AE1242" s="32" t="str">
        <f t="shared" si="97"/>
        <v>✓ OK</v>
      </c>
      <c r="AF1242" s="33" t="s">
        <v>27</v>
      </c>
      <c r="AG1242" s="33" t="s">
        <v>23</v>
      </c>
      <c r="AH1242" s="33" t="s">
        <v>24</v>
      </c>
      <c r="AI1242" s="33" t="s">
        <v>25</v>
      </c>
      <c r="AJ1242" s="33" t="s">
        <v>26</v>
      </c>
      <c r="AK1242" s="33" t="s">
        <v>24</v>
      </c>
      <c r="AL1242" s="27"/>
      <c r="AM1242" s="34" t="s">
        <v>25</v>
      </c>
      <c r="AN1242" s="35" t="str">
        <f t="shared" si="98"/>
        <v>✓ OK</v>
      </c>
      <c r="AO1242" s="36"/>
      <c r="AP1242" s="36"/>
      <c r="AQ1242" s="36"/>
      <c r="AR1242" s="36"/>
      <c r="AS1242" s="36"/>
      <c r="AT1242" s="36"/>
      <c r="AU1242" s="27"/>
      <c r="AV1242" s="37"/>
      <c r="AW1242" s="38" t="str">
        <f t="shared" si="99"/>
        <v/>
      </c>
    </row>
    <row r="1243" spans="1:49" ht="18" customHeight="1" x14ac:dyDescent="0.3">
      <c r="A1243" s="23">
        <v>1239</v>
      </c>
      <c r="B1243" s="24" t="s">
        <v>4327</v>
      </c>
      <c r="C1243" s="25" t="s">
        <v>4328</v>
      </c>
      <c r="D1243" s="23" t="s">
        <v>4000</v>
      </c>
      <c r="E1243" s="43">
        <v>46125</v>
      </c>
      <c r="F1243" s="26" t="s">
        <v>23</v>
      </c>
      <c r="G1243" s="26" t="s">
        <v>24</v>
      </c>
      <c r="H1243" s="26" t="s">
        <v>25</v>
      </c>
      <c r="I1243" s="26" t="s">
        <v>26</v>
      </c>
      <c r="J1243" s="26" t="s">
        <v>24</v>
      </c>
      <c r="K1243" s="27"/>
      <c r="L1243" s="28" t="s">
        <v>25</v>
      </c>
      <c r="M1243" s="29" t="str">
        <f t="shared" si="95"/>
        <v>✓ OK</v>
      </c>
      <c r="N1243" s="43">
        <v>46193</v>
      </c>
      <c r="O1243" s="26" t="s">
        <v>23</v>
      </c>
      <c r="P1243" s="26" t="s">
        <v>24</v>
      </c>
      <c r="Q1243" s="26" t="s">
        <v>25</v>
      </c>
      <c r="R1243" s="26" t="s">
        <v>26</v>
      </c>
      <c r="S1243" s="26" t="s">
        <v>24</v>
      </c>
      <c r="T1243" s="27"/>
      <c r="U1243" s="28" t="s">
        <v>25</v>
      </c>
      <c r="V1243" s="29" t="str">
        <f t="shared" si="96"/>
        <v>✓ OK</v>
      </c>
      <c r="W1243" s="45">
        <v>46248</v>
      </c>
      <c r="X1243" s="30" t="s">
        <v>23</v>
      </c>
      <c r="Y1243" s="30" t="s">
        <v>24</v>
      </c>
      <c r="Z1243" s="30" t="s">
        <v>25</v>
      </c>
      <c r="AA1243" s="30" t="s">
        <v>26</v>
      </c>
      <c r="AB1243" s="30" t="s">
        <v>24</v>
      </c>
      <c r="AC1243" s="27"/>
      <c r="AD1243" s="31" t="s">
        <v>25</v>
      </c>
      <c r="AE1243" s="32" t="str">
        <f t="shared" si="97"/>
        <v>✓ OK</v>
      </c>
      <c r="AF1243" s="33" t="s">
        <v>27</v>
      </c>
      <c r="AG1243" s="33" t="s">
        <v>23</v>
      </c>
      <c r="AH1243" s="33" t="s">
        <v>24</v>
      </c>
      <c r="AI1243" s="33" t="s">
        <v>25</v>
      </c>
      <c r="AJ1243" s="33" t="s">
        <v>26</v>
      </c>
      <c r="AK1243" s="33" t="s">
        <v>24</v>
      </c>
      <c r="AL1243" s="27"/>
      <c r="AM1243" s="34" t="s">
        <v>25</v>
      </c>
      <c r="AN1243" s="35" t="str">
        <f t="shared" si="98"/>
        <v>✓ OK</v>
      </c>
      <c r="AO1243" s="36"/>
      <c r="AP1243" s="36"/>
      <c r="AQ1243" s="36"/>
      <c r="AR1243" s="36"/>
      <c r="AS1243" s="36"/>
      <c r="AT1243" s="36"/>
      <c r="AU1243" s="27"/>
      <c r="AV1243" s="37"/>
      <c r="AW1243" s="38" t="str">
        <f t="shared" si="99"/>
        <v/>
      </c>
    </row>
    <row r="1244" spans="1:49" ht="18" customHeight="1" x14ac:dyDescent="0.3">
      <c r="A1244" s="39">
        <v>1240</v>
      </c>
      <c r="B1244" s="40" t="s">
        <v>4329</v>
      </c>
      <c r="C1244" s="41" t="s">
        <v>4330</v>
      </c>
      <c r="D1244" s="39" t="s">
        <v>4000</v>
      </c>
      <c r="E1244" s="43">
        <v>46125</v>
      </c>
      <c r="F1244" s="26" t="s">
        <v>23</v>
      </c>
      <c r="G1244" s="26" t="s">
        <v>24</v>
      </c>
      <c r="H1244" s="26" t="s">
        <v>25</v>
      </c>
      <c r="I1244" s="26" t="s">
        <v>26</v>
      </c>
      <c r="J1244" s="26" t="s">
        <v>24</v>
      </c>
      <c r="K1244" s="27"/>
      <c r="L1244" s="28" t="s">
        <v>25</v>
      </c>
      <c r="M1244" s="29" t="str">
        <f t="shared" si="95"/>
        <v>✓ OK</v>
      </c>
      <c r="N1244" s="43">
        <v>46193</v>
      </c>
      <c r="O1244" s="26" t="s">
        <v>23</v>
      </c>
      <c r="P1244" s="26" t="s">
        <v>24</v>
      </c>
      <c r="Q1244" s="26" t="s">
        <v>25</v>
      </c>
      <c r="R1244" s="26" t="s">
        <v>26</v>
      </c>
      <c r="S1244" s="26" t="s">
        <v>24</v>
      </c>
      <c r="T1244" s="27"/>
      <c r="U1244" s="28" t="s">
        <v>25</v>
      </c>
      <c r="V1244" s="29" t="str">
        <f t="shared" si="96"/>
        <v>✓ OK</v>
      </c>
      <c r="W1244" s="45">
        <v>46248</v>
      </c>
      <c r="X1244" s="30" t="s">
        <v>23</v>
      </c>
      <c r="Y1244" s="30" t="s">
        <v>24</v>
      </c>
      <c r="Z1244" s="30" t="s">
        <v>25</v>
      </c>
      <c r="AA1244" s="30" t="s">
        <v>26</v>
      </c>
      <c r="AB1244" s="30" t="s">
        <v>24</v>
      </c>
      <c r="AC1244" s="27"/>
      <c r="AD1244" s="31" t="s">
        <v>25</v>
      </c>
      <c r="AE1244" s="32" t="str">
        <f t="shared" si="97"/>
        <v>✓ OK</v>
      </c>
      <c r="AF1244" s="33" t="s">
        <v>27</v>
      </c>
      <c r="AG1244" s="33" t="s">
        <v>23</v>
      </c>
      <c r="AH1244" s="33" t="s">
        <v>24</v>
      </c>
      <c r="AI1244" s="33" t="s">
        <v>25</v>
      </c>
      <c r="AJ1244" s="33" t="s">
        <v>26</v>
      </c>
      <c r="AK1244" s="33" t="s">
        <v>24</v>
      </c>
      <c r="AL1244" s="27"/>
      <c r="AM1244" s="34" t="s">
        <v>25</v>
      </c>
      <c r="AN1244" s="35" t="str">
        <f t="shared" si="98"/>
        <v>✓ OK</v>
      </c>
      <c r="AO1244" s="36"/>
      <c r="AP1244" s="36"/>
      <c r="AQ1244" s="36"/>
      <c r="AR1244" s="36"/>
      <c r="AS1244" s="36"/>
      <c r="AT1244" s="36"/>
      <c r="AU1244" s="27"/>
      <c r="AV1244" s="37"/>
      <c r="AW1244" s="38" t="str">
        <f t="shared" si="99"/>
        <v/>
      </c>
    </row>
    <row r="1245" spans="1:49" ht="18" customHeight="1" x14ac:dyDescent="0.3">
      <c r="A1245" s="23">
        <v>1241</v>
      </c>
      <c r="B1245" s="24" t="s">
        <v>4331</v>
      </c>
      <c r="C1245" s="25" t="s">
        <v>4332</v>
      </c>
      <c r="D1245" s="23" t="s">
        <v>4000</v>
      </c>
      <c r="E1245" s="43">
        <v>46125</v>
      </c>
      <c r="F1245" s="26" t="s">
        <v>23</v>
      </c>
      <c r="G1245" s="26" t="s">
        <v>24</v>
      </c>
      <c r="H1245" s="26" t="s">
        <v>25</v>
      </c>
      <c r="I1245" s="26" t="s">
        <v>26</v>
      </c>
      <c r="J1245" s="26" t="s">
        <v>24</v>
      </c>
      <c r="K1245" s="27"/>
      <c r="L1245" s="28" t="s">
        <v>25</v>
      </c>
      <c r="M1245" s="29" t="str">
        <f t="shared" si="95"/>
        <v>✓ OK</v>
      </c>
      <c r="N1245" s="43">
        <v>46193</v>
      </c>
      <c r="O1245" s="26" t="s">
        <v>23</v>
      </c>
      <c r="P1245" s="26" t="s">
        <v>24</v>
      </c>
      <c r="Q1245" s="26" t="s">
        <v>25</v>
      </c>
      <c r="R1245" s="26" t="s">
        <v>26</v>
      </c>
      <c r="S1245" s="26" t="s">
        <v>24</v>
      </c>
      <c r="T1245" s="27"/>
      <c r="U1245" s="28" t="s">
        <v>25</v>
      </c>
      <c r="V1245" s="29" t="str">
        <f t="shared" si="96"/>
        <v>✓ OK</v>
      </c>
      <c r="W1245" s="45">
        <v>46248</v>
      </c>
      <c r="X1245" s="30" t="s">
        <v>23</v>
      </c>
      <c r="Y1245" s="30" t="s">
        <v>24</v>
      </c>
      <c r="Z1245" s="30" t="s">
        <v>25</v>
      </c>
      <c r="AA1245" s="30" t="s">
        <v>26</v>
      </c>
      <c r="AB1245" s="30" t="s">
        <v>24</v>
      </c>
      <c r="AC1245" s="27"/>
      <c r="AD1245" s="31" t="s">
        <v>25</v>
      </c>
      <c r="AE1245" s="32" t="str">
        <f t="shared" si="97"/>
        <v>✓ OK</v>
      </c>
      <c r="AF1245" s="33" t="s">
        <v>27</v>
      </c>
      <c r="AG1245" s="33" t="s">
        <v>23</v>
      </c>
      <c r="AH1245" s="33" t="s">
        <v>24</v>
      </c>
      <c r="AI1245" s="33" t="s">
        <v>25</v>
      </c>
      <c r="AJ1245" s="33" t="s">
        <v>26</v>
      </c>
      <c r="AK1245" s="33" t="s">
        <v>24</v>
      </c>
      <c r="AL1245" s="27"/>
      <c r="AM1245" s="34" t="s">
        <v>25</v>
      </c>
      <c r="AN1245" s="35" t="str">
        <f t="shared" si="98"/>
        <v>✓ OK</v>
      </c>
      <c r="AO1245" s="36"/>
      <c r="AP1245" s="36"/>
      <c r="AQ1245" s="36"/>
      <c r="AR1245" s="36"/>
      <c r="AS1245" s="36"/>
      <c r="AT1245" s="36"/>
      <c r="AU1245" s="27"/>
      <c r="AV1245" s="37"/>
      <c r="AW1245" s="38" t="str">
        <f t="shared" si="99"/>
        <v/>
      </c>
    </row>
    <row r="1246" spans="1:49" ht="18" customHeight="1" x14ac:dyDescent="0.3">
      <c r="A1246" s="39">
        <v>1242</v>
      </c>
      <c r="B1246" s="40" t="s">
        <v>4333</v>
      </c>
      <c r="C1246" s="41" t="s">
        <v>4334</v>
      </c>
      <c r="D1246" s="39" t="s">
        <v>4000</v>
      </c>
      <c r="E1246" s="43">
        <v>46125</v>
      </c>
      <c r="F1246" s="26" t="s">
        <v>23</v>
      </c>
      <c r="G1246" s="26" t="s">
        <v>24</v>
      </c>
      <c r="H1246" s="26" t="s">
        <v>25</v>
      </c>
      <c r="I1246" s="26" t="s">
        <v>26</v>
      </c>
      <c r="J1246" s="26" t="s">
        <v>24</v>
      </c>
      <c r="K1246" s="27"/>
      <c r="L1246" s="28" t="s">
        <v>25</v>
      </c>
      <c r="M1246" s="29" t="str">
        <f t="shared" si="95"/>
        <v>✓ OK</v>
      </c>
      <c r="N1246" s="43">
        <v>46193</v>
      </c>
      <c r="O1246" s="26" t="s">
        <v>23</v>
      </c>
      <c r="P1246" s="26" t="s">
        <v>24</v>
      </c>
      <c r="Q1246" s="26" t="s">
        <v>25</v>
      </c>
      <c r="R1246" s="26" t="s">
        <v>26</v>
      </c>
      <c r="S1246" s="26" t="s">
        <v>24</v>
      </c>
      <c r="T1246" s="27"/>
      <c r="U1246" s="28" t="s">
        <v>25</v>
      </c>
      <c r="V1246" s="29" t="str">
        <f t="shared" si="96"/>
        <v>✓ OK</v>
      </c>
      <c r="W1246" s="45">
        <v>46248</v>
      </c>
      <c r="X1246" s="30" t="s">
        <v>23</v>
      </c>
      <c r="Y1246" s="30" t="s">
        <v>24</v>
      </c>
      <c r="Z1246" s="30" t="s">
        <v>25</v>
      </c>
      <c r="AA1246" s="30" t="s">
        <v>26</v>
      </c>
      <c r="AB1246" s="30" t="s">
        <v>24</v>
      </c>
      <c r="AC1246" s="27"/>
      <c r="AD1246" s="31" t="s">
        <v>25</v>
      </c>
      <c r="AE1246" s="32" t="str">
        <f t="shared" si="97"/>
        <v>✓ OK</v>
      </c>
      <c r="AF1246" s="33" t="s">
        <v>27</v>
      </c>
      <c r="AG1246" s="33" t="s">
        <v>23</v>
      </c>
      <c r="AH1246" s="33" t="s">
        <v>24</v>
      </c>
      <c r="AI1246" s="33" t="s">
        <v>25</v>
      </c>
      <c r="AJ1246" s="33" t="s">
        <v>26</v>
      </c>
      <c r="AK1246" s="33" t="s">
        <v>24</v>
      </c>
      <c r="AL1246" s="27"/>
      <c r="AM1246" s="34" t="s">
        <v>25</v>
      </c>
      <c r="AN1246" s="35" t="str">
        <f t="shared" si="98"/>
        <v>✓ OK</v>
      </c>
      <c r="AO1246" s="36"/>
      <c r="AP1246" s="36"/>
      <c r="AQ1246" s="36"/>
      <c r="AR1246" s="36"/>
      <c r="AS1246" s="36"/>
      <c r="AT1246" s="36"/>
      <c r="AU1246" s="27"/>
      <c r="AV1246" s="37"/>
      <c r="AW1246" s="38" t="str">
        <f t="shared" si="99"/>
        <v/>
      </c>
    </row>
    <row r="1247" spans="1:49" ht="18" customHeight="1" x14ac:dyDescent="0.3">
      <c r="A1247" s="23">
        <v>1243</v>
      </c>
      <c r="B1247" s="24" t="s">
        <v>4335</v>
      </c>
      <c r="C1247" s="25" t="s">
        <v>4336</v>
      </c>
      <c r="D1247" s="23" t="s">
        <v>4000</v>
      </c>
      <c r="E1247" s="43">
        <v>46125</v>
      </c>
      <c r="F1247" s="26" t="s">
        <v>23</v>
      </c>
      <c r="G1247" s="26" t="s">
        <v>24</v>
      </c>
      <c r="H1247" s="26" t="s">
        <v>25</v>
      </c>
      <c r="I1247" s="26" t="s">
        <v>26</v>
      </c>
      <c r="J1247" s="26" t="s">
        <v>24</v>
      </c>
      <c r="K1247" s="27"/>
      <c r="L1247" s="28" t="s">
        <v>25</v>
      </c>
      <c r="M1247" s="29" t="str">
        <f t="shared" si="95"/>
        <v>✓ OK</v>
      </c>
      <c r="N1247" s="43">
        <v>46193</v>
      </c>
      <c r="O1247" s="26" t="s">
        <v>23</v>
      </c>
      <c r="P1247" s="26" t="s">
        <v>24</v>
      </c>
      <c r="Q1247" s="26" t="s">
        <v>25</v>
      </c>
      <c r="R1247" s="26" t="s">
        <v>26</v>
      </c>
      <c r="S1247" s="26" t="s">
        <v>24</v>
      </c>
      <c r="T1247" s="27"/>
      <c r="U1247" s="28" t="s">
        <v>25</v>
      </c>
      <c r="V1247" s="29" t="str">
        <f t="shared" si="96"/>
        <v>✓ OK</v>
      </c>
      <c r="W1247" s="45">
        <v>46248</v>
      </c>
      <c r="X1247" s="30" t="s">
        <v>23</v>
      </c>
      <c r="Y1247" s="30" t="s">
        <v>24</v>
      </c>
      <c r="Z1247" s="30" t="s">
        <v>25</v>
      </c>
      <c r="AA1247" s="30" t="s">
        <v>26</v>
      </c>
      <c r="AB1247" s="30" t="s">
        <v>24</v>
      </c>
      <c r="AC1247" s="27"/>
      <c r="AD1247" s="31" t="s">
        <v>25</v>
      </c>
      <c r="AE1247" s="32" t="str">
        <f t="shared" si="97"/>
        <v>✓ OK</v>
      </c>
      <c r="AF1247" s="33" t="s">
        <v>27</v>
      </c>
      <c r="AG1247" s="33" t="s">
        <v>23</v>
      </c>
      <c r="AH1247" s="33" t="s">
        <v>24</v>
      </c>
      <c r="AI1247" s="33" t="s">
        <v>25</v>
      </c>
      <c r="AJ1247" s="33" t="s">
        <v>26</v>
      </c>
      <c r="AK1247" s="33" t="s">
        <v>24</v>
      </c>
      <c r="AL1247" s="27"/>
      <c r="AM1247" s="34" t="s">
        <v>25</v>
      </c>
      <c r="AN1247" s="35" t="str">
        <f t="shared" si="98"/>
        <v>✓ OK</v>
      </c>
      <c r="AO1247" s="36"/>
      <c r="AP1247" s="36"/>
      <c r="AQ1247" s="36"/>
      <c r="AR1247" s="36"/>
      <c r="AS1247" s="36"/>
      <c r="AT1247" s="36"/>
      <c r="AU1247" s="27"/>
      <c r="AV1247" s="37"/>
      <c r="AW1247" s="38" t="str">
        <f t="shared" si="99"/>
        <v/>
      </c>
    </row>
    <row r="1248" spans="1:49" ht="18" customHeight="1" x14ac:dyDescent="0.3">
      <c r="A1248" s="39">
        <v>1244</v>
      </c>
      <c r="B1248" s="40" t="s">
        <v>4337</v>
      </c>
      <c r="C1248" s="41" t="s">
        <v>4338</v>
      </c>
      <c r="D1248" s="39" t="s">
        <v>4000</v>
      </c>
      <c r="E1248" s="43">
        <v>46125</v>
      </c>
      <c r="F1248" s="26" t="s">
        <v>23</v>
      </c>
      <c r="G1248" s="26" t="s">
        <v>24</v>
      </c>
      <c r="H1248" s="26" t="s">
        <v>25</v>
      </c>
      <c r="I1248" s="26" t="s">
        <v>26</v>
      </c>
      <c r="J1248" s="26" t="s">
        <v>24</v>
      </c>
      <c r="K1248" s="27"/>
      <c r="L1248" s="28" t="s">
        <v>25</v>
      </c>
      <c r="M1248" s="29" t="str">
        <f t="shared" si="95"/>
        <v>✓ OK</v>
      </c>
      <c r="N1248" s="43">
        <v>46193</v>
      </c>
      <c r="O1248" s="26" t="s">
        <v>23</v>
      </c>
      <c r="P1248" s="26" t="s">
        <v>24</v>
      </c>
      <c r="Q1248" s="26" t="s">
        <v>25</v>
      </c>
      <c r="R1248" s="26" t="s">
        <v>26</v>
      </c>
      <c r="S1248" s="26" t="s">
        <v>24</v>
      </c>
      <c r="T1248" s="27"/>
      <c r="U1248" s="28" t="s">
        <v>25</v>
      </c>
      <c r="V1248" s="29" t="str">
        <f t="shared" si="96"/>
        <v>✓ OK</v>
      </c>
      <c r="W1248" s="45">
        <v>46248</v>
      </c>
      <c r="X1248" s="30" t="s">
        <v>23</v>
      </c>
      <c r="Y1248" s="30" t="s">
        <v>24</v>
      </c>
      <c r="Z1248" s="30" t="s">
        <v>25</v>
      </c>
      <c r="AA1248" s="30" t="s">
        <v>26</v>
      </c>
      <c r="AB1248" s="30" t="s">
        <v>24</v>
      </c>
      <c r="AC1248" s="27"/>
      <c r="AD1248" s="31" t="s">
        <v>25</v>
      </c>
      <c r="AE1248" s="32" t="str">
        <f t="shared" si="97"/>
        <v>✓ OK</v>
      </c>
      <c r="AF1248" s="33" t="s">
        <v>27</v>
      </c>
      <c r="AG1248" s="33" t="s">
        <v>23</v>
      </c>
      <c r="AH1248" s="33" t="s">
        <v>24</v>
      </c>
      <c r="AI1248" s="33" t="s">
        <v>25</v>
      </c>
      <c r="AJ1248" s="33" t="s">
        <v>26</v>
      </c>
      <c r="AK1248" s="33" t="s">
        <v>24</v>
      </c>
      <c r="AL1248" s="27"/>
      <c r="AM1248" s="34" t="s">
        <v>25</v>
      </c>
      <c r="AN1248" s="35" t="str">
        <f t="shared" si="98"/>
        <v>✓ OK</v>
      </c>
      <c r="AO1248" s="36"/>
      <c r="AP1248" s="36"/>
      <c r="AQ1248" s="36"/>
      <c r="AR1248" s="36"/>
      <c r="AS1248" s="36"/>
      <c r="AT1248" s="36"/>
      <c r="AU1248" s="27"/>
      <c r="AV1248" s="37"/>
      <c r="AW1248" s="38" t="str">
        <f t="shared" si="99"/>
        <v/>
      </c>
    </row>
    <row r="1249" spans="1:49" ht="18" customHeight="1" x14ac:dyDescent="0.3">
      <c r="A1249" s="23">
        <v>1245</v>
      </c>
      <c r="B1249" s="24" t="s">
        <v>4339</v>
      </c>
      <c r="C1249" s="25" t="s">
        <v>4340</v>
      </c>
      <c r="D1249" s="23" t="s">
        <v>4000</v>
      </c>
      <c r="E1249" s="43">
        <v>46125</v>
      </c>
      <c r="F1249" s="26" t="s">
        <v>23</v>
      </c>
      <c r="G1249" s="26" t="s">
        <v>24</v>
      </c>
      <c r="H1249" s="26" t="s">
        <v>25</v>
      </c>
      <c r="I1249" s="26" t="s">
        <v>26</v>
      </c>
      <c r="J1249" s="26" t="s">
        <v>24</v>
      </c>
      <c r="K1249" s="27"/>
      <c r="L1249" s="28" t="s">
        <v>25</v>
      </c>
      <c r="M1249" s="29" t="str">
        <f t="shared" si="95"/>
        <v>✓ OK</v>
      </c>
      <c r="N1249" s="43">
        <v>46193</v>
      </c>
      <c r="O1249" s="26" t="s">
        <v>23</v>
      </c>
      <c r="P1249" s="26" t="s">
        <v>24</v>
      </c>
      <c r="Q1249" s="26" t="s">
        <v>25</v>
      </c>
      <c r="R1249" s="26" t="s">
        <v>26</v>
      </c>
      <c r="S1249" s="26" t="s">
        <v>24</v>
      </c>
      <c r="T1249" s="27"/>
      <c r="U1249" s="28" t="s">
        <v>25</v>
      </c>
      <c r="V1249" s="29" t="str">
        <f t="shared" si="96"/>
        <v>✓ OK</v>
      </c>
      <c r="W1249" s="45">
        <v>46248</v>
      </c>
      <c r="X1249" s="30" t="s">
        <v>23</v>
      </c>
      <c r="Y1249" s="30" t="s">
        <v>24</v>
      </c>
      <c r="Z1249" s="30" t="s">
        <v>25</v>
      </c>
      <c r="AA1249" s="30" t="s">
        <v>26</v>
      </c>
      <c r="AB1249" s="30" t="s">
        <v>24</v>
      </c>
      <c r="AC1249" s="27"/>
      <c r="AD1249" s="31" t="s">
        <v>25</v>
      </c>
      <c r="AE1249" s="32" t="str">
        <f t="shared" si="97"/>
        <v>✓ OK</v>
      </c>
      <c r="AF1249" s="33" t="s">
        <v>27</v>
      </c>
      <c r="AG1249" s="33" t="s">
        <v>23</v>
      </c>
      <c r="AH1249" s="33" t="s">
        <v>24</v>
      </c>
      <c r="AI1249" s="33" t="s">
        <v>25</v>
      </c>
      <c r="AJ1249" s="33" t="s">
        <v>26</v>
      </c>
      <c r="AK1249" s="33" t="s">
        <v>24</v>
      </c>
      <c r="AL1249" s="27"/>
      <c r="AM1249" s="34" t="s">
        <v>25</v>
      </c>
      <c r="AN1249" s="35" t="str">
        <f t="shared" si="98"/>
        <v>✓ OK</v>
      </c>
      <c r="AO1249" s="36"/>
      <c r="AP1249" s="36"/>
      <c r="AQ1249" s="36"/>
      <c r="AR1249" s="36"/>
      <c r="AS1249" s="36"/>
      <c r="AT1249" s="36"/>
      <c r="AU1249" s="27"/>
      <c r="AV1249" s="37"/>
      <c r="AW1249" s="38" t="str">
        <f t="shared" si="99"/>
        <v/>
      </c>
    </row>
    <row r="1250" spans="1:49" ht="18" customHeight="1" x14ac:dyDescent="0.3">
      <c r="A1250" s="39">
        <v>1246</v>
      </c>
      <c r="B1250" s="40" t="s">
        <v>4341</v>
      </c>
      <c r="C1250" s="41" t="s">
        <v>4342</v>
      </c>
      <c r="D1250" s="39" t="s">
        <v>4000</v>
      </c>
      <c r="E1250" s="43">
        <v>46125</v>
      </c>
      <c r="F1250" s="26" t="s">
        <v>23</v>
      </c>
      <c r="G1250" s="26" t="s">
        <v>24</v>
      </c>
      <c r="H1250" s="26" t="s">
        <v>25</v>
      </c>
      <c r="I1250" s="26" t="s">
        <v>26</v>
      </c>
      <c r="J1250" s="26" t="s">
        <v>24</v>
      </c>
      <c r="K1250" s="27"/>
      <c r="L1250" s="28" t="s">
        <v>25</v>
      </c>
      <c r="M1250" s="29" t="str">
        <f t="shared" si="95"/>
        <v>✓ OK</v>
      </c>
      <c r="N1250" s="43">
        <v>46193</v>
      </c>
      <c r="O1250" s="26" t="s">
        <v>23</v>
      </c>
      <c r="P1250" s="26" t="s">
        <v>24</v>
      </c>
      <c r="Q1250" s="26" t="s">
        <v>25</v>
      </c>
      <c r="R1250" s="26" t="s">
        <v>26</v>
      </c>
      <c r="S1250" s="26" t="s">
        <v>24</v>
      </c>
      <c r="T1250" s="27"/>
      <c r="U1250" s="28" t="s">
        <v>25</v>
      </c>
      <c r="V1250" s="29" t="str">
        <f t="shared" si="96"/>
        <v>✓ OK</v>
      </c>
      <c r="W1250" s="45">
        <v>46248</v>
      </c>
      <c r="X1250" s="30" t="s">
        <v>23</v>
      </c>
      <c r="Y1250" s="30" t="s">
        <v>24</v>
      </c>
      <c r="Z1250" s="30" t="s">
        <v>25</v>
      </c>
      <c r="AA1250" s="30" t="s">
        <v>26</v>
      </c>
      <c r="AB1250" s="30" t="s">
        <v>24</v>
      </c>
      <c r="AC1250" s="27"/>
      <c r="AD1250" s="31" t="s">
        <v>25</v>
      </c>
      <c r="AE1250" s="32" t="str">
        <f t="shared" si="97"/>
        <v>✓ OK</v>
      </c>
      <c r="AF1250" s="33" t="s">
        <v>27</v>
      </c>
      <c r="AG1250" s="33" t="s">
        <v>23</v>
      </c>
      <c r="AH1250" s="33" t="s">
        <v>24</v>
      </c>
      <c r="AI1250" s="33" t="s">
        <v>25</v>
      </c>
      <c r="AJ1250" s="33" t="s">
        <v>26</v>
      </c>
      <c r="AK1250" s="33" t="s">
        <v>24</v>
      </c>
      <c r="AL1250" s="27"/>
      <c r="AM1250" s="34" t="s">
        <v>25</v>
      </c>
      <c r="AN1250" s="35" t="str">
        <f t="shared" si="98"/>
        <v>✓ OK</v>
      </c>
      <c r="AO1250" s="36"/>
      <c r="AP1250" s="36"/>
      <c r="AQ1250" s="36"/>
      <c r="AR1250" s="36"/>
      <c r="AS1250" s="36"/>
      <c r="AT1250" s="36"/>
      <c r="AU1250" s="27"/>
      <c r="AV1250" s="37"/>
      <c r="AW1250" s="38" t="str">
        <f t="shared" si="99"/>
        <v/>
      </c>
    </row>
    <row r="1251" spans="1:49" ht="18" customHeight="1" x14ac:dyDescent="0.3">
      <c r="A1251" s="23">
        <v>1247</v>
      </c>
      <c r="B1251" s="24" t="s">
        <v>4343</v>
      </c>
      <c r="C1251" s="25" t="s">
        <v>4344</v>
      </c>
      <c r="D1251" s="23" t="s">
        <v>4000</v>
      </c>
      <c r="E1251" s="43">
        <v>46125</v>
      </c>
      <c r="F1251" s="26" t="s">
        <v>23</v>
      </c>
      <c r="G1251" s="26" t="s">
        <v>24</v>
      </c>
      <c r="H1251" s="26" t="s">
        <v>25</v>
      </c>
      <c r="I1251" s="26" t="s">
        <v>26</v>
      </c>
      <c r="J1251" s="26" t="s">
        <v>24</v>
      </c>
      <c r="K1251" s="27"/>
      <c r="L1251" s="28" t="s">
        <v>25</v>
      </c>
      <c r="M1251" s="29" t="str">
        <f t="shared" si="95"/>
        <v>✓ OK</v>
      </c>
      <c r="N1251" s="43">
        <v>46193</v>
      </c>
      <c r="O1251" s="26" t="s">
        <v>23</v>
      </c>
      <c r="P1251" s="26" t="s">
        <v>24</v>
      </c>
      <c r="Q1251" s="26" t="s">
        <v>25</v>
      </c>
      <c r="R1251" s="26" t="s">
        <v>26</v>
      </c>
      <c r="S1251" s="26" t="s">
        <v>24</v>
      </c>
      <c r="T1251" s="27"/>
      <c r="U1251" s="28" t="s">
        <v>25</v>
      </c>
      <c r="V1251" s="29" t="str">
        <f t="shared" si="96"/>
        <v>✓ OK</v>
      </c>
      <c r="W1251" s="45">
        <v>46248</v>
      </c>
      <c r="X1251" s="30" t="s">
        <v>23</v>
      </c>
      <c r="Y1251" s="30" t="s">
        <v>24</v>
      </c>
      <c r="Z1251" s="30" t="s">
        <v>25</v>
      </c>
      <c r="AA1251" s="30" t="s">
        <v>26</v>
      </c>
      <c r="AB1251" s="30" t="s">
        <v>24</v>
      </c>
      <c r="AC1251" s="27"/>
      <c r="AD1251" s="31" t="s">
        <v>25</v>
      </c>
      <c r="AE1251" s="32" t="str">
        <f t="shared" si="97"/>
        <v>✓ OK</v>
      </c>
      <c r="AF1251" s="33" t="s">
        <v>27</v>
      </c>
      <c r="AG1251" s="33" t="s">
        <v>23</v>
      </c>
      <c r="AH1251" s="33" t="s">
        <v>24</v>
      </c>
      <c r="AI1251" s="33" t="s">
        <v>25</v>
      </c>
      <c r="AJ1251" s="33" t="s">
        <v>26</v>
      </c>
      <c r="AK1251" s="33" t="s">
        <v>24</v>
      </c>
      <c r="AL1251" s="27"/>
      <c r="AM1251" s="34" t="s">
        <v>25</v>
      </c>
      <c r="AN1251" s="35" t="str">
        <f t="shared" si="98"/>
        <v>✓ OK</v>
      </c>
      <c r="AO1251" s="36"/>
      <c r="AP1251" s="36"/>
      <c r="AQ1251" s="36"/>
      <c r="AR1251" s="36"/>
      <c r="AS1251" s="36"/>
      <c r="AT1251" s="36"/>
      <c r="AU1251" s="27"/>
      <c r="AV1251" s="37"/>
      <c r="AW1251" s="38" t="str">
        <f t="shared" si="99"/>
        <v/>
      </c>
    </row>
    <row r="1252" spans="1:49" ht="18" customHeight="1" x14ac:dyDescent="0.3">
      <c r="A1252" s="39">
        <v>1248</v>
      </c>
      <c r="B1252" s="40" t="s">
        <v>4345</v>
      </c>
      <c r="C1252" s="41" t="s">
        <v>4346</v>
      </c>
      <c r="D1252" s="39" t="s">
        <v>4000</v>
      </c>
      <c r="E1252" s="43">
        <v>46125</v>
      </c>
      <c r="F1252" s="26" t="s">
        <v>23</v>
      </c>
      <c r="G1252" s="26" t="s">
        <v>24</v>
      </c>
      <c r="H1252" s="26" t="s">
        <v>25</v>
      </c>
      <c r="I1252" s="26" t="s">
        <v>26</v>
      </c>
      <c r="J1252" s="26" t="s">
        <v>24</v>
      </c>
      <c r="K1252" s="27"/>
      <c r="L1252" s="28" t="s">
        <v>25</v>
      </c>
      <c r="M1252" s="29" t="str">
        <f t="shared" si="95"/>
        <v>✓ OK</v>
      </c>
      <c r="N1252" s="43">
        <v>46193</v>
      </c>
      <c r="O1252" s="26" t="s">
        <v>23</v>
      </c>
      <c r="P1252" s="26" t="s">
        <v>24</v>
      </c>
      <c r="Q1252" s="26" t="s">
        <v>25</v>
      </c>
      <c r="R1252" s="26" t="s">
        <v>26</v>
      </c>
      <c r="S1252" s="26" t="s">
        <v>24</v>
      </c>
      <c r="T1252" s="27"/>
      <c r="U1252" s="28" t="s">
        <v>25</v>
      </c>
      <c r="V1252" s="29" t="str">
        <f t="shared" si="96"/>
        <v>✓ OK</v>
      </c>
      <c r="W1252" s="45">
        <v>46248</v>
      </c>
      <c r="X1252" s="30" t="s">
        <v>23</v>
      </c>
      <c r="Y1252" s="30" t="s">
        <v>24</v>
      </c>
      <c r="Z1252" s="30" t="s">
        <v>25</v>
      </c>
      <c r="AA1252" s="30" t="s">
        <v>26</v>
      </c>
      <c r="AB1252" s="30" t="s">
        <v>24</v>
      </c>
      <c r="AC1252" s="27"/>
      <c r="AD1252" s="31" t="s">
        <v>25</v>
      </c>
      <c r="AE1252" s="32" t="str">
        <f t="shared" si="97"/>
        <v>✓ OK</v>
      </c>
      <c r="AF1252" s="33" t="s">
        <v>27</v>
      </c>
      <c r="AG1252" s="33" t="s">
        <v>23</v>
      </c>
      <c r="AH1252" s="33" t="s">
        <v>24</v>
      </c>
      <c r="AI1252" s="33" t="s">
        <v>25</v>
      </c>
      <c r="AJ1252" s="33" t="s">
        <v>26</v>
      </c>
      <c r="AK1252" s="33" t="s">
        <v>24</v>
      </c>
      <c r="AL1252" s="27"/>
      <c r="AM1252" s="34" t="s">
        <v>25</v>
      </c>
      <c r="AN1252" s="35" t="str">
        <f t="shared" si="98"/>
        <v>✓ OK</v>
      </c>
      <c r="AO1252" s="36"/>
      <c r="AP1252" s="36"/>
      <c r="AQ1252" s="36"/>
      <c r="AR1252" s="36"/>
      <c r="AS1252" s="36"/>
      <c r="AT1252" s="36"/>
      <c r="AU1252" s="27"/>
      <c r="AV1252" s="37"/>
      <c r="AW1252" s="38" t="str">
        <f t="shared" si="99"/>
        <v/>
      </c>
    </row>
    <row r="1253" spans="1:49" ht="18" customHeight="1" x14ac:dyDescent="0.3">
      <c r="A1253" s="23">
        <v>1249</v>
      </c>
      <c r="B1253" s="24" t="s">
        <v>4347</v>
      </c>
      <c r="C1253" s="25" t="s">
        <v>4348</v>
      </c>
      <c r="D1253" s="23" t="s">
        <v>4000</v>
      </c>
      <c r="E1253" s="43">
        <v>46125</v>
      </c>
      <c r="F1253" s="26" t="s">
        <v>23</v>
      </c>
      <c r="G1253" s="26" t="s">
        <v>24</v>
      </c>
      <c r="H1253" s="26" t="s">
        <v>25</v>
      </c>
      <c r="I1253" s="26" t="s">
        <v>26</v>
      </c>
      <c r="J1253" s="26" t="s">
        <v>24</v>
      </c>
      <c r="K1253" s="27"/>
      <c r="L1253" s="28" t="s">
        <v>25</v>
      </c>
      <c r="M1253" s="29" t="str">
        <f t="shared" si="95"/>
        <v>✓ OK</v>
      </c>
      <c r="N1253" s="43">
        <v>46193</v>
      </c>
      <c r="O1253" s="26" t="s">
        <v>23</v>
      </c>
      <c r="P1253" s="26" t="s">
        <v>24</v>
      </c>
      <c r="Q1253" s="26" t="s">
        <v>25</v>
      </c>
      <c r="R1253" s="26" t="s">
        <v>26</v>
      </c>
      <c r="S1253" s="26" t="s">
        <v>24</v>
      </c>
      <c r="T1253" s="27"/>
      <c r="U1253" s="28" t="s">
        <v>25</v>
      </c>
      <c r="V1253" s="29" t="str">
        <f t="shared" si="96"/>
        <v>✓ OK</v>
      </c>
      <c r="W1253" s="45">
        <v>46248</v>
      </c>
      <c r="X1253" s="30" t="s">
        <v>23</v>
      </c>
      <c r="Y1253" s="30" t="s">
        <v>24</v>
      </c>
      <c r="Z1253" s="30" t="s">
        <v>25</v>
      </c>
      <c r="AA1253" s="30" t="s">
        <v>26</v>
      </c>
      <c r="AB1253" s="30" t="s">
        <v>24</v>
      </c>
      <c r="AC1253" s="27"/>
      <c r="AD1253" s="31" t="s">
        <v>25</v>
      </c>
      <c r="AE1253" s="32" t="str">
        <f t="shared" si="97"/>
        <v>✓ OK</v>
      </c>
      <c r="AF1253" s="33" t="s">
        <v>27</v>
      </c>
      <c r="AG1253" s="33" t="s">
        <v>23</v>
      </c>
      <c r="AH1253" s="33" t="s">
        <v>24</v>
      </c>
      <c r="AI1253" s="33" t="s">
        <v>25</v>
      </c>
      <c r="AJ1253" s="33" t="s">
        <v>26</v>
      </c>
      <c r="AK1253" s="33" t="s">
        <v>24</v>
      </c>
      <c r="AL1253" s="27"/>
      <c r="AM1253" s="34" t="s">
        <v>25</v>
      </c>
      <c r="AN1253" s="35" t="str">
        <f t="shared" si="98"/>
        <v>✓ OK</v>
      </c>
      <c r="AO1253" s="36"/>
      <c r="AP1253" s="36"/>
      <c r="AQ1253" s="36"/>
      <c r="AR1253" s="36"/>
      <c r="AS1253" s="36"/>
      <c r="AT1253" s="36"/>
      <c r="AU1253" s="27"/>
      <c r="AV1253" s="37"/>
      <c r="AW1253" s="38" t="str">
        <f t="shared" si="99"/>
        <v/>
      </c>
    </row>
    <row r="1254" spans="1:49" ht="18" customHeight="1" x14ac:dyDescent="0.3">
      <c r="A1254" s="39">
        <v>1250</v>
      </c>
      <c r="B1254" s="40" t="s">
        <v>4349</v>
      </c>
      <c r="C1254" s="41" t="s">
        <v>4350</v>
      </c>
      <c r="D1254" s="39" t="s">
        <v>4000</v>
      </c>
      <c r="E1254" s="43">
        <v>46125</v>
      </c>
      <c r="F1254" s="26" t="s">
        <v>23</v>
      </c>
      <c r="G1254" s="26" t="s">
        <v>24</v>
      </c>
      <c r="H1254" s="26" t="s">
        <v>25</v>
      </c>
      <c r="I1254" s="26" t="s">
        <v>26</v>
      </c>
      <c r="J1254" s="26" t="s">
        <v>24</v>
      </c>
      <c r="K1254" s="27"/>
      <c r="L1254" s="28" t="s">
        <v>25</v>
      </c>
      <c r="M1254" s="29" t="str">
        <f t="shared" si="95"/>
        <v>✓ OK</v>
      </c>
      <c r="N1254" s="43">
        <v>46193</v>
      </c>
      <c r="O1254" s="26" t="s">
        <v>23</v>
      </c>
      <c r="P1254" s="26" t="s">
        <v>24</v>
      </c>
      <c r="Q1254" s="26" t="s">
        <v>25</v>
      </c>
      <c r="R1254" s="26" t="s">
        <v>26</v>
      </c>
      <c r="S1254" s="26" t="s">
        <v>24</v>
      </c>
      <c r="T1254" s="27"/>
      <c r="U1254" s="28" t="s">
        <v>25</v>
      </c>
      <c r="V1254" s="29" t="str">
        <f t="shared" si="96"/>
        <v>✓ OK</v>
      </c>
      <c r="W1254" s="45">
        <v>46248</v>
      </c>
      <c r="X1254" s="30" t="s">
        <v>23</v>
      </c>
      <c r="Y1254" s="30" t="s">
        <v>24</v>
      </c>
      <c r="Z1254" s="30" t="s">
        <v>25</v>
      </c>
      <c r="AA1254" s="30" t="s">
        <v>26</v>
      </c>
      <c r="AB1254" s="30" t="s">
        <v>24</v>
      </c>
      <c r="AC1254" s="27"/>
      <c r="AD1254" s="31" t="s">
        <v>25</v>
      </c>
      <c r="AE1254" s="32" t="str">
        <f t="shared" si="97"/>
        <v>✓ OK</v>
      </c>
      <c r="AF1254" s="33" t="s">
        <v>27</v>
      </c>
      <c r="AG1254" s="33" t="s">
        <v>23</v>
      </c>
      <c r="AH1254" s="33" t="s">
        <v>24</v>
      </c>
      <c r="AI1254" s="33" t="s">
        <v>25</v>
      </c>
      <c r="AJ1254" s="33" t="s">
        <v>26</v>
      </c>
      <c r="AK1254" s="33" t="s">
        <v>24</v>
      </c>
      <c r="AL1254" s="27"/>
      <c r="AM1254" s="34" t="s">
        <v>25</v>
      </c>
      <c r="AN1254" s="35" t="str">
        <f t="shared" si="98"/>
        <v>✓ OK</v>
      </c>
      <c r="AO1254" s="36"/>
      <c r="AP1254" s="36"/>
      <c r="AQ1254" s="36"/>
      <c r="AR1254" s="36"/>
      <c r="AS1254" s="36"/>
      <c r="AT1254" s="36"/>
      <c r="AU1254" s="27"/>
      <c r="AV1254" s="37"/>
      <c r="AW1254" s="38" t="str">
        <f t="shared" si="99"/>
        <v/>
      </c>
    </row>
    <row r="1255" spans="1:49" ht="18" customHeight="1" x14ac:dyDescent="0.3">
      <c r="A1255" s="23">
        <v>1251</v>
      </c>
      <c r="B1255" s="24" t="s">
        <v>4351</v>
      </c>
      <c r="C1255" s="25" t="s">
        <v>4352</v>
      </c>
      <c r="D1255" s="23" t="s">
        <v>4000</v>
      </c>
      <c r="E1255" s="43">
        <v>46125</v>
      </c>
      <c r="F1255" s="26" t="s">
        <v>23</v>
      </c>
      <c r="G1255" s="26" t="s">
        <v>24</v>
      </c>
      <c r="H1255" s="26" t="s">
        <v>25</v>
      </c>
      <c r="I1255" s="26" t="s">
        <v>26</v>
      </c>
      <c r="J1255" s="26" t="s">
        <v>24</v>
      </c>
      <c r="K1255" s="27"/>
      <c r="L1255" s="28" t="s">
        <v>25</v>
      </c>
      <c r="M1255" s="29" t="str">
        <f t="shared" si="95"/>
        <v>✓ OK</v>
      </c>
      <c r="N1255" s="43">
        <v>46193</v>
      </c>
      <c r="O1255" s="26" t="s">
        <v>23</v>
      </c>
      <c r="P1255" s="26" t="s">
        <v>24</v>
      </c>
      <c r="Q1255" s="26" t="s">
        <v>25</v>
      </c>
      <c r="R1255" s="26" t="s">
        <v>26</v>
      </c>
      <c r="S1255" s="26" t="s">
        <v>24</v>
      </c>
      <c r="T1255" s="27"/>
      <c r="U1255" s="28" t="s">
        <v>25</v>
      </c>
      <c r="V1255" s="29" t="str">
        <f t="shared" si="96"/>
        <v>✓ OK</v>
      </c>
      <c r="W1255" s="45">
        <v>46248</v>
      </c>
      <c r="X1255" s="30" t="s">
        <v>23</v>
      </c>
      <c r="Y1255" s="30" t="s">
        <v>24</v>
      </c>
      <c r="Z1255" s="30" t="s">
        <v>25</v>
      </c>
      <c r="AA1255" s="30" t="s">
        <v>26</v>
      </c>
      <c r="AB1255" s="30" t="s">
        <v>24</v>
      </c>
      <c r="AC1255" s="27"/>
      <c r="AD1255" s="31" t="s">
        <v>25</v>
      </c>
      <c r="AE1255" s="32" t="str">
        <f t="shared" si="97"/>
        <v>✓ OK</v>
      </c>
      <c r="AF1255" s="33" t="s">
        <v>27</v>
      </c>
      <c r="AG1255" s="33" t="s">
        <v>23</v>
      </c>
      <c r="AH1255" s="33" t="s">
        <v>24</v>
      </c>
      <c r="AI1255" s="33" t="s">
        <v>25</v>
      </c>
      <c r="AJ1255" s="33" t="s">
        <v>26</v>
      </c>
      <c r="AK1255" s="33" t="s">
        <v>24</v>
      </c>
      <c r="AL1255" s="27"/>
      <c r="AM1255" s="34" t="s">
        <v>25</v>
      </c>
      <c r="AN1255" s="35" t="str">
        <f t="shared" si="98"/>
        <v>✓ OK</v>
      </c>
      <c r="AO1255" s="36"/>
      <c r="AP1255" s="36"/>
      <c r="AQ1255" s="36"/>
      <c r="AR1255" s="36"/>
      <c r="AS1255" s="36"/>
      <c r="AT1255" s="36"/>
      <c r="AU1255" s="27"/>
      <c r="AV1255" s="37"/>
      <c r="AW1255" s="38" t="str">
        <f t="shared" si="99"/>
        <v/>
      </c>
    </row>
    <row r="1256" spans="1:49" ht="18" customHeight="1" x14ac:dyDescent="0.3">
      <c r="A1256" s="39">
        <v>1252</v>
      </c>
      <c r="B1256" s="40" t="s">
        <v>4353</v>
      </c>
      <c r="C1256" s="41" t="s">
        <v>4354</v>
      </c>
      <c r="D1256" s="39" t="s">
        <v>4000</v>
      </c>
      <c r="E1256" s="43">
        <v>46125</v>
      </c>
      <c r="F1256" s="26" t="s">
        <v>23</v>
      </c>
      <c r="G1256" s="26" t="s">
        <v>24</v>
      </c>
      <c r="H1256" s="26" t="s">
        <v>25</v>
      </c>
      <c r="I1256" s="26" t="s">
        <v>26</v>
      </c>
      <c r="J1256" s="26" t="s">
        <v>24</v>
      </c>
      <c r="K1256" s="27"/>
      <c r="L1256" s="28" t="s">
        <v>25</v>
      </c>
      <c r="M1256" s="29" t="str">
        <f t="shared" si="95"/>
        <v>✓ OK</v>
      </c>
      <c r="N1256" s="43">
        <v>46193</v>
      </c>
      <c r="O1256" s="26" t="s">
        <v>23</v>
      </c>
      <c r="P1256" s="26" t="s">
        <v>24</v>
      </c>
      <c r="Q1256" s="26" t="s">
        <v>25</v>
      </c>
      <c r="R1256" s="26" t="s">
        <v>26</v>
      </c>
      <c r="S1256" s="26" t="s">
        <v>24</v>
      </c>
      <c r="T1256" s="27"/>
      <c r="U1256" s="28" t="s">
        <v>25</v>
      </c>
      <c r="V1256" s="29" t="str">
        <f t="shared" si="96"/>
        <v>✓ OK</v>
      </c>
      <c r="W1256" s="45">
        <v>46248</v>
      </c>
      <c r="X1256" s="30" t="s">
        <v>23</v>
      </c>
      <c r="Y1256" s="30" t="s">
        <v>24</v>
      </c>
      <c r="Z1256" s="30" t="s">
        <v>25</v>
      </c>
      <c r="AA1256" s="30" t="s">
        <v>26</v>
      </c>
      <c r="AB1256" s="30" t="s">
        <v>24</v>
      </c>
      <c r="AC1256" s="27"/>
      <c r="AD1256" s="31" t="s">
        <v>25</v>
      </c>
      <c r="AE1256" s="32" t="str">
        <f t="shared" si="97"/>
        <v>✓ OK</v>
      </c>
      <c r="AF1256" s="33" t="s">
        <v>27</v>
      </c>
      <c r="AG1256" s="33" t="s">
        <v>23</v>
      </c>
      <c r="AH1256" s="33" t="s">
        <v>24</v>
      </c>
      <c r="AI1256" s="33" t="s">
        <v>25</v>
      </c>
      <c r="AJ1256" s="33" t="s">
        <v>26</v>
      </c>
      <c r="AK1256" s="33" t="s">
        <v>24</v>
      </c>
      <c r="AL1256" s="27"/>
      <c r="AM1256" s="34" t="s">
        <v>25</v>
      </c>
      <c r="AN1256" s="35" t="str">
        <f t="shared" si="98"/>
        <v>✓ OK</v>
      </c>
      <c r="AO1256" s="36"/>
      <c r="AP1256" s="36"/>
      <c r="AQ1256" s="36"/>
      <c r="AR1256" s="36"/>
      <c r="AS1256" s="36"/>
      <c r="AT1256" s="36"/>
      <c r="AU1256" s="27"/>
      <c r="AV1256" s="37"/>
      <c r="AW1256" s="38" t="str">
        <f t="shared" si="99"/>
        <v/>
      </c>
    </row>
    <row r="1257" spans="1:49" ht="18" customHeight="1" x14ac:dyDescent="0.3">
      <c r="A1257" s="23">
        <v>1253</v>
      </c>
      <c r="B1257" s="24" t="s">
        <v>4355</v>
      </c>
      <c r="C1257" s="25" t="s">
        <v>4356</v>
      </c>
      <c r="D1257" s="23" t="s">
        <v>4000</v>
      </c>
      <c r="E1257" s="43">
        <v>46125</v>
      </c>
      <c r="F1257" s="26" t="s">
        <v>23</v>
      </c>
      <c r="G1257" s="26" t="s">
        <v>24</v>
      </c>
      <c r="H1257" s="26" t="s">
        <v>25</v>
      </c>
      <c r="I1257" s="26" t="s">
        <v>26</v>
      </c>
      <c r="J1257" s="26" t="s">
        <v>24</v>
      </c>
      <c r="K1257" s="27"/>
      <c r="L1257" s="28" t="s">
        <v>25</v>
      </c>
      <c r="M1257" s="29" t="str">
        <f t="shared" si="95"/>
        <v>✓ OK</v>
      </c>
      <c r="N1257" s="43">
        <v>46193</v>
      </c>
      <c r="O1257" s="26" t="s">
        <v>23</v>
      </c>
      <c r="P1257" s="26" t="s">
        <v>24</v>
      </c>
      <c r="Q1257" s="26" t="s">
        <v>25</v>
      </c>
      <c r="R1257" s="26" t="s">
        <v>26</v>
      </c>
      <c r="S1257" s="26" t="s">
        <v>24</v>
      </c>
      <c r="T1257" s="27"/>
      <c r="U1257" s="28" t="s">
        <v>25</v>
      </c>
      <c r="V1257" s="29" t="str">
        <f t="shared" si="96"/>
        <v>✓ OK</v>
      </c>
      <c r="W1257" s="45">
        <v>46248</v>
      </c>
      <c r="X1257" s="30" t="s">
        <v>23</v>
      </c>
      <c r="Y1257" s="30" t="s">
        <v>24</v>
      </c>
      <c r="Z1257" s="30" t="s">
        <v>25</v>
      </c>
      <c r="AA1257" s="30" t="s">
        <v>26</v>
      </c>
      <c r="AB1257" s="30" t="s">
        <v>24</v>
      </c>
      <c r="AC1257" s="27"/>
      <c r="AD1257" s="31" t="s">
        <v>25</v>
      </c>
      <c r="AE1257" s="32" t="str">
        <f t="shared" si="97"/>
        <v>✓ OK</v>
      </c>
      <c r="AF1257" s="33" t="s">
        <v>27</v>
      </c>
      <c r="AG1257" s="33" t="s">
        <v>23</v>
      </c>
      <c r="AH1257" s="33" t="s">
        <v>24</v>
      </c>
      <c r="AI1257" s="33" t="s">
        <v>25</v>
      </c>
      <c r="AJ1257" s="33" t="s">
        <v>26</v>
      </c>
      <c r="AK1257" s="33" t="s">
        <v>24</v>
      </c>
      <c r="AL1257" s="27"/>
      <c r="AM1257" s="34" t="s">
        <v>25</v>
      </c>
      <c r="AN1257" s="35" t="str">
        <f t="shared" si="98"/>
        <v>✓ OK</v>
      </c>
      <c r="AO1257" s="36"/>
      <c r="AP1257" s="36"/>
      <c r="AQ1257" s="36"/>
      <c r="AR1257" s="36"/>
      <c r="AS1257" s="36"/>
      <c r="AT1257" s="36"/>
      <c r="AU1257" s="27"/>
      <c r="AV1257" s="37"/>
      <c r="AW1257" s="38" t="str">
        <f t="shared" si="99"/>
        <v/>
      </c>
    </row>
    <row r="1258" spans="1:49" ht="18" customHeight="1" x14ac:dyDescent="0.3">
      <c r="A1258" s="39">
        <v>1254</v>
      </c>
      <c r="B1258" s="40" t="s">
        <v>4357</v>
      </c>
      <c r="C1258" s="41" t="s">
        <v>4358</v>
      </c>
      <c r="D1258" s="39" t="s">
        <v>4000</v>
      </c>
      <c r="E1258" s="43">
        <v>46125</v>
      </c>
      <c r="F1258" s="26" t="s">
        <v>23</v>
      </c>
      <c r="G1258" s="26" t="s">
        <v>24</v>
      </c>
      <c r="H1258" s="26" t="s">
        <v>25</v>
      </c>
      <c r="I1258" s="26" t="s">
        <v>26</v>
      </c>
      <c r="J1258" s="26" t="s">
        <v>24</v>
      </c>
      <c r="K1258" s="27"/>
      <c r="L1258" s="28" t="s">
        <v>25</v>
      </c>
      <c r="M1258" s="29" t="str">
        <f t="shared" si="95"/>
        <v>✓ OK</v>
      </c>
      <c r="N1258" s="43">
        <v>46193</v>
      </c>
      <c r="O1258" s="26" t="s">
        <v>23</v>
      </c>
      <c r="P1258" s="26" t="s">
        <v>24</v>
      </c>
      <c r="Q1258" s="26" t="s">
        <v>25</v>
      </c>
      <c r="R1258" s="26" t="s">
        <v>26</v>
      </c>
      <c r="S1258" s="26" t="s">
        <v>24</v>
      </c>
      <c r="T1258" s="27"/>
      <c r="U1258" s="28" t="s">
        <v>25</v>
      </c>
      <c r="V1258" s="29" t="str">
        <f t="shared" si="96"/>
        <v>✓ OK</v>
      </c>
      <c r="W1258" s="45">
        <v>46248</v>
      </c>
      <c r="X1258" s="30" t="s">
        <v>23</v>
      </c>
      <c r="Y1258" s="30" t="s">
        <v>24</v>
      </c>
      <c r="Z1258" s="30" t="s">
        <v>25</v>
      </c>
      <c r="AA1258" s="30" t="s">
        <v>26</v>
      </c>
      <c r="AB1258" s="30" t="s">
        <v>24</v>
      </c>
      <c r="AC1258" s="27"/>
      <c r="AD1258" s="31" t="s">
        <v>25</v>
      </c>
      <c r="AE1258" s="32" t="str">
        <f t="shared" si="97"/>
        <v>✓ OK</v>
      </c>
      <c r="AF1258" s="33" t="s">
        <v>27</v>
      </c>
      <c r="AG1258" s="33" t="s">
        <v>23</v>
      </c>
      <c r="AH1258" s="33" t="s">
        <v>24</v>
      </c>
      <c r="AI1258" s="33" t="s">
        <v>25</v>
      </c>
      <c r="AJ1258" s="33" t="s">
        <v>26</v>
      </c>
      <c r="AK1258" s="33" t="s">
        <v>24</v>
      </c>
      <c r="AL1258" s="27"/>
      <c r="AM1258" s="34" t="s">
        <v>25</v>
      </c>
      <c r="AN1258" s="35" t="str">
        <f t="shared" si="98"/>
        <v>✓ OK</v>
      </c>
      <c r="AO1258" s="36"/>
      <c r="AP1258" s="36"/>
      <c r="AQ1258" s="36"/>
      <c r="AR1258" s="36"/>
      <c r="AS1258" s="36"/>
      <c r="AT1258" s="36"/>
      <c r="AU1258" s="27"/>
      <c r="AV1258" s="37"/>
      <c r="AW1258" s="38" t="str">
        <f t="shared" si="99"/>
        <v/>
      </c>
    </row>
    <row r="1259" spans="1:49" ht="18" customHeight="1" x14ac:dyDescent="0.3">
      <c r="A1259" s="23">
        <v>1255</v>
      </c>
      <c r="B1259" s="24" t="s">
        <v>4359</v>
      </c>
      <c r="C1259" s="25" t="s">
        <v>4360</v>
      </c>
      <c r="D1259" s="23" t="s">
        <v>4000</v>
      </c>
      <c r="E1259" s="43">
        <v>46125</v>
      </c>
      <c r="F1259" s="26" t="s">
        <v>23</v>
      </c>
      <c r="G1259" s="26" t="s">
        <v>24</v>
      </c>
      <c r="H1259" s="26" t="s">
        <v>25</v>
      </c>
      <c r="I1259" s="26" t="s">
        <v>26</v>
      </c>
      <c r="J1259" s="26" t="s">
        <v>24</v>
      </c>
      <c r="K1259" s="27"/>
      <c r="L1259" s="28" t="s">
        <v>25</v>
      </c>
      <c r="M1259" s="29" t="str">
        <f t="shared" si="95"/>
        <v>✓ OK</v>
      </c>
      <c r="N1259" s="43">
        <v>46193</v>
      </c>
      <c r="O1259" s="26" t="s">
        <v>23</v>
      </c>
      <c r="P1259" s="26" t="s">
        <v>24</v>
      </c>
      <c r="Q1259" s="26" t="s">
        <v>25</v>
      </c>
      <c r="R1259" s="26" t="s">
        <v>26</v>
      </c>
      <c r="S1259" s="26" t="s">
        <v>24</v>
      </c>
      <c r="T1259" s="27"/>
      <c r="U1259" s="28" t="s">
        <v>25</v>
      </c>
      <c r="V1259" s="29" t="str">
        <f t="shared" si="96"/>
        <v>✓ OK</v>
      </c>
      <c r="W1259" s="45">
        <v>46248</v>
      </c>
      <c r="X1259" s="30" t="s">
        <v>23</v>
      </c>
      <c r="Y1259" s="30" t="s">
        <v>24</v>
      </c>
      <c r="Z1259" s="30" t="s">
        <v>25</v>
      </c>
      <c r="AA1259" s="30" t="s">
        <v>26</v>
      </c>
      <c r="AB1259" s="30" t="s">
        <v>24</v>
      </c>
      <c r="AC1259" s="27"/>
      <c r="AD1259" s="31" t="s">
        <v>25</v>
      </c>
      <c r="AE1259" s="32" t="str">
        <f t="shared" si="97"/>
        <v>✓ OK</v>
      </c>
      <c r="AF1259" s="33" t="s">
        <v>27</v>
      </c>
      <c r="AG1259" s="33" t="s">
        <v>23</v>
      </c>
      <c r="AH1259" s="33" t="s">
        <v>24</v>
      </c>
      <c r="AI1259" s="33" t="s">
        <v>25</v>
      </c>
      <c r="AJ1259" s="33" t="s">
        <v>26</v>
      </c>
      <c r="AK1259" s="33" t="s">
        <v>24</v>
      </c>
      <c r="AL1259" s="27"/>
      <c r="AM1259" s="34" t="s">
        <v>25</v>
      </c>
      <c r="AN1259" s="35" t="str">
        <f t="shared" si="98"/>
        <v>✓ OK</v>
      </c>
      <c r="AO1259" s="36"/>
      <c r="AP1259" s="36"/>
      <c r="AQ1259" s="36"/>
      <c r="AR1259" s="36"/>
      <c r="AS1259" s="36"/>
      <c r="AT1259" s="36"/>
      <c r="AU1259" s="27"/>
      <c r="AV1259" s="37"/>
      <c r="AW1259" s="38" t="str">
        <f t="shared" si="99"/>
        <v/>
      </c>
    </row>
    <row r="1260" spans="1:49" ht="18" customHeight="1" x14ac:dyDescent="0.3">
      <c r="A1260" s="39">
        <v>1256</v>
      </c>
      <c r="B1260" s="40" t="s">
        <v>4361</v>
      </c>
      <c r="C1260" s="41" t="s">
        <v>4362</v>
      </c>
      <c r="D1260" s="39" t="s">
        <v>4000</v>
      </c>
      <c r="E1260" s="43">
        <v>46125</v>
      </c>
      <c r="F1260" s="26" t="s">
        <v>23</v>
      </c>
      <c r="G1260" s="26" t="s">
        <v>24</v>
      </c>
      <c r="H1260" s="26" t="s">
        <v>25</v>
      </c>
      <c r="I1260" s="26" t="s">
        <v>26</v>
      </c>
      <c r="J1260" s="26" t="s">
        <v>24</v>
      </c>
      <c r="K1260" s="27"/>
      <c r="L1260" s="28" t="s">
        <v>25</v>
      </c>
      <c r="M1260" s="29" t="str">
        <f t="shared" si="95"/>
        <v>✓ OK</v>
      </c>
      <c r="N1260" s="43">
        <v>46193</v>
      </c>
      <c r="O1260" s="26" t="s">
        <v>23</v>
      </c>
      <c r="P1260" s="26" t="s">
        <v>24</v>
      </c>
      <c r="Q1260" s="26" t="s">
        <v>25</v>
      </c>
      <c r="R1260" s="26" t="s">
        <v>26</v>
      </c>
      <c r="S1260" s="26" t="s">
        <v>24</v>
      </c>
      <c r="T1260" s="27"/>
      <c r="U1260" s="28" t="s">
        <v>25</v>
      </c>
      <c r="V1260" s="29" t="str">
        <f t="shared" si="96"/>
        <v>✓ OK</v>
      </c>
      <c r="W1260" s="45">
        <v>46248</v>
      </c>
      <c r="X1260" s="30" t="s">
        <v>23</v>
      </c>
      <c r="Y1260" s="30" t="s">
        <v>24</v>
      </c>
      <c r="Z1260" s="30" t="s">
        <v>25</v>
      </c>
      <c r="AA1260" s="30" t="s">
        <v>26</v>
      </c>
      <c r="AB1260" s="30" t="s">
        <v>24</v>
      </c>
      <c r="AC1260" s="27"/>
      <c r="AD1260" s="31" t="s">
        <v>25</v>
      </c>
      <c r="AE1260" s="32" t="str">
        <f t="shared" si="97"/>
        <v>✓ OK</v>
      </c>
      <c r="AF1260" s="33" t="s">
        <v>27</v>
      </c>
      <c r="AG1260" s="33" t="s">
        <v>23</v>
      </c>
      <c r="AH1260" s="33" t="s">
        <v>24</v>
      </c>
      <c r="AI1260" s="33" t="s">
        <v>25</v>
      </c>
      <c r="AJ1260" s="33" t="s">
        <v>26</v>
      </c>
      <c r="AK1260" s="33" t="s">
        <v>24</v>
      </c>
      <c r="AL1260" s="27"/>
      <c r="AM1260" s="34" t="s">
        <v>25</v>
      </c>
      <c r="AN1260" s="35" t="str">
        <f t="shared" si="98"/>
        <v>✓ OK</v>
      </c>
      <c r="AO1260" s="36"/>
      <c r="AP1260" s="36"/>
      <c r="AQ1260" s="36"/>
      <c r="AR1260" s="36"/>
      <c r="AS1260" s="36"/>
      <c r="AT1260" s="36"/>
      <c r="AU1260" s="27"/>
      <c r="AV1260" s="37"/>
      <c r="AW1260" s="38" t="str">
        <f t="shared" si="99"/>
        <v/>
      </c>
    </row>
    <row r="1261" spans="1:49" ht="18" customHeight="1" x14ac:dyDescent="0.3">
      <c r="A1261" s="23">
        <v>1257</v>
      </c>
      <c r="B1261" s="24" t="s">
        <v>4363</v>
      </c>
      <c r="C1261" s="25" t="s">
        <v>4364</v>
      </c>
      <c r="D1261" s="23" t="s">
        <v>4000</v>
      </c>
      <c r="E1261" s="43">
        <v>46125</v>
      </c>
      <c r="F1261" s="26" t="s">
        <v>23</v>
      </c>
      <c r="G1261" s="26" t="s">
        <v>24</v>
      </c>
      <c r="H1261" s="26" t="s">
        <v>25</v>
      </c>
      <c r="I1261" s="26" t="s">
        <v>26</v>
      </c>
      <c r="J1261" s="26" t="s">
        <v>24</v>
      </c>
      <c r="K1261" s="27"/>
      <c r="L1261" s="28" t="s">
        <v>25</v>
      </c>
      <c r="M1261" s="29" t="str">
        <f t="shared" si="95"/>
        <v>✓ OK</v>
      </c>
      <c r="N1261" s="43">
        <v>46193</v>
      </c>
      <c r="O1261" s="26" t="s">
        <v>23</v>
      </c>
      <c r="P1261" s="26" t="s">
        <v>24</v>
      </c>
      <c r="Q1261" s="26" t="s">
        <v>25</v>
      </c>
      <c r="R1261" s="26" t="s">
        <v>26</v>
      </c>
      <c r="S1261" s="26" t="s">
        <v>24</v>
      </c>
      <c r="T1261" s="27"/>
      <c r="U1261" s="28" t="s">
        <v>25</v>
      </c>
      <c r="V1261" s="29" t="str">
        <f t="shared" si="96"/>
        <v>✓ OK</v>
      </c>
      <c r="W1261" s="45">
        <v>46248</v>
      </c>
      <c r="X1261" s="30" t="s">
        <v>23</v>
      </c>
      <c r="Y1261" s="30" t="s">
        <v>24</v>
      </c>
      <c r="Z1261" s="30" t="s">
        <v>25</v>
      </c>
      <c r="AA1261" s="30" t="s">
        <v>26</v>
      </c>
      <c r="AB1261" s="30" t="s">
        <v>24</v>
      </c>
      <c r="AC1261" s="27"/>
      <c r="AD1261" s="31" t="s">
        <v>25</v>
      </c>
      <c r="AE1261" s="32" t="str">
        <f t="shared" si="97"/>
        <v>✓ OK</v>
      </c>
      <c r="AF1261" s="33" t="s">
        <v>27</v>
      </c>
      <c r="AG1261" s="33" t="s">
        <v>23</v>
      </c>
      <c r="AH1261" s="33" t="s">
        <v>24</v>
      </c>
      <c r="AI1261" s="33" t="s">
        <v>25</v>
      </c>
      <c r="AJ1261" s="33" t="s">
        <v>26</v>
      </c>
      <c r="AK1261" s="33" t="s">
        <v>24</v>
      </c>
      <c r="AL1261" s="27"/>
      <c r="AM1261" s="34" t="s">
        <v>25</v>
      </c>
      <c r="AN1261" s="35" t="str">
        <f t="shared" si="98"/>
        <v>✓ OK</v>
      </c>
      <c r="AO1261" s="36"/>
      <c r="AP1261" s="36"/>
      <c r="AQ1261" s="36"/>
      <c r="AR1261" s="36"/>
      <c r="AS1261" s="36"/>
      <c r="AT1261" s="36"/>
      <c r="AU1261" s="27"/>
      <c r="AV1261" s="37"/>
      <c r="AW1261" s="38" t="str">
        <f t="shared" si="99"/>
        <v/>
      </c>
    </row>
    <row r="1262" spans="1:49" ht="18" customHeight="1" x14ac:dyDescent="0.3">
      <c r="A1262" s="39">
        <v>1258</v>
      </c>
      <c r="B1262" s="40" t="s">
        <v>4365</v>
      </c>
      <c r="C1262" s="41" t="s">
        <v>4366</v>
      </c>
      <c r="D1262" s="39" t="s">
        <v>4000</v>
      </c>
      <c r="E1262" s="43">
        <v>46125</v>
      </c>
      <c r="F1262" s="26" t="s">
        <v>23</v>
      </c>
      <c r="G1262" s="26" t="s">
        <v>24</v>
      </c>
      <c r="H1262" s="26" t="s">
        <v>25</v>
      </c>
      <c r="I1262" s="26" t="s">
        <v>26</v>
      </c>
      <c r="J1262" s="26" t="s">
        <v>24</v>
      </c>
      <c r="K1262" s="27"/>
      <c r="L1262" s="28" t="s">
        <v>25</v>
      </c>
      <c r="M1262" s="29" t="str">
        <f t="shared" si="95"/>
        <v>✓ OK</v>
      </c>
      <c r="N1262" s="43">
        <v>46193</v>
      </c>
      <c r="O1262" s="26" t="s">
        <v>23</v>
      </c>
      <c r="P1262" s="26" t="s">
        <v>24</v>
      </c>
      <c r="Q1262" s="26" t="s">
        <v>25</v>
      </c>
      <c r="R1262" s="26" t="s">
        <v>26</v>
      </c>
      <c r="S1262" s="26" t="s">
        <v>24</v>
      </c>
      <c r="T1262" s="27"/>
      <c r="U1262" s="28" t="s">
        <v>25</v>
      </c>
      <c r="V1262" s="29" t="str">
        <f t="shared" si="96"/>
        <v>✓ OK</v>
      </c>
      <c r="W1262" s="45">
        <v>46248</v>
      </c>
      <c r="X1262" s="30" t="s">
        <v>23</v>
      </c>
      <c r="Y1262" s="30" t="s">
        <v>24</v>
      </c>
      <c r="Z1262" s="30" t="s">
        <v>25</v>
      </c>
      <c r="AA1262" s="30" t="s">
        <v>26</v>
      </c>
      <c r="AB1262" s="30" t="s">
        <v>24</v>
      </c>
      <c r="AC1262" s="27"/>
      <c r="AD1262" s="31" t="s">
        <v>25</v>
      </c>
      <c r="AE1262" s="32" t="str">
        <f t="shared" si="97"/>
        <v>✓ OK</v>
      </c>
      <c r="AF1262" s="33" t="s">
        <v>27</v>
      </c>
      <c r="AG1262" s="33" t="s">
        <v>23</v>
      </c>
      <c r="AH1262" s="33" t="s">
        <v>24</v>
      </c>
      <c r="AI1262" s="33" t="s">
        <v>25</v>
      </c>
      <c r="AJ1262" s="33" t="s">
        <v>26</v>
      </c>
      <c r="AK1262" s="33" t="s">
        <v>24</v>
      </c>
      <c r="AL1262" s="27"/>
      <c r="AM1262" s="34" t="s">
        <v>25</v>
      </c>
      <c r="AN1262" s="35" t="str">
        <f t="shared" si="98"/>
        <v>✓ OK</v>
      </c>
      <c r="AO1262" s="36"/>
      <c r="AP1262" s="36"/>
      <c r="AQ1262" s="36"/>
      <c r="AR1262" s="36"/>
      <c r="AS1262" s="36"/>
      <c r="AT1262" s="36"/>
      <c r="AU1262" s="27"/>
      <c r="AV1262" s="37"/>
      <c r="AW1262" s="38" t="str">
        <f t="shared" si="99"/>
        <v/>
      </c>
    </row>
    <row r="1263" spans="1:49" ht="18" customHeight="1" x14ac:dyDescent="0.3">
      <c r="A1263" s="23">
        <v>1259</v>
      </c>
      <c r="B1263" s="24" t="s">
        <v>4367</v>
      </c>
      <c r="C1263" s="25" t="s">
        <v>4368</v>
      </c>
      <c r="D1263" s="23" t="s">
        <v>4000</v>
      </c>
      <c r="E1263" s="43">
        <v>46125</v>
      </c>
      <c r="F1263" s="26" t="s">
        <v>23</v>
      </c>
      <c r="G1263" s="26" t="s">
        <v>24</v>
      </c>
      <c r="H1263" s="26" t="s">
        <v>25</v>
      </c>
      <c r="I1263" s="26" t="s">
        <v>26</v>
      </c>
      <c r="J1263" s="26" t="s">
        <v>24</v>
      </c>
      <c r="K1263" s="27"/>
      <c r="L1263" s="28" t="s">
        <v>25</v>
      </c>
      <c r="M1263" s="29" t="str">
        <f t="shared" si="95"/>
        <v>✓ OK</v>
      </c>
      <c r="N1263" s="43">
        <v>46193</v>
      </c>
      <c r="O1263" s="26" t="s">
        <v>23</v>
      </c>
      <c r="P1263" s="26" t="s">
        <v>24</v>
      </c>
      <c r="Q1263" s="26" t="s">
        <v>25</v>
      </c>
      <c r="R1263" s="26" t="s">
        <v>26</v>
      </c>
      <c r="S1263" s="26" t="s">
        <v>24</v>
      </c>
      <c r="T1263" s="27"/>
      <c r="U1263" s="28" t="s">
        <v>25</v>
      </c>
      <c r="V1263" s="29" t="str">
        <f t="shared" si="96"/>
        <v>✓ OK</v>
      </c>
      <c r="W1263" s="45">
        <v>46248</v>
      </c>
      <c r="X1263" s="30" t="s">
        <v>23</v>
      </c>
      <c r="Y1263" s="30" t="s">
        <v>24</v>
      </c>
      <c r="Z1263" s="30" t="s">
        <v>25</v>
      </c>
      <c r="AA1263" s="30" t="s">
        <v>26</v>
      </c>
      <c r="AB1263" s="30" t="s">
        <v>24</v>
      </c>
      <c r="AC1263" s="27"/>
      <c r="AD1263" s="31" t="s">
        <v>25</v>
      </c>
      <c r="AE1263" s="32" t="str">
        <f t="shared" si="97"/>
        <v>✓ OK</v>
      </c>
      <c r="AF1263" s="33" t="s">
        <v>27</v>
      </c>
      <c r="AG1263" s="33" t="s">
        <v>23</v>
      </c>
      <c r="AH1263" s="33" t="s">
        <v>24</v>
      </c>
      <c r="AI1263" s="33" t="s">
        <v>25</v>
      </c>
      <c r="AJ1263" s="33" t="s">
        <v>26</v>
      </c>
      <c r="AK1263" s="33" t="s">
        <v>24</v>
      </c>
      <c r="AL1263" s="27"/>
      <c r="AM1263" s="34" t="s">
        <v>25</v>
      </c>
      <c r="AN1263" s="35" t="str">
        <f t="shared" si="98"/>
        <v>✓ OK</v>
      </c>
      <c r="AO1263" s="36"/>
      <c r="AP1263" s="36"/>
      <c r="AQ1263" s="36"/>
      <c r="AR1263" s="36"/>
      <c r="AS1263" s="36"/>
      <c r="AT1263" s="36"/>
      <c r="AU1263" s="27"/>
      <c r="AV1263" s="37"/>
      <c r="AW1263" s="38" t="str">
        <f t="shared" si="99"/>
        <v/>
      </c>
    </row>
    <row r="1264" spans="1:49" ht="18" customHeight="1" x14ac:dyDescent="0.3">
      <c r="A1264" s="39">
        <v>1260</v>
      </c>
      <c r="B1264" s="40" t="s">
        <v>4369</v>
      </c>
      <c r="C1264" s="41" t="s">
        <v>4370</v>
      </c>
      <c r="D1264" s="39" t="s">
        <v>4000</v>
      </c>
      <c r="E1264" s="43">
        <v>46125</v>
      </c>
      <c r="F1264" s="26" t="s">
        <v>23</v>
      </c>
      <c r="G1264" s="26" t="s">
        <v>24</v>
      </c>
      <c r="H1264" s="26" t="s">
        <v>25</v>
      </c>
      <c r="I1264" s="26" t="s">
        <v>26</v>
      </c>
      <c r="J1264" s="26" t="s">
        <v>24</v>
      </c>
      <c r="K1264" s="27"/>
      <c r="L1264" s="28" t="s">
        <v>25</v>
      </c>
      <c r="M1264" s="29" t="str">
        <f t="shared" si="95"/>
        <v>✓ OK</v>
      </c>
      <c r="N1264" s="43">
        <v>46193</v>
      </c>
      <c r="O1264" s="26" t="s">
        <v>23</v>
      </c>
      <c r="P1264" s="26" t="s">
        <v>24</v>
      </c>
      <c r="Q1264" s="26" t="s">
        <v>25</v>
      </c>
      <c r="R1264" s="26" t="s">
        <v>26</v>
      </c>
      <c r="S1264" s="26" t="s">
        <v>24</v>
      </c>
      <c r="T1264" s="27"/>
      <c r="U1264" s="28" t="s">
        <v>25</v>
      </c>
      <c r="V1264" s="29" t="str">
        <f t="shared" si="96"/>
        <v>✓ OK</v>
      </c>
      <c r="W1264" s="45">
        <v>46248</v>
      </c>
      <c r="X1264" s="30" t="s">
        <v>23</v>
      </c>
      <c r="Y1264" s="30" t="s">
        <v>24</v>
      </c>
      <c r="Z1264" s="30" t="s">
        <v>25</v>
      </c>
      <c r="AA1264" s="30" t="s">
        <v>26</v>
      </c>
      <c r="AB1264" s="30" t="s">
        <v>24</v>
      </c>
      <c r="AC1264" s="27"/>
      <c r="AD1264" s="31" t="s">
        <v>25</v>
      </c>
      <c r="AE1264" s="32" t="str">
        <f t="shared" si="97"/>
        <v>✓ OK</v>
      </c>
      <c r="AF1264" s="33" t="s">
        <v>27</v>
      </c>
      <c r="AG1264" s="33" t="s">
        <v>23</v>
      </c>
      <c r="AH1264" s="33" t="s">
        <v>24</v>
      </c>
      <c r="AI1264" s="33" t="s">
        <v>25</v>
      </c>
      <c r="AJ1264" s="33" t="s">
        <v>26</v>
      </c>
      <c r="AK1264" s="33" t="s">
        <v>24</v>
      </c>
      <c r="AL1264" s="27"/>
      <c r="AM1264" s="34" t="s">
        <v>25</v>
      </c>
      <c r="AN1264" s="35" t="str">
        <f t="shared" si="98"/>
        <v>✓ OK</v>
      </c>
      <c r="AO1264" s="36"/>
      <c r="AP1264" s="36"/>
      <c r="AQ1264" s="36"/>
      <c r="AR1264" s="36"/>
      <c r="AS1264" s="36"/>
      <c r="AT1264" s="36"/>
      <c r="AU1264" s="27"/>
      <c r="AV1264" s="37"/>
      <c r="AW1264" s="38" t="str">
        <f t="shared" si="99"/>
        <v/>
      </c>
    </row>
    <row r="1265" spans="1:49" ht="18" customHeight="1" x14ac:dyDescent="0.3">
      <c r="A1265" s="23">
        <v>1261</v>
      </c>
      <c r="B1265" s="24" t="s">
        <v>4371</v>
      </c>
      <c r="C1265" s="25" t="s">
        <v>4372</v>
      </c>
      <c r="D1265" s="23" t="s">
        <v>4000</v>
      </c>
      <c r="E1265" s="43">
        <v>46125</v>
      </c>
      <c r="F1265" s="26" t="s">
        <v>23</v>
      </c>
      <c r="G1265" s="26" t="s">
        <v>24</v>
      </c>
      <c r="H1265" s="26" t="s">
        <v>25</v>
      </c>
      <c r="I1265" s="26" t="s">
        <v>26</v>
      </c>
      <c r="J1265" s="26" t="s">
        <v>24</v>
      </c>
      <c r="K1265" s="27"/>
      <c r="L1265" s="28" t="s">
        <v>25</v>
      </c>
      <c r="M1265" s="29" t="str">
        <f t="shared" si="95"/>
        <v>✓ OK</v>
      </c>
      <c r="N1265" s="43">
        <v>46193</v>
      </c>
      <c r="O1265" s="26" t="s">
        <v>23</v>
      </c>
      <c r="P1265" s="26" t="s">
        <v>24</v>
      </c>
      <c r="Q1265" s="26" t="s">
        <v>25</v>
      </c>
      <c r="R1265" s="26" t="s">
        <v>26</v>
      </c>
      <c r="S1265" s="26" t="s">
        <v>24</v>
      </c>
      <c r="T1265" s="27"/>
      <c r="U1265" s="28" t="s">
        <v>25</v>
      </c>
      <c r="V1265" s="29" t="str">
        <f t="shared" si="96"/>
        <v>✓ OK</v>
      </c>
      <c r="W1265" s="45">
        <v>46248</v>
      </c>
      <c r="X1265" s="30" t="s">
        <v>23</v>
      </c>
      <c r="Y1265" s="30" t="s">
        <v>24</v>
      </c>
      <c r="Z1265" s="30" t="s">
        <v>25</v>
      </c>
      <c r="AA1265" s="30" t="s">
        <v>26</v>
      </c>
      <c r="AB1265" s="30" t="s">
        <v>24</v>
      </c>
      <c r="AC1265" s="27"/>
      <c r="AD1265" s="31" t="s">
        <v>25</v>
      </c>
      <c r="AE1265" s="32" t="str">
        <f t="shared" si="97"/>
        <v>✓ OK</v>
      </c>
      <c r="AF1265" s="33" t="s">
        <v>27</v>
      </c>
      <c r="AG1265" s="33" t="s">
        <v>23</v>
      </c>
      <c r="AH1265" s="33" t="s">
        <v>24</v>
      </c>
      <c r="AI1265" s="33" t="s">
        <v>25</v>
      </c>
      <c r="AJ1265" s="33" t="s">
        <v>26</v>
      </c>
      <c r="AK1265" s="33" t="s">
        <v>24</v>
      </c>
      <c r="AL1265" s="27"/>
      <c r="AM1265" s="34" t="s">
        <v>25</v>
      </c>
      <c r="AN1265" s="35" t="str">
        <f t="shared" si="98"/>
        <v>✓ OK</v>
      </c>
      <c r="AO1265" s="36"/>
      <c r="AP1265" s="36"/>
      <c r="AQ1265" s="36"/>
      <c r="AR1265" s="36"/>
      <c r="AS1265" s="36"/>
      <c r="AT1265" s="36"/>
      <c r="AU1265" s="27"/>
      <c r="AV1265" s="37"/>
      <c r="AW1265" s="38" t="str">
        <f t="shared" si="99"/>
        <v/>
      </c>
    </row>
    <row r="1266" spans="1:49" ht="18" customHeight="1" x14ac:dyDescent="0.3">
      <c r="A1266" s="39">
        <v>1262</v>
      </c>
      <c r="B1266" s="40" t="s">
        <v>4373</v>
      </c>
      <c r="C1266" s="41" t="s">
        <v>4374</v>
      </c>
      <c r="D1266" s="39" t="s">
        <v>4000</v>
      </c>
      <c r="E1266" s="43">
        <v>46125</v>
      </c>
      <c r="F1266" s="26" t="s">
        <v>23</v>
      </c>
      <c r="G1266" s="26" t="s">
        <v>24</v>
      </c>
      <c r="H1266" s="26" t="s">
        <v>25</v>
      </c>
      <c r="I1266" s="26" t="s">
        <v>26</v>
      </c>
      <c r="J1266" s="26" t="s">
        <v>24</v>
      </c>
      <c r="K1266" s="27"/>
      <c r="L1266" s="28" t="s">
        <v>25</v>
      </c>
      <c r="M1266" s="29" t="str">
        <f t="shared" si="95"/>
        <v>✓ OK</v>
      </c>
      <c r="N1266" s="43">
        <v>46193</v>
      </c>
      <c r="O1266" s="26" t="s">
        <v>23</v>
      </c>
      <c r="P1266" s="26" t="s">
        <v>24</v>
      </c>
      <c r="Q1266" s="26" t="s">
        <v>25</v>
      </c>
      <c r="R1266" s="26" t="s">
        <v>26</v>
      </c>
      <c r="S1266" s="26" t="s">
        <v>24</v>
      </c>
      <c r="T1266" s="27"/>
      <c r="U1266" s="28" t="s">
        <v>25</v>
      </c>
      <c r="V1266" s="29" t="str">
        <f t="shared" si="96"/>
        <v>✓ OK</v>
      </c>
      <c r="W1266" s="45">
        <v>46248</v>
      </c>
      <c r="X1266" s="30" t="s">
        <v>23</v>
      </c>
      <c r="Y1266" s="30" t="s">
        <v>24</v>
      </c>
      <c r="Z1266" s="30" t="s">
        <v>25</v>
      </c>
      <c r="AA1266" s="30" t="s">
        <v>26</v>
      </c>
      <c r="AB1266" s="30" t="s">
        <v>24</v>
      </c>
      <c r="AC1266" s="27"/>
      <c r="AD1266" s="31" t="s">
        <v>25</v>
      </c>
      <c r="AE1266" s="32" t="str">
        <f t="shared" si="97"/>
        <v>✓ OK</v>
      </c>
      <c r="AF1266" s="33" t="s">
        <v>27</v>
      </c>
      <c r="AG1266" s="33" t="s">
        <v>23</v>
      </c>
      <c r="AH1266" s="33" t="s">
        <v>24</v>
      </c>
      <c r="AI1266" s="33" t="s">
        <v>25</v>
      </c>
      <c r="AJ1266" s="33" t="s">
        <v>26</v>
      </c>
      <c r="AK1266" s="33" t="s">
        <v>24</v>
      </c>
      <c r="AL1266" s="27"/>
      <c r="AM1266" s="34" t="s">
        <v>25</v>
      </c>
      <c r="AN1266" s="35" t="str">
        <f t="shared" si="98"/>
        <v>✓ OK</v>
      </c>
      <c r="AO1266" s="36"/>
      <c r="AP1266" s="36"/>
      <c r="AQ1266" s="36"/>
      <c r="AR1266" s="36"/>
      <c r="AS1266" s="36"/>
      <c r="AT1266" s="36"/>
      <c r="AU1266" s="27"/>
      <c r="AV1266" s="37"/>
      <c r="AW1266" s="38" t="str">
        <f t="shared" si="99"/>
        <v/>
      </c>
    </row>
    <row r="1267" spans="1:49" ht="18" customHeight="1" x14ac:dyDescent="0.3">
      <c r="A1267" s="23">
        <v>1263</v>
      </c>
      <c r="B1267" s="24" t="s">
        <v>4375</v>
      </c>
      <c r="C1267" s="25" t="s">
        <v>4376</v>
      </c>
      <c r="D1267" s="23" t="s">
        <v>4000</v>
      </c>
      <c r="E1267" s="43">
        <v>46125</v>
      </c>
      <c r="F1267" s="26" t="s">
        <v>23</v>
      </c>
      <c r="G1267" s="26" t="s">
        <v>24</v>
      </c>
      <c r="H1267" s="26" t="s">
        <v>25</v>
      </c>
      <c r="I1267" s="26" t="s">
        <v>26</v>
      </c>
      <c r="J1267" s="26" t="s">
        <v>24</v>
      </c>
      <c r="K1267" s="27"/>
      <c r="L1267" s="28" t="s">
        <v>25</v>
      </c>
      <c r="M1267" s="29" t="str">
        <f t="shared" si="95"/>
        <v>✓ OK</v>
      </c>
      <c r="N1267" s="43">
        <v>46193</v>
      </c>
      <c r="O1267" s="26" t="s">
        <v>23</v>
      </c>
      <c r="P1267" s="26" t="s">
        <v>24</v>
      </c>
      <c r="Q1267" s="26" t="s">
        <v>25</v>
      </c>
      <c r="R1267" s="26" t="s">
        <v>26</v>
      </c>
      <c r="S1267" s="26" t="s">
        <v>24</v>
      </c>
      <c r="T1267" s="27"/>
      <c r="U1267" s="28" t="s">
        <v>25</v>
      </c>
      <c r="V1267" s="29" t="str">
        <f t="shared" si="96"/>
        <v>✓ OK</v>
      </c>
      <c r="W1267" s="45">
        <v>46248</v>
      </c>
      <c r="X1267" s="30" t="s">
        <v>23</v>
      </c>
      <c r="Y1267" s="30" t="s">
        <v>24</v>
      </c>
      <c r="Z1267" s="30" t="s">
        <v>25</v>
      </c>
      <c r="AA1267" s="30" t="s">
        <v>26</v>
      </c>
      <c r="AB1267" s="30" t="s">
        <v>24</v>
      </c>
      <c r="AC1267" s="27"/>
      <c r="AD1267" s="31" t="s">
        <v>25</v>
      </c>
      <c r="AE1267" s="32" t="str">
        <f t="shared" si="97"/>
        <v>✓ OK</v>
      </c>
      <c r="AF1267" s="33" t="s">
        <v>27</v>
      </c>
      <c r="AG1267" s="33" t="s">
        <v>23</v>
      </c>
      <c r="AH1267" s="33" t="s">
        <v>24</v>
      </c>
      <c r="AI1267" s="33" t="s">
        <v>25</v>
      </c>
      <c r="AJ1267" s="33" t="s">
        <v>26</v>
      </c>
      <c r="AK1267" s="33" t="s">
        <v>24</v>
      </c>
      <c r="AL1267" s="27"/>
      <c r="AM1267" s="34" t="s">
        <v>25</v>
      </c>
      <c r="AN1267" s="35" t="str">
        <f t="shared" si="98"/>
        <v>✓ OK</v>
      </c>
      <c r="AO1267" s="36"/>
      <c r="AP1267" s="36"/>
      <c r="AQ1267" s="36"/>
      <c r="AR1267" s="36"/>
      <c r="AS1267" s="36"/>
      <c r="AT1267" s="36"/>
      <c r="AU1267" s="27"/>
      <c r="AV1267" s="37"/>
      <c r="AW1267" s="38" t="str">
        <f t="shared" si="99"/>
        <v/>
      </c>
    </row>
    <row r="1268" spans="1:49" ht="18" customHeight="1" x14ac:dyDescent="0.3">
      <c r="A1268" s="39">
        <v>1264</v>
      </c>
      <c r="B1268" s="40" t="s">
        <v>4377</v>
      </c>
      <c r="C1268" s="41" t="s">
        <v>4378</v>
      </c>
      <c r="D1268" s="39" t="s">
        <v>4000</v>
      </c>
      <c r="E1268" s="43">
        <v>46125</v>
      </c>
      <c r="F1268" s="26" t="s">
        <v>23</v>
      </c>
      <c r="G1268" s="26" t="s">
        <v>24</v>
      </c>
      <c r="H1268" s="26" t="s">
        <v>25</v>
      </c>
      <c r="I1268" s="26" t="s">
        <v>26</v>
      </c>
      <c r="J1268" s="26" t="s">
        <v>24</v>
      </c>
      <c r="K1268" s="27"/>
      <c r="L1268" s="28" t="s">
        <v>25</v>
      </c>
      <c r="M1268" s="29" t="str">
        <f t="shared" si="95"/>
        <v>✓ OK</v>
      </c>
      <c r="N1268" s="43">
        <v>46193</v>
      </c>
      <c r="O1268" s="26" t="s">
        <v>23</v>
      </c>
      <c r="P1268" s="26" t="s">
        <v>24</v>
      </c>
      <c r="Q1268" s="26" t="s">
        <v>25</v>
      </c>
      <c r="R1268" s="26" t="s">
        <v>26</v>
      </c>
      <c r="S1268" s="26" t="s">
        <v>24</v>
      </c>
      <c r="T1268" s="27"/>
      <c r="U1268" s="28" t="s">
        <v>25</v>
      </c>
      <c r="V1268" s="29" t="str">
        <f t="shared" si="96"/>
        <v>✓ OK</v>
      </c>
      <c r="W1268" s="45">
        <v>46248</v>
      </c>
      <c r="X1268" s="30" t="s">
        <v>23</v>
      </c>
      <c r="Y1268" s="30" t="s">
        <v>24</v>
      </c>
      <c r="Z1268" s="30" t="s">
        <v>25</v>
      </c>
      <c r="AA1268" s="30" t="s">
        <v>26</v>
      </c>
      <c r="AB1268" s="30" t="s">
        <v>24</v>
      </c>
      <c r="AC1268" s="27"/>
      <c r="AD1268" s="31" t="s">
        <v>25</v>
      </c>
      <c r="AE1268" s="32" t="str">
        <f t="shared" si="97"/>
        <v>✓ OK</v>
      </c>
      <c r="AF1268" s="33" t="s">
        <v>27</v>
      </c>
      <c r="AG1268" s="33" t="s">
        <v>23</v>
      </c>
      <c r="AH1268" s="33" t="s">
        <v>24</v>
      </c>
      <c r="AI1268" s="33" t="s">
        <v>25</v>
      </c>
      <c r="AJ1268" s="33" t="s">
        <v>26</v>
      </c>
      <c r="AK1268" s="33" t="s">
        <v>24</v>
      </c>
      <c r="AL1268" s="27"/>
      <c r="AM1268" s="34" t="s">
        <v>25</v>
      </c>
      <c r="AN1268" s="35" t="str">
        <f t="shared" si="98"/>
        <v>✓ OK</v>
      </c>
      <c r="AO1268" s="36"/>
      <c r="AP1268" s="36"/>
      <c r="AQ1268" s="36"/>
      <c r="AR1268" s="36"/>
      <c r="AS1268" s="36"/>
      <c r="AT1268" s="36"/>
      <c r="AU1268" s="27"/>
      <c r="AV1268" s="37"/>
      <c r="AW1268" s="38" t="str">
        <f t="shared" si="99"/>
        <v/>
      </c>
    </row>
    <row r="1269" spans="1:49" ht="18" customHeight="1" x14ac:dyDescent="0.3">
      <c r="A1269" s="23">
        <v>1265</v>
      </c>
      <c r="B1269" s="24" t="s">
        <v>4379</v>
      </c>
      <c r="C1269" s="25" t="s">
        <v>4380</v>
      </c>
      <c r="D1269" s="23" t="s">
        <v>4000</v>
      </c>
      <c r="E1269" s="43">
        <v>46125</v>
      </c>
      <c r="F1269" s="26" t="s">
        <v>23</v>
      </c>
      <c r="G1269" s="26" t="s">
        <v>24</v>
      </c>
      <c r="H1269" s="26" t="s">
        <v>25</v>
      </c>
      <c r="I1269" s="26" t="s">
        <v>26</v>
      </c>
      <c r="J1269" s="26" t="s">
        <v>24</v>
      </c>
      <c r="K1269" s="27"/>
      <c r="L1269" s="28" t="s">
        <v>25</v>
      </c>
      <c r="M1269" s="29" t="str">
        <f t="shared" si="95"/>
        <v>✓ OK</v>
      </c>
      <c r="N1269" s="43">
        <v>46193</v>
      </c>
      <c r="O1269" s="26" t="s">
        <v>23</v>
      </c>
      <c r="P1269" s="26" t="s">
        <v>24</v>
      </c>
      <c r="Q1269" s="26" t="s">
        <v>25</v>
      </c>
      <c r="R1269" s="26" t="s">
        <v>26</v>
      </c>
      <c r="S1269" s="26" t="s">
        <v>24</v>
      </c>
      <c r="T1269" s="27"/>
      <c r="U1269" s="28" t="s">
        <v>25</v>
      </c>
      <c r="V1269" s="29" t="str">
        <f t="shared" si="96"/>
        <v>✓ OK</v>
      </c>
      <c r="W1269" s="45">
        <v>46248</v>
      </c>
      <c r="X1269" s="30" t="s">
        <v>23</v>
      </c>
      <c r="Y1269" s="30" t="s">
        <v>24</v>
      </c>
      <c r="Z1269" s="30" t="s">
        <v>25</v>
      </c>
      <c r="AA1269" s="30" t="s">
        <v>26</v>
      </c>
      <c r="AB1269" s="30" t="s">
        <v>24</v>
      </c>
      <c r="AC1269" s="27"/>
      <c r="AD1269" s="31" t="s">
        <v>25</v>
      </c>
      <c r="AE1269" s="32" t="str">
        <f t="shared" si="97"/>
        <v>✓ OK</v>
      </c>
      <c r="AF1269" s="33" t="s">
        <v>27</v>
      </c>
      <c r="AG1269" s="33" t="s">
        <v>23</v>
      </c>
      <c r="AH1269" s="33" t="s">
        <v>24</v>
      </c>
      <c r="AI1269" s="33" t="s">
        <v>25</v>
      </c>
      <c r="AJ1269" s="33" t="s">
        <v>26</v>
      </c>
      <c r="AK1269" s="33" t="s">
        <v>24</v>
      </c>
      <c r="AL1269" s="27"/>
      <c r="AM1269" s="34" t="s">
        <v>25</v>
      </c>
      <c r="AN1269" s="35" t="str">
        <f t="shared" si="98"/>
        <v>✓ OK</v>
      </c>
      <c r="AO1269" s="36"/>
      <c r="AP1269" s="36"/>
      <c r="AQ1269" s="36"/>
      <c r="AR1269" s="36"/>
      <c r="AS1269" s="36"/>
      <c r="AT1269" s="36"/>
      <c r="AU1269" s="27"/>
      <c r="AV1269" s="37"/>
      <c r="AW1269" s="38" t="str">
        <f t="shared" si="99"/>
        <v/>
      </c>
    </row>
    <row r="1270" spans="1:49" ht="18" customHeight="1" x14ac:dyDescent="0.3">
      <c r="A1270" s="39">
        <v>1266</v>
      </c>
      <c r="B1270" s="40" t="s">
        <v>4381</v>
      </c>
      <c r="C1270" s="41" t="s">
        <v>4382</v>
      </c>
      <c r="D1270" s="39" t="s">
        <v>4000</v>
      </c>
      <c r="E1270" s="43">
        <v>46125</v>
      </c>
      <c r="F1270" s="26" t="s">
        <v>23</v>
      </c>
      <c r="G1270" s="26" t="s">
        <v>24</v>
      </c>
      <c r="H1270" s="26" t="s">
        <v>25</v>
      </c>
      <c r="I1270" s="26" t="s">
        <v>26</v>
      </c>
      <c r="J1270" s="26" t="s">
        <v>24</v>
      </c>
      <c r="K1270" s="27"/>
      <c r="L1270" s="28" t="s">
        <v>25</v>
      </c>
      <c r="M1270" s="29" t="str">
        <f t="shared" si="95"/>
        <v>✓ OK</v>
      </c>
      <c r="N1270" s="43">
        <v>46193</v>
      </c>
      <c r="O1270" s="26" t="s">
        <v>23</v>
      </c>
      <c r="P1270" s="26" t="s">
        <v>24</v>
      </c>
      <c r="Q1270" s="26" t="s">
        <v>25</v>
      </c>
      <c r="R1270" s="26" t="s">
        <v>26</v>
      </c>
      <c r="S1270" s="26" t="s">
        <v>24</v>
      </c>
      <c r="T1270" s="27"/>
      <c r="U1270" s="28" t="s">
        <v>25</v>
      </c>
      <c r="V1270" s="29" t="str">
        <f t="shared" si="96"/>
        <v>✓ OK</v>
      </c>
      <c r="W1270" s="45">
        <v>46248</v>
      </c>
      <c r="X1270" s="30" t="s">
        <v>23</v>
      </c>
      <c r="Y1270" s="30" t="s">
        <v>24</v>
      </c>
      <c r="Z1270" s="30" t="s">
        <v>25</v>
      </c>
      <c r="AA1270" s="30" t="s">
        <v>26</v>
      </c>
      <c r="AB1270" s="30" t="s">
        <v>24</v>
      </c>
      <c r="AC1270" s="27"/>
      <c r="AD1270" s="31" t="s">
        <v>25</v>
      </c>
      <c r="AE1270" s="32" t="str">
        <f t="shared" si="97"/>
        <v>✓ OK</v>
      </c>
      <c r="AF1270" s="33" t="s">
        <v>27</v>
      </c>
      <c r="AG1270" s="33" t="s">
        <v>23</v>
      </c>
      <c r="AH1270" s="33" t="s">
        <v>24</v>
      </c>
      <c r="AI1270" s="33" t="s">
        <v>25</v>
      </c>
      <c r="AJ1270" s="33" t="s">
        <v>26</v>
      </c>
      <c r="AK1270" s="33" t="s">
        <v>24</v>
      </c>
      <c r="AL1270" s="27"/>
      <c r="AM1270" s="34" t="s">
        <v>25</v>
      </c>
      <c r="AN1270" s="35" t="str">
        <f t="shared" si="98"/>
        <v>✓ OK</v>
      </c>
      <c r="AO1270" s="36"/>
      <c r="AP1270" s="36"/>
      <c r="AQ1270" s="36"/>
      <c r="AR1270" s="36"/>
      <c r="AS1270" s="36"/>
      <c r="AT1270" s="36"/>
      <c r="AU1270" s="27"/>
      <c r="AV1270" s="37"/>
      <c r="AW1270" s="38" t="str">
        <f t="shared" si="99"/>
        <v/>
      </c>
    </row>
    <row r="1271" spans="1:49" ht="18" customHeight="1" x14ac:dyDescent="0.3">
      <c r="A1271" s="23">
        <v>1267</v>
      </c>
      <c r="B1271" s="24" t="s">
        <v>4383</v>
      </c>
      <c r="C1271" s="25" t="s">
        <v>4384</v>
      </c>
      <c r="D1271" s="23" t="s">
        <v>4000</v>
      </c>
      <c r="E1271" s="43">
        <v>46125</v>
      </c>
      <c r="F1271" s="26" t="s">
        <v>23</v>
      </c>
      <c r="G1271" s="26" t="s">
        <v>24</v>
      </c>
      <c r="H1271" s="26" t="s">
        <v>25</v>
      </c>
      <c r="I1271" s="26" t="s">
        <v>26</v>
      </c>
      <c r="J1271" s="26" t="s">
        <v>24</v>
      </c>
      <c r="K1271" s="27"/>
      <c r="L1271" s="28" t="s">
        <v>25</v>
      </c>
      <c r="M1271" s="29" t="str">
        <f t="shared" si="95"/>
        <v>✓ OK</v>
      </c>
      <c r="N1271" s="43">
        <v>46193</v>
      </c>
      <c r="O1271" s="26" t="s">
        <v>23</v>
      </c>
      <c r="P1271" s="26" t="s">
        <v>24</v>
      </c>
      <c r="Q1271" s="26" t="s">
        <v>25</v>
      </c>
      <c r="R1271" s="26" t="s">
        <v>26</v>
      </c>
      <c r="S1271" s="26" t="s">
        <v>24</v>
      </c>
      <c r="T1271" s="27"/>
      <c r="U1271" s="28" t="s">
        <v>25</v>
      </c>
      <c r="V1271" s="29" t="str">
        <f t="shared" si="96"/>
        <v>✓ OK</v>
      </c>
      <c r="W1271" s="45">
        <v>46248</v>
      </c>
      <c r="X1271" s="30" t="s">
        <v>23</v>
      </c>
      <c r="Y1271" s="30" t="s">
        <v>24</v>
      </c>
      <c r="Z1271" s="30" t="s">
        <v>25</v>
      </c>
      <c r="AA1271" s="30" t="s">
        <v>26</v>
      </c>
      <c r="AB1271" s="30" t="s">
        <v>24</v>
      </c>
      <c r="AC1271" s="27"/>
      <c r="AD1271" s="31" t="s">
        <v>25</v>
      </c>
      <c r="AE1271" s="32" t="str">
        <f t="shared" si="97"/>
        <v>✓ OK</v>
      </c>
      <c r="AF1271" s="33" t="s">
        <v>27</v>
      </c>
      <c r="AG1271" s="33" t="s">
        <v>23</v>
      </c>
      <c r="AH1271" s="33" t="s">
        <v>24</v>
      </c>
      <c r="AI1271" s="33" t="s">
        <v>25</v>
      </c>
      <c r="AJ1271" s="33" t="s">
        <v>26</v>
      </c>
      <c r="AK1271" s="33" t="s">
        <v>24</v>
      </c>
      <c r="AL1271" s="27"/>
      <c r="AM1271" s="34" t="s">
        <v>25</v>
      </c>
      <c r="AN1271" s="35" t="str">
        <f t="shared" si="98"/>
        <v>✓ OK</v>
      </c>
      <c r="AO1271" s="36"/>
      <c r="AP1271" s="36"/>
      <c r="AQ1271" s="36"/>
      <c r="AR1271" s="36"/>
      <c r="AS1271" s="36"/>
      <c r="AT1271" s="36"/>
      <c r="AU1271" s="27"/>
      <c r="AV1271" s="37"/>
      <c r="AW1271" s="38" t="str">
        <f t="shared" si="99"/>
        <v/>
      </c>
    </row>
    <row r="1272" spans="1:49" ht="18" customHeight="1" x14ac:dyDescent="0.3">
      <c r="A1272" s="39">
        <v>1268</v>
      </c>
      <c r="B1272" s="40" t="s">
        <v>4385</v>
      </c>
      <c r="C1272" s="41" t="s">
        <v>4386</v>
      </c>
      <c r="D1272" s="39" t="s">
        <v>4000</v>
      </c>
      <c r="E1272" s="43">
        <v>46125</v>
      </c>
      <c r="F1272" s="26" t="s">
        <v>23</v>
      </c>
      <c r="G1272" s="26" t="s">
        <v>24</v>
      </c>
      <c r="H1272" s="26" t="s">
        <v>25</v>
      </c>
      <c r="I1272" s="26" t="s">
        <v>26</v>
      </c>
      <c r="J1272" s="26" t="s">
        <v>24</v>
      </c>
      <c r="K1272" s="27"/>
      <c r="L1272" s="28" t="s">
        <v>25</v>
      </c>
      <c r="M1272" s="29" t="str">
        <f t="shared" si="95"/>
        <v>✓ OK</v>
      </c>
      <c r="N1272" s="43">
        <v>46193</v>
      </c>
      <c r="O1272" s="26" t="s">
        <v>23</v>
      </c>
      <c r="P1272" s="26" t="s">
        <v>24</v>
      </c>
      <c r="Q1272" s="26" t="s">
        <v>25</v>
      </c>
      <c r="R1272" s="26" t="s">
        <v>26</v>
      </c>
      <c r="S1272" s="26" t="s">
        <v>24</v>
      </c>
      <c r="T1272" s="27"/>
      <c r="U1272" s="28" t="s">
        <v>25</v>
      </c>
      <c r="V1272" s="29" t="str">
        <f t="shared" si="96"/>
        <v>✓ OK</v>
      </c>
      <c r="W1272" s="45">
        <v>46248</v>
      </c>
      <c r="X1272" s="30" t="s">
        <v>23</v>
      </c>
      <c r="Y1272" s="30" t="s">
        <v>24</v>
      </c>
      <c r="Z1272" s="30" t="s">
        <v>25</v>
      </c>
      <c r="AA1272" s="30" t="s">
        <v>26</v>
      </c>
      <c r="AB1272" s="30" t="s">
        <v>24</v>
      </c>
      <c r="AC1272" s="27"/>
      <c r="AD1272" s="31" t="s">
        <v>25</v>
      </c>
      <c r="AE1272" s="32" t="str">
        <f t="shared" si="97"/>
        <v>✓ OK</v>
      </c>
      <c r="AF1272" s="33" t="s">
        <v>27</v>
      </c>
      <c r="AG1272" s="33" t="s">
        <v>23</v>
      </c>
      <c r="AH1272" s="33" t="s">
        <v>24</v>
      </c>
      <c r="AI1272" s="33" t="s">
        <v>25</v>
      </c>
      <c r="AJ1272" s="33" t="s">
        <v>26</v>
      </c>
      <c r="AK1272" s="33" t="s">
        <v>24</v>
      </c>
      <c r="AL1272" s="27"/>
      <c r="AM1272" s="34" t="s">
        <v>25</v>
      </c>
      <c r="AN1272" s="35" t="str">
        <f t="shared" si="98"/>
        <v>✓ OK</v>
      </c>
      <c r="AO1272" s="36"/>
      <c r="AP1272" s="36"/>
      <c r="AQ1272" s="36"/>
      <c r="AR1272" s="36"/>
      <c r="AS1272" s="36"/>
      <c r="AT1272" s="36"/>
      <c r="AU1272" s="27"/>
      <c r="AV1272" s="37"/>
      <c r="AW1272" s="38" t="str">
        <f t="shared" si="99"/>
        <v/>
      </c>
    </row>
    <row r="1273" spans="1:49" ht="18" customHeight="1" x14ac:dyDescent="0.3">
      <c r="A1273" s="23">
        <v>1269</v>
      </c>
      <c r="B1273" s="24" t="s">
        <v>4387</v>
      </c>
      <c r="C1273" s="25" t="s">
        <v>4388</v>
      </c>
      <c r="D1273" s="23" t="s">
        <v>4000</v>
      </c>
      <c r="E1273" s="43">
        <v>46125</v>
      </c>
      <c r="F1273" s="26" t="s">
        <v>23</v>
      </c>
      <c r="G1273" s="26" t="s">
        <v>24</v>
      </c>
      <c r="H1273" s="26" t="s">
        <v>25</v>
      </c>
      <c r="I1273" s="26" t="s">
        <v>26</v>
      </c>
      <c r="J1273" s="26" t="s">
        <v>24</v>
      </c>
      <c r="K1273" s="27"/>
      <c r="L1273" s="28" t="s">
        <v>25</v>
      </c>
      <c r="M1273" s="29" t="str">
        <f t="shared" si="95"/>
        <v>✓ OK</v>
      </c>
      <c r="N1273" s="43">
        <v>46193</v>
      </c>
      <c r="O1273" s="26" t="s">
        <v>23</v>
      </c>
      <c r="P1273" s="26" t="s">
        <v>24</v>
      </c>
      <c r="Q1273" s="26" t="s">
        <v>25</v>
      </c>
      <c r="R1273" s="26" t="s">
        <v>26</v>
      </c>
      <c r="S1273" s="26" t="s">
        <v>24</v>
      </c>
      <c r="T1273" s="27"/>
      <c r="U1273" s="28" t="s">
        <v>25</v>
      </c>
      <c r="V1273" s="29" t="str">
        <f t="shared" si="96"/>
        <v>✓ OK</v>
      </c>
      <c r="W1273" s="45">
        <v>46248</v>
      </c>
      <c r="X1273" s="30" t="s">
        <v>23</v>
      </c>
      <c r="Y1273" s="30" t="s">
        <v>24</v>
      </c>
      <c r="Z1273" s="30" t="s">
        <v>25</v>
      </c>
      <c r="AA1273" s="30" t="s">
        <v>26</v>
      </c>
      <c r="AB1273" s="30" t="s">
        <v>24</v>
      </c>
      <c r="AC1273" s="27"/>
      <c r="AD1273" s="31" t="s">
        <v>25</v>
      </c>
      <c r="AE1273" s="32" t="str">
        <f t="shared" si="97"/>
        <v>✓ OK</v>
      </c>
      <c r="AF1273" s="33" t="s">
        <v>27</v>
      </c>
      <c r="AG1273" s="33" t="s">
        <v>23</v>
      </c>
      <c r="AH1273" s="33" t="s">
        <v>24</v>
      </c>
      <c r="AI1273" s="33" t="s">
        <v>25</v>
      </c>
      <c r="AJ1273" s="33" t="s">
        <v>26</v>
      </c>
      <c r="AK1273" s="33" t="s">
        <v>24</v>
      </c>
      <c r="AL1273" s="27"/>
      <c r="AM1273" s="34" t="s">
        <v>25</v>
      </c>
      <c r="AN1273" s="35" t="str">
        <f t="shared" si="98"/>
        <v>✓ OK</v>
      </c>
      <c r="AO1273" s="36"/>
      <c r="AP1273" s="36"/>
      <c r="AQ1273" s="36"/>
      <c r="AR1273" s="36"/>
      <c r="AS1273" s="36"/>
      <c r="AT1273" s="36"/>
      <c r="AU1273" s="27"/>
      <c r="AV1273" s="37"/>
      <c r="AW1273" s="38" t="str">
        <f t="shared" si="99"/>
        <v/>
      </c>
    </row>
    <row r="1274" spans="1:49" ht="18" customHeight="1" x14ac:dyDescent="0.3">
      <c r="A1274" s="39">
        <v>1270</v>
      </c>
      <c r="B1274" s="40" t="s">
        <v>4389</v>
      </c>
      <c r="C1274" s="41" t="s">
        <v>4390</v>
      </c>
      <c r="D1274" s="39" t="s">
        <v>4000</v>
      </c>
      <c r="E1274" s="43">
        <v>46125</v>
      </c>
      <c r="F1274" s="26" t="s">
        <v>23</v>
      </c>
      <c r="G1274" s="26" t="s">
        <v>24</v>
      </c>
      <c r="H1274" s="26" t="s">
        <v>25</v>
      </c>
      <c r="I1274" s="26" t="s">
        <v>26</v>
      </c>
      <c r="J1274" s="26" t="s">
        <v>24</v>
      </c>
      <c r="K1274" s="27"/>
      <c r="L1274" s="28" t="s">
        <v>25</v>
      </c>
      <c r="M1274" s="29" t="str">
        <f t="shared" si="95"/>
        <v>✓ OK</v>
      </c>
      <c r="N1274" s="43">
        <v>46193</v>
      </c>
      <c r="O1274" s="26" t="s">
        <v>23</v>
      </c>
      <c r="P1274" s="26" t="s">
        <v>24</v>
      </c>
      <c r="Q1274" s="26" t="s">
        <v>25</v>
      </c>
      <c r="R1274" s="26" t="s">
        <v>26</v>
      </c>
      <c r="S1274" s="26" t="s">
        <v>24</v>
      </c>
      <c r="T1274" s="27"/>
      <c r="U1274" s="28" t="s">
        <v>25</v>
      </c>
      <c r="V1274" s="29" t="str">
        <f t="shared" si="96"/>
        <v>✓ OK</v>
      </c>
      <c r="W1274" s="45">
        <v>46248</v>
      </c>
      <c r="X1274" s="30" t="s">
        <v>23</v>
      </c>
      <c r="Y1274" s="30" t="s">
        <v>24</v>
      </c>
      <c r="Z1274" s="30" t="s">
        <v>25</v>
      </c>
      <c r="AA1274" s="30" t="s">
        <v>26</v>
      </c>
      <c r="AB1274" s="30" t="s">
        <v>24</v>
      </c>
      <c r="AC1274" s="27"/>
      <c r="AD1274" s="31" t="s">
        <v>25</v>
      </c>
      <c r="AE1274" s="32" t="str">
        <f t="shared" si="97"/>
        <v>✓ OK</v>
      </c>
      <c r="AF1274" s="33" t="s">
        <v>27</v>
      </c>
      <c r="AG1274" s="33" t="s">
        <v>23</v>
      </c>
      <c r="AH1274" s="33" t="s">
        <v>24</v>
      </c>
      <c r="AI1274" s="33" t="s">
        <v>25</v>
      </c>
      <c r="AJ1274" s="33" t="s">
        <v>26</v>
      </c>
      <c r="AK1274" s="33" t="s">
        <v>24</v>
      </c>
      <c r="AL1274" s="27"/>
      <c r="AM1274" s="34" t="s">
        <v>25</v>
      </c>
      <c r="AN1274" s="35" t="str">
        <f t="shared" si="98"/>
        <v>✓ OK</v>
      </c>
      <c r="AO1274" s="36"/>
      <c r="AP1274" s="36"/>
      <c r="AQ1274" s="36"/>
      <c r="AR1274" s="36"/>
      <c r="AS1274" s="36"/>
      <c r="AT1274" s="36"/>
      <c r="AU1274" s="27"/>
      <c r="AV1274" s="37"/>
      <c r="AW1274" s="38" t="str">
        <f t="shared" si="99"/>
        <v/>
      </c>
    </row>
    <row r="1275" spans="1:49" ht="18" customHeight="1" x14ac:dyDescent="0.3">
      <c r="A1275" s="23">
        <v>1271</v>
      </c>
      <c r="B1275" s="24" t="s">
        <v>4391</v>
      </c>
      <c r="C1275" s="25" t="s">
        <v>4392</v>
      </c>
      <c r="D1275" s="23" t="s">
        <v>4000</v>
      </c>
      <c r="E1275" s="43">
        <v>46125</v>
      </c>
      <c r="F1275" s="26" t="s">
        <v>23</v>
      </c>
      <c r="G1275" s="26" t="s">
        <v>24</v>
      </c>
      <c r="H1275" s="26" t="s">
        <v>25</v>
      </c>
      <c r="I1275" s="26" t="s">
        <v>26</v>
      </c>
      <c r="J1275" s="26" t="s">
        <v>24</v>
      </c>
      <c r="K1275" s="27"/>
      <c r="L1275" s="28" t="s">
        <v>25</v>
      </c>
      <c r="M1275" s="29" t="str">
        <f t="shared" si="95"/>
        <v>✓ OK</v>
      </c>
      <c r="N1275" s="43">
        <v>46193</v>
      </c>
      <c r="O1275" s="26" t="s">
        <v>23</v>
      </c>
      <c r="P1275" s="26" t="s">
        <v>24</v>
      </c>
      <c r="Q1275" s="26" t="s">
        <v>25</v>
      </c>
      <c r="R1275" s="26" t="s">
        <v>26</v>
      </c>
      <c r="S1275" s="26" t="s">
        <v>24</v>
      </c>
      <c r="T1275" s="27"/>
      <c r="U1275" s="28" t="s">
        <v>25</v>
      </c>
      <c r="V1275" s="29" t="str">
        <f t="shared" si="96"/>
        <v>✓ OK</v>
      </c>
      <c r="W1275" s="45">
        <v>46248</v>
      </c>
      <c r="X1275" s="30" t="s">
        <v>23</v>
      </c>
      <c r="Y1275" s="30" t="s">
        <v>24</v>
      </c>
      <c r="Z1275" s="30" t="s">
        <v>25</v>
      </c>
      <c r="AA1275" s="30" t="s">
        <v>26</v>
      </c>
      <c r="AB1275" s="30" t="s">
        <v>24</v>
      </c>
      <c r="AC1275" s="27"/>
      <c r="AD1275" s="31" t="s">
        <v>25</v>
      </c>
      <c r="AE1275" s="32" t="str">
        <f t="shared" si="97"/>
        <v>✓ OK</v>
      </c>
      <c r="AF1275" s="33" t="s">
        <v>27</v>
      </c>
      <c r="AG1275" s="33" t="s">
        <v>23</v>
      </c>
      <c r="AH1275" s="33" t="s">
        <v>24</v>
      </c>
      <c r="AI1275" s="33" t="s">
        <v>25</v>
      </c>
      <c r="AJ1275" s="33" t="s">
        <v>26</v>
      </c>
      <c r="AK1275" s="33" t="s">
        <v>24</v>
      </c>
      <c r="AL1275" s="27"/>
      <c r="AM1275" s="34" t="s">
        <v>25</v>
      </c>
      <c r="AN1275" s="35" t="str">
        <f t="shared" si="98"/>
        <v>✓ OK</v>
      </c>
      <c r="AO1275" s="36"/>
      <c r="AP1275" s="36"/>
      <c r="AQ1275" s="36"/>
      <c r="AR1275" s="36"/>
      <c r="AS1275" s="36"/>
      <c r="AT1275" s="36"/>
      <c r="AU1275" s="27"/>
      <c r="AV1275" s="37"/>
      <c r="AW1275" s="38" t="str">
        <f t="shared" si="99"/>
        <v/>
      </c>
    </row>
    <row r="1276" spans="1:49" ht="18" customHeight="1" x14ac:dyDescent="0.3">
      <c r="A1276" s="39">
        <v>1272</v>
      </c>
      <c r="B1276" s="40" t="s">
        <v>4393</v>
      </c>
      <c r="C1276" s="41" t="s">
        <v>4394</v>
      </c>
      <c r="D1276" s="39" t="s">
        <v>4000</v>
      </c>
      <c r="E1276" s="43">
        <v>46125</v>
      </c>
      <c r="F1276" s="26" t="s">
        <v>23</v>
      </c>
      <c r="G1276" s="26" t="s">
        <v>24</v>
      </c>
      <c r="H1276" s="26" t="s">
        <v>25</v>
      </c>
      <c r="I1276" s="26" t="s">
        <v>26</v>
      </c>
      <c r="J1276" s="26" t="s">
        <v>24</v>
      </c>
      <c r="K1276" s="27"/>
      <c r="L1276" s="28" t="s">
        <v>25</v>
      </c>
      <c r="M1276" s="29" t="str">
        <f t="shared" si="95"/>
        <v>✓ OK</v>
      </c>
      <c r="N1276" s="43">
        <v>46193</v>
      </c>
      <c r="O1276" s="26" t="s">
        <v>23</v>
      </c>
      <c r="P1276" s="26" t="s">
        <v>24</v>
      </c>
      <c r="Q1276" s="26" t="s">
        <v>25</v>
      </c>
      <c r="R1276" s="26" t="s">
        <v>26</v>
      </c>
      <c r="S1276" s="26" t="s">
        <v>24</v>
      </c>
      <c r="T1276" s="27"/>
      <c r="U1276" s="28" t="s">
        <v>25</v>
      </c>
      <c r="V1276" s="29" t="str">
        <f t="shared" si="96"/>
        <v>✓ OK</v>
      </c>
      <c r="W1276" s="45">
        <v>46248</v>
      </c>
      <c r="X1276" s="30" t="s">
        <v>23</v>
      </c>
      <c r="Y1276" s="30" t="s">
        <v>24</v>
      </c>
      <c r="Z1276" s="30" t="s">
        <v>25</v>
      </c>
      <c r="AA1276" s="30" t="s">
        <v>26</v>
      </c>
      <c r="AB1276" s="30" t="s">
        <v>24</v>
      </c>
      <c r="AC1276" s="27"/>
      <c r="AD1276" s="31" t="s">
        <v>25</v>
      </c>
      <c r="AE1276" s="32" t="str">
        <f t="shared" si="97"/>
        <v>✓ OK</v>
      </c>
      <c r="AF1276" s="33" t="s">
        <v>27</v>
      </c>
      <c r="AG1276" s="33" t="s">
        <v>23</v>
      </c>
      <c r="AH1276" s="33" t="s">
        <v>24</v>
      </c>
      <c r="AI1276" s="33" t="s">
        <v>25</v>
      </c>
      <c r="AJ1276" s="33" t="s">
        <v>26</v>
      </c>
      <c r="AK1276" s="33" t="s">
        <v>24</v>
      </c>
      <c r="AL1276" s="27"/>
      <c r="AM1276" s="34" t="s">
        <v>25</v>
      </c>
      <c r="AN1276" s="35" t="str">
        <f t="shared" si="98"/>
        <v>✓ OK</v>
      </c>
      <c r="AO1276" s="36"/>
      <c r="AP1276" s="36"/>
      <c r="AQ1276" s="36"/>
      <c r="AR1276" s="36"/>
      <c r="AS1276" s="36"/>
      <c r="AT1276" s="36"/>
      <c r="AU1276" s="27"/>
      <c r="AV1276" s="37"/>
      <c r="AW1276" s="38" t="str">
        <f t="shared" si="99"/>
        <v/>
      </c>
    </row>
    <row r="1277" spans="1:49" ht="18" customHeight="1" x14ac:dyDescent="0.3">
      <c r="A1277" s="23">
        <v>1273</v>
      </c>
      <c r="B1277" s="24" t="s">
        <v>4395</v>
      </c>
      <c r="C1277" s="25" t="s">
        <v>4396</v>
      </c>
      <c r="D1277" s="23" t="s">
        <v>4000</v>
      </c>
      <c r="E1277" s="43">
        <v>46125</v>
      </c>
      <c r="F1277" s="26" t="s">
        <v>23</v>
      </c>
      <c r="G1277" s="26" t="s">
        <v>24</v>
      </c>
      <c r="H1277" s="26" t="s">
        <v>25</v>
      </c>
      <c r="I1277" s="26" t="s">
        <v>26</v>
      </c>
      <c r="J1277" s="26" t="s">
        <v>24</v>
      </c>
      <c r="K1277" s="27"/>
      <c r="L1277" s="28" t="s">
        <v>25</v>
      </c>
      <c r="M1277" s="29" t="str">
        <f t="shared" si="95"/>
        <v>✓ OK</v>
      </c>
      <c r="N1277" s="43">
        <v>46193</v>
      </c>
      <c r="O1277" s="26" t="s">
        <v>23</v>
      </c>
      <c r="P1277" s="26" t="s">
        <v>24</v>
      </c>
      <c r="Q1277" s="26" t="s">
        <v>25</v>
      </c>
      <c r="R1277" s="26" t="s">
        <v>26</v>
      </c>
      <c r="S1277" s="26" t="s">
        <v>24</v>
      </c>
      <c r="T1277" s="27"/>
      <c r="U1277" s="28" t="s">
        <v>25</v>
      </c>
      <c r="V1277" s="29" t="str">
        <f t="shared" si="96"/>
        <v>✓ OK</v>
      </c>
      <c r="W1277" s="45">
        <v>46248</v>
      </c>
      <c r="X1277" s="30" t="s">
        <v>23</v>
      </c>
      <c r="Y1277" s="30" t="s">
        <v>24</v>
      </c>
      <c r="Z1277" s="30" t="s">
        <v>25</v>
      </c>
      <c r="AA1277" s="30" t="s">
        <v>26</v>
      </c>
      <c r="AB1277" s="30" t="s">
        <v>24</v>
      </c>
      <c r="AC1277" s="27"/>
      <c r="AD1277" s="31" t="s">
        <v>25</v>
      </c>
      <c r="AE1277" s="32" t="str">
        <f t="shared" si="97"/>
        <v>✓ OK</v>
      </c>
      <c r="AF1277" s="33" t="s">
        <v>27</v>
      </c>
      <c r="AG1277" s="33" t="s">
        <v>23</v>
      </c>
      <c r="AH1277" s="33" t="s">
        <v>24</v>
      </c>
      <c r="AI1277" s="33" t="s">
        <v>25</v>
      </c>
      <c r="AJ1277" s="33" t="s">
        <v>26</v>
      </c>
      <c r="AK1277" s="33" t="s">
        <v>24</v>
      </c>
      <c r="AL1277" s="27"/>
      <c r="AM1277" s="34" t="s">
        <v>25</v>
      </c>
      <c r="AN1277" s="35" t="str">
        <f t="shared" si="98"/>
        <v>✓ OK</v>
      </c>
      <c r="AO1277" s="36"/>
      <c r="AP1277" s="36"/>
      <c r="AQ1277" s="36"/>
      <c r="AR1277" s="36"/>
      <c r="AS1277" s="36"/>
      <c r="AT1277" s="36"/>
      <c r="AU1277" s="27"/>
      <c r="AV1277" s="37"/>
      <c r="AW1277" s="38" t="str">
        <f t="shared" si="99"/>
        <v/>
      </c>
    </row>
    <row r="1278" spans="1:49" ht="18" customHeight="1" x14ac:dyDescent="0.3">
      <c r="A1278" s="39">
        <v>1274</v>
      </c>
      <c r="B1278" s="40" t="s">
        <v>4397</v>
      </c>
      <c r="C1278" s="41" t="s">
        <v>4398</v>
      </c>
      <c r="D1278" s="39" t="s">
        <v>4000</v>
      </c>
      <c r="E1278" s="43">
        <v>46125</v>
      </c>
      <c r="F1278" s="26" t="s">
        <v>23</v>
      </c>
      <c r="G1278" s="26" t="s">
        <v>24</v>
      </c>
      <c r="H1278" s="26" t="s">
        <v>25</v>
      </c>
      <c r="I1278" s="26" t="s">
        <v>26</v>
      </c>
      <c r="J1278" s="26" t="s">
        <v>24</v>
      </c>
      <c r="K1278" s="27"/>
      <c r="L1278" s="28" t="s">
        <v>25</v>
      </c>
      <c r="M1278" s="29" t="str">
        <f t="shared" si="95"/>
        <v>✓ OK</v>
      </c>
      <c r="N1278" s="43">
        <v>46193</v>
      </c>
      <c r="O1278" s="26" t="s">
        <v>23</v>
      </c>
      <c r="P1278" s="26" t="s">
        <v>24</v>
      </c>
      <c r="Q1278" s="26" t="s">
        <v>25</v>
      </c>
      <c r="R1278" s="26" t="s">
        <v>26</v>
      </c>
      <c r="S1278" s="26" t="s">
        <v>24</v>
      </c>
      <c r="T1278" s="27"/>
      <c r="U1278" s="28" t="s">
        <v>25</v>
      </c>
      <c r="V1278" s="29" t="str">
        <f t="shared" si="96"/>
        <v>✓ OK</v>
      </c>
      <c r="W1278" s="45">
        <v>46248</v>
      </c>
      <c r="X1278" s="30" t="s">
        <v>23</v>
      </c>
      <c r="Y1278" s="30" t="s">
        <v>24</v>
      </c>
      <c r="Z1278" s="30" t="s">
        <v>25</v>
      </c>
      <c r="AA1278" s="30" t="s">
        <v>26</v>
      </c>
      <c r="AB1278" s="30" t="s">
        <v>24</v>
      </c>
      <c r="AC1278" s="27"/>
      <c r="AD1278" s="31" t="s">
        <v>25</v>
      </c>
      <c r="AE1278" s="32" t="str">
        <f t="shared" si="97"/>
        <v>✓ OK</v>
      </c>
      <c r="AF1278" s="33" t="s">
        <v>27</v>
      </c>
      <c r="AG1278" s="33" t="s">
        <v>23</v>
      </c>
      <c r="AH1278" s="33" t="s">
        <v>24</v>
      </c>
      <c r="AI1278" s="33" t="s">
        <v>25</v>
      </c>
      <c r="AJ1278" s="33" t="s">
        <v>26</v>
      </c>
      <c r="AK1278" s="33" t="s">
        <v>24</v>
      </c>
      <c r="AL1278" s="27"/>
      <c r="AM1278" s="34" t="s">
        <v>25</v>
      </c>
      <c r="AN1278" s="35" t="str">
        <f t="shared" si="98"/>
        <v>✓ OK</v>
      </c>
      <c r="AO1278" s="36"/>
      <c r="AP1278" s="36"/>
      <c r="AQ1278" s="36"/>
      <c r="AR1278" s="36"/>
      <c r="AS1278" s="36"/>
      <c r="AT1278" s="36"/>
      <c r="AU1278" s="27"/>
      <c r="AV1278" s="37"/>
      <c r="AW1278" s="38" t="str">
        <f t="shared" si="99"/>
        <v/>
      </c>
    </row>
    <row r="1279" spans="1:49" ht="18" customHeight="1" x14ac:dyDescent="0.3">
      <c r="A1279" s="23">
        <v>1275</v>
      </c>
      <c r="B1279" s="24" t="s">
        <v>4399</v>
      </c>
      <c r="C1279" s="25" t="s">
        <v>4400</v>
      </c>
      <c r="D1279" s="23" t="s">
        <v>4000</v>
      </c>
      <c r="E1279" s="43">
        <v>46125</v>
      </c>
      <c r="F1279" s="26" t="s">
        <v>23</v>
      </c>
      <c r="G1279" s="26" t="s">
        <v>24</v>
      </c>
      <c r="H1279" s="26" t="s">
        <v>25</v>
      </c>
      <c r="I1279" s="26" t="s">
        <v>26</v>
      </c>
      <c r="J1279" s="26" t="s">
        <v>24</v>
      </c>
      <c r="K1279" s="27"/>
      <c r="L1279" s="28" t="s">
        <v>25</v>
      </c>
      <c r="M1279" s="29" t="str">
        <f t="shared" si="95"/>
        <v>✓ OK</v>
      </c>
      <c r="N1279" s="43">
        <v>46193</v>
      </c>
      <c r="O1279" s="26" t="s">
        <v>23</v>
      </c>
      <c r="P1279" s="26" t="s">
        <v>24</v>
      </c>
      <c r="Q1279" s="26" t="s">
        <v>25</v>
      </c>
      <c r="R1279" s="26" t="s">
        <v>26</v>
      </c>
      <c r="S1279" s="26" t="s">
        <v>24</v>
      </c>
      <c r="T1279" s="27"/>
      <c r="U1279" s="28" t="s">
        <v>25</v>
      </c>
      <c r="V1279" s="29" t="str">
        <f t="shared" si="96"/>
        <v>✓ OK</v>
      </c>
      <c r="W1279" s="45">
        <v>46248</v>
      </c>
      <c r="X1279" s="30" t="s">
        <v>23</v>
      </c>
      <c r="Y1279" s="30" t="s">
        <v>24</v>
      </c>
      <c r="Z1279" s="30" t="s">
        <v>25</v>
      </c>
      <c r="AA1279" s="30" t="s">
        <v>26</v>
      </c>
      <c r="AB1279" s="30" t="s">
        <v>24</v>
      </c>
      <c r="AC1279" s="27"/>
      <c r="AD1279" s="31" t="s">
        <v>25</v>
      </c>
      <c r="AE1279" s="32" t="str">
        <f t="shared" si="97"/>
        <v>✓ OK</v>
      </c>
      <c r="AF1279" s="33" t="s">
        <v>27</v>
      </c>
      <c r="AG1279" s="33" t="s">
        <v>23</v>
      </c>
      <c r="AH1279" s="33" t="s">
        <v>24</v>
      </c>
      <c r="AI1279" s="33" t="s">
        <v>25</v>
      </c>
      <c r="AJ1279" s="33" t="s">
        <v>26</v>
      </c>
      <c r="AK1279" s="33" t="s">
        <v>24</v>
      </c>
      <c r="AL1279" s="27"/>
      <c r="AM1279" s="34" t="s">
        <v>25</v>
      </c>
      <c r="AN1279" s="35" t="str">
        <f t="shared" si="98"/>
        <v>✓ OK</v>
      </c>
      <c r="AO1279" s="36"/>
      <c r="AP1279" s="36"/>
      <c r="AQ1279" s="36"/>
      <c r="AR1279" s="36"/>
      <c r="AS1279" s="36"/>
      <c r="AT1279" s="36"/>
      <c r="AU1279" s="27"/>
      <c r="AV1279" s="37"/>
      <c r="AW1279" s="38" t="str">
        <f t="shared" si="99"/>
        <v/>
      </c>
    </row>
    <row r="1280" spans="1:49" ht="18" customHeight="1" x14ac:dyDescent="0.3">
      <c r="A1280" s="39">
        <v>1276</v>
      </c>
      <c r="B1280" s="40" t="s">
        <v>4401</v>
      </c>
      <c r="C1280" s="41" t="s">
        <v>4402</v>
      </c>
      <c r="D1280" s="39" t="s">
        <v>4000</v>
      </c>
      <c r="E1280" s="43">
        <v>46125</v>
      </c>
      <c r="F1280" s="26" t="s">
        <v>23</v>
      </c>
      <c r="G1280" s="26" t="s">
        <v>24</v>
      </c>
      <c r="H1280" s="26" t="s">
        <v>25</v>
      </c>
      <c r="I1280" s="26" t="s">
        <v>26</v>
      </c>
      <c r="J1280" s="26" t="s">
        <v>24</v>
      </c>
      <c r="K1280" s="27"/>
      <c r="L1280" s="28" t="s">
        <v>25</v>
      </c>
      <c r="M1280" s="29" t="str">
        <f t="shared" si="95"/>
        <v>✓ OK</v>
      </c>
      <c r="N1280" s="43">
        <v>46193</v>
      </c>
      <c r="O1280" s="26" t="s">
        <v>23</v>
      </c>
      <c r="P1280" s="26" t="s">
        <v>24</v>
      </c>
      <c r="Q1280" s="26" t="s">
        <v>25</v>
      </c>
      <c r="R1280" s="26" t="s">
        <v>26</v>
      </c>
      <c r="S1280" s="26" t="s">
        <v>24</v>
      </c>
      <c r="T1280" s="27"/>
      <c r="U1280" s="28" t="s">
        <v>25</v>
      </c>
      <c r="V1280" s="29" t="str">
        <f t="shared" si="96"/>
        <v>✓ OK</v>
      </c>
      <c r="W1280" s="45">
        <v>46248</v>
      </c>
      <c r="X1280" s="30" t="s">
        <v>23</v>
      </c>
      <c r="Y1280" s="30" t="s">
        <v>24</v>
      </c>
      <c r="Z1280" s="30" t="s">
        <v>25</v>
      </c>
      <c r="AA1280" s="30" t="s">
        <v>26</v>
      </c>
      <c r="AB1280" s="30" t="s">
        <v>24</v>
      </c>
      <c r="AC1280" s="27"/>
      <c r="AD1280" s="31" t="s">
        <v>25</v>
      </c>
      <c r="AE1280" s="32" t="str">
        <f t="shared" si="97"/>
        <v>✓ OK</v>
      </c>
      <c r="AF1280" s="33" t="s">
        <v>27</v>
      </c>
      <c r="AG1280" s="33" t="s">
        <v>23</v>
      </c>
      <c r="AH1280" s="33" t="s">
        <v>24</v>
      </c>
      <c r="AI1280" s="33" t="s">
        <v>25</v>
      </c>
      <c r="AJ1280" s="33" t="s">
        <v>26</v>
      </c>
      <c r="AK1280" s="33" t="s">
        <v>24</v>
      </c>
      <c r="AL1280" s="27"/>
      <c r="AM1280" s="34" t="s">
        <v>25</v>
      </c>
      <c r="AN1280" s="35" t="str">
        <f t="shared" si="98"/>
        <v>✓ OK</v>
      </c>
      <c r="AO1280" s="36"/>
      <c r="AP1280" s="36"/>
      <c r="AQ1280" s="36"/>
      <c r="AR1280" s="36"/>
      <c r="AS1280" s="36"/>
      <c r="AT1280" s="36"/>
      <c r="AU1280" s="27"/>
      <c r="AV1280" s="37"/>
      <c r="AW1280" s="38" t="str">
        <f t="shared" si="99"/>
        <v/>
      </c>
    </row>
    <row r="1281" spans="1:49" ht="18" customHeight="1" x14ac:dyDescent="0.3">
      <c r="A1281" s="23">
        <v>1277</v>
      </c>
      <c r="B1281" s="24" t="s">
        <v>4403</v>
      </c>
      <c r="C1281" s="25" t="s">
        <v>4404</v>
      </c>
      <c r="D1281" s="23" t="s">
        <v>4000</v>
      </c>
      <c r="E1281" s="43">
        <v>46125</v>
      </c>
      <c r="F1281" s="26" t="s">
        <v>23</v>
      </c>
      <c r="G1281" s="26" t="s">
        <v>24</v>
      </c>
      <c r="H1281" s="26" t="s">
        <v>25</v>
      </c>
      <c r="I1281" s="26" t="s">
        <v>26</v>
      </c>
      <c r="J1281" s="26" t="s">
        <v>24</v>
      </c>
      <c r="K1281" s="27"/>
      <c r="L1281" s="28" t="s">
        <v>25</v>
      </c>
      <c r="M1281" s="29" t="str">
        <f t="shared" si="95"/>
        <v>✓ OK</v>
      </c>
      <c r="N1281" s="43">
        <v>46193</v>
      </c>
      <c r="O1281" s="26" t="s">
        <v>23</v>
      </c>
      <c r="P1281" s="26" t="s">
        <v>24</v>
      </c>
      <c r="Q1281" s="26" t="s">
        <v>25</v>
      </c>
      <c r="R1281" s="26" t="s">
        <v>26</v>
      </c>
      <c r="S1281" s="26" t="s">
        <v>24</v>
      </c>
      <c r="T1281" s="27"/>
      <c r="U1281" s="28" t="s">
        <v>25</v>
      </c>
      <c r="V1281" s="29" t="str">
        <f t="shared" si="96"/>
        <v>✓ OK</v>
      </c>
      <c r="W1281" s="45">
        <v>46248</v>
      </c>
      <c r="X1281" s="30" t="s">
        <v>23</v>
      </c>
      <c r="Y1281" s="30" t="s">
        <v>24</v>
      </c>
      <c r="Z1281" s="30" t="s">
        <v>25</v>
      </c>
      <c r="AA1281" s="30" t="s">
        <v>26</v>
      </c>
      <c r="AB1281" s="30" t="s">
        <v>24</v>
      </c>
      <c r="AC1281" s="27"/>
      <c r="AD1281" s="31" t="s">
        <v>25</v>
      </c>
      <c r="AE1281" s="32" t="str">
        <f t="shared" si="97"/>
        <v>✓ OK</v>
      </c>
      <c r="AF1281" s="33" t="s">
        <v>27</v>
      </c>
      <c r="AG1281" s="33" t="s">
        <v>23</v>
      </c>
      <c r="AH1281" s="33" t="s">
        <v>24</v>
      </c>
      <c r="AI1281" s="33" t="s">
        <v>25</v>
      </c>
      <c r="AJ1281" s="33" t="s">
        <v>26</v>
      </c>
      <c r="AK1281" s="33" t="s">
        <v>24</v>
      </c>
      <c r="AL1281" s="27"/>
      <c r="AM1281" s="34" t="s">
        <v>25</v>
      </c>
      <c r="AN1281" s="35" t="str">
        <f t="shared" si="98"/>
        <v>✓ OK</v>
      </c>
      <c r="AO1281" s="36"/>
      <c r="AP1281" s="36"/>
      <c r="AQ1281" s="36"/>
      <c r="AR1281" s="36"/>
      <c r="AS1281" s="36"/>
      <c r="AT1281" s="36"/>
      <c r="AU1281" s="27"/>
      <c r="AV1281" s="37"/>
      <c r="AW1281" s="38" t="str">
        <f t="shared" si="99"/>
        <v/>
      </c>
    </row>
    <row r="1282" spans="1:49" ht="18" customHeight="1" x14ac:dyDescent="0.3">
      <c r="A1282" s="39">
        <v>1278</v>
      </c>
      <c r="B1282" s="40" t="s">
        <v>4405</v>
      </c>
      <c r="C1282" s="41" t="s">
        <v>4406</v>
      </c>
      <c r="D1282" s="39" t="s">
        <v>4000</v>
      </c>
      <c r="E1282" s="43">
        <v>46125</v>
      </c>
      <c r="F1282" s="26" t="s">
        <v>23</v>
      </c>
      <c r="G1282" s="26" t="s">
        <v>24</v>
      </c>
      <c r="H1282" s="26" t="s">
        <v>25</v>
      </c>
      <c r="I1282" s="26" t="s">
        <v>26</v>
      </c>
      <c r="J1282" s="26" t="s">
        <v>24</v>
      </c>
      <c r="K1282" s="27"/>
      <c r="L1282" s="28" t="s">
        <v>25</v>
      </c>
      <c r="M1282" s="29" t="str">
        <f t="shared" si="95"/>
        <v>✓ OK</v>
      </c>
      <c r="N1282" s="43">
        <v>46193</v>
      </c>
      <c r="O1282" s="26" t="s">
        <v>23</v>
      </c>
      <c r="P1282" s="26" t="s">
        <v>24</v>
      </c>
      <c r="Q1282" s="26" t="s">
        <v>25</v>
      </c>
      <c r="R1282" s="26" t="s">
        <v>26</v>
      </c>
      <c r="S1282" s="26" t="s">
        <v>24</v>
      </c>
      <c r="T1282" s="27"/>
      <c r="U1282" s="28" t="s">
        <v>25</v>
      </c>
      <c r="V1282" s="29" t="str">
        <f t="shared" si="96"/>
        <v>✓ OK</v>
      </c>
      <c r="W1282" s="45">
        <v>46248</v>
      </c>
      <c r="X1282" s="30" t="s">
        <v>23</v>
      </c>
      <c r="Y1282" s="30" t="s">
        <v>24</v>
      </c>
      <c r="Z1282" s="30" t="s">
        <v>25</v>
      </c>
      <c r="AA1282" s="30" t="s">
        <v>26</v>
      </c>
      <c r="AB1282" s="30" t="s">
        <v>24</v>
      </c>
      <c r="AC1282" s="27"/>
      <c r="AD1282" s="31" t="s">
        <v>25</v>
      </c>
      <c r="AE1282" s="32" t="str">
        <f t="shared" si="97"/>
        <v>✓ OK</v>
      </c>
      <c r="AF1282" s="33" t="s">
        <v>27</v>
      </c>
      <c r="AG1282" s="33" t="s">
        <v>23</v>
      </c>
      <c r="AH1282" s="33" t="s">
        <v>24</v>
      </c>
      <c r="AI1282" s="33" t="s">
        <v>25</v>
      </c>
      <c r="AJ1282" s="33" t="s">
        <v>26</v>
      </c>
      <c r="AK1282" s="33" t="s">
        <v>24</v>
      </c>
      <c r="AL1282" s="27"/>
      <c r="AM1282" s="34" t="s">
        <v>25</v>
      </c>
      <c r="AN1282" s="35" t="str">
        <f t="shared" si="98"/>
        <v>✓ OK</v>
      </c>
      <c r="AO1282" s="36"/>
      <c r="AP1282" s="36"/>
      <c r="AQ1282" s="36"/>
      <c r="AR1282" s="36"/>
      <c r="AS1282" s="36"/>
      <c r="AT1282" s="36"/>
      <c r="AU1282" s="27"/>
      <c r="AV1282" s="37"/>
      <c r="AW1282" s="38" t="str">
        <f t="shared" si="99"/>
        <v/>
      </c>
    </row>
    <row r="1283" spans="1:49" ht="18" customHeight="1" x14ac:dyDescent="0.3">
      <c r="A1283" s="23">
        <v>1279</v>
      </c>
      <c r="B1283" s="24" t="s">
        <v>4407</v>
      </c>
      <c r="C1283" s="25" t="s">
        <v>4408</v>
      </c>
      <c r="D1283" s="23" t="s">
        <v>4000</v>
      </c>
      <c r="E1283" s="43">
        <v>46125</v>
      </c>
      <c r="F1283" s="26" t="s">
        <v>23</v>
      </c>
      <c r="G1283" s="26" t="s">
        <v>24</v>
      </c>
      <c r="H1283" s="26" t="s">
        <v>25</v>
      </c>
      <c r="I1283" s="26" t="s">
        <v>26</v>
      </c>
      <c r="J1283" s="26" t="s">
        <v>24</v>
      </c>
      <c r="K1283" s="27"/>
      <c r="L1283" s="28" t="s">
        <v>25</v>
      </c>
      <c r="M1283" s="29" t="str">
        <f t="shared" si="95"/>
        <v>✓ OK</v>
      </c>
      <c r="N1283" s="43">
        <v>46193</v>
      </c>
      <c r="O1283" s="26" t="s">
        <v>23</v>
      </c>
      <c r="P1283" s="26" t="s">
        <v>24</v>
      </c>
      <c r="Q1283" s="26" t="s">
        <v>25</v>
      </c>
      <c r="R1283" s="26" t="s">
        <v>26</v>
      </c>
      <c r="S1283" s="26" t="s">
        <v>24</v>
      </c>
      <c r="T1283" s="27"/>
      <c r="U1283" s="28" t="s">
        <v>25</v>
      </c>
      <c r="V1283" s="29" t="str">
        <f t="shared" si="96"/>
        <v>✓ OK</v>
      </c>
      <c r="W1283" s="45">
        <v>46248</v>
      </c>
      <c r="X1283" s="30" t="s">
        <v>23</v>
      </c>
      <c r="Y1283" s="30" t="s">
        <v>24</v>
      </c>
      <c r="Z1283" s="30" t="s">
        <v>25</v>
      </c>
      <c r="AA1283" s="30" t="s">
        <v>26</v>
      </c>
      <c r="AB1283" s="30" t="s">
        <v>24</v>
      </c>
      <c r="AC1283" s="27"/>
      <c r="AD1283" s="31" t="s">
        <v>25</v>
      </c>
      <c r="AE1283" s="32" t="str">
        <f t="shared" si="97"/>
        <v>✓ OK</v>
      </c>
      <c r="AF1283" s="33" t="s">
        <v>27</v>
      </c>
      <c r="AG1283" s="33" t="s">
        <v>23</v>
      </c>
      <c r="AH1283" s="33" t="s">
        <v>24</v>
      </c>
      <c r="AI1283" s="33" t="s">
        <v>25</v>
      </c>
      <c r="AJ1283" s="33" t="s">
        <v>26</v>
      </c>
      <c r="AK1283" s="33" t="s">
        <v>24</v>
      </c>
      <c r="AL1283" s="27"/>
      <c r="AM1283" s="34" t="s">
        <v>25</v>
      </c>
      <c r="AN1283" s="35" t="str">
        <f t="shared" si="98"/>
        <v>✓ OK</v>
      </c>
      <c r="AO1283" s="36"/>
      <c r="AP1283" s="36"/>
      <c r="AQ1283" s="36"/>
      <c r="AR1283" s="36"/>
      <c r="AS1283" s="36"/>
      <c r="AT1283" s="36"/>
      <c r="AU1283" s="27"/>
      <c r="AV1283" s="37"/>
      <c r="AW1283" s="38" t="str">
        <f t="shared" si="99"/>
        <v/>
      </c>
    </row>
    <row r="1284" spans="1:49" ht="18" customHeight="1" x14ac:dyDescent="0.3">
      <c r="A1284" s="39">
        <v>1280</v>
      </c>
      <c r="B1284" s="40" t="s">
        <v>4409</v>
      </c>
      <c r="C1284" s="41" t="s">
        <v>4410</v>
      </c>
      <c r="D1284" s="39" t="s">
        <v>4000</v>
      </c>
      <c r="E1284" s="43">
        <v>46125</v>
      </c>
      <c r="F1284" s="26" t="s">
        <v>23</v>
      </c>
      <c r="G1284" s="26" t="s">
        <v>24</v>
      </c>
      <c r="H1284" s="26" t="s">
        <v>25</v>
      </c>
      <c r="I1284" s="26" t="s">
        <v>26</v>
      </c>
      <c r="J1284" s="26" t="s">
        <v>24</v>
      </c>
      <c r="K1284" s="27"/>
      <c r="L1284" s="28" t="s">
        <v>25</v>
      </c>
      <c r="M1284" s="29" t="str">
        <f t="shared" si="95"/>
        <v>✓ OK</v>
      </c>
      <c r="N1284" s="43">
        <v>46193</v>
      </c>
      <c r="O1284" s="26" t="s">
        <v>23</v>
      </c>
      <c r="P1284" s="26" t="s">
        <v>24</v>
      </c>
      <c r="Q1284" s="26" t="s">
        <v>25</v>
      </c>
      <c r="R1284" s="26" t="s">
        <v>26</v>
      </c>
      <c r="S1284" s="26" t="s">
        <v>24</v>
      </c>
      <c r="T1284" s="27"/>
      <c r="U1284" s="28" t="s">
        <v>25</v>
      </c>
      <c r="V1284" s="29" t="str">
        <f t="shared" si="96"/>
        <v>✓ OK</v>
      </c>
      <c r="W1284" s="45">
        <v>46248</v>
      </c>
      <c r="X1284" s="30" t="s">
        <v>23</v>
      </c>
      <c r="Y1284" s="30" t="s">
        <v>24</v>
      </c>
      <c r="Z1284" s="30" t="s">
        <v>25</v>
      </c>
      <c r="AA1284" s="30" t="s">
        <v>26</v>
      </c>
      <c r="AB1284" s="30" t="s">
        <v>24</v>
      </c>
      <c r="AC1284" s="27"/>
      <c r="AD1284" s="31" t="s">
        <v>25</v>
      </c>
      <c r="AE1284" s="32" t="str">
        <f t="shared" si="97"/>
        <v>✓ OK</v>
      </c>
      <c r="AF1284" s="33" t="s">
        <v>27</v>
      </c>
      <c r="AG1284" s="33" t="s">
        <v>23</v>
      </c>
      <c r="AH1284" s="33" t="s">
        <v>24</v>
      </c>
      <c r="AI1284" s="33" t="s">
        <v>25</v>
      </c>
      <c r="AJ1284" s="33" t="s">
        <v>26</v>
      </c>
      <c r="AK1284" s="33" t="s">
        <v>24</v>
      </c>
      <c r="AL1284" s="27"/>
      <c r="AM1284" s="34" t="s">
        <v>25</v>
      </c>
      <c r="AN1284" s="35" t="str">
        <f t="shared" si="98"/>
        <v>✓ OK</v>
      </c>
      <c r="AO1284" s="36"/>
      <c r="AP1284" s="36"/>
      <c r="AQ1284" s="36"/>
      <c r="AR1284" s="36"/>
      <c r="AS1284" s="36"/>
      <c r="AT1284" s="36"/>
      <c r="AU1284" s="27"/>
      <c r="AV1284" s="37"/>
      <c r="AW1284" s="38" t="str">
        <f t="shared" si="99"/>
        <v/>
      </c>
    </row>
    <row r="1285" spans="1:49" ht="18" customHeight="1" x14ac:dyDescent="0.3">
      <c r="A1285" s="23">
        <v>1281</v>
      </c>
      <c r="B1285" s="24" t="s">
        <v>4411</v>
      </c>
      <c r="C1285" s="25" t="s">
        <v>4412</v>
      </c>
      <c r="D1285" s="23" t="s">
        <v>4000</v>
      </c>
      <c r="E1285" s="43">
        <v>46125</v>
      </c>
      <c r="F1285" s="26" t="s">
        <v>23</v>
      </c>
      <c r="G1285" s="26" t="s">
        <v>24</v>
      </c>
      <c r="H1285" s="26" t="s">
        <v>25</v>
      </c>
      <c r="I1285" s="26" t="s">
        <v>26</v>
      </c>
      <c r="J1285" s="26" t="s">
        <v>24</v>
      </c>
      <c r="K1285" s="27"/>
      <c r="L1285" s="28" t="s">
        <v>25</v>
      </c>
      <c r="M1285" s="29" t="str">
        <f t="shared" ref="M1285:M1348" si="100">IF(E1285="","",IF(H1285="Yes","❌ Disc",IF(G1285="No","⚠ Missing",IF(J1285="Yes","✓ OK","⚠ Check"))))</f>
        <v>✓ OK</v>
      </c>
      <c r="N1285" s="43">
        <v>46193</v>
      </c>
      <c r="O1285" s="26" t="s">
        <v>23</v>
      </c>
      <c r="P1285" s="26" t="s">
        <v>24</v>
      </c>
      <c r="Q1285" s="26" t="s">
        <v>25</v>
      </c>
      <c r="R1285" s="26" t="s">
        <v>26</v>
      </c>
      <c r="S1285" s="26" t="s">
        <v>24</v>
      </c>
      <c r="T1285" s="27"/>
      <c r="U1285" s="28" t="s">
        <v>25</v>
      </c>
      <c r="V1285" s="29" t="str">
        <f t="shared" ref="V1285:V1348" si="101">IF(N1285="","",IF(Q1285="Yes","❌ Disc",IF(P1285="No","⚠ Missing",IF(S1285="Yes","✓ OK","⚠ Check"))))</f>
        <v>✓ OK</v>
      </c>
      <c r="W1285" s="45">
        <v>46248</v>
      </c>
      <c r="X1285" s="30" t="s">
        <v>23</v>
      </c>
      <c r="Y1285" s="30" t="s">
        <v>24</v>
      </c>
      <c r="Z1285" s="30" t="s">
        <v>25</v>
      </c>
      <c r="AA1285" s="30" t="s">
        <v>26</v>
      </c>
      <c r="AB1285" s="30" t="s">
        <v>24</v>
      </c>
      <c r="AC1285" s="27"/>
      <c r="AD1285" s="31" t="s">
        <v>25</v>
      </c>
      <c r="AE1285" s="32" t="str">
        <f t="shared" ref="AE1285:AE1348" si="102">IF(W1285="","",IF(Z1285="Yes","❌ Disc",IF(Y1285="No","⚠ Missing",IF(AB1285="Yes","✓ OK","⚠ Check"))))</f>
        <v>✓ OK</v>
      </c>
      <c r="AF1285" s="33" t="s">
        <v>27</v>
      </c>
      <c r="AG1285" s="33" t="s">
        <v>23</v>
      </c>
      <c r="AH1285" s="33" t="s">
        <v>24</v>
      </c>
      <c r="AI1285" s="33" t="s">
        <v>25</v>
      </c>
      <c r="AJ1285" s="33" t="s">
        <v>26</v>
      </c>
      <c r="AK1285" s="33" t="s">
        <v>24</v>
      </c>
      <c r="AL1285" s="27"/>
      <c r="AM1285" s="34" t="s">
        <v>25</v>
      </c>
      <c r="AN1285" s="35" t="str">
        <f t="shared" ref="AN1285:AN1348" si="103">IF(AF1285="","",IF(AI1285="Yes","❌ Disc",IF(AH1285="No","⚠ Missing",IF(AK1285="Yes","✓ OK","⚠ Check"))))</f>
        <v>✓ OK</v>
      </c>
      <c r="AO1285" s="36"/>
      <c r="AP1285" s="36"/>
      <c r="AQ1285" s="36"/>
      <c r="AR1285" s="36"/>
      <c r="AS1285" s="36"/>
      <c r="AT1285" s="36"/>
      <c r="AU1285" s="27"/>
      <c r="AV1285" s="37"/>
      <c r="AW1285" s="38" t="str">
        <f t="shared" ref="AW1285:AW1348" si="104">IF(AO1285="","",IF(AR1285="Yes","❌ Disc",IF(AQ1285="No","⚠ Missing",IF(AT1285="Yes","✓ OK","⚠ Check"))))</f>
        <v/>
      </c>
    </row>
    <row r="1286" spans="1:49" ht="18" customHeight="1" x14ac:dyDescent="0.3">
      <c r="A1286" s="39">
        <v>1282</v>
      </c>
      <c r="B1286" s="40" t="s">
        <v>4413</v>
      </c>
      <c r="C1286" s="41" t="s">
        <v>4414</v>
      </c>
      <c r="D1286" s="39" t="s">
        <v>4000</v>
      </c>
      <c r="E1286" s="43">
        <v>46125</v>
      </c>
      <c r="F1286" s="26" t="s">
        <v>23</v>
      </c>
      <c r="G1286" s="26" t="s">
        <v>24</v>
      </c>
      <c r="H1286" s="26" t="s">
        <v>25</v>
      </c>
      <c r="I1286" s="26" t="s">
        <v>26</v>
      </c>
      <c r="J1286" s="26" t="s">
        <v>24</v>
      </c>
      <c r="K1286" s="27"/>
      <c r="L1286" s="28" t="s">
        <v>25</v>
      </c>
      <c r="M1286" s="29" t="str">
        <f t="shared" si="100"/>
        <v>✓ OK</v>
      </c>
      <c r="N1286" s="43">
        <v>46193</v>
      </c>
      <c r="O1286" s="26" t="s">
        <v>23</v>
      </c>
      <c r="P1286" s="26" t="s">
        <v>24</v>
      </c>
      <c r="Q1286" s="26" t="s">
        <v>25</v>
      </c>
      <c r="R1286" s="26" t="s">
        <v>26</v>
      </c>
      <c r="S1286" s="26" t="s">
        <v>24</v>
      </c>
      <c r="T1286" s="27"/>
      <c r="U1286" s="28" t="s">
        <v>25</v>
      </c>
      <c r="V1286" s="29" t="str">
        <f t="shared" si="101"/>
        <v>✓ OK</v>
      </c>
      <c r="W1286" s="45">
        <v>46248</v>
      </c>
      <c r="X1286" s="30" t="s">
        <v>23</v>
      </c>
      <c r="Y1286" s="30" t="s">
        <v>24</v>
      </c>
      <c r="Z1286" s="30" t="s">
        <v>25</v>
      </c>
      <c r="AA1286" s="30" t="s">
        <v>26</v>
      </c>
      <c r="AB1286" s="30" t="s">
        <v>24</v>
      </c>
      <c r="AC1286" s="27"/>
      <c r="AD1286" s="31" t="s">
        <v>25</v>
      </c>
      <c r="AE1286" s="32" t="str">
        <f t="shared" si="102"/>
        <v>✓ OK</v>
      </c>
      <c r="AF1286" s="33" t="s">
        <v>27</v>
      </c>
      <c r="AG1286" s="33" t="s">
        <v>23</v>
      </c>
      <c r="AH1286" s="33" t="s">
        <v>24</v>
      </c>
      <c r="AI1286" s="33" t="s">
        <v>25</v>
      </c>
      <c r="AJ1286" s="33" t="s">
        <v>26</v>
      </c>
      <c r="AK1286" s="33" t="s">
        <v>24</v>
      </c>
      <c r="AL1286" s="27"/>
      <c r="AM1286" s="34" t="s">
        <v>25</v>
      </c>
      <c r="AN1286" s="35" t="str">
        <f t="shared" si="103"/>
        <v>✓ OK</v>
      </c>
      <c r="AO1286" s="36"/>
      <c r="AP1286" s="36"/>
      <c r="AQ1286" s="36"/>
      <c r="AR1286" s="36"/>
      <c r="AS1286" s="36"/>
      <c r="AT1286" s="36"/>
      <c r="AU1286" s="27"/>
      <c r="AV1286" s="37"/>
      <c r="AW1286" s="38" t="str">
        <f t="shared" si="104"/>
        <v/>
      </c>
    </row>
    <row r="1287" spans="1:49" ht="18" customHeight="1" x14ac:dyDescent="0.3">
      <c r="A1287" s="23">
        <v>1283</v>
      </c>
      <c r="B1287" s="24" t="s">
        <v>4415</v>
      </c>
      <c r="C1287" s="25" t="s">
        <v>4416</v>
      </c>
      <c r="D1287" s="23" t="s">
        <v>4000</v>
      </c>
      <c r="E1287" s="43">
        <v>46125</v>
      </c>
      <c r="F1287" s="26" t="s">
        <v>23</v>
      </c>
      <c r="G1287" s="26" t="s">
        <v>24</v>
      </c>
      <c r="H1287" s="26" t="s">
        <v>25</v>
      </c>
      <c r="I1287" s="26" t="s">
        <v>26</v>
      </c>
      <c r="J1287" s="26" t="s">
        <v>24</v>
      </c>
      <c r="K1287" s="27"/>
      <c r="L1287" s="28" t="s">
        <v>25</v>
      </c>
      <c r="M1287" s="29" t="str">
        <f t="shared" si="100"/>
        <v>✓ OK</v>
      </c>
      <c r="N1287" s="43">
        <v>46193</v>
      </c>
      <c r="O1287" s="26" t="s">
        <v>23</v>
      </c>
      <c r="P1287" s="26" t="s">
        <v>24</v>
      </c>
      <c r="Q1287" s="26" t="s">
        <v>25</v>
      </c>
      <c r="R1287" s="26" t="s">
        <v>26</v>
      </c>
      <c r="S1287" s="26" t="s">
        <v>24</v>
      </c>
      <c r="T1287" s="27"/>
      <c r="U1287" s="28" t="s">
        <v>25</v>
      </c>
      <c r="V1287" s="29" t="str">
        <f t="shared" si="101"/>
        <v>✓ OK</v>
      </c>
      <c r="W1287" s="45">
        <v>46248</v>
      </c>
      <c r="X1287" s="30" t="s">
        <v>23</v>
      </c>
      <c r="Y1287" s="30" t="s">
        <v>24</v>
      </c>
      <c r="Z1287" s="30" t="s">
        <v>25</v>
      </c>
      <c r="AA1287" s="30" t="s">
        <v>26</v>
      </c>
      <c r="AB1287" s="30" t="s">
        <v>24</v>
      </c>
      <c r="AC1287" s="27"/>
      <c r="AD1287" s="31" t="s">
        <v>25</v>
      </c>
      <c r="AE1287" s="32" t="str">
        <f t="shared" si="102"/>
        <v>✓ OK</v>
      </c>
      <c r="AF1287" s="33" t="s">
        <v>27</v>
      </c>
      <c r="AG1287" s="33" t="s">
        <v>23</v>
      </c>
      <c r="AH1287" s="33" t="s">
        <v>24</v>
      </c>
      <c r="AI1287" s="33" t="s">
        <v>25</v>
      </c>
      <c r="AJ1287" s="33" t="s">
        <v>26</v>
      </c>
      <c r="AK1287" s="33" t="s">
        <v>24</v>
      </c>
      <c r="AL1287" s="27"/>
      <c r="AM1287" s="34" t="s">
        <v>25</v>
      </c>
      <c r="AN1287" s="35" t="str">
        <f t="shared" si="103"/>
        <v>✓ OK</v>
      </c>
      <c r="AO1287" s="36"/>
      <c r="AP1287" s="36"/>
      <c r="AQ1287" s="36"/>
      <c r="AR1287" s="36"/>
      <c r="AS1287" s="36"/>
      <c r="AT1287" s="36"/>
      <c r="AU1287" s="27"/>
      <c r="AV1287" s="37"/>
      <c r="AW1287" s="38" t="str">
        <f t="shared" si="104"/>
        <v/>
      </c>
    </row>
    <row r="1288" spans="1:49" ht="18" customHeight="1" x14ac:dyDescent="0.3">
      <c r="A1288" s="39">
        <v>1284</v>
      </c>
      <c r="B1288" s="40" t="s">
        <v>4417</v>
      </c>
      <c r="C1288" s="41" t="s">
        <v>4418</v>
      </c>
      <c r="D1288" s="39" t="s">
        <v>4000</v>
      </c>
      <c r="E1288" s="43">
        <v>46125</v>
      </c>
      <c r="F1288" s="26" t="s">
        <v>23</v>
      </c>
      <c r="G1288" s="26" t="s">
        <v>24</v>
      </c>
      <c r="H1288" s="26" t="s">
        <v>25</v>
      </c>
      <c r="I1288" s="26" t="s">
        <v>26</v>
      </c>
      <c r="J1288" s="26" t="s">
        <v>24</v>
      </c>
      <c r="K1288" s="27"/>
      <c r="L1288" s="28" t="s">
        <v>25</v>
      </c>
      <c r="M1288" s="29" t="str">
        <f t="shared" si="100"/>
        <v>✓ OK</v>
      </c>
      <c r="N1288" s="43">
        <v>46193</v>
      </c>
      <c r="O1288" s="26" t="s">
        <v>23</v>
      </c>
      <c r="P1288" s="26" t="s">
        <v>24</v>
      </c>
      <c r="Q1288" s="26" t="s">
        <v>25</v>
      </c>
      <c r="R1288" s="26" t="s">
        <v>26</v>
      </c>
      <c r="S1288" s="26" t="s">
        <v>24</v>
      </c>
      <c r="T1288" s="27"/>
      <c r="U1288" s="28" t="s">
        <v>25</v>
      </c>
      <c r="V1288" s="29" t="str">
        <f t="shared" si="101"/>
        <v>✓ OK</v>
      </c>
      <c r="W1288" s="45">
        <v>46248</v>
      </c>
      <c r="X1288" s="30" t="s">
        <v>23</v>
      </c>
      <c r="Y1288" s="30" t="s">
        <v>24</v>
      </c>
      <c r="Z1288" s="30" t="s">
        <v>25</v>
      </c>
      <c r="AA1288" s="30" t="s">
        <v>26</v>
      </c>
      <c r="AB1288" s="30" t="s">
        <v>24</v>
      </c>
      <c r="AC1288" s="27"/>
      <c r="AD1288" s="31" t="s">
        <v>25</v>
      </c>
      <c r="AE1288" s="32" t="str">
        <f t="shared" si="102"/>
        <v>✓ OK</v>
      </c>
      <c r="AF1288" s="33" t="s">
        <v>27</v>
      </c>
      <c r="AG1288" s="33" t="s">
        <v>23</v>
      </c>
      <c r="AH1288" s="33" t="s">
        <v>24</v>
      </c>
      <c r="AI1288" s="33" t="s">
        <v>25</v>
      </c>
      <c r="AJ1288" s="33" t="s">
        <v>26</v>
      </c>
      <c r="AK1288" s="33" t="s">
        <v>24</v>
      </c>
      <c r="AL1288" s="27"/>
      <c r="AM1288" s="34" t="s">
        <v>25</v>
      </c>
      <c r="AN1288" s="35" t="str">
        <f t="shared" si="103"/>
        <v>✓ OK</v>
      </c>
      <c r="AO1288" s="36"/>
      <c r="AP1288" s="36"/>
      <c r="AQ1288" s="36"/>
      <c r="AR1288" s="36"/>
      <c r="AS1288" s="36"/>
      <c r="AT1288" s="36"/>
      <c r="AU1288" s="27"/>
      <c r="AV1288" s="37"/>
      <c r="AW1288" s="38" t="str">
        <f t="shared" si="104"/>
        <v/>
      </c>
    </row>
    <row r="1289" spans="1:49" ht="18" customHeight="1" x14ac:dyDescent="0.3">
      <c r="A1289" s="23">
        <v>1285</v>
      </c>
      <c r="B1289" s="24" t="s">
        <v>4419</v>
      </c>
      <c r="C1289" s="25" t="s">
        <v>4420</v>
      </c>
      <c r="D1289" s="23" t="s">
        <v>4000</v>
      </c>
      <c r="E1289" s="43">
        <v>46125</v>
      </c>
      <c r="F1289" s="26" t="s">
        <v>23</v>
      </c>
      <c r="G1289" s="26" t="s">
        <v>24</v>
      </c>
      <c r="H1289" s="26" t="s">
        <v>25</v>
      </c>
      <c r="I1289" s="26" t="s">
        <v>26</v>
      </c>
      <c r="J1289" s="26" t="s">
        <v>24</v>
      </c>
      <c r="K1289" s="27"/>
      <c r="L1289" s="28" t="s">
        <v>25</v>
      </c>
      <c r="M1289" s="29" t="str">
        <f t="shared" si="100"/>
        <v>✓ OK</v>
      </c>
      <c r="N1289" s="43">
        <v>46193</v>
      </c>
      <c r="O1289" s="26" t="s">
        <v>23</v>
      </c>
      <c r="P1289" s="26" t="s">
        <v>24</v>
      </c>
      <c r="Q1289" s="26" t="s">
        <v>25</v>
      </c>
      <c r="R1289" s="26" t="s">
        <v>26</v>
      </c>
      <c r="S1289" s="26" t="s">
        <v>24</v>
      </c>
      <c r="T1289" s="27"/>
      <c r="U1289" s="28" t="s">
        <v>25</v>
      </c>
      <c r="V1289" s="29" t="str">
        <f t="shared" si="101"/>
        <v>✓ OK</v>
      </c>
      <c r="W1289" s="45">
        <v>46248</v>
      </c>
      <c r="X1289" s="30" t="s">
        <v>23</v>
      </c>
      <c r="Y1289" s="30" t="s">
        <v>24</v>
      </c>
      <c r="Z1289" s="30" t="s">
        <v>25</v>
      </c>
      <c r="AA1289" s="30" t="s">
        <v>26</v>
      </c>
      <c r="AB1289" s="30" t="s">
        <v>24</v>
      </c>
      <c r="AC1289" s="27"/>
      <c r="AD1289" s="31" t="s">
        <v>25</v>
      </c>
      <c r="AE1289" s="32" t="str">
        <f t="shared" si="102"/>
        <v>✓ OK</v>
      </c>
      <c r="AF1289" s="33" t="s">
        <v>27</v>
      </c>
      <c r="AG1289" s="33" t="s">
        <v>23</v>
      </c>
      <c r="AH1289" s="33" t="s">
        <v>24</v>
      </c>
      <c r="AI1289" s="33" t="s">
        <v>25</v>
      </c>
      <c r="AJ1289" s="33" t="s">
        <v>26</v>
      </c>
      <c r="AK1289" s="33" t="s">
        <v>24</v>
      </c>
      <c r="AL1289" s="27"/>
      <c r="AM1289" s="34" t="s">
        <v>25</v>
      </c>
      <c r="AN1289" s="35" t="str">
        <f t="shared" si="103"/>
        <v>✓ OK</v>
      </c>
      <c r="AO1289" s="36"/>
      <c r="AP1289" s="36"/>
      <c r="AQ1289" s="36"/>
      <c r="AR1289" s="36"/>
      <c r="AS1289" s="36"/>
      <c r="AT1289" s="36"/>
      <c r="AU1289" s="27"/>
      <c r="AV1289" s="37"/>
      <c r="AW1289" s="38" t="str">
        <f t="shared" si="104"/>
        <v/>
      </c>
    </row>
    <row r="1290" spans="1:49" ht="18" customHeight="1" x14ac:dyDescent="0.3">
      <c r="A1290" s="39">
        <v>1286</v>
      </c>
      <c r="B1290" s="40" t="s">
        <v>4421</v>
      </c>
      <c r="C1290" s="41" t="s">
        <v>4422</v>
      </c>
      <c r="D1290" s="39" t="s">
        <v>4000</v>
      </c>
      <c r="E1290" s="43">
        <v>46125</v>
      </c>
      <c r="F1290" s="26" t="s">
        <v>23</v>
      </c>
      <c r="G1290" s="26" t="s">
        <v>24</v>
      </c>
      <c r="H1290" s="26" t="s">
        <v>25</v>
      </c>
      <c r="I1290" s="26" t="s">
        <v>26</v>
      </c>
      <c r="J1290" s="26" t="s">
        <v>24</v>
      </c>
      <c r="K1290" s="27"/>
      <c r="L1290" s="28" t="s">
        <v>25</v>
      </c>
      <c r="M1290" s="29" t="str">
        <f t="shared" si="100"/>
        <v>✓ OK</v>
      </c>
      <c r="N1290" s="43">
        <v>46193</v>
      </c>
      <c r="O1290" s="26" t="s">
        <v>23</v>
      </c>
      <c r="P1290" s="26" t="s">
        <v>24</v>
      </c>
      <c r="Q1290" s="26" t="s">
        <v>25</v>
      </c>
      <c r="R1290" s="26" t="s">
        <v>26</v>
      </c>
      <c r="S1290" s="26" t="s">
        <v>24</v>
      </c>
      <c r="T1290" s="27"/>
      <c r="U1290" s="28" t="s">
        <v>25</v>
      </c>
      <c r="V1290" s="29" t="str">
        <f t="shared" si="101"/>
        <v>✓ OK</v>
      </c>
      <c r="W1290" s="45">
        <v>46248</v>
      </c>
      <c r="X1290" s="30" t="s">
        <v>23</v>
      </c>
      <c r="Y1290" s="30" t="s">
        <v>24</v>
      </c>
      <c r="Z1290" s="30" t="s">
        <v>25</v>
      </c>
      <c r="AA1290" s="30" t="s">
        <v>26</v>
      </c>
      <c r="AB1290" s="30" t="s">
        <v>24</v>
      </c>
      <c r="AC1290" s="27"/>
      <c r="AD1290" s="31" t="s">
        <v>25</v>
      </c>
      <c r="AE1290" s="32" t="str">
        <f t="shared" si="102"/>
        <v>✓ OK</v>
      </c>
      <c r="AF1290" s="33" t="s">
        <v>27</v>
      </c>
      <c r="AG1290" s="33" t="s">
        <v>23</v>
      </c>
      <c r="AH1290" s="33" t="s">
        <v>24</v>
      </c>
      <c r="AI1290" s="33" t="s">
        <v>25</v>
      </c>
      <c r="AJ1290" s="33" t="s">
        <v>26</v>
      </c>
      <c r="AK1290" s="33" t="s">
        <v>24</v>
      </c>
      <c r="AL1290" s="27"/>
      <c r="AM1290" s="34" t="s">
        <v>25</v>
      </c>
      <c r="AN1290" s="35" t="str">
        <f t="shared" si="103"/>
        <v>✓ OK</v>
      </c>
      <c r="AO1290" s="36"/>
      <c r="AP1290" s="36"/>
      <c r="AQ1290" s="36"/>
      <c r="AR1290" s="36"/>
      <c r="AS1290" s="36"/>
      <c r="AT1290" s="36"/>
      <c r="AU1290" s="27"/>
      <c r="AV1290" s="37"/>
      <c r="AW1290" s="38" t="str">
        <f t="shared" si="104"/>
        <v/>
      </c>
    </row>
    <row r="1291" spans="1:49" ht="18" customHeight="1" x14ac:dyDescent="0.3">
      <c r="A1291" s="23">
        <v>1287</v>
      </c>
      <c r="B1291" s="24" t="s">
        <v>4423</v>
      </c>
      <c r="C1291" s="25" t="s">
        <v>4424</v>
      </c>
      <c r="D1291" s="23" t="s">
        <v>4000</v>
      </c>
      <c r="E1291" s="43">
        <v>46125</v>
      </c>
      <c r="F1291" s="26" t="s">
        <v>23</v>
      </c>
      <c r="G1291" s="26" t="s">
        <v>24</v>
      </c>
      <c r="H1291" s="26" t="s">
        <v>25</v>
      </c>
      <c r="I1291" s="26" t="s">
        <v>26</v>
      </c>
      <c r="J1291" s="26" t="s">
        <v>24</v>
      </c>
      <c r="K1291" s="27"/>
      <c r="L1291" s="28" t="s">
        <v>25</v>
      </c>
      <c r="M1291" s="29" t="str">
        <f t="shared" si="100"/>
        <v>✓ OK</v>
      </c>
      <c r="N1291" s="43">
        <v>46193</v>
      </c>
      <c r="O1291" s="26" t="s">
        <v>23</v>
      </c>
      <c r="P1291" s="26" t="s">
        <v>24</v>
      </c>
      <c r="Q1291" s="26" t="s">
        <v>25</v>
      </c>
      <c r="R1291" s="26" t="s">
        <v>26</v>
      </c>
      <c r="S1291" s="26" t="s">
        <v>24</v>
      </c>
      <c r="T1291" s="27"/>
      <c r="U1291" s="28" t="s">
        <v>25</v>
      </c>
      <c r="V1291" s="29" t="str">
        <f t="shared" si="101"/>
        <v>✓ OK</v>
      </c>
      <c r="W1291" s="45">
        <v>46248</v>
      </c>
      <c r="X1291" s="30" t="s">
        <v>23</v>
      </c>
      <c r="Y1291" s="30" t="s">
        <v>24</v>
      </c>
      <c r="Z1291" s="30" t="s">
        <v>25</v>
      </c>
      <c r="AA1291" s="30" t="s">
        <v>26</v>
      </c>
      <c r="AB1291" s="30" t="s">
        <v>24</v>
      </c>
      <c r="AC1291" s="27"/>
      <c r="AD1291" s="31" t="s">
        <v>25</v>
      </c>
      <c r="AE1291" s="32" t="str">
        <f t="shared" si="102"/>
        <v>✓ OK</v>
      </c>
      <c r="AF1291" s="33" t="s">
        <v>27</v>
      </c>
      <c r="AG1291" s="33" t="s">
        <v>23</v>
      </c>
      <c r="AH1291" s="33" t="s">
        <v>24</v>
      </c>
      <c r="AI1291" s="33" t="s">
        <v>25</v>
      </c>
      <c r="AJ1291" s="33" t="s">
        <v>26</v>
      </c>
      <c r="AK1291" s="33" t="s">
        <v>24</v>
      </c>
      <c r="AL1291" s="27"/>
      <c r="AM1291" s="34" t="s">
        <v>25</v>
      </c>
      <c r="AN1291" s="35" t="str">
        <f t="shared" si="103"/>
        <v>✓ OK</v>
      </c>
      <c r="AO1291" s="36"/>
      <c r="AP1291" s="36"/>
      <c r="AQ1291" s="36"/>
      <c r="AR1291" s="36"/>
      <c r="AS1291" s="36"/>
      <c r="AT1291" s="36"/>
      <c r="AU1291" s="27"/>
      <c r="AV1291" s="37"/>
      <c r="AW1291" s="38" t="str">
        <f t="shared" si="104"/>
        <v/>
      </c>
    </row>
    <row r="1292" spans="1:49" ht="18" customHeight="1" x14ac:dyDescent="0.3">
      <c r="A1292" s="39">
        <v>1288</v>
      </c>
      <c r="B1292" s="40" t="s">
        <v>4425</v>
      </c>
      <c r="C1292" s="41" t="s">
        <v>4426</v>
      </c>
      <c r="D1292" s="39" t="s">
        <v>4000</v>
      </c>
      <c r="E1292" s="43">
        <v>46125</v>
      </c>
      <c r="F1292" s="26" t="s">
        <v>23</v>
      </c>
      <c r="G1292" s="26" t="s">
        <v>24</v>
      </c>
      <c r="H1292" s="26" t="s">
        <v>25</v>
      </c>
      <c r="I1292" s="26" t="s">
        <v>26</v>
      </c>
      <c r="J1292" s="26" t="s">
        <v>24</v>
      </c>
      <c r="K1292" s="27"/>
      <c r="L1292" s="28" t="s">
        <v>25</v>
      </c>
      <c r="M1292" s="29" t="str">
        <f t="shared" si="100"/>
        <v>✓ OK</v>
      </c>
      <c r="N1292" s="43">
        <v>46193</v>
      </c>
      <c r="O1292" s="26" t="s">
        <v>23</v>
      </c>
      <c r="P1292" s="26" t="s">
        <v>24</v>
      </c>
      <c r="Q1292" s="26" t="s">
        <v>25</v>
      </c>
      <c r="R1292" s="26" t="s">
        <v>26</v>
      </c>
      <c r="S1292" s="26" t="s">
        <v>24</v>
      </c>
      <c r="T1292" s="27"/>
      <c r="U1292" s="28" t="s">
        <v>25</v>
      </c>
      <c r="V1292" s="29" t="str">
        <f t="shared" si="101"/>
        <v>✓ OK</v>
      </c>
      <c r="W1292" s="45">
        <v>46248</v>
      </c>
      <c r="X1292" s="30" t="s">
        <v>23</v>
      </c>
      <c r="Y1292" s="30" t="s">
        <v>24</v>
      </c>
      <c r="Z1292" s="30" t="s">
        <v>25</v>
      </c>
      <c r="AA1292" s="30" t="s">
        <v>26</v>
      </c>
      <c r="AB1292" s="30" t="s">
        <v>24</v>
      </c>
      <c r="AC1292" s="27"/>
      <c r="AD1292" s="31" t="s">
        <v>25</v>
      </c>
      <c r="AE1292" s="32" t="str">
        <f t="shared" si="102"/>
        <v>✓ OK</v>
      </c>
      <c r="AF1292" s="33" t="s">
        <v>27</v>
      </c>
      <c r="AG1292" s="33" t="s">
        <v>23</v>
      </c>
      <c r="AH1292" s="33" t="s">
        <v>24</v>
      </c>
      <c r="AI1292" s="33" t="s">
        <v>25</v>
      </c>
      <c r="AJ1292" s="33" t="s">
        <v>26</v>
      </c>
      <c r="AK1292" s="33" t="s">
        <v>24</v>
      </c>
      <c r="AL1292" s="27"/>
      <c r="AM1292" s="34" t="s">
        <v>25</v>
      </c>
      <c r="AN1292" s="35" t="str">
        <f t="shared" si="103"/>
        <v>✓ OK</v>
      </c>
      <c r="AO1292" s="36"/>
      <c r="AP1292" s="36"/>
      <c r="AQ1292" s="36"/>
      <c r="AR1292" s="36"/>
      <c r="AS1292" s="36"/>
      <c r="AT1292" s="36"/>
      <c r="AU1292" s="27"/>
      <c r="AV1292" s="37"/>
      <c r="AW1292" s="38" t="str">
        <f t="shared" si="104"/>
        <v/>
      </c>
    </row>
    <row r="1293" spans="1:49" ht="18" customHeight="1" x14ac:dyDescent="0.3">
      <c r="A1293" s="23">
        <v>1289</v>
      </c>
      <c r="B1293" s="24" t="s">
        <v>4427</v>
      </c>
      <c r="C1293" s="25" t="s">
        <v>4428</v>
      </c>
      <c r="D1293" s="23" t="s">
        <v>4000</v>
      </c>
      <c r="E1293" s="43">
        <v>46125</v>
      </c>
      <c r="F1293" s="26" t="s">
        <v>23</v>
      </c>
      <c r="G1293" s="26" t="s">
        <v>24</v>
      </c>
      <c r="H1293" s="26" t="s">
        <v>25</v>
      </c>
      <c r="I1293" s="26" t="s">
        <v>26</v>
      </c>
      <c r="J1293" s="26" t="s">
        <v>24</v>
      </c>
      <c r="K1293" s="27"/>
      <c r="L1293" s="28" t="s">
        <v>25</v>
      </c>
      <c r="M1293" s="29" t="str">
        <f t="shared" si="100"/>
        <v>✓ OK</v>
      </c>
      <c r="N1293" s="43">
        <v>46193</v>
      </c>
      <c r="O1293" s="26" t="s">
        <v>23</v>
      </c>
      <c r="P1293" s="26" t="s">
        <v>24</v>
      </c>
      <c r="Q1293" s="26" t="s">
        <v>25</v>
      </c>
      <c r="R1293" s="26" t="s">
        <v>26</v>
      </c>
      <c r="S1293" s="26" t="s">
        <v>24</v>
      </c>
      <c r="T1293" s="27"/>
      <c r="U1293" s="28" t="s">
        <v>25</v>
      </c>
      <c r="V1293" s="29" t="str">
        <f t="shared" si="101"/>
        <v>✓ OK</v>
      </c>
      <c r="W1293" s="45">
        <v>46248</v>
      </c>
      <c r="X1293" s="30" t="s">
        <v>23</v>
      </c>
      <c r="Y1293" s="30" t="s">
        <v>24</v>
      </c>
      <c r="Z1293" s="30" t="s">
        <v>25</v>
      </c>
      <c r="AA1293" s="30" t="s">
        <v>26</v>
      </c>
      <c r="AB1293" s="30" t="s">
        <v>24</v>
      </c>
      <c r="AC1293" s="27"/>
      <c r="AD1293" s="31" t="s">
        <v>25</v>
      </c>
      <c r="AE1293" s="32" t="str">
        <f t="shared" si="102"/>
        <v>✓ OK</v>
      </c>
      <c r="AF1293" s="33" t="s">
        <v>27</v>
      </c>
      <c r="AG1293" s="33" t="s">
        <v>23</v>
      </c>
      <c r="AH1293" s="33" t="s">
        <v>24</v>
      </c>
      <c r="AI1293" s="33" t="s">
        <v>25</v>
      </c>
      <c r="AJ1293" s="33" t="s">
        <v>26</v>
      </c>
      <c r="AK1293" s="33" t="s">
        <v>24</v>
      </c>
      <c r="AL1293" s="27"/>
      <c r="AM1293" s="34" t="s">
        <v>25</v>
      </c>
      <c r="AN1293" s="35" t="str">
        <f t="shared" si="103"/>
        <v>✓ OK</v>
      </c>
      <c r="AO1293" s="36"/>
      <c r="AP1293" s="36"/>
      <c r="AQ1293" s="36"/>
      <c r="AR1293" s="36"/>
      <c r="AS1293" s="36"/>
      <c r="AT1293" s="36"/>
      <c r="AU1293" s="27"/>
      <c r="AV1293" s="37"/>
      <c r="AW1293" s="38" t="str">
        <f t="shared" si="104"/>
        <v/>
      </c>
    </row>
    <row r="1294" spans="1:49" ht="18" customHeight="1" x14ac:dyDescent="0.3">
      <c r="A1294" s="39">
        <v>1290</v>
      </c>
      <c r="B1294" s="40" t="s">
        <v>4429</v>
      </c>
      <c r="C1294" s="41" t="s">
        <v>4430</v>
      </c>
      <c r="D1294" s="39" t="s">
        <v>4000</v>
      </c>
      <c r="E1294" s="43">
        <v>46125</v>
      </c>
      <c r="F1294" s="26" t="s">
        <v>23</v>
      </c>
      <c r="G1294" s="26" t="s">
        <v>24</v>
      </c>
      <c r="H1294" s="26" t="s">
        <v>25</v>
      </c>
      <c r="I1294" s="26" t="s">
        <v>26</v>
      </c>
      <c r="J1294" s="26" t="s">
        <v>24</v>
      </c>
      <c r="K1294" s="27"/>
      <c r="L1294" s="28" t="s">
        <v>25</v>
      </c>
      <c r="M1294" s="29" t="str">
        <f t="shared" si="100"/>
        <v>✓ OK</v>
      </c>
      <c r="N1294" s="43">
        <v>46193</v>
      </c>
      <c r="O1294" s="26" t="s">
        <v>23</v>
      </c>
      <c r="P1294" s="26" t="s">
        <v>24</v>
      </c>
      <c r="Q1294" s="26" t="s">
        <v>25</v>
      </c>
      <c r="R1294" s="26" t="s">
        <v>26</v>
      </c>
      <c r="S1294" s="26" t="s">
        <v>24</v>
      </c>
      <c r="T1294" s="27"/>
      <c r="U1294" s="28" t="s">
        <v>25</v>
      </c>
      <c r="V1294" s="29" t="str">
        <f t="shared" si="101"/>
        <v>✓ OK</v>
      </c>
      <c r="W1294" s="45">
        <v>46248</v>
      </c>
      <c r="X1294" s="30" t="s">
        <v>23</v>
      </c>
      <c r="Y1294" s="30" t="s">
        <v>24</v>
      </c>
      <c r="Z1294" s="30" t="s">
        <v>25</v>
      </c>
      <c r="AA1294" s="30" t="s">
        <v>26</v>
      </c>
      <c r="AB1294" s="30" t="s">
        <v>24</v>
      </c>
      <c r="AC1294" s="27"/>
      <c r="AD1294" s="31" t="s">
        <v>25</v>
      </c>
      <c r="AE1294" s="32" t="str">
        <f t="shared" si="102"/>
        <v>✓ OK</v>
      </c>
      <c r="AF1294" s="33" t="s">
        <v>27</v>
      </c>
      <c r="AG1294" s="33" t="s">
        <v>23</v>
      </c>
      <c r="AH1294" s="33" t="s">
        <v>24</v>
      </c>
      <c r="AI1294" s="33" t="s">
        <v>25</v>
      </c>
      <c r="AJ1294" s="33" t="s">
        <v>26</v>
      </c>
      <c r="AK1294" s="33" t="s">
        <v>24</v>
      </c>
      <c r="AL1294" s="27"/>
      <c r="AM1294" s="34" t="s">
        <v>25</v>
      </c>
      <c r="AN1294" s="35" t="str">
        <f t="shared" si="103"/>
        <v>✓ OK</v>
      </c>
      <c r="AO1294" s="36"/>
      <c r="AP1294" s="36"/>
      <c r="AQ1294" s="36"/>
      <c r="AR1294" s="36"/>
      <c r="AS1294" s="36"/>
      <c r="AT1294" s="36"/>
      <c r="AU1294" s="27"/>
      <c r="AV1294" s="37"/>
      <c r="AW1294" s="38" t="str">
        <f t="shared" si="104"/>
        <v/>
      </c>
    </row>
    <row r="1295" spans="1:49" ht="18" customHeight="1" x14ac:dyDescent="0.3">
      <c r="A1295" s="23">
        <v>1291</v>
      </c>
      <c r="B1295" s="24" t="s">
        <v>4431</v>
      </c>
      <c r="C1295" s="25" t="s">
        <v>4432</v>
      </c>
      <c r="D1295" s="23" t="s">
        <v>4000</v>
      </c>
      <c r="E1295" s="43">
        <v>46125</v>
      </c>
      <c r="F1295" s="26" t="s">
        <v>23</v>
      </c>
      <c r="G1295" s="26" t="s">
        <v>24</v>
      </c>
      <c r="H1295" s="26" t="s">
        <v>25</v>
      </c>
      <c r="I1295" s="26" t="s">
        <v>26</v>
      </c>
      <c r="J1295" s="26" t="s">
        <v>24</v>
      </c>
      <c r="K1295" s="27"/>
      <c r="L1295" s="28" t="s">
        <v>25</v>
      </c>
      <c r="M1295" s="29" t="str">
        <f t="shared" si="100"/>
        <v>✓ OK</v>
      </c>
      <c r="N1295" s="43">
        <v>46193</v>
      </c>
      <c r="O1295" s="26" t="s">
        <v>23</v>
      </c>
      <c r="P1295" s="26" t="s">
        <v>24</v>
      </c>
      <c r="Q1295" s="26" t="s">
        <v>25</v>
      </c>
      <c r="R1295" s="26" t="s">
        <v>26</v>
      </c>
      <c r="S1295" s="26" t="s">
        <v>24</v>
      </c>
      <c r="T1295" s="27"/>
      <c r="U1295" s="28" t="s">
        <v>25</v>
      </c>
      <c r="V1295" s="29" t="str">
        <f t="shared" si="101"/>
        <v>✓ OK</v>
      </c>
      <c r="W1295" s="45">
        <v>46248</v>
      </c>
      <c r="X1295" s="30" t="s">
        <v>23</v>
      </c>
      <c r="Y1295" s="30" t="s">
        <v>24</v>
      </c>
      <c r="Z1295" s="30" t="s">
        <v>25</v>
      </c>
      <c r="AA1295" s="30" t="s">
        <v>26</v>
      </c>
      <c r="AB1295" s="30" t="s">
        <v>24</v>
      </c>
      <c r="AC1295" s="27"/>
      <c r="AD1295" s="31" t="s">
        <v>25</v>
      </c>
      <c r="AE1295" s="32" t="str">
        <f t="shared" si="102"/>
        <v>✓ OK</v>
      </c>
      <c r="AF1295" s="33" t="s">
        <v>27</v>
      </c>
      <c r="AG1295" s="33" t="s">
        <v>23</v>
      </c>
      <c r="AH1295" s="33" t="s">
        <v>24</v>
      </c>
      <c r="AI1295" s="33" t="s">
        <v>25</v>
      </c>
      <c r="AJ1295" s="33" t="s">
        <v>26</v>
      </c>
      <c r="AK1295" s="33" t="s">
        <v>24</v>
      </c>
      <c r="AL1295" s="27"/>
      <c r="AM1295" s="34" t="s">
        <v>25</v>
      </c>
      <c r="AN1295" s="35" t="str">
        <f t="shared" si="103"/>
        <v>✓ OK</v>
      </c>
      <c r="AO1295" s="36"/>
      <c r="AP1295" s="36"/>
      <c r="AQ1295" s="36"/>
      <c r="AR1295" s="36"/>
      <c r="AS1295" s="36"/>
      <c r="AT1295" s="36"/>
      <c r="AU1295" s="27"/>
      <c r="AV1295" s="37"/>
      <c r="AW1295" s="38" t="str">
        <f t="shared" si="104"/>
        <v/>
      </c>
    </row>
    <row r="1296" spans="1:49" ht="18" customHeight="1" x14ac:dyDescent="0.3">
      <c r="A1296" s="39">
        <v>1292</v>
      </c>
      <c r="B1296" s="40" t="s">
        <v>4433</v>
      </c>
      <c r="C1296" s="41" t="s">
        <v>4434</v>
      </c>
      <c r="D1296" s="39" t="s">
        <v>4000</v>
      </c>
      <c r="E1296" s="43">
        <v>46125</v>
      </c>
      <c r="F1296" s="26" t="s">
        <v>23</v>
      </c>
      <c r="G1296" s="26" t="s">
        <v>24</v>
      </c>
      <c r="H1296" s="26" t="s">
        <v>25</v>
      </c>
      <c r="I1296" s="26" t="s">
        <v>26</v>
      </c>
      <c r="J1296" s="26" t="s">
        <v>24</v>
      </c>
      <c r="K1296" s="27"/>
      <c r="L1296" s="28" t="s">
        <v>25</v>
      </c>
      <c r="M1296" s="29" t="str">
        <f t="shared" si="100"/>
        <v>✓ OK</v>
      </c>
      <c r="N1296" s="43">
        <v>46193</v>
      </c>
      <c r="O1296" s="26" t="s">
        <v>23</v>
      </c>
      <c r="P1296" s="26" t="s">
        <v>24</v>
      </c>
      <c r="Q1296" s="26" t="s">
        <v>25</v>
      </c>
      <c r="R1296" s="26" t="s">
        <v>26</v>
      </c>
      <c r="S1296" s="26" t="s">
        <v>24</v>
      </c>
      <c r="T1296" s="27"/>
      <c r="U1296" s="28" t="s">
        <v>25</v>
      </c>
      <c r="V1296" s="29" t="str">
        <f t="shared" si="101"/>
        <v>✓ OK</v>
      </c>
      <c r="W1296" s="45">
        <v>46248</v>
      </c>
      <c r="X1296" s="30" t="s">
        <v>23</v>
      </c>
      <c r="Y1296" s="30" t="s">
        <v>24</v>
      </c>
      <c r="Z1296" s="30" t="s">
        <v>25</v>
      </c>
      <c r="AA1296" s="30" t="s">
        <v>26</v>
      </c>
      <c r="AB1296" s="30" t="s">
        <v>24</v>
      </c>
      <c r="AC1296" s="27"/>
      <c r="AD1296" s="31" t="s">
        <v>25</v>
      </c>
      <c r="AE1296" s="32" t="str">
        <f t="shared" si="102"/>
        <v>✓ OK</v>
      </c>
      <c r="AF1296" s="33" t="s">
        <v>27</v>
      </c>
      <c r="AG1296" s="33" t="s">
        <v>23</v>
      </c>
      <c r="AH1296" s="33" t="s">
        <v>24</v>
      </c>
      <c r="AI1296" s="33" t="s">
        <v>25</v>
      </c>
      <c r="AJ1296" s="33" t="s">
        <v>26</v>
      </c>
      <c r="AK1296" s="33" t="s">
        <v>24</v>
      </c>
      <c r="AL1296" s="27"/>
      <c r="AM1296" s="34" t="s">
        <v>25</v>
      </c>
      <c r="AN1296" s="35" t="str">
        <f t="shared" si="103"/>
        <v>✓ OK</v>
      </c>
      <c r="AO1296" s="36"/>
      <c r="AP1296" s="36"/>
      <c r="AQ1296" s="36"/>
      <c r="AR1296" s="36"/>
      <c r="AS1296" s="36"/>
      <c r="AT1296" s="36"/>
      <c r="AU1296" s="27"/>
      <c r="AV1296" s="37"/>
      <c r="AW1296" s="38" t="str">
        <f t="shared" si="104"/>
        <v/>
      </c>
    </row>
    <row r="1297" spans="1:49" ht="18" customHeight="1" x14ac:dyDescent="0.3">
      <c r="A1297" s="23">
        <v>1293</v>
      </c>
      <c r="B1297" s="24" t="s">
        <v>4435</v>
      </c>
      <c r="C1297" s="25" t="s">
        <v>4436</v>
      </c>
      <c r="D1297" s="23" t="s">
        <v>4000</v>
      </c>
      <c r="E1297" s="43">
        <v>46125</v>
      </c>
      <c r="F1297" s="26" t="s">
        <v>23</v>
      </c>
      <c r="G1297" s="26" t="s">
        <v>24</v>
      </c>
      <c r="H1297" s="26" t="s">
        <v>25</v>
      </c>
      <c r="I1297" s="26" t="s">
        <v>26</v>
      </c>
      <c r="J1297" s="26" t="s">
        <v>24</v>
      </c>
      <c r="K1297" s="27"/>
      <c r="L1297" s="28" t="s">
        <v>25</v>
      </c>
      <c r="M1297" s="29" t="str">
        <f t="shared" si="100"/>
        <v>✓ OK</v>
      </c>
      <c r="N1297" s="43">
        <v>46193</v>
      </c>
      <c r="O1297" s="26" t="s">
        <v>23</v>
      </c>
      <c r="P1297" s="26" t="s">
        <v>24</v>
      </c>
      <c r="Q1297" s="26" t="s">
        <v>25</v>
      </c>
      <c r="R1297" s="26" t="s">
        <v>26</v>
      </c>
      <c r="S1297" s="26" t="s">
        <v>24</v>
      </c>
      <c r="T1297" s="27"/>
      <c r="U1297" s="28" t="s">
        <v>25</v>
      </c>
      <c r="V1297" s="29" t="str">
        <f t="shared" si="101"/>
        <v>✓ OK</v>
      </c>
      <c r="W1297" s="45">
        <v>46248</v>
      </c>
      <c r="X1297" s="30" t="s">
        <v>23</v>
      </c>
      <c r="Y1297" s="30" t="s">
        <v>24</v>
      </c>
      <c r="Z1297" s="30" t="s">
        <v>25</v>
      </c>
      <c r="AA1297" s="30" t="s">
        <v>26</v>
      </c>
      <c r="AB1297" s="30" t="s">
        <v>24</v>
      </c>
      <c r="AC1297" s="27"/>
      <c r="AD1297" s="31" t="s">
        <v>25</v>
      </c>
      <c r="AE1297" s="32" t="str">
        <f t="shared" si="102"/>
        <v>✓ OK</v>
      </c>
      <c r="AF1297" s="33" t="s">
        <v>27</v>
      </c>
      <c r="AG1297" s="33" t="s">
        <v>23</v>
      </c>
      <c r="AH1297" s="33" t="s">
        <v>24</v>
      </c>
      <c r="AI1297" s="33" t="s">
        <v>25</v>
      </c>
      <c r="AJ1297" s="33" t="s">
        <v>26</v>
      </c>
      <c r="AK1297" s="33" t="s">
        <v>24</v>
      </c>
      <c r="AL1297" s="27"/>
      <c r="AM1297" s="34" t="s">
        <v>25</v>
      </c>
      <c r="AN1297" s="35" t="str">
        <f t="shared" si="103"/>
        <v>✓ OK</v>
      </c>
      <c r="AO1297" s="36"/>
      <c r="AP1297" s="36"/>
      <c r="AQ1297" s="36"/>
      <c r="AR1297" s="36"/>
      <c r="AS1297" s="36"/>
      <c r="AT1297" s="36"/>
      <c r="AU1297" s="27"/>
      <c r="AV1297" s="37"/>
      <c r="AW1297" s="38" t="str">
        <f t="shared" si="104"/>
        <v/>
      </c>
    </row>
    <row r="1298" spans="1:49" ht="18" customHeight="1" x14ac:dyDescent="0.3">
      <c r="A1298" s="39">
        <v>1294</v>
      </c>
      <c r="B1298" s="40" t="s">
        <v>4437</v>
      </c>
      <c r="C1298" s="41" t="s">
        <v>4438</v>
      </c>
      <c r="D1298" s="39" t="s">
        <v>4000</v>
      </c>
      <c r="E1298" s="43">
        <v>46125</v>
      </c>
      <c r="F1298" s="26" t="s">
        <v>23</v>
      </c>
      <c r="G1298" s="26" t="s">
        <v>24</v>
      </c>
      <c r="H1298" s="26" t="s">
        <v>25</v>
      </c>
      <c r="I1298" s="26" t="s">
        <v>26</v>
      </c>
      <c r="J1298" s="26" t="s">
        <v>24</v>
      </c>
      <c r="K1298" s="27"/>
      <c r="L1298" s="28" t="s">
        <v>25</v>
      </c>
      <c r="M1298" s="29" t="str">
        <f t="shared" si="100"/>
        <v>✓ OK</v>
      </c>
      <c r="N1298" s="43">
        <v>46193</v>
      </c>
      <c r="O1298" s="26" t="s">
        <v>23</v>
      </c>
      <c r="P1298" s="26" t="s">
        <v>24</v>
      </c>
      <c r="Q1298" s="26" t="s">
        <v>25</v>
      </c>
      <c r="R1298" s="26" t="s">
        <v>26</v>
      </c>
      <c r="S1298" s="26" t="s">
        <v>24</v>
      </c>
      <c r="T1298" s="27"/>
      <c r="U1298" s="28" t="s">
        <v>25</v>
      </c>
      <c r="V1298" s="29" t="str">
        <f t="shared" si="101"/>
        <v>✓ OK</v>
      </c>
      <c r="W1298" s="45">
        <v>46248</v>
      </c>
      <c r="X1298" s="30" t="s">
        <v>23</v>
      </c>
      <c r="Y1298" s="30" t="s">
        <v>24</v>
      </c>
      <c r="Z1298" s="30" t="s">
        <v>25</v>
      </c>
      <c r="AA1298" s="30" t="s">
        <v>26</v>
      </c>
      <c r="AB1298" s="30" t="s">
        <v>24</v>
      </c>
      <c r="AC1298" s="27"/>
      <c r="AD1298" s="31" t="s">
        <v>25</v>
      </c>
      <c r="AE1298" s="32" t="str">
        <f t="shared" si="102"/>
        <v>✓ OK</v>
      </c>
      <c r="AF1298" s="33" t="s">
        <v>27</v>
      </c>
      <c r="AG1298" s="33" t="s">
        <v>23</v>
      </c>
      <c r="AH1298" s="33" t="s">
        <v>24</v>
      </c>
      <c r="AI1298" s="33" t="s">
        <v>25</v>
      </c>
      <c r="AJ1298" s="33" t="s">
        <v>26</v>
      </c>
      <c r="AK1298" s="33" t="s">
        <v>24</v>
      </c>
      <c r="AL1298" s="27"/>
      <c r="AM1298" s="34" t="s">
        <v>25</v>
      </c>
      <c r="AN1298" s="35" t="str">
        <f t="shared" si="103"/>
        <v>✓ OK</v>
      </c>
      <c r="AO1298" s="36"/>
      <c r="AP1298" s="36"/>
      <c r="AQ1298" s="36"/>
      <c r="AR1298" s="36"/>
      <c r="AS1298" s="36"/>
      <c r="AT1298" s="36"/>
      <c r="AU1298" s="27"/>
      <c r="AV1298" s="37"/>
      <c r="AW1298" s="38" t="str">
        <f t="shared" si="104"/>
        <v/>
      </c>
    </row>
    <row r="1299" spans="1:49" ht="18" customHeight="1" x14ac:dyDescent="0.3">
      <c r="A1299" s="23">
        <v>1295</v>
      </c>
      <c r="B1299" s="24" t="s">
        <v>4439</v>
      </c>
      <c r="C1299" s="25" t="s">
        <v>4440</v>
      </c>
      <c r="D1299" s="23" t="s">
        <v>4000</v>
      </c>
      <c r="E1299" s="43">
        <v>46125</v>
      </c>
      <c r="F1299" s="26" t="s">
        <v>23</v>
      </c>
      <c r="G1299" s="26" t="s">
        <v>24</v>
      </c>
      <c r="H1299" s="26" t="s">
        <v>25</v>
      </c>
      <c r="I1299" s="26" t="s">
        <v>26</v>
      </c>
      <c r="J1299" s="26" t="s">
        <v>24</v>
      </c>
      <c r="K1299" s="27"/>
      <c r="L1299" s="28" t="s">
        <v>25</v>
      </c>
      <c r="M1299" s="29" t="str">
        <f t="shared" si="100"/>
        <v>✓ OK</v>
      </c>
      <c r="N1299" s="43">
        <v>46193</v>
      </c>
      <c r="O1299" s="26" t="s">
        <v>23</v>
      </c>
      <c r="P1299" s="26" t="s">
        <v>24</v>
      </c>
      <c r="Q1299" s="26" t="s">
        <v>25</v>
      </c>
      <c r="R1299" s="26" t="s">
        <v>26</v>
      </c>
      <c r="S1299" s="26" t="s">
        <v>24</v>
      </c>
      <c r="T1299" s="27"/>
      <c r="U1299" s="28" t="s">
        <v>25</v>
      </c>
      <c r="V1299" s="29" t="str">
        <f t="shared" si="101"/>
        <v>✓ OK</v>
      </c>
      <c r="W1299" s="45">
        <v>46248</v>
      </c>
      <c r="X1299" s="30" t="s">
        <v>23</v>
      </c>
      <c r="Y1299" s="30" t="s">
        <v>24</v>
      </c>
      <c r="Z1299" s="30" t="s">
        <v>25</v>
      </c>
      <c r="AA1299" s="30" t="s">
        <v>26</v>
      </c>
      <c r="AB1299" s="30" t="s">
        <v>24</v>
      </c>
      <c r="AC1299" s="27"/>
      <c r="AD1299" s="31" t="s">
        <v>25</v>
      </c>
      <c r="AE1299" s="32" t="str">
        <f t="shared" si="102"/>
        <v>✓ OK</v>
      </c>
      <c r="AF1299" s="33" t="s">
        <v>27</v>
      </c>
      <c r="AG1299" s="33" t="s">
        <v>23</v>
      </c>
      <c r="AH1299" s="33" t="s">
        <v>24</v>
      </c>
      <c r="AI1299" s="33" t="s">
        <v>25</v>
      </c>
      <c r="AJ1299" s="33" t="s">
        <v>26</v>
      </c>
      <c r="AK1299" s="33" t="s">
        <v>24</v>
      </c>
      <c r="AL1299" s="27"/>
      <c r="AM1299" s="34" t="s">
        <v>25</v>
      </c>
      <c r="AN1299" s="35" t="str">
        <f t="shared" si="103"/>
        <v>✓ OK</v>
      </c>
      <c r="AO1299" s="36"/>
      <c r="AP1299" s="36"/>
      <c r="AQ1299" s="36"/>
      <c r="AR1299" s="36"/>
      <c r="AS1299" s="36"/>
      <c r="AT1299" s="36"/>
      <c r="AU1299" s="27"/>
      <c r="AV1299" s="37"/>
      <c r="AW1299" s="38" t="str">
        <f t="shared" si="104"/>
        <v/>
      </c>
    </row>
    <row r="1300" spans="1:49" ht="18" customHeight="1" x14ac:dyDescent="0.3">
      <c r="A1300" s="39">
        <v>1296</v>
      </c>
      <c r="B1300" s="40" t="s">
        <v>4441</v>
      </c>
      <c r="C1300" s="41" t="s">
        <v>4442</v>
      </c>
      <c r="D1300" s="39" t="s">
        <v>4000</v>
      </c>
      <c r="E1300" s="43">
        <v>46125</v>
      </c>
      <c r="F1300" s="26" t="s">
        <v>23</v>
      </c>
      <c r="G1300" s="26" t="s">
        <v>24</v>
      </c>
      <c r="H1300" s="26" t="s">
        <v>25</v>
      </c>
      <c r="I1300" s="26" t="s">
        <v>26</v>
      </c>
      <c r="J1300" s="26" t="s">
        <v>24</v>
      </c>
      <c r="K1300" s="27"/>
      <c r="L1300" s="28" t="s">
        <v>25</v>
      </c>
      <c r="M1300" s="29" t="str">
        <f t="shared" si="100"/>
        <v>✓ OK</v>
      </c>
      <c r="N1300" s="43">
        <v>46193</v>
      </c>
      <c r="O1300" s="26" t="s">
        <v>23</v>
      </c>
      <c r="P1300" s="26" t="s">
        <v>24</v>
      </c>
      <c r="Q1300" s="26" t="s">
        <v>25</v>
      </c>
      <c r="R1300" s="26" t="s">
        <v>26</v>
      </c>
      <c r="S1300" s="26" t="s">
        <v>24</v>
      </c>
      <c r="T1300" s="27"/>
      <c r="U1300" s="28" t="s">
        <v>25</v>
      </c>
      <c r="V1300" s="29" t="str">
        <f t="shared" si="101"/>
        <v>✓ OK</v>
      </c>
      <c r="W1300" s="45">
        <v>46248</v>
      </c>
      <c r="X1300" s="30" t="s">
        <v>23</v>
      </c>
      <c r="Y1300" s="30" t="s">
        <v>24</v>
      </c>
      <c r="Z1300" s="30" t="s">
        <v>25</v>
      </c>
      <c r="AA1300" s="30" t="s">
        <v>26</v>
      </c>
      <c r="AB1300" s="30" t="s">
        <v>24</v>
      </c>
      <c r="AC1300" s="27"/>
      <c r="AD1300" s="31" t="s">
        <v>25</v>
      </c>
      <c r="AE1300" s="32" t="str">
        <f t="shared" si="102"/>
        <v>✓ OK</v>
      </c>
      <c r="AF1300" s="33" t="s">
        <v>27</v>
      </c>
      <c r="AG1300" s="33" t="s">
        <v>23</v>
      </c>
      <c r="AH1300" s="33" t="s">
        <v>24</v>
      </c>
      <c r="AI1300" s="33" t="s">
        <v>25</v>
      </c>
      <c r="AJ1300" s="33" t="s">
        <v>26</v>
      </c>
      <c r="AK1300" s="33" t="s">
        <v>24</v>
      </c>
      <c r="AL1300" s="27"/>
      <c r="AM1300" s="34" t="s">
        <v>25</v>
      </c>
      <c r="AN1300" s="35" t="str">
        <f t="shared" si="103"/>
        <v>✓ OK</v>
      </c>
      <c r="AO1300" s="36"/>
      <c r="AP1300" s="36"/>
      <c r="AQ1300" s="36"/>
      <c r="AR1300" s="36"/>
      <c r="AS1300" s="36"/>
      <c r="AT1300" s="36"/>
      <c r="AU1300" s="27"/>
      <c r="AV1300" s="37"/>
      <c r="AW1300" s="38" t="str">
        <f t="shared" si="104"/>
        <v/>
      </c>
    </row>
    <row r="1301" spans="1:49" ht="18" customHeight="1" x14ac:dyDescent="0.3">
      <c r="A1301" s="23">
        <v>1297</v>
      </c>
      <c r="B1301" s="24" t="s">
        <v>4443</v>
      </c>
      <c r="C1301" s="25" t="s">
        <v>4444</v>
      </c>
      <c r="D1301" s="23" t="s">
        <v>4000</v>
      </c>
      <c r="E1301" s="43">
        <v>46125</v>
      </c>
      <c r="F1301" s="26" t="s">
        <v>23</v>
      </c>
      <c r="G1301" s="26" t="s">
        <v>24</v>
      </c>
      <c r="H1301" s="26" t="s">
        <v>25</v>
      </c>
      <c r="I1301" s="26" t="s">
        <v>26</v>
      </c>
      <c r="J1301" s="26" t="s">
        <v>24</v>
      </c>
      <c r="K1301" s="27"/>
      <c r="L1301" s="28" t="s">
        <v>25</v>
      </c>
      <c r="M1301" s="29" t="str">
        <f t="shared" si="100"/>
        <v>✓ OK</v>
      </c>
      <c r="N1301" s="43">
        <v>46193</v>
      </c>
      <c r="O1301" s="26" t="s">
        <v>23</v>
      </c>
      <c r="P1301" s="26" t="s">
        <v>24</v>
      </c>
      <c r="Q1301" s="26" t="s">
        <v>25</v>
      </c>
      <c r="R1301" s="26" t="s">
        <v>26</v>
      </c>
      <c r="S1301" s="26" t="s">
        <v>24</v>
      </c>
      <c r="T1301" s="27"/>
      <c r="U1301" s="28" t="s">
        <v>25</v>
      </c>
      <c r="V1301" s="29" t="str">
        <f t="shared" si="101"/>
        <v>✓ OK</v>
      </c>
      <c r="W1301" s="45">
        <v>46248</v>
      </c>
      <c r="X1301" s="30" t="s">
        <v>23</v>
      </c>
      <c r="Y1301" s="30" t="s">
        <v>24</v>
      </c>
      <c r="Z1301" s="30" t="s">
        <v>25</v>
      </c>
      <c r="AA1301" s="30" t="s">
        <v>26</v>
      </c>
      <c r="AB1301" s="30" t="s">
        <v>24</v>
      </c>
      <c r="AC1301" s="27"/>
      <c r="AD1301" s="31" t="s">
        <v>25</v>
      </c>
      <c r="AE1301" s="32" t="str">
        <f t="shared" si="102"/>
        <v>✓ OK</v>
      </c>
      <c r="AF1301" s="33" t="s">
        <v>27</v>
      </c>
      <c r="AG1301" s="33" t="s">
        <v>23</v>
      </c>
      <c r="AH1301" s="33" t="s">
        <v>24</v>
      </c>
      <c r="AI1301" s="33" t="s">
        <v>25</v>
      </c>
      <c r="AJ1301" s="33" t="s">
        <v>26</v>
      </c>
      <c r="AK1301" s="33" t="s">
        <v>24</v>
      </c>
      <c r="AL1301" s="27"/>
      <c r="AM1301" s="34" t="s">
        <v>25</v>
      </c>
      <c r="AN1301" s="35" t="str">
        <f t="shared" si="103"/>
        <v>✓ OK</v>
      </c>
      <c r="AO1301" s="36"/>
      <c r="AP1301" s="36"/>
      <c r="AQ1301" s="36"/>
      <c r="AR1301" s="36"/>
      <c r="AS1301" s="36"/>
      <c r="AT1301" s="36"/>
      <c r="AU1301" s="27"/>
      <c r="AV1301" s="37"/>
      <c r="AW1301" s="38" t="str">
        <f t="shared" si="104"/>
        <v/>
      </c>
    </row>
    <row r="1302" spans="1:49" ht="18" customHeight="1" x14ac:dyDescent="0.3">
      <c r="A1302" s="39">
        <v>1298</v>
      </c>
      <c r="B1302" s="40" t="s">
        <v>4445</v>
      </c>
      <c r="C1302" s="41" t="s">
        <v>4446</v>
      </c>
      <c r="D1302" s="39" t="s">
        <v>4000</v>
      </c>
      <c r="E1302" s="43">
        <v>46125</v>
      </c>
      <c r="F1302" s="26" t="s">
        <v>23</v>
      </c>
      <c r="G1302" s="26" t="s">
        <v>24</v>
      </c>
      <c r="H1302" s="26" t="s">
        <v>25</v>
      </c>
      <c r="I1302" s="26" t="s">
        <v>26</v>
      </c>
      <c r="J1302" s="26" t="s">
        <v>24</v>
      </c>
      <c r="K1302" s="27"/>
      <c r="L1302" s="28" t="s">
        <v>25</v>
      </c>
      <c r="M1302" s="29" t="str">
        <f t="shared" si="100"/>
        <v>✓ OK</v>
      </c>
      <c r="N1302" s="43">
        <v>46193</v>
      </c>
      <c r="O1302" s="26" t="s">
        <v>23</v>
      </c>
      <c r="P1302" s="26" t="s">
        <v>24</v>
      </c>
      <c r="Q1302" s="26" t="s">
        <v>25</v>
      </c>
      <c r="R1302" s="26" t="s">
        <v>26</v>
      </c>
      <c r="S1302" s="26" t="s">
        <v>24</v>
      </c>
      <c r="T1302" s="27"/>
      <c r="U1302" s="28" t="s">
        <v>25</v>
      </c>
      <c r="V1302" s="29" t="str">
        <f t="shared" si="101"/>
        <v>✓ OK</v>
      </c>
      <c r="W1302" s="45">
        <v>46248</v>
      </c>
      <c r="X1302" s="30" t="s">
        <v>23</v>
      </c>
      <c r="Y1302" s="30" t="s">
        <v>24</v>
      </c>
      <c r="Z1302" s="30" t="s">
        <v>25</v>
      </c>
      <c r="AA1302" s="30" t="s">
        <v>26</v>
      </c>
      <c r="AB1302" s="30" t="s">
        <v>24</v>
      </c>
      <c r="AC1302" s="27"/>
      <c r="AD1302" s="31" t="s">
        <v>25</v>
      </c>
      <c r="AE1302" s="32" t="str">
        <f t="shared" si="102"/>
        <v>✓ OK</v>
      </c>
      <c r="AF1302" s="33" t="s">
        <v>27</v>
      </c>
      <c r="AG1302" s="33" t="s">
        <v>23</v>
      </c>
      <c r="AH1302" s="33" t="s">
        <v>24</v>
      </c>
      <c r="AI1302" s="33" t="s">
        <v>25</v>
      </c>
      <c r="AJ1302" s="33" t="s">
        <v>26</v>
      </c>
      <c r="AK1302" s="33" t="s">
        <v>24</v>
      </c>
      <c r="AL1302" s="27"/>
      <c r="AM1302" s="34" t="s">
        <v>25</v>
      </c>
      <c r="AN1302" s="35" t="str">
        <f t="shared" si="103"/>
        <v>✓ OK</v>
      </c>
      <c r="AO1302" s="36"/>
      <c r="AP1302" s="36"/>
      <c r="AQ1302" s="36"/>
      <c r="AR1302" s="36"/>
      <c r="AS1302" s="36"/>
      <c r="AT1302" s="36"/>
      <c r="AU1302" s="27"/>
      <c r="AV1302" s="37"/>
      <c r="AW1302" s="38" t="str">
        <f t="shared" si="104"/>
        <v/>
      </c>
    </row>
    <row r="1303" spans="1:49" ht="18" customHeight="1" x14ac:dyDescent="0.3">
      <c r="A1303" s="23">
        <v>1299</v>
      </c>
      <c r="B1303" s="24" t="s">
        <v>4447</v>
      </c>
      <c r="C1303" s="25" t="s">
        <v>4448</v>
      </c>
      <c r="D1303" s="23" t="s">
        <v>4000</v>
      </c>
      <c r="E1303" s="43">
        <v>46125</v>
      </c>
      <c r="F1303" s="26" t="s">
        <v>23</v>
      </c>
      <c r="G1303" s="26" t="s">
        <v>24</v>
      </c>
      <c r="H1303" s="26" t="s">
        <v>25</v>
      </c>
      <c r="I1303" s="26" t="s">
        <v>26</v>
      </c>
      <c r="J1303" s="26" t="s">
        <v>24</v>
      </c>
      <c r="K1303" s="27"/>
      <c r="L1303" s="28" t="s">
        <v>25</v>
      </c>
      <c r="M1303" s="29" t="str">
        <f t="shared" si="100"/>
        <v>✓ OK</v>
      </c>
      <c r="N1303" s="43">
        <v>46193</v>
      </c>
      <c r="O1303" s="26" t="s">
        <v>23</v>
      </c>
      <c r="P1303" s="26" t="s">
        <v>24</v>
      </c>
      <c r="Q1303" s="26" t="s">
        <v>25</v>
      </c>
      <c r="R1303" s="26" t="s">
        <v>26</v>
      </c>
      <c r="S1303" s="26" t="s">
        <v>24</v>
      </c>
      <c r="T1303" s="27"/>
      <c r="U1303" s="28" t="s">
        <v>25</v>
      </c>
      <c r="V1303" s="29" t="str">
        <f t="shared" si="101"/>
        <v>✓ OK</v>
      </c>
      <c r="W1303" s="45">
        <v>46248</v>
      </c>
      <c r="X1303" s="30" t="s">
        <v>23</v>
      </c>
      <c r="Y1303" s="30" t="s">
        <v>24</v>
      </c>
      <c r="Z1303" s="30" t="s">
        <v>25</v>
      </c>
      <c r="AA1303" s="30" t="s">
        <v>26</v>
      </c>
      <c r="AB1303" s="30" t="s">
        <v>24</v>
      </c>
      <c r="AC1303" s="27"/>
      <c r="AD1303" s="31" t="s">
        <v>25</v>
      </c>
      <c r="AE1303" s="32" t="str">
        <f t="shared" si="102"/>
        <v>✓ OK</v>
      </c>
      <c r="AF1303" s="33" t="s">
        <v>27</v>
      </c>
      <c r="AG1303" s="33" t="s">
        <v>23</v>
      </c>
      <c r="AH1303" s="33" t="s">
        <v>24</v>
      </c>
      <c r="AI1303" s="33" t="s">
        <v>25</v>
      </c>
      <c r="AJ1303" s="33" t="s">
        <v>26</v>
      </c>
      <c r="AK1303" s="33" t="s">
        <v>24</v>
      </c>
      <c r="AL1303" s="27"/>
      <c r="AM1303" s="34" t="s">
        <v>25</v>
      </c>
      <c r="AN1303" s="35" t="str">
        <f t="shared" si="103"/>
        <v>✓ OK</v>
      </c>
      <c r="AO1303" s="36"/>
      <c r="AP1303" s="36"/>
      <c r="AQ1303" s="36"/>
      <c r="AR1303" s="36"/>
      <c r="AS1303" s="36"/>
      <c r="AT1303" s="36"/>
      <c r="AU1303" s="27"/>
      <c r="AV1303" s="37"/>
      <c r="AW1303" s="38" t="str">
        <f t="shared" si="104"/>
        <v/>
      </c>
    </row>
    <row r="1304" spans="1:49" ht="18" customHeight="1" x14ac:dyDescent="0.3">
      <c r="A1304" s="39">
        <v>1300</v>
      </c>
      <c r="B1304" s="40" t="s">
        <v>4449</v>
      </c>
      <c r="C1304" s="41" t="s">
        <v>4450</v>
      </c>
      <c r="D1304" s="39" t="s">
        <v>4000</v>
      </c>
      <c r="E1304" s="43">
        <v>46125</v>
      </c>
      <c r="F1304" s="26" t="s">
        <v>23</v>
      </c>
      <c r="G1304" s="26" t="s">
        <v>24</v>
      </c>
      <c r="H1304" s="26" t="s">
        <v>25</v>
      </c>
      <c r="I1304" s="26" t="s">
        <v>26</v>
      </c>
      <c r="J1304" s="26" t="s">
        <v>24</v>
      </c>
      <c r="K1304" s="27"/>
      <c r="L1304" s="28" t="s">
        <v>25</v>
      </c>
      <c r="M1304" s="29" t="str">
        <f t="shared" si="100"/>
        <v>✓ OK</v>
      </c>
      <c r="N1304" s="43">
        <v>46193</v>
      </c>
      <c r="O1304" s="26" t="s">
        <v>23</v>
      </c>
      <c r="P1304" s="26" t="s">
        <v>24</v>
      </c>
      <c r="Q1304" s="26" t="s">
        <v>25</v>
      </c>
      <c r="R1304" s="26" t="s">
        <v>26</v>
      </c>
      <c r="S1304" s="26" t="s">
        <v>24</v>
      </c>
      <c r="T1304" s="27"/>
      <c r="U1304" s="28" t="s">
        <v>25</v>
      </c>
      <c r="V1304" s="29" t="str">
        <f t="shared" si="101"/>
        <v>✓ OK</v>
      </c>
      <c r="W1304" s="45">
        <v>46248</v>
      </c>
      <c r="X1304" s="30" t="s">
        <v>23</v>
      </c>
      <c r="Y1304" s="30" t="s">
        <v>24</v>
      </c>
      <c r="Z1304" s="30" t="s">
        <v>25</v>
      </c>
      <c r="AA1304" s="30" t="s">
        <v>26</v>
      </c>
      <c r="AB1304" s="30" t="s">
        <v>24</v>
      </c>
      <c r="AC1304" s="27"/>
      <c r="AD1304" s="31" t="s">
        <v>25</v>
      </c>
      <c r="AE1304" s="32" t="str">
        <f t="shared" si="102"/>
        <v>✓ OK</v>
      </c>
      <c r="AF1304" s="33" t="s">
        <v>27</v>
      </c>
      <c r="AG1304" s="33" t="s">
        <v>23</v>
      </c>
      <c r="AH1304" s="33" t="s">
        <v>24</v>
      </c>
      <c r="AI1304" s="33" t="s">
        <v>25</v>
      </c>
      <c r="AJ1304" s="33" t="s">
        <v>26</v>
      </c>
      <c r="AK1304" s="33" t="s">
        <v>24</v>
      </c>
      <c r="AL1304" s="27"/>
      <c r="AM1304" s="34" t="s">
        <v>25</v>
      </c>
      <c r="AN1304" s="35" t="str">
        <f t="shared" si="103"/>
        <v>✓ OK</v>
      </c>
      <c r="AO1304" s="36"/>
      <c r="AP1304" s="36"/>
      <c r="AQ1304" s="36"/>
      <c r="AR1304" s="36"/>
      <c r="AS1304" s="36"/>
      <c r="AT1304" s="36"/>
      <c r="AU1304" s="27"/>
      <c r="AV1304" s="37"/>
      <c r="AW1304" s="38" t="str">
        <f t="shared" si="104"/>
        <v/>
      </c>
    </row>
    <row r="1305" spans="1:49" ht="18" customHeight="1" x14ac:dyDescent="0.3">
      <c r="A1305" s="23">
        <v>1301</v>
      </c>
      <c r="B1305" s="24" t="s">
        <v>4451</v>
      </c>
      <c r="C1305" s="25" t="s">
        <v>4452</v>
      </c>
      <c r="D1305" s="23" t="s">
        <v>4000</v>
      </c>
      <c r="E1305" s="43">
        <v>46125</v>
      </c>
      <c r="F1305" s="26" t="s">
        <v>23</v>
      </c>
      <c r="G1305" s="26" t="s">
        <v>24</v>
      </c>
      <c r="H1305" s="26" t="s">
        <v>25</v>
      </c>
      <c r="I1305" s="26" t="s">
        <v>26</v>
      </c>
      <c r="J1305" s="26" t="s">
        <v>24</v>
      </c>
      <c r="K1305" s="27"/>
      <c r="L1305" s="28" t="s">
        <v>25</v>
      </c>
      <c r="M1305" s="29" t="str">
        <f t="shared" si="100"/>
        <v>✓ OK</v>
      </c>
      <c r="N1305" s="43">
        <v>46193</v>
      </c>
      <c r="O1305" s="26" t="s">
        <v>23</v>
      </c>
      <c r="P1305" s="26" t="s">
        <v>24</v>
      </c>
      <c r="Q1305" s="26" t="s">
        <v>25</v>
      </c>
      <c r="R1305" s="26" t="s">
        <v>26</v>
      </c>
      <c r="S1305" s="26" t="s">
        <v>24</v>
      </c>
      <c r="T1305" s="27"/>
      <c r="U1305" s="28" t="s">
        <v>25</v>
      </c>
      <c r="V1305" s="29" t="str">
        <f t="shared" si="101"/>
        <v>✓ OK</v>
      </c>
      <c r="W1305" s="45">
        <v>46248</v>
      </c>
      <c r="X1305" s="30" t="s">
        <v>23</v>
      </c>
      <c r="Y1305" s="30" t="s">
        <v>24</v>
      </c>
      <c r="Z1305" s="30" t="s">
        <v>25</v>
      </c>
      <c r="AA1305" s="30" t="s">
        <v>26</v>
      </c>
      <c r="AB1305" s="30" t="s">
        <v>24</v>
      </c>
      <c r="AC1305" s="27"/>
      <c r="AD1305" s="31" t="s">
        <v>25</v>
      </c>
      <c r="AE1305" s="32" t="str">
        <f t="shared" si="102"/>
        <v>✓ OK</v>
      </c>
      <c r="AF1305" s="33" t="s">
        <v>27</v>
      </c>
      <c r="AG1305" s="33" t="s">
        <v>23</v>
      </c>
      <c r="AH1305" s="33" t="s">
        <v>24</v>
      </c>
      <c r="AI1305" s="33" t="s">
        <v>25</v>
      </c>
      <c r="AJ1305" s="33" t="s">
        <v>26</v>
      </c>
      <c r="AK1305" s="33" t="s">
        <v>24</v>
      </c>
      <c r="AL1305" s="27"/>
      <c r="AM1305" s="34" t="s">
        <v>25</v>
      </c>
      <c r="AN1305" s="35" t="str">
        <f t="shared" si="103"/>
        <v>✓ OK</v>
      </c>
      <c r="AO1305" s="36"/>
      <c r="AP1305" s="36"/>
      <c r="AQ1305" s="36"/>
      <c r="AR1305" s="36"/>
      <c r="AS1305" s="36"/>
      <c r="AT1305" s="36"/>
      <c r="AU1305" s="27"/>
      <c r="AV1305" s="37"/>
      <c r="AW1305" s="38" t="str">
        <f t="shared" si="104"/>
        <v/>
      </c>
    </row>
    <row r="1306" spans="1:49" ht="18" customHeight="1" x14ac:dyDescent="0.3">
      <c r="A1306" s="39">
        <v>1302</v>
      </c>
      <c r="B1306" s="40" t="s">
        <v>4453</v>
      </c>
      <c r="C1306" s="41" t="s">
        <v>4454</v>
      </c>
      <c r="D1306" s="39" t="s">
        <v>4000</v>
      </c>
      <c r="E1306" s="43">
        <v>46125</v>
      </c>
      <c r="F1306" s="26" t="s">
        <v>23</v>
      </c>
      <c r="G1306" s="26" t="s">
        <v>24</v>
      </c>
      <c r="H1306" s="26" t="s">
        <v>25</v>
      </c>
      <c r="I1306" s="26" t="s">
        <v>26</v>
      </c>
      <c r="J1306" s="26" t="s">
        <v>24</v>
      </c>
      <c r="K1306" s="27"/>
      <c r="L1306" s="28" t="s">
        <v>25</v>
      </c>
      <c r="M1306" s="29" t="str">
        <f t="shared" si="100"/>
        <v>✓ OK</v>
      </c>
      <c r="N1306" s="43">
        <v>46193</v>
      </c>
      <c r="O1306" s="26" t="s">
        <v>23</v>
      </c>
      <c r="P1306" s="26" t="s">
        <v>24</v>
      </c>
      <c r="Q1306" s="26" t="s">
        <v>25</v>
      </c>
      <c r="R1306" s="26" t="s">
        <v>26</v>
      </c>
      <c r="S1306" s="26" t="s">
        <v>24</v>
      </c>
      <c r="T1306" s="27"/>
      <c r="U1306" s="28" t="s">
        <v>25</v>
      </c>
      <c r="V1306" s="29" t="str">
        <f t="shared" si="101"/>
        <v>✓ OK</v>
      </c>
      <c r="W1306" s="45">
        <v>46248</v>
      </c>
      <c r="X1306" s="30" t="s">
        <v>23</v>
      </c>
      <c r="Y1306" s="30" t="s">
        <v>24</v>
      </c>
      <c r="Z1306" s="30" t="s">
        <v>25</v>
      </c>
      <c r="AA1306" s="30" t="s">
        <v>26</v>
      </c>
      <c r="AB1306" s="30" t="s">
        <v>24</v>
      </c>
      <c r="AC1306" s="27"/>
      <c r="AD1306" s="31" t="s">
        <v>25</v>
      </c>
      <c r="AE1306" s="32" t="str">
        <f t="shared" si="102"/>
        <v>✓ OK</v>
      </c>
      <c r="AF1306" s="33" t="s">
        <v>27</v>
      </c>
      <c r="AG1306" s="33" t="s">
        <v>23</v>
      </c>
      <c r="AH1306" s="33" t="s">
        <v>24</v>
      </c>
      <c r="AI1306" s="33" t="s">
        <v>25</v>
      </c>
      <c r="AJ1306" s="33" t="s">
        <v>26</v>
      </c>
      <c r="AK1306" s="33" t="s">
        <v>24</v>
      </c>
      <c r="AL1306" s="27"/>
      <c r="AM1306" s="34" t="s">
        <v>25</v>
      </c>
      <c r="AN1306" s="35" t="str">
        <f t="shared" si="103"/>
        <v>✓ OK</v>
      </c>
      <c r="AO1306" s="36"/>
      <c r="AP1306" s="36"/>
      <c r="AQ1306" s="36"/>
      <c r="AR1306" s="36"/>
      <c r="AS1306" s="36"/>
      <c r="AT1306" s="36"/>
      <c r="AU1306" s="27"/>
      <c r="AV1306" s="37"/>
      <c r="AW1306" s="38" t="str">
        <f t="shared" si="104"/>
        <v/>
      </c>
    </row>
    <row r="1307" spans="1:49" ht="18" customHeight="1" x14ac:dyDescent="0.3">
      <c r="A1307" s="23">
        <v>1303</v>
      </c>
      <c r="B1307" s="24" t="s">
        <v>4455</v>
      </c>
      <c r="C1307" s="25" t="s">
        <v>4456</v>
      </c>
      <c r="D1307" s="23" t="s">
        <v>4000</v>
      </c>
      <c r="E1307" s="43">
        <v>46125</v>
      </c>
      <c r="F1307" s="26" t="s">
        <v>23</v>
      </c>
      <c r="G1307" s="26" t="s">
        <v>24</v>
      </c>
      <c r="H1307" s="26" t="s">
        <v>25</v>
      </c>
      <c r="I1307" s="26" t="s">
        <v>26</v>
      </c>
      <c r="J1307" s="26" t="s">
        <v>24</v>
      </c>
      <c r="K1307" s="27"/>
      <c r="L1307" s="28" t="s">
        <v>25</v>
      </c>
      <c r="M1307" s="29" t="str">
        <f t="shared" si="100"/>
        <v>✓ OK</v>
      </c>
      <c r="N1307" s="43">
        <v>46193</v>
      </c>
      <c r="O1307" s="26" t="s">
        <v>23</v>
      </c>
      <c r="P1307" s="26" t="s">
        <v>24</v>
      </c>
      <c r="Q1307" s="26" t="s">
        <v>25</v>
      </c>
      <c r="R1307" s="26" t="s">
        <v>26</v>
      </c>
      <c r="S1307" s="26" t="s">
        <v>24</v>
      </c>
      <c r="T1307" s="27"/>
      <c r="U1307" s="28" t="s">
        <v>25</v>
      </c>
      <c r="V1307" s="29" t="str">
        <f t="shared" si="101"/>
        <v>✓ OK</v>
      </c>
      <c r="W1307" s="45">
        <v>46248</v>
      </c>
      <c r="X1307" s="30" t="s">
        <v>23</v>
      </c>
      <c r="Y1307" s="30" t="s">
        <v>24</v>
      </c>
      <c r="Z1307" s="30" t="s">
        <v>25</v>
      </c>
      <c r="AA1307" s="30" t="s">
        <v>26</v>
      </c>
      <c r="AB1307" s="30" t="s">
        <v>24</v>
      </c>
      <c r="AC1307" s="27"/>
      <c r="AD1307" s="31" t="s">
        <v>25</v>
      </c>
      <c r="AE1307" s="32" t="str">
        <f t="shared" si="102"/>
        <v>✓ OK</v>
      </c>
      <c r="AF1307" s="33" t="s">
        <v>27</v>
      </c>
      <c r="AG1307" s="33" t="s">
        <v>23</v>
      </c>
      <c r="AH1307" s="33" t="s">
        <v>24</v>
      </c>
      <c r="AI1307" s="33" t="s">
        <v>25</v>
      </c>
      <c r="AJ1307" s="33" t="s">
        <v>26</v>
      </c>
      <c r="AK1307" s="33" t="s">
        <v>24</v>
      </c>
      <c r="AL1307" s="27"/>
      <c r="AM1307" s="34" t="s">
        <v>25</v>
      </c>
      <c r="AN1307" s="35" t="str">
        <f t="shared" si="103"/>
        <v>✓ OK</v>
      </c>
      <c r="AO1307" s="36"/>
      <c r="AP1307" s="36"/>
      <c r="AQ1307" s="36"/>
      <c r="AR1307" s="36"/>
      <c r="AS1307" s="36"/>
      <c r="AT1307" s="36"/>
      <c r="AU1307" s="27"/>
      <c r="AV1307" s="37"/>
      <c r="AW1307" s="38" t="str">
        <f t="shared" si="104"/>
        <v/>
      </c>
    </row>
    <row r="1308" spans="1:49" ht="18" customHeight="1" x14ac:dyDescent="0.3">
      <c r="A1308" s="39">
        <v>1304</v>
      </c>
      <c r="B1308" s="40" t="s">
        <v>4457</v>
      </c>
      <c r="C1308" s="41" t="s">
        <v>4458</v>
      </c>
      <c r="D1308" s="39" t="s">
        <v>4000</v>
      </c>
      <c r="E1308" s="43">
        <v>46125</v>
      </c>
      <c r="F1308" s="26" t="s">
        <v>23</v>
      </c>
      <c r="G1308" s="26" t="s">
        <v>24</v>
      </c>
      <c r="H1308" s="26" t="s">
        <v>25</v>
      </c>
      <c r="I1308" s="26" t="s">
        <v>26</v>
      </c>
      <c r="J1308" s="26" t="s">
        <v>24</v>
      </c>
      <c r="K1308" s="27"/>
      <c r="L1308" s="28" t="s">
        <v>25</v>
      </c>
      <c r="M1308" s="29" t="str">
        <f t="shared" si="100"/>
        <v>✓ OK</v>
      </c>
      <c r="N1308" s="43">
        <v>46193</v>
      </c>
      <c r="O1308" s="26" t="s">
        <v>23</v>
      </c>
      <c r="P1308" s="26" t="s">
        <v>24</v>
      </c>
      <c r="Q1308" s="26" t="s">
        <v>25</v>
      </c>
      <c r="R1308" s="26" t="s">
        <v>26</v>
      </c>
      <c r="S1308" s="26" t="s">
        <v>24</v>
      </c>
      <c r="T1308" s="27"/>
      <c r="U1308" s="28" t="s">
        <v>25</v>
      </c>
      <c r="V1308" s="29" t="str">
        <f t="shared" si="101"/>
        <v>✓ OK</v>
      </c>
      <c r="W1308" s="45">
        <v>46248</v>
      </c>
      <c r="X1308" s="30" t="s">
        <v>23</v>
      </c>
      <c r="Y1308" s="30" t="s">
        <v>24</v>
      </c>
      <c r="Z1308" s="30" t="s">
        <v>25</v>
      </c>
      <c r="AA1308" s="30" t="s">
        <v>26</v>
      </c>
      <c r="AB1308" s="30" t="s">
        <v>24</v>
      </c>
      <c r="AC1308" s="27"/>
      <c r="AD1308" s="31" t="s">
        <v>25</v>
      </c>
      <c r="AE1308" s="32" t="str">
        <f t="shared" si="102"/>
        <v>✓ OK</v>
      </c>
      <c r="AF1308" s="33" t="s">
        <v>27</v>
      </c>
      <c r="AG1308" s="33" t="s">
        <v>23</v>
      </c>
      <c r="AH1308" s="33" t="s">
        <v>24</v>
      </c>
      <c r="AI1308" s="33" t="s">
        <v>25</v>
      </c>
      <c r="AJ1308" s="33" t="s">
        <v>26</v>
      </c>
      <c r="AK1308" s="33" t="s">
        <v>24</v>
      </c>
      <c r="AL1308" s="27"/>
      <c r="AM1308" s="34" t="s">
        <v>25</v>
      </c>
      <c r="AN1308" s="35" t="str">
        <f t="shared" si="103"/>
        <v>✓ OK</v>
      </c>
      <c r="AO1308" s="36"/>
      <c r="AP1308" s="36"/>
      <c r="AQ1308" s="36"/>
      <c r="AR1308" s="36"/>
      <c r="AS1308" s="36"/>
      <c r="AT1308" s="36"/>
      <c r="AU1308" s="27"/>
      <c r="AV1308" s="37"/>
      <c r="AW1308" s="38" t="str">
        <f t="shared" si="104"/>
        <v/>
      </c>
    </row>
    <row r="1309" spans="1:49" ht="18" customHeight="1" x14ac:dyDescent="0.3">
      <c r="A1309" s="23">
        <v>1305</v>
      </c>
      <c r="B1309" s="24" t="s">
        <v>4459</v>
      </c>
      <c r="C1309" s="25" t="s">
        <v>4460</v>
      </c>
      <c r="D1309" s="23" t="s">
        <v>4000</v>
      </c>
      <c r="E1309" s="43">
        <v>46125</v>
      </c>
      <c r="F1309" s="26" t="s">
        <v>23</v>
      </c>
      <c r="G1309" s="26" t="s">
        <v>24</v>
      </c>
      <c r="H1309" s="26" t="s">
        <v>25</v>
      </c>
      <c r="I1309" s="26" t="s">
        <v>26</v>
      </c>
      <c r="J1309" s="26" t="s">
        <v>24</v>
      </c>
      <c r="K1309" s="27"/>
      <c r="L1309" s="28" t="s">
        <v>25</v>
      </c>
      <c r="M1309" s="29" t="str">
        <f t="shared" si="100"/>
        <v>✓ OK</v>
      </c>
      <c r="N1309" s="43">
        <v>46193</v>
      </c>
      <c r="O1309" s="26" t="s">
        <v>23</v>
      </c>
      <c r="P1309" s="26" t="s">
        <v>24</v>
      </c>
      <c r="Q1309" s="26" t="s">
        <v>25</v>
      </c>
      <c r="R1309" s="26" t="s">
        <v>26</v>
      </c>
      <c r="S1309" s="26" t="s">
        <v>24</v>
      </c>
      <c r="T1309" s="27"/>
      <c r="U1309" s="28" t="s">
        <v>25</v>
      </c>
      <c r="V1309" s="29" t="str">
        <f t="shared" si="101"/>
        <v>✓ OK</v>
      </c>
      <c r="W1309" s="45">
        <v>46248</v>
      </c>
      <c r="X1309" s="30" t="s">
        <v>23</v>
      </c>
      <c r="Y1309" s="30" t="s">
        <v>24</v>
      </c>
      <c r="Z1309" s="30" t="s">
        <v>25</v>
      </c>
      <c r="AA1309" s="30" t="s">
        <v>26</v>
      </c>
      <c r="AB1309" s="30" t="s">
        <v>24</v>
      </c>
      <c r="AC1309" s="27"/>
      <c r="AD1309" s="31" t="s">
        <v>25</v>
      </c>
      <c r="AE1309" s="32" t="str">
        <f t="shared" si="102"/>
        <v>✓ OK</v>
      </c>
      <c r="AF1309" s="33" t="s">
        <v>27</v>
      </c>
      <c r="AG1309" s="33" t="s">
        <v>23</v>
      </c>
      <c r="AH1309" s="33" t="s">
        <v>24</v>
      </c>
      <c r="AI1309" s="33" t="s">
        <v>25</v>
      </c>
      <c r="AJ1309" s="33" t="s">
        <v>26</v>
      </c>
      <c r="AK1309" s="33" t="s">
        <v>24</v>
      </c>
      <c r="AL1309" s="27"/>
      <c r="AM1309" s="34" t="s">
        <v>25</v>
      </c>
      <c r="AN1309" s="35" t="str">
        <f t="shared" si="103"/>
        <v>✓ OK</v>
      </c>
      <c r="AO1309" s="36"/>
      <c r="AP1309" s="36"/>
      <c r="AQ1309" s="36"/>
      <c r="AR1309" s="36"/>
      <c r="AS1309" s="36"/>
      <c r="AT1309" s="36"/>
      <c r="AU1309" s="27"/>
      <c r="AV1309" s="37"/>
      <c r="AW1309" s="38" t="str">
        <f t="shared" si="104"/>
        <v/>
      </c>
    </row>
    <row r="1310" spans="1:49" ht="18" customHeight="1" x14ac:dyDescent="0.3">
      <c r="A1310" s="39">
        <v>1306</v>
      </c>
      <c r="B1310" s="40" t="s">
        <v>4461</v>
      </c>
      <c r="C1310" s="41" t="s">
        <v>4462</v>
      </c>
      <c r="D1310" s="39" t="s">
        <v>4000</v>
      </c>
      <c r="E1310" s="43">
        <v>46125</v>
      </c>
      <c r="F1310" s="26" t="s">
        <v>23</v>
      </c>
      <c r="G1310" s="26" t="s">
        <v>24</v>
      </c>
      <c r="H1310" s="26" t="s">
        <v>25</v>
      </c>
      <c r="I1310" s="26" t="s">
        <v>26</v>
      </c>
      <c r="J1310" s="26" t="s">
        <v>24</v>
      </c>
      <c r="K1310" s="27"/>
      <c r="L1310" s="28" t="s">
        <v>25</v>
      </c>
      <c r="M1310" s="29" t="str">
        <f t="shared" si="100"/>
        <v>✓ OK</v>
      </c>
      <c r="N1310" s="43">
        <v>46193</v>
      </c>
      <c r="O1310" s="26" t="s">
        <v>23</v>
      </c>
      <c r="P1310" s="26" t="s">
        <v>24</v>
      </c>
      <c r="Q1310" s="26" t="s">
        <v>25</v>
      </c>
      <c r="R1310" s="26" t="s">
        <v>26</v>
      </c>
      <c r="S1310" s="26" t="s">
        <v>24</v>
      </c>
      <c r="T1310" s="27"/>
      <c r="U1310" s="28" t="s">
        <v>25</v>
      </c>
      <c r="V1310" s="29" t="str">
        <f t="shared" si="101"/>
        <v>✓ OK</v>
      </c>
      <c r="W1310" s="45">
        <v>46248</v>
      </c>
      <c r="X1310" s="30" t="s">
        <v>23</v>
      </c>
      <c r="Y1310" s="30" t="s">
        <v>24</v>
      </c>
      <c r="Z1310" s="30" t="s">
        <v>25</v>
      </c>
      <c r="AA1310" s="30" t="s">
        <v>26</v>
      </c>
      <c r="AB1310" s="30" t="s">
        <v>24</v>
      </c>
      <c r="AC1310" s="27"/>
      <c r="AD1310" s="31" t="s">
        <v>25</v>
      </c>
      <c r="AE1310" s="32" t="str">
        <f t="shared" si="102"/>
        <v>✓ OK</v>
      </c>
      <c r="AF1310" s="33" t="s">
        <v>27</v>
      </c>
      <c r="AG1310" s="33" t="s">
        <v>23</v>
      </c>
      <c r="AH1310" s="33" t="s">
        <v>24</v>
      </c>
      <c r="AI1310" s="33" t="s">
        <v>25</v>
      </c>
      <c r="AJ1310" s="33" t="s">
        <v>26</v>
      </c>
      <c r="AK1310" s="33" t="s">
        <v>24</v>
      </c>
      <c r="AL1310" s="27"/>
      <c r="AM1310" s="34" t="s">
        <v>25</v>
      </c>
      <c r="AN1310" s="35" t="str">
        <f t="shared" si="103"/>
        <v>✓ OK</v>
      </c>
      <c r="AO1310" s="36"/>
      <c r="AP1310" s="36"/>
      <c r="AQ1310" s="36"/>
      <c r="AR1310" s="36"/>
      <c r="AS1310" s="36"/>
      <c r="AT1310" s="36"/>
      <c r="AU1310" s="27"/>
      <c r="AV1310" s="37"/>
      <c r="AW1310" s="38" t="str">
        <f t="shared" si="104"/>
        <v/>
      </c>
    </row>
    <row r="1311" spans="1:49" ht="18" customHeight="1" x14ac:dyDescent="0.3">
      <c r="A1311" s="23">
        <v>1307</v>
      </c>
      <c r="B1311" s="24" t="s">
        <v>4463</v>
      </c>
      <c r="C1311" s="25" t="s">
        <v>4464</v>
      </c>
      <c r="D1311" s="23" t="s">
        <v>4000</v>
      </c>
      <c r="E1311" s="43">
        <v>46125</v>
      </c>
      <c r="F1311" s="26" t="s">
        <v>23</v>
      </c>
      <c r="G1311" s="26" t="s">
        <v>24</v>
      </c>
      <c r="H1311" s="26" t="s">
        <v>25</v>
      </c>
      <c r="I1311" s="26" t="s">
        <v>26</v>
      </c>
      <c r="J1311" s="26" t="s">
        <v>24</v>
      </c>
      <c r="K1311" s="27"/>
      <c r="L1311" s="28" t="s">
        <v>25</v>
      </c>
      <c r="M1311" s="29" t="str">
        <f t="shared" si="100"/>
        <v>✓ OK</v>
      </c>
      <c r="N1311" s="43">
        <v>46193</v>
      </c>
      <c r="O1311" s="26" t="s">
        <v>23</v>
      </c>
      <c r="P1311" s="26" t="s">
        <v>24</v>
      </c>
      <c r="Q1311" s="26" t="s">
        <v>25</v>
      </c>
      <c r="R1311" s="26" t="s">
        <v>26</v>
      </c>
      <c r="S1311" s="26" t="s">
        <v>24</v>
      </c>
      <c r="T1311" s="27"/>
      <c r="U1311" s="28" t="s">
        <v>25</v>
      </c>
      <c r="V1311" s="29" t="str">
        <f t="shared" si="101"/>
        <v>✓ OK</v>
      </c>
      <c r="W1311" s="45">
        <v>46248</v>
      </c>
      <c r="X1311" s="30" t="s">
        <v>23</v>
      </c>
      <c r="Y1311" s="30" t="s">
        <v>24</v>
      </c>
      <c r="Z1311" s="30" t="s">
        <v>25</v>
      </c>
      <c r="AA1311" s="30" t="s">
        <v>26</v>
      </c>
      <c r="AB1311" s="30" t="s">
        <v>24</v>
      </c>
      <c r="AC1311" s="27"/>
      <c r="AD1311" s="31" t="s">
        <v>25</v>
      </c>
      <c r="AE1311" s="32" t="str">
        <f t="shared" si="102"/>
        <v>✓ OK</v>
      </c>
      <c r="AF1311" s="33" t="s">
        <v>27</v>
      </c>
      <c r="AG1311" s="33" t="s">
        <v>23</v>
      </c>
      <c r="AH1311" s="33" t="s">
        <v>24</v>
      </c>
      <c r="AI1311" s="33" t="s">
        <v>25</v>
      </c>
      <c r="AJ1311" s="33" t="s">
        <v>26</v>
      </c>
      <c r="AK1311" s="33" t="s">
        <v>24</v>
      </c>
      <c r="AL1311" s="27"/>
      <c r="AM1311" s="34" t="s">
        <v>25</v>
      </c>
      <c r="AN1311" s="35" t="str">
        <f t="shared" si="103"/>
        <v>✓ OK</v>
      </c>
      <c r="AO1311" s="36"/>
      <c r="AP1311" s="36"/>
      <c r="AQ1311" s="36"/>
      <c r="AR1311" s="36"/>
      <c r="AS1311" s="36"/>
      <c r="AT1311" s="36"/>
      <c r="AU1311" s="27"/>
      <c r="AV1311" s="37"/>
      <c r="AW1311" s="38" t="str">
        <f t="shared" si="104"/>
        <v/>
      </c>
    </row>
    <row r="1312" spans="1:49" ht="18" customHeight="1" x14ac:dyDescent="0.3">
      <c r="A1312" s="39">
        <v>1308</v>
      </c>
      <c r="B1312" s="40" t="s">
        <v>4465</v>
      </c>
      <c r="C1312" s="41" t="s">
        <v>4466</v>
      </c>
      <c r="D1312" s="39" t="s">
        <v>4000</v>
      </c>
      <c r="E1312" s="43">
        <v>46125</v>
      </c>
      <c r="F1312" s="26" t="s">
        <v>23</v>
      </c>
      <c r="G1312" s="26" t="s">
        <v>24</v>
      </c>
      <c r="H1312" s="26" t="s">
        <v>25</v>
      </c>
      <c r="I1312" s="26" t="s">
        <v>26</v>
      </c>
      <c r="J1312" s="26" t="s">
        <v>24</v>
      </c>
      <c r="K1312" s="27"/>
      <c r="L1312" s="28" t="s">
        <v>25</v>
      </c>
      <c r="M1312" s="29" t="str">
        <f t="shared" si="100"/>
        <v>✓ OK</v>
      </c>
      <c r="N1312" s="43">
        <v>46193</v>
      </c>
      <c r="O1312" s="26" t="s">
        <v>23</v>
      </c>
      <c r="P1312" s="26" t="s">
        <v>24</v>
      </c>
      <c r="Q1312" s="26" t="s">
        <v>25</v>
      </c>
      <c r="R1312" s="26" t="s">
        <v>26</v>
      </c>
      <c r="S1312" s="26" t="s">
        <v>24</v>
      </c>
      <c r="T1312" s="27"/>
      <c r="U1312" s="28" t="s">
        <v>25</v>
      </c>
      <c r="V1312" s="29" t="str">
        <f t="shared" si="101"/>
        <v>✓ OK</v>
      </c>
      <c r="W1312" s="45">
        <v>46248</v>
      </c>
      <c r="X1312" s="30" t="s">
        <v>23</v>
      </c>
      <c r="Y1312" s="30" t="s">
        <v>24</v>
      </c>
      <c r="Z1312" s="30" t="s">
        <v>25</v>
      </c>
      <c r="AA1312" s="30" t="s">
        <v>26</v>
      </c>
      <c r="AB1312" s="30" t="s">
        <v>24</v>
      </c>
      <c r="AC1312" s="27"/>
      <c r="AD1312" s="31" t="s">
        <v>25</v>
      </c>
      <c r="AE1312" s="32" t="str">
        <f t="shared" si="102"/>
        <v>✓ OK</v>
      </c>
      <c r="AF1312" s="33" t="s">
        <v>27</v>
      </c>
      <c r="AG1312" s="33" t="s">
        <v>23</v>
      </c>
      <c r="AH1312" s="33" t="s">
        <v>24</v>
      </c>
      <c r="AI1312" s="33" t="s">
        <v>25</v>
      </c>
      <c r="AJ1312" s="33" t="s">
        <v>26</v>
      </c>
      <c r="AK1312" s="33" t="s">
        <v>24</v>
      </c>
      <c r="AL1312" s="27"/>
      <c r="AM1312" s="34" t="s">
        <v>25</v>
      </c>
      <c r="AN1312" s="35" t="str">
        <f t="shared" si="103"/>
        <v>✓ OK</v>
      </c>
      <c r="AO1312" s="36"/>
      <c r="AP1312" s="36"/>
      <c r="AQ1312" s="36"/>
      <c r="AR1312" s="36"/>
      <c r="AS1312" s="36"/>
      <c r="AT1312" s="36"/>
      <c r="AU1312" s="27"/>
      <c r="AV1312" s="37"/>
      <c r="AW1312" s="38" t="str">
        <f t="shared" si="104"/>
        <v/>
      </c>
    </row>
    <row r="1313" spans="1:49" ht="18" customHeight="1" x14ac:dyDescent="0.3">
      <c r="A1313" s="23">
        <v>1309</v>
      </c>
      <c r="B1313" s="24" t="s">
        <v>4467</v>
      </c>
      <c r="C1313" s="25" t="s">
        <v>4468</v>
      </c>
      <c r="D1313" s="23" t="s">
        <v>4000</v>
      </c>
      <c r="E1313" s="43">
        <v>46125</v>
      </c>
      <c r="F1313" s="26" t="s">
        <v>23</v>
      </c>
      <c r="G1313" s="26" t="s">
        <v>24</v>
      </c>
      <c r="H1313" s="26" t="s">
        <v>25</v>
      </c>
      <c r="I1313" s="26" t="s">
        <v>26</v>
      </c>
      <c r="J1313" s="26" t="s">
        <v>24</v>
      </c>
      <c r="K1313" s="27"/>
      <c r="L1313" s="28" t="s">
        <v>25</v>
      </c>
      <c r="M1313" s="29" t="str">
        <f t="shared" si="100"/>
        <v>✓ OK</v>
      </c>
      <c r="N1313" s="43">
        <v>46193</v>
      </c>
      <c r="O1313" s="26" t="s">
        <v>23</v>
      </c>
      <c r="P1313" s="26" t="s">
        <v>24</v>
      </c>
      <c r="Q1313" s="26" t="s">
        <v>25</v>
      </c>
      <c r="R1313" s="26" t="s">
        <v>26</v>
      </c>
      <c r="S1313" s="26" t="s">
        <v>24</v>
      </c>
      <c r="T1313" s="27"/>
      <c r="U1313" s="28" t="s">
        <v>25</v>
      </c>
      <c r="V1313" s="29" t="str">
        <f t="shared" si="101"/>
        <v>✓ OK</v>
      </c>
      <c r="W1313" s="45">
        <v>46248</v>
      </c>
      <c r="X1313" s="30" t="s">
        <v>23</v>
      </c>
      <c r="Y1313" s="30" t="s">
        <v>24</v>
      </c>
      <c r="Z1313" s="30" t="s">
        <v>25</v>
      </c>
      <c r="AA1313" s="30" t="s">
        <v>26</v>
      </c>
      <c r="AB1313" s="30" t="s">
        <v>24</v>
      </c>
      <c r="AC1313" s="27"/>
      <c r="AD1313" s="31" t="s">
        <v>25</v>
      </c>
      <c r="AE1313" s="32" t="str">
        <f t="shared" si="102"/>
        <v>✓ OK</v>
      </c>
      <c r="AF1313" s="33" t="s">
        <v>27</v>
      </c>
      <c r="AG1313" s="33" t="s">
        <v>23</v>
      </c>
      <c r="AH1313" s="33" t="s">
        <v>24</v>
      </c>
      <c r="AI1313" s="33" t="s">
        <v>25</v>
      </c>
      <c r="AJ1313" s="33" t="s">
        <v>26</v>
      </c>
      <c r="AK1313" s="33" t="s">
        <v>24</v>
      </c>
      <c r="AL1313" s="27"/>
      <c r="AM1313" s="34" t="s">
        <v>25</v>
      </c>
      <c r="AN1313" s="35" t="str">
        <f t="shared" si="103"/>
        <v>✓ OK</v>
      </c>
      <c r="AO1313" s="36"/>
      <c r="AP1313" s="36"/>
      <c r="AQ1313" s="36"/>
      <c r="AR1313" s="36"/>
      <c r="AS1313" s="36"/>
      <c r="AT1313" s="36"/>
      <c r="AU1313" s="27"/>
      <c r="AV1313" s="37"/>
      <c r="AW1313" s="38" t="str">
        <f t="shared" si="104"/>
        <v/>
      </c>
    </row>
    <row r="1314" spans="1:49" ht="18" customHeight="1" x14ac:dyDescent="0.3">
      <c r="A1314" s="39">
        <v>1310</v>
      </c>
      <c r="B1314" s="40" t="s">
        <v>4469</v>
      </c>
      <c r="C1314" s="41" t="s">
        <v>4470</v>
      </c>
      <c r="D1314" s="39" t="s">
        <v>4000</v>
      </c>
      <c r="E1314" s="43">
        <v>46125</v>
      </c>
      <c r="F1314" s="26" t="s">
        <v>23</v>
      </c>
      <c r="G1314" s="26" t="s">
        <v>24</v>
      </c>
      <c r="H1314" s="26" t="s">
        <v>25</v>
      </c>
      <c r="I1314" s="26" t="s">
        <v>26</v>
      </c>
      <c r="J1314" s="26" t="s">
        <v>24</v>
      </c>
      <c r="K1314" s="27"/>
      <c r="L1314" s="28" t="s">
        <v>25</v>
      </c>
      <c r="M1314" s="29" t="str">
        <f t="shared" si="100"/>
        <v>✓ OK</v>
      </c>
      <c r="N1314" s="43">
        <v>46193</v>
      </c>
      <c r="O1314" s="26" t="s">
        <v>23</v>
      </c>
      <c r="P1314" s="26" t="s">
        <v>24</v>
      </c>
      <c r="Q1314" s="26" t="s">
        <v>25</v>
      </c>
      <c r="R1314" s="26" t="s">
        <v>26</v>
      </c>
      <c r="S1314" s="26" t="s">
        <v>24</v>
      </c>
      <c r="T1314" s="27"/>
      <c r="U1314" s="28" t="s">
        <v>25</v>
      </c>
      <c r="V1314" s="29" t="str">
        <f t="shared" si="101"/>
        <v>✓ OK</v>
      </c>
      <c r="W1314" s="45">
        <v>46248</v>
      </c>
      <c r="X1314" s="30" t="s">
        <v>23</v>
      </c>
      <c r="Y1314" s="30" t="s">
        <v>24</v>
      </c>
      <c r="Z1314" s="30" t="s">
        <v>25</v>
      </c>
      <c r="AA1314" s="30" t="s">
        <v>26</v>
      </c>
      <c r="AB1314" s="30" t="s">
        <v>24</v>
      </c>
      <c r="AC1314" s="27"/>
      <c r="AD1314" s="31" t="s">
        <v>25</v>
      </c>
      <c r="AE1314" s="32" t="str">
        <f t="shared" si="102"/>
        <v>✓ OK</v>
      </c>
      <c r="AF1314" s="33" t="s">
        <v>27</v>
      </c>
      <c r="AG1314" s="33" t="s">
        <v>23</v>
      </c>
      <c r="AH1314" s="33" t="s">
        <v>24</v>
      </c>
      <c r="AI1314" s="33" t="s">
        <v>25</v>
      </c>
      <c r="AJ1314" s="33" t="s">
        <v>26</v>
      </c>
      <c r="AK1314" s="33" t="s">
        <v>24</v>
      </c>
      <c r="AL1314" s="27"/>
      <c r="AM1314" s="34" t="s">
        <v>25</v>
      </c>
      <c r="AN1314" s="35" t="str">
        <f t="shared" si="103"/>
        <v>✓ OK</v>
      </c>
      <c r="AO1314" s="36"/>
      <c r="AP1314" s="36"/>
      <c r="AQ1314" s="36"/>
      <c r="AR1314" s="36"/>
      <c r="AS1314" s="36"/>
      <c r="AT1314" s="36"/>
      <c r="AU1314" s="27"/>
      <c r="AV1314" s="37"/>
      <c r="AW1314" s="38" t="str">
        <f t="shared" si="104"/>
        <v/>
      </c>
    </row>
    <row r="1315" spans="1:49" ht="18" customHeight="1" x14ac:dyDescent="0.3">
      <c r="A1315" s="23">
        <v>1311</v>
      </c>
      <c r="B1315" s="24" t="s">
        <v>4471</v>
      </c>
      <c r="C1315" s="25" t="s">
        <v>4472</v>
      </c>
      <c r="D1315" s="23" t="s">
        <v>4000</v>
      </c>
      <c r="E1315" s="43">
        <v>46125</v>
      </c>
      <c r="F1315" s="26" t="s">
        <v>23</v>
      </c>
      <c r="G1315" s="26" t="s">
        <v>24</v>
      </c>
      <c r="H1315" s="26" t="s">
        <v>25</v>
      </c>
      <c r="I1315" s="26" t="s">
        <v>26</v>
      </c>
      <c r="J1315" s="26" t="s">
        <v>24</v>
      </c>
      <c r="K1315" s="27"/>
      <c r="L1315" s="28" t="s">
        <v>25</v>
      </c>
      <c r="M1315" s="29" t="str">
        <f t="shared" si="100"/>
        <v>✓ OK</v>
      </c>
      <c r="N1315" s="43">
        <v>46193</v>
      </c>
      <c r="O1315" s="26" t="s">
        <v>23</v>
      </c>
      <c r="P1315" s="26" t="s">
        <v>24</v>
      </c>
      <c r="Q1315" s="26" t="s">
        <v>25</v>
      </c>
      <c r="R1315" s="26" t="s">
        <v>26</v>
      </c>
      <c r="S1315" s="26" t="s">
        <v>24</v>
      </c>
      <c r="T1315" s="27"/>
      <c r="U1315" s="28" t="s">
        <v>25</v>
      </c>
      <c r="V1315" s="29" t="str">
        <f t="shared" si="101"/>
        <v>✓ OK</v>
      </c>
      <c r="W1315" s="45">
        <v>46248</v>
      </c>
      <c r="X1315" s="30" t="s">
        <v>23</v>
      </c>
      <c r="Y1315" s="30" t="s">
        <v>24</v>
      </c>
      <c r="Z1315" s="30" t="s">
        <v>25</v>
      </c>
      <c r="AA1315" s="30" t="s">
        <v>26</v>
      </c>
      <c r="AB1315" s="30" t="s">
        <v>24</v>
      </c>
      <c r="AC1315" s="27"/>
      <c r="AD1315" s="31" t="s">
        <v>25</v>
      </c>
      <c r="AE1315" s="32" t="str">
        <f t="shared" si="102"/>
        <v>✓ OK</v>
      </c>
      <c r="AF1315" s="33" t="s">
        <v>27</v>
      </c>
      <c r="AG1315" s="33" t="s">
        <v>23</v>
      </c>
      <c r="AH1315" s="33" t="s">
        <v>24</v>
      </c>
      <c r="AI1315" s="33" t="s">
        <v>25</v>
      </c>
      <c r="AJ1315" s="33" t="s">
        <v>26</v>
      </c>
      <c r="AK1315" s="33" t="s">
        <v>24</v>
      </c>
      <c r="AL1315" s="27"/>
      <c r="AM1315" s="34" t="s">
        <v>25</v>
      </c>
      <c r="AN1315" s="35" t="str">
        <f t="shared" si="103"/>
        <v>✓ OK</v>
      </c>
      <c r="AO1315" s="36"/>
      <c r="AP1315" s="36"/>
      <c r="AQ1315" s="36"/>
      <c r="AR1315" s="36"/>
      <c r="AS1315" s="36"/>
      <c r="AT1315" s="36"/>
      <c r="AU1315" s="27"/>
      <c r="AV1315" s="37"/>
      <c r="AW1315" s="38" t="str">
        <f t="shared" si="104"/>
        <v/>
      </c>
    </row>
    <row r="1316" spans="1:49" ht="18" customHeight="1" x14ac:dyDescent="0.3">
      <c r="A1316" s="39">
        <v>1312</v>
      </c>
      <c r="B1316" s="40" t="s">
        <v>4473</v>
      </c>
      <c r="C1316" s="41" t="s">
        <v>4474</v>
      </c>
      <c r="D1316" s="39" t="s">
        <v>4000</v>
      </c>
      <c r="E1316" s="43">
        <v>46125</v>
      </c>
      <c r="F1316" s="26" t="s">
        <v>23</v>
      </c>
      <c r="G1316" s="26" t="s">
        <v>24</v>
      </c>
      <c r="H1316" s="26" t="s">
        <v>25</v>
      </c>
      <c r="I1316" s="26" t="s">
        <v>26</v>
      </c>
      <c r="J1316" s="26" t="s">
        <v>24</v>
      </c>
      <c r="K1316" s="27"/>
      <c r="L1316" s="28" t="s">
        <v>25</v>
      </c>
      <c r="M1316" s="29" t="str">
        <f t="shared" si="100"/>
        <v>✓ OK</v>
      </c>
      <c r="N1316" s="43">
        <v>46193</v>
      </c>
      <c r="O1316" s="26" t="s">
        <v>23</v>
      </c>
      <c r="P1316" s="26" t="s">
        <v>24</v>
      </c>
      <c r="Q1316" s="26" t="s">
        <v>25</v>
      </c>
      <c r="R1316" s="26" t="s">
        <v>26</v>
      </c>
      <c r="S1316" s="26" t="s">
        <v>24</v>
      </c>
      <c r="T1316" s="27"/>
      <c r="U1316" s="28" t="s">
        <v>25</v>
      </c>
      <c r="V1316" s="29" t="str">
        <f t="shared" si="101"/>
        <v>✓ OK</v>
      </c>
      <c r="W1316" s="45">
        <v>46248</v>
      </c>
      <c r="X1316" s="30" t="s">
        <v>23</v>
      </c>
      <c r="Y1316" s="30" t="s">
        <v>24</v>
      </c>
      <c r="Z1316" s="30" t="s">
        <v>25</v>
      </c>
      <c r="AA1316" s="30" t="s">
        <v>26</v>
      </c>
      <c r="AB1316" s="30" t="s">
        <v>24</v>
      </c>
      <c r="AC1316" s="27"/>
      <c r="AD1316" s="31" t="s">
        <v>25</v>
      </c>
      <c r="AE1316" s="32" t="str">
        <f t="shared" si="102"/>
        <v>✓ OK</v>
      </c>
      <c r="AF1316" s="33" t="s">
        <v>27</v>
      </c>
      <c r="AG1316" s="33" t="s">
        <v>23</v>
      </c>
      <c r="AH1316" s="33" t="s">
        <v>24</v>
      </c>
      <c r="AI1316" s="33" t="s">
        <v>25</v>
      </c>
      <c r="AJ1316" s="33" t="s">
        <v>26</v>
      </c>
      <c r="AK1316" s="33" t="s">
        <v>24</v>
      </c>
      <c r="AL1316" s="27"/>
      <c r="AM1316" s="34" t="s">
        <v>25</v>
      </c>
      <c r="AN1316" s="35" t="str">
        <f t="shared" si="103"/>
        <v>✓ OK</v>
      </c>
      <c r="AO1316" s="36"/>
      <c r="AP1316" s="36"/>
      <c r="AQ1316" s="36"/>
      <c r="AR1316" s="36"/>
      <c r="AS1316" s="36"/>
      <c r="AT1316" s="36"/>
      <c r="AU1316" s="27"/>
      <c r="AV1316" s="37"/>
      <c r="AW1316" s="38" t="str">
        <f t="shared" si="104"/>
        <v/>
      </c>
    </row>
    <row r="1317" spans="1:49" ht="18" customHeight="1" x14ac:dyDescent="0.3">
      <c r="A1317" s="23">
        <v>1313</v>
      </c>
      <c r="B1317" s="24" t="s">
        <v>4475</v>
      </c>
      <c r="C1317" s="25" t="s">
        <v>4476</v>
      </c>
      <c r="D1317" s="23" t="s">
        <v>4000</v>
      </c>
      <c r="E1317" s="43">
        <v>46125</v>
      </c>
      <c r="F1317" s="26" t="s">
        <v>23</v>
      </c>
      <c r="G1317" s="26" t="s">
        <v>24</v>
      </c>
      <c r="H1317" s="26" t="s">
        <v>25</v>
      </c>
      <c r="I1317" s="26" t="s">
        <v>26</v>
      </c>
      <c r="J1317" s="26" t="s">
        <v>24</v>
      </c>
      <c r="K1317" s="27"/>
      <c r="L1317" s="28" t="s">
        <v>25</v>
      </c>
      <c r="M1317" s="29" t="str">
        <f t="shared" si="100"/>
        <v>✓ OK</v>
      </c>
      <c r="N1317" s="43">
        <v>46193</v>
      </c>
      <c r="O1317" s="26" t="s">
        <v>23</v>
      </c>
      <c r="P1317" s="26" t="s">
        <v>24</v>
      </c>
      <c r="Q1317" s="26" t="s">
        <v>25</v>
      </c>
      <c r="R1317" s="26" t="s">
        <v>26</v>
      </c>
      <c r="S1317" s="26" t="s">
        <v>24</v>
      </c>
      <c r="T1317" s="27"/>
      <c r="U1317" s="28" t="s">
        <v>25</v>
      </c>
      <c r="V1317" s="29" t="str">
        <f t="shared" si="101"/>
        <v>✓ OK</v>
      </c>
      <c r="W1317" s="45">
        <v>46248</v>
      </c>
      <c r="X1317" s="30" t="s">
        <v>23</v>
      </c>
      <c r="Y1317" s="30" t="s">
        <v>24</v>
      </c>
      <c r="Z1317" s="30" t="s">
        <v>25</v>
      </c>
      <c r="AA1317" s="30" t="s">
        <v>26</v>
      </c>
      <c r="AB1317" s="30" t="s">
        <v>24</v>
      </c>
      <c r="AC1317" s="27"/>
      <c r="AD1317" s="31" t="s">
        <v>25</v>
      </c>
      <c r="AE1317" s="32" t="str">
        <f t="shared" si="102"/>
        <v>✓ OK</v>
      </c>
      <c r="AF1317" s="33" t="s">
        <v>27</v>
      </c>
      <c r="AG1317" s="33" t="s">
        <v>23</v>
      </c>
      <c r="AH1317" s="33" t="s">
        <v>24</v>
      </c>
      <c r="AI1317" s="33" t="s">
        <v>25</v>
      </c>
      <c r="AJ1317" s="33" t="s">
        <v>26</v>
      </c>
      <c r="AK1317" s="33" t="s">
        <v>24</v>
      </c>
      <c r="AL1317" s="27"/>
      <c r="AM1317" s="34" t="s">
        <v>25</v>
      </c>
      <c r="AN1317" s="35" t="str">
        <f t="shared" si="103"/>
        <v>✓ OK</v>
      </c>
      <c r="AO1317" s="36"/>
      <c r="AP1317" s="36"/>
      <c r="AQ1317" s="36"/>
      <c r="AR1317" s="36"/>
      <c r="AS1317" s="36"/>
      <c r="AT1317" s="36"/>
      <c r="AU1317" s="27"/>
      <c r="AV1317" s="37"/>
      <c r="AW1317" s="38" t="str">
        <f t="shared" si="104"/>
        <v/>
      </c>
    </row>
    <row r="1318" spans="1:49" ht="18" customHeight="1" x14ac:dyDescent="0.3">
      <c r="A1318" s="39">
        <v>1314</v>
      </c>
      <c r="B1318" s="40" t="s">
        <v>4477</v>
      </c>
      <c r="C1318" s="41" t="s">
        <v>4478</v>
      </c>
      <c r="D1318" s="39" t="s">
        <v>4000</v>
      </c>
      <c r="E1318" s="43">
        <v>46125</v>
      </c>
      <c r="F1318" s="26" t="s">
        <v>23</v>
      </c>
      <c r="G1318" s="26" t="s">
        <v>24</v>
      </c>
      <c r="H1318" s="26" t="s">
        <v>25</v>
      </c>
      <c r="I1318" s="26" t="s">
        <v>26</v>
      </c>
      <c r="J1318" s="26" t="s">
        <v>24</v>
      </c>
      <c r="K1318" s="27"/>
      <c r="L1318" s="28" t="s">
        <v>25</v>
      </c>
      <c r="M1318" s="29" t="str">
        <f t="shared" si="100"/>
        <v>✓ OK</v>
      </c>
      <c r="N1318" s="43">
        <v>46193</v>
      </c>
      <c r="O1318" s="26" t="s">
        <v>23</v>
      </c>
      <c r="P1318" s="26" t="s">
        <v>24</v>
      </c>
      <c r="Q1318" s="26" t="s">
        <v>25</v>
      </c>
      <c r="R1318" s="26" t="s">
        <v>26</v>
      </c>
      <c r="S1318" s="26" t="s">
        <v>24</v>
      </c>
      <c r="T1318" s="27"/>
      <c r="U1318" s="28" t="s">
        <v>25</v>
      </c>
      <c r="V1318" s="29" t="str">
        <f t="shared" si="101"/>
        <v>✓ OK</v>
      </c>
      <c r="W1318" s="45">
        <v>46248</v>
      </c>
      <c r="X1318" s="30" t="s">
        <v>23</v>
      </c>
      <c r="Y1318" s="30" t="s">
        <v>24</v>
      </c>
      <c r="Z1318" s="30" t="s">
        <v>25</v>
      </c>
      <c r="AA1318" s="30" t="s">
        <v>26</v>
      </c>
      <c r="AB1318" s="30" t="s">
        <v>24</v>
      </c>
      <c r="AC1318" s="27"/>
      <c r="AD1318" s="31" t="s">
        <v>25</v>
      </c>
      <c r="AE1318" s="32" t="str">
        <f t="shared" si="102"/>
        <v>✓ OK</v>
      </c>
      <c r="AF1318" s="33" t="s">
        <v>27</v>
      </c>
      <c r="AG1318" s="33" t="s">
        <v>23</v>
      </c>
      <c r="AH1318" s="33" t="s">
        <v>24</v>
      </c>
      <c r="AI1318" s="33" t="s">
        <v>25</v>
      </c>
      <c r="AJ1318" s="33" t="s">
        <v>26</v>
      </c>
      <c r="AK1318" s="33" t="s">
        <v>24</v>
      </c>
      <c r="AL1318" s="27"/>
      <c r="AM1318" s="34" t="s">
        <v>25</v>
      </c>
      <c r="AN1318" s="35" t="str">
        <f t="shared" si="103"/>
        <v>✓ OK</v>
      </c>
      <c r="AO1318" s="36"/>
      <c r="AP1318" s="36"/>
      <c r="AQ1318" s="36"/>
      <c r="AR1318" s="36"/>
      <c r="AS1318" s="36"/>
      <c r="AT1318" s="36"/>
      <c r="AU1318" s="27"/>
      <c r="AV1318" s="37"/>
      <c r="AW1318" s="38" t="str">
        <f t="shared" si="104"/>
        <v/>
      </c>
    </row>
    <row r="1319" spans="1:49" ht="18" customHeight="1" x14ac:dyDescent="0.3">
      <c r="A1319" s="23">
        <v>1315</v>
      </c>
      <c r="B1319" s="24" t="s">
        <v>4479</v>
      </c>
      <c r="C1319" s="25" t="s">
        <v>4480</v>
      </c>
      <c r="D1319" s="23" t="s">
        <v>4000</v>
      </c>
      <c r="E1319" s="43">
        <v>46125</v>
      </c>
      <c r="F1319" s="26" t="s">
        <v>23</v>
      </c>
      <c r="G1319" s="26" t="s">
        <v>24</v>
      </c>
      <c r="H1319" s="26" t="s">
        <v>25</v>
      </c>
      <c r="I1319" s="26" t="s">
        <v>26</v>
      </c>
      <c r="J1319" s="26" t="s">
        <v>24</v>
      </c>
      <c r="K1319" s="27"/>
      <c r="L1319" s="28" t="s">
        <v>25</v>
      </c>
      <c r="M1319" s="29" t="str">
        <f t="shared" si="100"/>
        <v>✓ OK</v>
      </c>
      <c r="N1319" s="43">
        <v>46193</v>
      </c>
      <c r="O1319" s="26" t="s">
        <v>23</v>
      </c>
      <c r="P1319" s="26" t="s">
        <v>24</v>
      </c>
      <c r="Q1319" s="26" t="s">
        <v>25</v>
      </c>
      <c r="R1319" s="26" t="s">
        <v>26</v>
      </c>
      <c r="S1319" s="26" t="s">
        <v>24</v>
      </c>
      <c r="T1319" s="27"/>
      <c r="U1319" s="28" t="s">
        <v>25</v>
      </c>
      <c r="V1319" s="29" t="str">
        <f t="shared" si="101"/>
        <v>✓ OK</v>
      </c>
      <c r="W1319" s="45">
        <v>46248</v>
      </c>
      <c r="X1319" s="30" t="s">
        <v>23</v>
      </c>
      <c r="Y1319" s="30" t="s">
        <v>24</v>
      </c>
      <c r="Z1319" s="30" t="s">
        <v>25</v>
      </c>
      <c r="AA1319" s="30" t="s">
        <v>26</v>
      </c>
      <c r="AB1319" s="30" t="s">
        <v>24</v>
      </c>
      <c r="AC1319" s="27"/>
      <c r="AD1319" s="31" t="s">
        <v>25</v>
      </c>
      <c r="AE1319" s="32" t="str">
        <f t="shared" si="102"/>
        <v>✓ OK</v>
      </c>
      <c r="AF1319" s="33" t="s">
        <v>27</v>
      </c>
      <c r="AG1319" s="33" t="s">
        <v>23</v>
      </c>
      <c r="AH1319" s="33" t="s">
        <v>24</v>
      </c>
      <c r="AI1319" s="33" t="s">
        <v>25</v>
      </c>
      <c r="AJ1319" s="33" t="s">
        <v>26</v>
      </c>
      <c r="AK1319" s="33" t="s">
        <v>24</v>
      </c>
      <c r="AL1319" s="27"/>
      <c r="AM1319" s="34" t="s">
        <v>25</v>
      </c>
      <c r="AN1319" s="35" t="str">
        <f t="shared" si="103"/>
        <v>✓ OK</v>
      </c>
      <c r="AO1319" s="36"/>
      <c r="AP1319" s="36"/>
      <c r="AQ1319" s="36"/>
      <c r="AR1319" s="36"/>
      <c r="AS1319" s="36"/>
      <c r="AT1319" s="36"/>
      <c r="AU1319" s="27"/>
      <c r="AV1319" s="37"/>
      <c r="AW1319" s="38" t="str">
        <f t="shared" si="104"/>
        <v/>
      </c>
    </row>
    <row r="1320" spans="1:49" ht="18" customHeight="1" x14ac:dyDescent="0.3">
      <c r="A1320" s="39">
        <v>1316</v>
      </c>
      <c r="B1320" s="40" t="s">
        <v>4481</v>
      </c>
      <c r="C1320" s="41" t="s">
        <v>4482</v>
      </c>
      <c r="D1320" s="39" t="s">
        <v>4000</v>
      </c>
      <c r="E1320" s="43">
        <v>46125</v>
      </c>
      <c r="F1320" s="26" t="s">
        <v>23</v>
      </c>
      <c r="G1320" s="26" t="s">
        <v>24</v>
      </c>
      <c r="H1320" s="26" t="s">
        <v>25</v>
      </c>
      <c r="I1320" s="26" t="s">
        <v>26</v>
      </c>
      <c r="J1320" s="26" t="s">
        <v>24</v>
      </c>
      <c r="K1320" s="27"/>
      <c r="L1320" s="28" t="s">
        <v>25</v>
      </c>
      <c r="M1320" s="29" t="str">
        <f t="shared" si="100"/>
        <v>✓ OK</v>
      </c>
      <c r="N1320" s="43">
        <v>46193</v>
      </c>
      <c r="O1320" s="26" t="s">
        <v>23</v>
      </c>
      <c r="P1320" s="26" t="s">
        <v>24</v>
      </c>
      <c r="Q1320" s="26" t="s">
        <v>25</v>
      </c>
      <c r="R1320" s="26" t="s">
        <v>26</v>
      </c>
      <c r="S1320" s="26" t="s">
        <v>24</v>
      </c>
      <c r="T1320" s="27"/>
      <c r="U1320" s="28" t="s">
        <v>25</v>
      </c>
      <c r="V1320" s="29" t="str">
        <f t="shared" si="101"/>
        <v>✓ OK</v>
      </c>
      <c r="W1320" s="45">
        <v>46248</v>
      </c>
      <c r="X1320" s="30" t="s">
        <v>23</v>
      </c>
      <c r="Y1320" s="30" t="s">
        <v>24</v>
      </c>
      <c r="Z1320" s="30" t="s">
        <v>25</v>
      </c>
      <c r="AA1320" s="30" t="s">
        <v>26</v>
      </c>
      <c r="AB1320" s="30" t="s">
        <v>24</v>
      </c>
      <c r="AC1320" s="27"/>
      <c r="AD1320" s="31" t="s">
        <v>25</v>
      </c>
      <c r="AE1320" s="32" t="str">
        <f t="shared" si="102"/>
        <v>✓ OK</v>
      </c>
      <c r="AF1320" s="33" t="s">
        <v>27</v>
      </c>
      <c r="AG1320" s="33" t="s">
        <v>23</v>
      </c>
      <c r="AH1320" s="33" t="s">
        <v>24</v>
      </c>
      <c r="AI1320" s="33" t="s">
        <v>25</v>
      </c>
      <c r="AJ1320" s="33" t="s">
        <v>26</v>
      </c>
      <c r="AK1320" s="33" t="s">
        <v>24</v>
      </c>
      <c r="AL1320" s="27"/>
      <c r="AM1320" s="34" t="s">
        <v>25</v>
      </c>
      <c r="AN1320" s="35" t="str">
        <f t="shared" si="103"/>
        <v>✓ OK</v>
      </c>
      <c r="AO1320" s="36"/>
      <c r="AP1320" s="36"/>
      <c r="AQ1320" s="36"/>
      <c r="AR1320" s="36"/>
      <c r="AS1320" s="36"/>
      <c r="AT1320" s="36"/>
      <c r="AU1320" s="27"/>
      <c r="AV1320" s="37"/>
      <c r="AW1320" s="38" t="str">
        <f t="shared" si="104"/>
        <v/>
      </c>
    </row>
    <row r="1321" spans="1:49" ht="18" customHeight="1" x14ac:dyDescent="0.3">
      <c r="A1321" s="23">
        <v>1317</v>
      </c>
      <c r="B1321" s="24" t="s">
        <v>4483</v>
      </c>
      <c r="C1321" s="25" t="s">
        <v>4484</v>
      </c>
      <c r="D1321" s="23" t="s">
        <v>4000</v>
      </c>
      <c r="E1321" s="43">
        <v>46125</v>
      </c>
      <c r="F1321" s="26" t="s">
        <v>23</v>
      </c>
      <c r="G1321" s="26" t="s">
        <v>24</v>
      </c>
      <c r="H1321" s="26" t="s">
        <v>25</v>
      </c>
      <c r="I1321" s="26" t="s">
        <v>26</v>
      </c>
      <c r="J1321" s="26" t="s">
        <v>24</v>
      </c>
      <c r="K1321" s="27"/>
      <c r="L1321" s="28" t="s">
        <v>25</v>
      </c>
      <c r="M1321" s="29" t="str">
        <f t="shared" si="100"/>
        <v>✓ OK</v>
      </c>
      <c r="N1321" s="43">
        <v>46193</v>
      </c>
      <c r="O1321" s="26" t="s">
        <v>23</v>
      </c>
      <c r="P1321" s="26" t="s">
        <v>24</v>
      </c>
      <c r="Q1321" s="26" t="s">
        <v>25</v>
      </c>
      <c r="R1321" s="26" t="s">
        <v>26</v>
      </c>
      <c r="S1321" s="26" t="s">
        <v>24</v>
      </c>
      <c r="T1321" s="27"/>
      <c r="U1321" s="28" t="s">
        <v>25</v>
      </c>
      <c r="V1321" s="29" t="str">
        <f t="shared" si="101"/>
        <v>✓ OK</v>
      </c>
      <c r="W1321" s="45">
        <v>46248</v>
      </c>
      <c r="X1321" s="30" t="s">
        <v>23</v>
      </c>
      <c r="Y1321" s="30" t="s">
        <v>24</v>
      </c>
      <c r="Z1321" s="30" t="s">
        <v>25</v>
      </c>
      <c r="AA1321" s="30" t="s">
        <v>26</v>
      </c>
      <c r="AB1321" s="30" t="s">
        <v>24</v>
      </c>
      <c r="AC1321" s="27"/>
      <c r="AD1321" s="31" t="s">
        <v>25</v>
      </c>
      <c r="AE1321" s="32" t="str">
        <f t="shared" si="102"/>
        <v>✓ OK</v>
      </c>
      <c r="AF1321" s="33" t="s">
        <v>27</v>
      </c>
      <c r="AG1321" s="33" t="s">
        <v>23</v>
      </c>
      <c r="AH1321" s="33" t="s">
        <v>24</v>
      </c>
      <c r="AI1321" s="33" t="s">
        <v>25</v>
      </c>
      <c r="AJ1321" s="33" t="s">
        <v>26</v>
      </c>
      <c r="AK1321" s="33" t="s">
        <v>24</v>
      </c>
      <c r="AL1321" s="27"/>
      <c r="AM1321" s="34" t="s">
        <v>25</v>
      </c>
      <c r="AN1321" s="35" t="str">
        <f t="shared" si="103"/>
        <v>✓ OK</v>
      </c>
      <c r="AO1321" s="36"/>
      <c r="AP1321" s="36"/>
      <c r="AQ1321" s="36"/>
      <c r="AR1321" s="36"/>
      <c r="AS1321" s="36"/>
      <c r="AT1321" s="36"/>
      <c r="AU1321" s="27"/>
      <c r="AV1321" s="37"/>
      <c r="AW1321" s="38" t="str">
        <f t="shared" si="104"/>
        <v/>
      </c>
    </row>
    <row r="1322" spans="1:49" ht="18" customHeight="1" x14ac:dyDescent="0.3">
      <c r="A1322" s="39">
        <v>1318</v>
      </c>
      <c r="B1322" s="40" t="s">
        <v>4485</v>
      </c>
      <c r="C1322" s="41" t="s">
        <v>4486</v>
      </c>
      <c r="D1322" s="39" t="s">
        <v>4000</v>
      </c>
      <c r="E1322" s="43">
        <v>46125</v>
      </c>
      <c r="F1322" s="26" t="s">
        <v>23</v>
      </c>
      <c r="G1322" s="26" t="s">
        <v>24</v>
      </c>
      <c r="H1322" s="26" t="s">
        <v>25</v>
      </c>
      <c r="I1322" s="26" t="s">
        <v>26</v>
      </c>
      <c r="J1322" s="26" t="s">
        <v>24</v>
      </c>
      <c r="K1322" s="27"/>
      <c r="L1322" s="28" t="s">
        <v>25</v>
      </c>
      <c r="M1322" s="29" t="str">
        <f t="shared" si="100"/>
        <v>✓ OK</v>
      </c>
      <c r="N1322" s="43">
        <v>46193</v>
      </c>
      <c r="O1322" s="26" t="s">
        <v>23</v>
      </c>
      <c r="P1322" s="26" t="s">
        <v>24</v>
      </c>
      <c r="Q1322" s="26" t="s">
        <v>25</v>
      </c>
      <c r="R1322" s="26" t="s">
        <v>26</v>
      </c>
      <c r="S1322" s="26" t="s">
        <v>24</v>
      </c>
      <c r="T1322" s="27"/>
      <c r="U1322" s="28" t="s">
        <v>25</v>
      </c>
      <c r="V1322" s="29" t="str">
        <f t="shared" si="101"/>
        <v>✓ OK</v>
      </c>
      <c r="W1322" s="45">
        <v>46248</v>
      </c>
      <c r="X1322" s="30" t="s">
        <v>23</v>
      </c>
      <c r="Y1322" s="30" t="s">
        <v>24</v>
      </c>
      <c r="Z1322" s="30" t="s">
        <v>25</v>
      </c>
      <c r="AA1322" s="30" t="s">
        <v>26</v>
      </c>
      <c r="AB1322" s="30" t="s">
        <v>24</v>
      </c>
      <c r="AC1322" s="27"/>
      <c r="AD1322" s="31" t="s">
        <v>25</v>
      </c>
      <c r="AE1322" s="32" t="str">
        <f t="shared" si="102"/>
        <v>✓ OK</v>
      </c>
      <c r="AF1322" s="33" t="s">
        <v>27</v>
      </c>
      <c r="AG1322" s="33" t="s">
        <v>23</v>
      </c>
      <c r="AH1322" s="33" t="s">
        <v>24</v>
      </c>
      <c r="AI1322" s="33" t="s">
        <v>25</v>
      </c>
      <c r="AJ1322" s="33" t="s">
        <v>26</v>
      </c>
      <c r="AK1322" s="33" t="s">
        <v>24</v>
      </c>
      <c r="AL1322" s="27"/>
      <c r="AM1322" s="34" t="s">
        <v>25</v>
      </c>
      <c r="AN1322" s="35" t="str">
        <f t="shared" si="103"/>
        <v>✓ OK</v>
      </c>
      <c r="AO1322" s="36"/>
      <c r="AP1322" s="36"/>
      <c r="AQ1322" s="36"/>
      <c r="AR1322" s="36"/>
      <c r="AS1322" s="36"/>
      <c r="AT1322" s="36"/>
      <c r="AU1322" s="27"/>
      <c r="AV1322" s="37"/>
      <c r="AW1322" s="38" t="str">
        <f t="shared" si="104"/>
        <v/>
      </c>
    </row>
    <row r="1323" spans="1:49" ht="18" customHeight="1" x14ac:dyDescent="0.3">
      <c r="A1323" s="23">
        <v>1319</v>
      </c>
      <c r="B1323" s="24" t="s">
        <v>4487</v>
      </c>
      <c r="C1323" s="25" t="s">
        <v>4488</v>
      </c>
      <c r="D1323" s="23" t="s">
        <v>4000</v>
      </c>
      <c r="E1323" s="43">
        <v>46125</v>
      </c>
      <c r="F1323" s="26" t="s">
        <v>23</v>
      </c>
      <c r="G1323" s="26" t="s">
        <v>24</v>
      </c>
      <c r="H1323" s="26" t="s">
        <v>25</v>
      </c>
      <c r="I1323" s="26" t="s">
        <v>26</v>
      </c>
      <c r="J1323" s="26" t="s">
        <v>24</v>
      </c>
      <c r="K1323" s="27"/>
      <c r="L1323" s="28" t="s">
        <v>25</v>
      </c>
      <c r="M1323" s="29" t="str">
        <f t="shared" si="100"/>
        <v>✓ OK</v>
      </c>
      <c r="N1323" s="43">
        <v>46193</v>
      </c>
      <c r="O1323" s="26" t="s">
        <v>23</v>
      </c>
      <c r="P1323" s="26" t="s">
        <v>24</v>
      </c>
      <c r="Q1323" s="26" t="s">
        <v>25</v>
      </c>
      <c r="R1323" s="26" t="s">
        <v>26</v>
      </c>
      <c r="S1323" s="26" t="s">
        <v>24</v>
      </c>
      <c r="T1323" s="27"/>
      <c r="U1323" s="28" t="s">
        <v>25</v>
      </c>
      <c r="V1323" s="29" t="str">
        <f t="shared" si="101"/>
        <v>✓ OK</v>
      </c>
      <c r="W1323" s="45">
        <v>46248</v>
      </c>
      <c r="X1323" s="30" t="s">
        <v>23</v>
      </c>
      <c r="Y1323" s="30" t="s">
        <v>24</v>
      </c>
      <c r="Z1323" s="30" t="s">
        <v>25</v>
      </c>
      <c r="AA1323" s="30" t="s">
        <v>26</v>
      </c>
      <c r="AB1323" s="30" t="s">
        <v>24</v>
      </c>
      <c r="AC1323" s="27"/>
      <c r="AD1323" s="31" t="s">
        <v>25</v>
      </c>
      <c r="AE1323" s="32" t="str">
        <f t="shared" si="102"/>
        <v>✓ OK</v>
      </c>
      <c r="AF1323" s="33" t="s">
        <v>27</v>
      </c>
      <c r="AG1323" s="33" t="s">
        <v>23</v>
      </c>
      <c r="AH1323" s="33" t="s">
        <v>24</v>
      </c>
      <c r="AI1323" s="33" t="s">
        <v>25</v>
      </c>
      <c r="AJ1323" s="33" t="s">
        <v>26</v>
      </c>
      <c r="AK1323" s="33" t="s">
        <v>24</v>
      </c>
      <c r="AL1323" s="27"/>
      <c r="AM1323" s="34" t="s">
        <v>25</v>
      </c>
      <c r="AN1323" s="35" t="str">
        <f t="shared" si="103"/>
        <v>✓ OK</v>
      </c>
      <c r="AO1323" s="36"/>
      <c r="AP1323" s="36"/>
      <c r="AQ1323" s="36"/>
      <c r="AR1323" s="36"/>
      <c r="AS1323" s="36"/>
      <c r="AT1323" s="36"/>
      <c r="AU1323" s="27"/>
      <c r="AV1323" s="37"/>
      <c r="AW1323" s="38" t="str">
        <f t="shared" si="104"/>
        <v/>
      </c>
    </row>
    <row r="1324" spans="1:49" ht="18" customHeight="1" x14ac:dyDescent="0.3">
      <c r="A1324" s="39">
        <v>1320</v>
      </c>
      <c r="B1324" s="40" t="s">
        <v>4489</v>
      </c>
      <c r="C1324" s="41" t="s">
        <v>4490</v>
      </c>
      <c r="D1324" s="39" t="s">
        <v>4000</v>
      </c>
      <c r="E1324" s="43">
        <v>46125</v>
      </c>
      <c r="F1324" s="26" t="s">
        <v>23</v>
      </c>
      <c r="G1324" s="26" t="s">
        <v>24</v>
      </c>
      <c r="H1324" s="26" t="s">
        <v>25</v>
      </c>
      <c r="I1324" s="26" t="s">
        <v>26</v>
      </c>
      <c r="J1324" s="26" t="s">
        <v>24</v>
      </c>
      <c r="K1324" s="27"/>
      <c r="L1324" s="28" t="s">
        <v>25</v>
      </c>
      <c r="M1324" s="29" t="str">
        <f t="shared" si="100"/>
        <v>✓ OK</v>
      </c>
      <c r="N1324" s="43">
        <v>46193</v>
      </c>
      <c r="O1324" s="26" t="s">
        <v>23</v>
      </c>
      <c r="P1324" s="26" t="s">
        <v>24</v>
      </c>
      <c r="Q1324" s="26" t="s">
        <v>25</v>
      </c>
      <c r="R1324" s="26" t="s">
        <v>26</v>
      </c>
      <c r="S1324" s="26" t="s">
        <v>24</v>
      </c>
      <c r="T1324" s="27"/>
      <c r="U1324" s="28" t="s">
        <v>25</v>
      </c>
      <c r="V1324" s="29" t="str">
        <f t="shared" si="101"/>
        <v>✓ OK</v>
      </c>
      <c r="W1324" s="45">
        <v>46248</v>
      </c>
      <c r="X1324" s="30" t="s">
        <v>23</v>
      </c>
      <c r="Y1324" s="30" t="s">
        <v>24</v>
      </c>
      <c r="Z1324" s="30" t="s">
        <v>25</v>
      </c>
      <c r="AA1324" s="30" t="s">
        <v>26</v>
      </c>
      <c r="AB1324" s="30" t="s">
        <v>24</v>
      </c>
      <c r="AC1324" s="27"/>
      <c r="AD1324" s="31" t="s">
        <v>25</v>
      </c>
      <c r="AE1324" s="32" t="str">
        <f t="shared" si="102"/>
        <v>✓ OK</v>
      </c>
      <c r="AF1324" s="33" t="s">
        <v>27</v>
      </c>
      <c r="AG1324" s="33" t="s">
        <v>23</v>
      </c>
      <c r="AH1324" s="33" t="s">
        <v>24</v>
      </c>
      <c r="AI1324" s="33" t="s">
        <v>25</v>
      </c>
      <c r="AJ1324" s="33" t="s">
        <v>26</v>
      </c>
      <c r="AK1324" s="33" t="s">
        <v>24</v>
      </c>
      <c r="AL1324" s="27"/>
      <c r="AM1324" s="34" t="s">
        <v>25</v>
      </c>
      <c r="AN1324" s="35" t="str">
        <f t="shared" si="103"/>
        <v>✓ OK</v>
      </c>
      <c r="AO1324" s="36"/>
      <c r="AP1324" s="36"/>
      <c r="AQ1324" s="36"/>
      <c r="AR1324" s="36"/>
      <c r="AS1324" s="36"/>
      <c r="AT1324" s="36"/>
      <c r="AU1324" s="27"/>
      <c r="AV1324" s="37"/>
      <c r="AW1324" s="38" t="str">
        <f t="shared" si="104"/>
        <v/>
      </c>
    </row>
    <row r="1325" spans="1:49" ht="18" customHeight="1" x14ac:dyDescent="0.3">
      <c r="A1325" s="23">
        <v>1321</v>
      </c>
      <c r="B1325" s="24" t="s">
        <v>4491</v>
      </c>
      <c r="C1325" s="25" t="s">
        <v>4492</v>
      </c>
      <c r="D1325" s="23" t="s">
        <v>4000</v>
      </c>
      <c r="E1325" s="43">
        <v>46125</v>
      </c>
      <c r="F1325" s="26" t="s">
        <v>23</v>
      </c>
      <c r="G1325" s="26" t="s">
        <v>24</v>
      </c>
      <c r="H1325" s="26" t="s">
        <v>25</v>
      </c>
      <c r="I1325" s="26" t="s">
        <v>26</v>
      </c>
      <c r="J1325" s="26" t="s">
        <v>24</v>
      </c>
      <c r="K1325" s="27"/>
      <c r="L1325" s="28" t="s">
        <v>25</v>
      </c>
      <c r="M1325" s="29" t="str">
        <f t="shared" si="100"/>
        <v>✓ OK</v>
      </c>
      <c r="N1325" s="43">
        <v>46193</v>
      </c>
      <c r="O1325" s="26" t="s">
        <v>23</v>
      </c>
      <c r="P1325" s="26" t="s">
        <v>24</v>
      </c>
      <c r="Q1325" s="26" t="s">
        <v>25</v>
      </c>
      <c r="R1325" s="26" t="s">
        <v>26</v>
      </c>
      <c r="S1325" s="26" t="s">
        <v>24</v>
      </c>
      <c r="T1325" s="27"/>
      <c r="U1325" s="28" t="s">
        <v>25</v>
      </c>
      <c r="V1325" s="29" t="str">
        <f t="shared" si="101"/>
        <v>✓ OK</v>
      </c>
      <c r="W1325" s="45">
        <v>46248</v>
      </c>
      <c r="X1325" s="30" t="s">
        <v>23</v>
      </c>
      <c r="Y1325" s="30" t="s">
        <v>24</v>
      </c>
      <c r="Z1325" s="30" t="s">
        <v>25</v>
      </c>
      <c r="AA1325" s="30" t="s">
        <v>26</v>
      </c>
      <c r="AB1325" s="30" t="s">
        <v>24</v>
      </c>
      <c r="AC1325" s="27"/>
      <c r="AD1325" s="31" t="s">
        <v>25</v>
      </c>
      <c r="AE1325" s="32" t="str">
        <f t="shared" si="102"/>
        <v>✓ OK</v>
      </c>
      <c r="AF1325" s="33" t="s">
        <v>27</v>
      </c>
      <c r="AG1325" s="33" t="s">
        <v>23</v>
      </c>
      <c r="AH1325" s="33" t="s">
        <v>24</v>
      </c>
      <c r="AI1325" s="33" t="s">
        <v>25</v>
      </c>
      <c r="AJ1325" s="33" t="s">
        <v>26</v>
      </c>
      <c r="AK1325" s="33" t="s">
        <v>24</v>
      </c>
      <c r="AL1325" s="27"/>
      <c r="AM1325" s="34" t="s">
        <v>25</v>
      </c>
      <c r="AN1325" s="35" t="str">
        <f t="shared" si="103"/>
        <v>✓ OK</v>
      </c>
      <c r="AO1325" s="36"/>
      <c r="AP1325" s="36"/>
      <c r="AQ1325" s="36"/>
      <c r="AR1325" s="36"/>
      <c r="AS1325" s="36"/>
      <c r="AT1325" s="36"/>
      <c r="AU1325" s="27"/>
      <c r="AV1325" s="37"/>
      <c r="AW1325" s="38" t="str">
        <f t="shared" si="104"/>
        <v/>
      </c>
    </row>
    <row r="1326" spans="1:49" ht="18" customHeight="1" x14ac:dyDescent="0.3">
      <c r="A1326" s="39">
        <v>1322</v>
      </c>
      <c r="B1326" s="40" t="s">
        <v>4493</v>
      </c>
      <c r="C1326" s="41" t="s">
        <v>4494</v>
      </c>
      <c r="D1326" s="39" t="s">
        <v>4000</v>
      </c>
      <c r="E1326" s="43">
        <v>46125</v>
      </c>
      <c r="F1326" s="26" t="s">
        <v>23</v>
      </c>
      <c r="G1326" s="26" t="s">
        <v>24</v>
      </c>
      <c r="H1326" s="26" t="s">
        <v>25</v>
      </c>
      <c r="I1326" s="26" t="s">
        <v>26</v>
      </c>
      <c r="J1326" s="26" t="s">
        <v>24</v>
      </c>
      <c r="K1326" s="27"/>
      <c r="L1326" s="28" t="s">
        <v>25</v>
      </c>
      <c r="M1326" s="29" t="str">
        <f t="shared" si="100"/>
        <v>✓ OK</v>
      </c>
      <c r="N1326" s="43">
        <v>46193</v>
      </c>
      <c r="O1326" s="26" t="s">
        <v>23</v>
      </c>
      <c r="P1326" s="26" t="s">
        <v>24</v>
      </c>
      <c r="Q1326" s="26" t="s">
        <v>25</v>
      </c>
      <c r="R1326" s="26" t="s">
        <v>26</v>
      </c>
      <c r="S1326" s="26" t="s">
        <v>24</v>
      </c>
      <c r="T1326" s="27"/>
      <c r="U1326" s="28" t="s">
        <v>25</v>
      </c>
      <c r="V1326" s="29" t="str">
        <f t="shared" si="101"/>
        <v>✓ OK</v>
      </c>
      <c r="W1326" s="45">
        <v>46248</v>
      </c>
      <c r="X1326" s="30" t="s">
        <v>23</v>
      </c>
      <c r="Y1326" s="30" t="s">
        <v>24</v>
      </c>
      <c r="Z1326" s="30" t="s">
        <v>25</v>
      </c>
      <c r="AA1326" s="30" t="s">
        <v>26</v>
      </c>
      <c r="AB1326" s="30" t="s">
        <v>24</v>
      </c>
      <c r="AC1326" s="27"/>
      <c r="AD1326" s="31" t="s">
        <v>25</v>
      </c>
      <c r="AE1326" s="32" t="str">
        <f t="shared" si="102"/>
        <v>✓ OK</v>
      </c>
      <c r="AF1326" s="33" t="s">
        <v>27</v>
      </c>
      <c r="AG1326" s="33" t="s">
        <v>23</v>
      </c>
      <c r="AH1326" s="33" t="s">
        <v>24</v>
      </c>
      <c r="AI1326" s="33" t="s">
        <v>25</v>
      </c>
      <c r="AJ1326" s="33" t="s">
        <v>26</v>
      </c>
      <c r="AK1326" s="33" t="s">
        <v>24</v>
      </c>
      <c r="AL1326" s="27"/>
      <c r="AM1326" s="34" t="s">
        <v>25</v>
      </c>
      <c r="AN1326" s="35" t="str">
        <f t="shared" si="103"/>
        <v>✓ OK</v>
      </c>
      <c r="AO1326" s="36"/>
      <c r="AP1326" s="36"/>
      <c r="AQ1326" s="36"/>
      <c r="AR1326" s="36"/>
      <c r="AS1326" s="36"/>
      <c r="AT1326" s="36"/>
      <c r="AU1326" s="27"/>
      <c r="AV1326" s="37"/>
      <c r="AW1326" s="38" t="str">
        <f t="shared" si="104"/>
        <v/>
      </c>
    </row>
    <row r="1327" spans="1:49" ht="18" customHeight="1" x14ac:dyDescent="0.3">
      <c r="A1327" s="23">
        <v>1323</v>
      </c>
      <c r="B1327" s="24" t="s">
        <v>4495</v>
      </c>
      <c r="C1327" s="25" t="s">
        <v>4496</v>
      </c>
      <c r="D1327" s="23" t="s">
        <v>4000</v>
      </c>
      <c r="E1327" s="43">
        <v>46125</v>
      </c>
      <c r="F1327" s="26" t="s">
        <v>23</v>
      </c>
      <c r="G1327" s="26" t="s">
        <v>24</v>
      </c>
      <c r="H1327" s="26" t="s">
        <v>25</v>
      </c>
      <c r="I1327" s="26" t="s">
        <v>26</v>
      </c>
      <c r="J1327" s="26" t="s">
        <v>24</v>
      </c>
      <c r="K1327" s="27"/>
      <c r="L1327" s="28" t="s">
        <v>25</v>
      </c>
      <c r="M1327" s="29" t="str">
        <f t="shared" si="100"/>
        <v>✓ OK</v>
      </c>
      <c r="N1327" s="43">
        <v>46193</v>
      </c>
      <c r="O1327" s="26" t="s">
        <v>23</v>
      </c>
      <c r="P1327" s="26" t="s">
        <v>24</v>
      </c>
      <c r="Q1327" s="26" t="s">
        <v>25</v>
      </c>
      <c r="R1327" s="26" t="s">
        <v>26</v>
      </c>
      <c r="S1327" s="26" t="s">
        <v>24</v>
      </c>
      <c r="T1327" s="27"/>
      <c r="U1327" s="28" t="s">
        <v>25</v>
      </c>
      <c r="V1327" s="29" t="str">
        <f t="shared" si="101"/>
        <v>✓ OK</v>
      </c>
      <c r="W1327" s="45">
        <v>46248</v>
      </c>
      <c r="X1327" s="30" t="s">
        <v>23</v>
      </c>
      <c r="Y1327" s="30" t="s">
        <v>24</v>
      </c>
      <c r="Z1327" s="30" t="s">
        <v>25</v>
      </c>
      <c r="AA1327" s="30" t="s">
        <v>26</v>
      </c>
      <c r="AB1327" s="30" t="s">
        <v>24</v>
      </c>
      <c r="AC1327" s="27"/>
      <c r="AD1327" s="31" t="s">
        <v>25</v>
      </c>
      <c r="AE1327" s="32" t="str">
        <f t="shared" si="102"/>
        <v>✓ OK</v>
      </c>
      <c r="AF1327" s="33" t="s">
        <v>27</v>
      </c>
      <c r="AG1327" s="33" t="s">
        <v>23</v>
      </c>
      <c r="AH1327" s="33" t="s">
        <v>24</v>
      </c>
      <c r="AI1327" s="33" t="s">
        <v>25</v>
      </c>
      <c r="AJ1327" s="33" t="s">
        <v>26</v>
      </c>
      <c r="AK1327" s="33" t="s">
        <v>24</v>
      </c>
      <c r="AL1327" s="27"/>
      <c r="AM1327" s="34" t="s">
        <v>25</v>
      </c>
      <c r="AN1327" s="35" t="str">
        <f t="shared" si="103"/>
        <v>✓ OK</v>
      </c>
      <c r="AO1327" s="36"/>
      <c r="AP1327" s="36"/>
      <c r="AQ1327" s="36"/>
      <c r="AR1327" s="36"/>
      <c r="AS1327" s="36"/>
      <c r="AT1327" s="36"/>
      <c r="AU1327" s="27"/>
      <c r="AV1327" s="37"/>
      <c r="AW1327" s="38" t="str">
        <f t="shared" si="104"/>
        <v/>
      </c>
    </row>
    <row r="1328" spans="1:49" ht="18" customHeight="1" x14ac:dyDescent="0.3">
      <c r="A1328" s="39">
        <v>1324</v>
      </c>
      <c r="B1328" s="40" t="s">
        <v>4497</v>
      </c>
      <c r="C1328" s="41" t="s">
        <v>4498</v>
      </c>
      <c r="D1328" s="39" t="s">
        <v>4000</v>
      </c>
      <c r="E1328" s="43">
        <v>46125</v>
      </c>
      <c r="F1328" s="26" t="s">
        <v>23</v>
      </c>
      <c r="G1328" s="26" t="s">
        <v>24</v>
      </c>
      <c r="H1328" s="26" t="s">
        <v>25</v>
      </c>
      <c r="I1328" s="26" t="s">
        <v>26</v>
      </c>
      <c r="J1328" s="26" t="s">
        <v>24</v>
      </c>
      <c r="K1328" s="27"/>
      <c r="L1328" s="28" t="s">
        <v>25</v>
      </c>
      <c r="M1328" s="29" t="str">
        <f t="shared" si="100"/>
        <v>✓ OK</v>
      </c>
      <c r="N1328" s="43">
        <v>46193</v>
      </c>
      <c r="O1328" s="26" t="s">
        <v>23</v>
      </c>
      <c r="P1328" s="26" t="s">
        <v>24</v>
      </c>
      <c r="Q1328" s="26" t="s">
        <v>25</v>
      </c>
      <c r="R1328" s="26" t="s">
        <v>26</v>
      </c>
      <c r="S1328" s="26" t="s">
        <v>24</v>
      </c>
      <c r="T1328" s="27"/>
      <c r="U1328" s="28" t="s">
        <v>25</v>
      </c>
      <c r="V1328" s="29" t="str">
        <f t="shared" si="101"/>
        <v>✓ OK</v>
      </c>
      <c r="W1328" s="45">
        <v>46248</v>
      </c>
      <c r="X1328" s="30" t="s">
        <v>23</v>
      </c>
      <c r="Y1328" s="30" t="s">
        <v>24</v>
      </c>
      <c r="Z1328" s="30" t="s">
        <v>25</v>
      </c>
      <c r="AA1328" s="30" t="s">
        <v>26</v>
      </c>
      <c r="AB1328" s="30" t="s">
        <v>24</v>
      </c>
      <c r="AC1328" s="27"/>
      <c r="AD1328" s="31" t="s">
        <v>25</v>
      </c>
      <c r="AE1328" s="32" t="str">
        <f t="shared" si="102"/>
        <v>✓ OK</v>
      </c>
      <c r="AF1328" s="33" t="s">
        <v>27</v>
      </c>
      <c r="AG1328" s="33" t="s">
        <v>23</v>
      </c>
      <c r="AH1328" s="33" t="s">
        <v>24</v>
      </c>
      <c r="AI1328" s="33" t="s">
        <v>25</v>
      </c>
      <c r="AJ1328" s="33" t="s">
        <v>26</v>
      </c>
      <c r="AK1328" s="33" t="s">
        <v>24</v>
      </c>
      <c r="AL1328" s="27"/>
      <c r="AM1328" s="34" t="s">
        <v>25</v>
      </c>
      <c r="AN1328" s="35" t="str">
        <f t="shared" si="103"/>
        <v>✓ OK</v>
      </c>
      <c r="AO1328" s="36"/>
      <c r="AP1328" s="36"/>
      <c r="AQ1328" s="36"/>
      <c r="AR1328" s="36"/>
      <c r="AS1328" s="36"/>
      <c r="AT1328" s="36"/>
      <c r="AU1328" s="27"/>
      <c r="AV1328" s="37"/>
      <c r="AW1328" s="38" t="str">
        <f t="shared" si="104"/>
        <v/>
      </c>
    </row>
    <row r="1329" spans="1:49" ht="18" customHeight="1" x14ac:dyDescent="0.3">
      <c r="A1329" s="23">
        <v>1325</v>
      </c>
      <c r="B1329" s="24" t="s">
        <v>4499</v>
      </c>
      <c r="C1329" s="25" t="s">
        <v>4500</v>
      </c>
      <c r="D1329" s="23" t="s">
        <v>4000</v>
      </c>
      <c r="E1329" s="43">
        <v>46125</v>
      </c>
      <c r="F1329" s="26" t="s">
        <v>23</v>
      </c>
      <c r="G1329" s="26" t="s">
        <v>24</v>
      </c>
      <c r="H1329" s="26" t="s">
        <v>25</v>
      </c>
      <c r="I1329" s="26" t="s">
        <v>26</v>
      </c>
      <c r="J1329" s="26" t="s">
        <v>24</v>
      </c>
      <c r="K1329" s="27"/>
      <c r="L1329" s="28" t="s">
        <v>25</v>
      </c>
      <c r="M1329" s="29" t="str">
        <f t="shared" si="100"/>
        <v>✓ OK</v>
      </c>
      <c r="N1329" s="43">
        <v>46193</v>
      </c>
      <c r="O1329" s="26" t="s">
        <v>23</v>
      </c>
      <c r="P1329" s="26" t="s">
        <v>24</v>
      </c>
      <c r="Q1329" s="26" t="s">
        <v>25</v>
      </c>
      <c r="R1329" s="26" t="s">
        <v>26</v>
      </c>
      <c r="S1329" s="26" t="s">
        <v>24</v>
      </c>
      <c r="T1329" s="27"/>
      <c r="U1329" s="28" t="s">
        <v>25</v>
      </c>
      <c r="V1329" s="29" t="str">
        <f t="shared" si="101"/>
        <v>✓ OK</v>
      </c>
      <c r="W1329" s="45">
        <v>46248</v>
      </c>
      <c r="X1329" s="30" t="s">
        <v>23</v>
      </c>
      <c r="Y1329" s="30" t="s">
        <v>24</v>
      </c>
      <c r="Z1329" s="30" t="s">
        <v>25</v>
      </c>
      <c r="AA1329" s="30" t="s">
        <v>26</v>
      </c>
      <c r="AB1329" s="30" t="s">
        <v>24</v>
      </c>
      <c r="AC1329" s="27"/>
      <c r="AD1329" s="31" t="s">
        <v>25</v>
      </c>
      <c r="AE1329" s="32" t="str">
        <f t="shared" si="102"/>
        <v>✓ OK</v>
      </c>
      <c r="AF1329" s="33" t="s">
        <v>27</v>
      </c>
      <c r="AG1329" s="33" t="s">
        <v>23</v>
      </c>
      <c r="AH1329" s="33" t="s">
        <v>24</v>
      </c>
      <c r="AI1329" s="33" t="s">
        <v>25</v>
      </c>
      <c r="AJ1329" s="33" t="s">
        <v>26</v>
      </c>
      <c r="AK1329" s="33" t="s">
        <v>24</v>
      </c>
      <c r="AL1329" s="27"/>
      <c r="AM1329" s="34" t="s">
        <v>25</v>
      </c>
      <c r="AN1329" s="35" t="str">
        <f t="shared" si="103"/>
        <v>✓ OK</v>
      </c>
      <c r="AO1329" s="36"/>
      <c r="AP1329" s="36"/>
      <c r="AQ1329" s="36"/>
      <c r="AR1329" s="36"/>
      <c r="AS1329" s="36"/>
      <c r="AT1329" s="36"/>
      <c r="AU1329" s="27"/>
      <c r="AV1329" s="37"/>
      <c r="AW1329" s="38" t="str">
        <f t="shared" si="104"/>
        <v/>
      </c>
    </row>
    <row r="1330" spans="1:49" ht="18" customHeight="1" x14ac:dyDescent="0.3">
      <c r="A1330" s="39">
        <v>1326</v>
      </c>
      <c r="B1330" s="40" t="s">
        <v>4501</v>
      </c>
      <c r="C1330" s="41" t="s">
        <v>4502</v>
      </c>
      <c r="D1330" s="39" t="s">
        <v>4000</v>
      </c>
      <c r="E1330" s="43">
        <v>46125</v>
      </c>
      <c r="F1330" s="26" t="s">
        <v>23</v>
      </c>
      <c r="G1330" s="26" t="s">
        <v>24</v>
      </c>
      <c r="H1330" s="26" t="s">
        <v>25</v>
      </c>
      <c r="I1330" s="26" t="s">
        <v>26</v>
      </c>
      <c r="J1330" s="26" t="s">
        <v>24</v>
      </c>
      <c r="K1330" s="27"/>
      <c r="L1330" s="28" t="s">
        <v>25</v>
      </c>
      <c r="M1330" s="29" t="str">
        <f t="shared" si="100"/>
        <v>✓ OK</v>
      </c>
      <c r="N1330" s="43">
        <v>46193</v>
      </c>
      <c r="O1330" s="26" t="s">
        <v>23</v>
      </c>
      <c r="P1330" s="26" t="s">
        <v>24</v>
      </c>
      <c r="Q1330" s="26" t="s">
        <v>25</v>
      </c>
      <c r="R1330" s="26" t="s">
        <v>26</v>
      </c>
      <c r="S1330" s="26" t="s">
        <v>24</v>
      </c>
      <c r="T1330" s="27"/>
      <c r="U1330" s="28" t="s">
        <v>25</v>
      </c>
      <c r="V1330" s="29" t="str">
        <f t="shared" si="101"/>
        <v>✓ OK</v>
      </c>
      <c r="W1330" s="45">
        <v>46248</v>
      </c>
      <c r="X1330" s="30" t="s">
        <v>23</v>
      </c>
      <c r="Y1330" s="30" t="s">
        <v>24</v>
      </c>
      <c r="Z1330" s="30" t="s">
        <v>25</v>
      </c>
      <c r="AA1330" s="30" t="s">
        <v>26</v>
      </c>
      <c r="AB1330" s="30" t="s">
        <v>24</v>
      </c>
      <c r="AC1330" s="27"/>
      <c r="AD1330" s="31" t="s">
        <v>25</v>
      </c>
      <c r="AE1330" s="32" t="str">
        <f t="shared" si="102"/>
        <v>✓ OK</v>
      </c>
      <c r="AF1330" s="33" t="s">
        <v>27</v>
      </c>
      <c r="AG1330" s="33" t="s">
        <v>23</v>
      </c>
      <c r="AH1330" s="33" t="s">
        <v>24</v>
      </c>
      <c r="AI1330" s="33" t="s">
        <v>25</v>
      </c>
      <c r="AJ1330" s="33" t="s">
        <v>26</v>
      </c>
      <c r="AK1330" s="33" t="s">
        <v>24</v>
      </c>
      <c r="AL1330" s="27"/>
      <c r="AM1330" s="34" t="s">
        <v>25</v>
      </c>
      <c r="AN1330" s="35" t="str">
        <f t="shared" si="103"/>
        <v>✓ OK</v>
      </c>
      <c r="AO1330" s="36"/>
      <c r="AP1330" s="36"/>
      <c r="AQ1330" s="36"/>
      <c r="AR1330" s="36"/>
      <c r="AS1330" s="36"/>
      <c r="AT1330" s="36"/>
      <c r="AU1330" s="27"/>
      <c r="AV1330" s="37"/>
      <c r="AW1330" s="38" t="str">
        <f t="shared" si="104"/>
        <v/>
      </c>
    </row>
    <row r="1331" spans="1:49" ht="18" customHeight="1" x14ac:dyDescent="0.3">
      <c r="A1331" s="23">
        <v>1327</v>
      </c>
      <c r="B1331" s="24" t="s">
        <v>4503</v>
      </c>
      <c r="C1331" s="25" t="s">
        <v>4504</v>
      </c>
      <c r="D1331" s="23" t="s">
        <v>4000</v>
      </c>
      <c r="E1331" s="43">
        <v>46125</v>
      </c>
      <c r="F1331" s="26" t="s">
        <v>23</v>
      </c>
      <c r="G1331" s="26" t="s">
        <v>24</v>
      </c>
      <c r="H1331" s="26" t="s">
        <v>25</v>
      </c>
      <c r="I1331" s="26" t="s">
        <v>26</v>
      </c>
      <c r="J1331" s="26" t="s">
        <v>24</v>
      </c>
      <c r="K1331" s="27"/>
      <c r="L1331" s="28" t="s">
        <v>25</v>
      </c>
      <c r="M1331" s="29" t="str">
        <f t="shared" si="100"/>
        <v>✓ OK</v>
      </c>
      <c r="N1331" s="43">
        <v>46193</v>
      </c>
      <c r="O1331" s="26" t="s">
        <v>23</v>
      </c>
      <c r="P1331" s="26" t="s">
        <v>24</v>
      </c>
      <c r="Q1331" s="26" t="s">
        <v>25</v>
      </c>
      <c r="R1331" s="26" t="s">
        <v>26</v>
      </c>
      <c r="S1331" s="26" t="s">
        <v>24</v>
      </c>
      <c r="T1331" s="27"/>
      <c r="U1331" s="28" t="s">
        <v>25</v>
      </c>
      <c r="V1331" s="29" t="str">
        <f t="shared" si="101"/>
        <v>✓ OK</v>
      </c>
      <c r="W1331" s="45">
        <v>46248</v>
      </c>
      <c r="X1331" s="30" t="s">
        <v>23</v>
      </c>
      <c r="Y1331" s="30" t="s">
        <v>24</v>
      </c>
      <c r="Z1331" s="30" t="s">
        <v>25</v>
      </c>
      <c r="AA1331" s="30" t="s">
        <v>26</v>
      </c>
      <c r="AB1331" s="30" t="s">
        <v>24</v>
      </c>
      <c r="AC1331" s="27"/>
      <c r="AD1331" s="31" t="s">
        <v>25</v>
      </c>
      <c r="AE1331" s="32" t="str">
        <f t="shared" si="102"/>
        <v>✓ OK</v>
      </c>
      <c r="AF1331" s="33" t="s">
        <v>27</v>
      </c>
      <c r="AG1331" s="33" t="s">
        <v>23</v>
      </c>
      <c r="AH1331" s="33" t="s">
        <v>24</v>
      </c>
      <c r="AI1331" s="33" t="s">
        <v>25</v>
      </c>
      <c r="AJ1331" s="33" t="s">
        <v>26</v>
      </c>
      <c r="AK1331" s="33" t="s">
        <v>24</v>
      </c>
      <c r="AL1331" s="27"/>
      <c r="AM1331" s="34" t="s">
        <v>25</v>
      </c>
      <c r="AN1331" s="35" t="str">
        <f t="shared" si="103"/>
        <v>✓ OK</v>
      </c>
      <c r="AO1331" s="36"/>
      <c r="AP1331" s="36"/>
      <c r="AQ1331" s="36"/>
      <c r="AR1331" s="36"/>
      <c r="AS1331" s="36"/>
      <c r="AT1331" s="36"/>
      <c r="AU1331" s="27"/>
      <c r="AV1331" s="37"/>
      <c r="AW1331" s="38" t="str">
        <f t="shared" si="104"/>
        <v/>
      </c>
    </row>
    <row r="1332" spans="1:49" ht="18" customHeight="1" x14ac:dyDescent="0.3">
      <c r="A1332" s="39">
        <v>1328</v>
      </c>
      <c r="B1332" s="40" t="s">
        <v>4505</v>
      </c>
      <c r="C1332" s="41" t="s">
        <v>4506</v>
      </c>
      <c r="D1332" s="39" t="s">
        <v>4000</v>
      </c>
      <c r="E1332" s="43">
        <v>46125</v>
      </c>
      <c r="F1332" s="26" t="s">
        <v>23</v>
      </c>
      <c r="G1332" s="26" t="s">
        <v>24</v>
      </c>
      <c r="H1332" s="26" t="s">
        <v>25</v>
      </c>
      <c r="I1332" s="26" t="s">
        <v>26</v>
      </c>
      <c r="J1332" s="26" t="s">
        <v>24</v>
      </c>
      <c r="K1332" s="27"/>
      <c r="L1332" s="28" t="s">
        <v>25</v>
      </c>
      <c r="M1332" s="29" t="str">
        <f t="shared" si="100"/>
        <v>✓ OK</v>
      </c>
      <c r="N1332" s="43">
        <v>46193</v>
      </c>
      <c r="O1332" s="26" t="s">
        <v>23</v>
      </c>
      <c r="P1332" s="26" t="s">
        <v>24</v>
      </c>
      <c r="Q1332" s="26" t="s">
        <v>25</v>
      </c>
      <c r="R1332" s="26" t="s">
        <v>26</v>
      </c>
      <c r="S1332" s="26" t="s">
        <v>24</v>
      </c>
      <c r="T1332" s="27"/>
      <c r="U1332" s="28" t="s">
        <v>25</v>
      </c>
      <c r="V1332" s="29" t="str">
        <f t="shared" si="101"/>
        <v>✓ OK</v>
      </c>
      <c r="W1332" s="45">
        <v>46248</v>
      </c>
      <c r="X1332" s="30" t="s">
        <v>23</v>
      </c>
      <c r="Y1332" s="30" t="s">
        <v>24</v>
      </c>
      <c r="Z1332" s="30" t="s">
        <v>25</v>
      </c>
      <c r="AA1332" s="30" t="s">
        <v>26</v>
      </c>
      <c r="AB1332" s="30" t="s">
        <v>24</v>
      </c>
      <c r="AC1332" s="27"/>
      <c r="AD1332" s="31" t="s">
        <v>25</v>
      </c>
      <c r="AE1332" s="32" t="str">
        <f t="shared" si="102"/>
        <v>✓ OK</v>
      </c>
      <c r="AF1332" s="33" t="s">
        <v>27</v>
      </c>
      <c r="AG1332" s="33" t="s">
        <v>23</v>
      </c>
      <c r="AH1332" s="33" t="s">
        <v>24</v>
      </c>
      <c r="AI1332" s="33" t="s">
        <v>25</v>
      </c>
      <c r="AJ1332" s="33" t="s">
        <v>26</v>
      </c>
      <c r="AK1332" s="33" t="s">
        <v>24</v>
      </c>
      <c r="AL1332" s="27"/>
      <c r="AM1332" s="34" t="s">
        <v>25</v>
      </c>
      <c r="AN1332" s="35" t="str">
        <f t="shared" si="103"/>
        <v>✓ OK</v>
      </c>
      <c r="AO1332" s="36"/>
      <c r="AP1332" s="36"/>
      <c r="AQ1332" s="36"/>
      <c r="AR1332" s="36"/>
      <c r="AS1332" s="36"/>
      <c r="AT1332" s="36"/>
      <c r="AU1332" s="27"/>
      <c r="AV1332" s="37"/>
      <c r="AW1332" s="38" t="str">
        <f t="shared" si="104"/>
        <v/>
      </c>
    </row>
    <row r="1333" spans="1:49" ht="18" customHeight="1" x14ac:dyDescent="0.3">
      <c r="A1333" s="23">
        <v>1329</v>
      </c>
      <c r="B1333" s="24" t="s">
        <v>4507</v>
      </c>
      <c r="C1333" s="25" t="s">
        <v>4508</v>
      </c>
      <c r="D1333" s="23" t="s">
        <v>4000</v>
      </c>
      <c r="E1333" s="43">
        <v>46125</v>
      </c>
      <c r="F1333" s="26" t="s">
        <v>23</v>
      </c>
      <c r="G1333" s="26" t="s">
        <v>24</v>
      </c>
      <c r="H1333" s="26" t="s">
        <v>25</v>
      </c>
      <c r="I1333" s="26" t="s">
        <v>26</v>
      </c>
      <c r="J1333" s="26" t="s">
        <v>24</v>
      </c>
      <c r="K1333" s="27"/>
      <c r="L1333" s="28" t="s">
        <v>25</v>
      </c>
      <c r="M1333" s="29" t="str">
        <f t="shared" si="100"/>
        <v>✓ OK</v>
      </c>
      <c r="N1333" s="43">
        <v>46193</v>
      </c>
      <c r="O1333" s="26" t="s">
        <v>23</v>
      </c>
      <c r="P1333" s="26" t="s">
        <v>24</v>
      </c>
      <c r="Q1333" s="26" t="s">
        <v>25</v>
      </c>
      <c r="R1333" s="26" t="s">
        <v>26</v>
      </c>
      <c r="S1333" s="26" t="s">
        <v>24</v>
      </c>
      <c r="T1333" s="27"/>
      <c r="U1333" s="28" t="s">
        <v>25</v>
      </c>
      <c r="V1333" s="29" t="str">
        <f t="shared" si="101"/>
        <v>✓ OK</v>
      </c>
      <c r="W1333" s="45">
        <v>46248</v>
      </c>
      <c r="X1333" s="30" t="s">
        <v>23</v>
      </c>
      <c r="Y1333" s="30" t="s">
        <v>24</v>
      </c>
      <c r="Z1333" s="30" t="s">
        <v>25</v>
      </c>
      <c r="AA1333" s="30" t="s">
        <v>26</v>
      </c>
      <c r="AB1333" s="30" t="s">
        <v>24</v>
      </c>
      <c r="AC1333" s="27"/>
      <c r="AD1333" s="31" t="s">
        <v>25</v>
      </c>
      <c r="AE1333" s="32" t="str">
        <f t="shared" si="102"/>
        <v>✓ OK</v>
      </c>
      <c r="AF1333" s="33" t="s">
        <v>27</v>
      </c>
      <c r="AG1333" s="33" t="s">
        <v>23</v>
      </c>
      <c r="AH1333" s="33" t="s">
        <v>24</v>
      </c>
      <c r="AI1333" s="33" t="s">
        <v>25</v>
      </c>
      <c r="AJ1333" s="33" t="s">
        <v>26</v>
      </c>
      <c r="AK1333" s="33" t="s">
        <v>24</v>
      </c>
      <c r="AL1333" s="27"/>
      <c r="AM1333" s="34" t="s">
        <v>25</v>
      </c>
      <c r="AN1333" s="35" t="str">
        <f t="shared" si="103"/>
        <v>✓ OK</v>
      </c>
      <c r="AO1333" s="36"/>
      <c r="AP1333" s="36"/>
      <c r="AQ1333" s="36"/>
      <c r="AR1333" s="36"/>
      <c r="AS1333" s="36"/>
      <c r="AT1333" s="36"/>
      <c r="AU1333" s="27"/>
      <c r="AV1333" s="37"/>
      <c r="AW1333" s="38" t="str">
        <f t="shared" si="104"/>
        <v/>
      </c>
    </row>
    <row r="1334" spans="1:49" ht="18" customHeight="1" x14ac:dyDescent="0.3">
      <c r="A1334" s="39">
        <v>1330</v>
      </c>
      <c r="B1334" s="40" t="s">
        <v>4509</v>
      </c>
      <c r="C1334" s="41" t="s">
        <v>4510</v>
      </c>
      <c r="D1334" s="39" t="s">
        <v>4000</v>
      </c>
      <c r="E1334" s="43">
        <v>46125</v>
      </c>
      <c r="F1334" s="26" t="s">
        <v>23</v>
      </c>
      <c r="G1334" s="26" t="s">
        <v>24</v>
      </c>
      <c r="H1334" s="26" t="s">
        <v>25</v>
      </c>
      <c r="I1334" s="26" t="s">
        <v>26</v>
      </c>
      <c r="J1334" s="26" t="s">
        <v>24</v>
      </c>
      <c r="K1334" s="27"/>
      <c r="L1334" s="28" t="s">
        <v>25</v>
      </c>
      <c r="M1334" s="29" t="str">
        <f t="shared" si="100"/>
        <v>✓ OK</v>
      </c>
      <c r="N1334" s="43">
        <v>46193</v>
      </c>
      <c r="O1334" s="26" t="s">
        <v>23</v>
      </c>
      <c r="P1334" s="26" t="s">
        <v>24</v>
      </c>
      <c r="Q1334" s="26" t="s">
        <v>25</v>
      </c>
      <c r="R1334" s="26" t="s">
        <v>26</v>
      </c>
      <c r="S1334" s="26" t="s">
        <v>24</v>
      </c>
      <c r="T1334" s="27"/>
      <c r="U1334" s="28" t="s">
        <v>25</v>
      </c>
      <c r="V1334" s="29" t="str">
        <f t="shared" si="101"/>
        <v>✓ OK</v>
      </c>
      <c r="W1334" s="45">
        <v>46248</v>
      </c>
      <c r="X1334" s="30" t="s">
        <v>23</v>
      </c>
      <c r="Y1334" s="30" t="s">
        <v>24</v>
      </c>
      <c r="Z1334" s="30" t="s">
        <v>25</v>
      </c>
      <c r="AA1334" s="30" t="s">
        <v>26</v>
      </c>
      <c r="AB1334" s="30" t="s">
        <v>24</v>
      </c>
      <c r="AC1334" s="27"/>
      <c r="AD1334" s="31" t="s">
        <v>25</v>
      </c>
      <c r="AE1334" s="32" t="str">
        <f t="shared" si="102"/>
        <v>✓ OK</v>
      </c>
      <c r="AF1334" s="33" t="s">
        <v>27</v>
      </c>
      <c r="AG1334" s="33" t="s">
        <v>23</v>
      </c>
      <c r="AH1334" s="33" t="s">
        <v>24</v>
      </c>
      <c r="AI1334" s="33" t="s">
        <v>25</v>
      </c>
      <c r="AJ1334" s="33" t="s">
        <v>26</v>
      </c>
      <c r="AK1334" s="33" t="s">
        <v>24</v>
      </c>
      <c r="AL1334" s="27"/>
      <c r="AM1334" s="34" t="s">
        <v>25</v>
      </c>
      <c r="AN1334" s="35" t="str">
        <f t="shared" si="103"/>
        <v>✓ OK</v>
      </c>
      <c r="AO1334" s="36"/>
      <c r="AP1334" s="36"/>
      <c r="AQ1334" s="36"/>
      <c r="AR1334" s="36"/>
      <c r="AS1334" s="36"/>
      <c r="AT1334" s="36"/>
      <c r="AU1334" s="27"/>
      <c r="AV1334" s="37"/>
      <c r="AW1334" s="38" t="str">
        <f t="shared" si="104"/>
        <v/>
      </c>
    </row>
    <row r="1335" spans="1:49" ht="18" customHeight="1" x14ac:dyDescent="0.3">
      <c r="A1335" s="23">
        <v>1331</v>
      </c>
      <c r="B1335" s="24" t="s">
        <v>4511</v>
      </c>
      <c r="C1335" s="25" t="s">
        <v>4512</v>
      </c>
      <c r="D1335" s="23" t="s">
        <v>4000</v>
      </c>
      <c r="E1335" s="43">
        <v>46125</v>
      </c>
      <c r="F1335" s="26" t="s">
        <v>23</v>
      </c>
      <c r="G1335" s="26" t="s">
        <v>24</v>
      </c>
      <c r="H1335" s="26" t="s">
        <v>25</v>
      </c>
      <c r="I1335" s="26" t="s">
        <v>26</v>
      </c>
      <c r="J1335" s="26" t="s">
        <v>24</v>
      </c>
      <c r="K1335" s="27"/>
      <c r="L1335" s="28" t="s">
        <v>25</v>
      </c>
      <c r="M1335" s="29" t="str">
        <f t="shared" si="100"/>
        <v>✓ OK</v>
      </c>
      <c r="N1335" s="43">
        <v>46193</v>
      </c>
      <c r="O1335" s="26" t="s">
        <v>23</v>
      </c>
      <c r="P1335" s="26" t="s">
        <v>24</v>
      </c>
      <c r="Q1335" s="26" t="s">
        <v>25</v>
      </c>
      <c r="R1335" s="26" t="s">
        <v>26</v>
      </c>
      <c r="S1335" s="26" t="s">
        <v>24</v>
      </c>
      <c r="T1335" s="27"/>
      <c r="U1335" s="28" t="s">
        <v>25</v>
      </c>
      <c r="V1335" s="29" t="str">
        <f t="shared" si="101"/>
        <v>✓ OK</v>
      </c>
      <c r="W1335" s="45">
        <v>46248</v>
      </c>
      <c r="X1335" s="30" t="s">
        <v>23</v>
      </c>
      <c r="Y1335" s="30" t="s">
        <v>24</v>
      </c>
      <c r="Z1335" s="30" t="s">
        <v>25</v>
      </c>
      <c r="AA1335" s="30" t="s">
        <v>26</v>
      </c>
      <c r="AB1335" s="30" t="s">
        <v>24</v>
      </c>
      <c r="AC1335" s="27"/>
      <c r="AD1335" s="31" t="s">
        <v>25</v>
      </c>
      <c r="AE1335" s="32" t="str">
        <f t="shared" si="102"/>
        <v>✓ OK</v>
      </c>
      <c r="AF1335" s="33" t="s">
        <v>27</v>
      </c>
      <c r="AG1335" s="33" t="s">
        <v>23</v>
      </c>
      <c r="AH1335" s="33" t="s">
        <v>24</v>
      </c>
      <c r="AI1335" s="33" t="s">
        <v>25</v>
      </c>
      <c r="AJ1335" s="33" t="s">
        <v>26</v>
      </c>
      <c r="AK1335" s="33" t="s">
        <v>24</v>
      </c>
      <c r="AL1335" s="27"/>
      <c r="AM1335" s="34" t="s">
        <v>25</v>
      </c>
      <c r="AN1335" s="35" t="str">
        <f t="shared" si="103"/>
        <v>✓ OK</v>
      </c>
      <c r="AO1335" s="36"/>
      <c r="AP1335" s="36"/>
      <c r="AQ1335" s="36"/>
      <c r="AR1335" s="36"/>
      <c r="AS1335" s="36"/>
      <c r="AT1335" s="36"/>
      <c r="AU1335" s="27"/>
      <c r="AV1335" s="37"/>
      <c r="AW1335" s="38" t="str">
        <f t="shared" si="104"/>
        <v/>
      </c>
    </row>
    <row r="1336" spans="1:49" ht="18" customHeight="1" x14ac:dyDescent="0.3">
      <c r="A1336" s="39">
        <v>1332</v>
      </c>
      <c r="B1336" s="40" t="s">
        <v>4513</v>
      </c>
      <c r="C1336" s="41" t="s">
        <v>4514</v>
      </c>
      <c r="D1336" s="39" t="s">
        <v>4000</v>
      </c>
      <c r="E1336" s="43">
        <v>46125</v>
      </c>
      <c r="F1336" s="26" t="s">
        <v>23</v>
      </c>
      <c r="G1336" s="26" t="s">
        <v>24</v>
      </c>
      <c r="H1336" s="26" t="s">
        <v>25</v>
      </c>
      <c r="I1336" s="26" t="s">
        <v>26</v>
      </c>
      <c r="J1336" s="26" t="s">
        <v>24</v>
      </c>
      <c r="K1336" s="27"/>
      <c r="L1336" s="28" t="s">
        <v>25</v>
      </c>
      <c r="M1336" s="29" t="str">
        <f t="shared" si="100"/>
        <v>✓ OK</v>
      </c>
      <c r="N1336" s="43">
        <v>46193</v>
      </c>
      <c r="O1336" s="26" t="s">
        <v>23</v>
      </c>
      <c r="P1336" s="26" t="s">
        <v>24</v>
      </c>
      <c r="Q1336" s="26" t="s">
        <v>25</v>
      </c>
      <c r="R1336" s="26" t="s">
        <v>26</v>
      </c>
      <c r="S1336" s="26" t="s">
        <v>24</v>
      </c>
      <c r="T1336" s="27"/>
      <c r="U1336" s="28" t="s">
        <v>25</v>
      </c>
      <c r="V1336" s="29" t="str">
        <f t="shared" si="101"/>
        <v>✓ OK</v>
      </c>
      <c r="W1336" s="45">
        <v>46248</v>
      </c>
      <c r="X1336" s="30" t="s">
        <v>23</v>
      </c>
      <c r="Y1336" s="30" t="s">
        <v>24</v>
      </c>
      <c r="Z1336" s="30" t="s">
        <v>25</v>
      </c>
      <c r="AA1336" s="30" t="s">
        <v>26</v>
      </c>
      <c r="AB1336" s="30" t="s">
        <v>24</v>
      </c>
      <c r="AC1336" s="27"/>
      <c r="AD1336" s="31" t="s">
        <v>25</v>
      </c>
      <c r="AE1336" s="32" t="str">
        <f t="shared" si="102"/>
        <v>✓ OK</v>
      </c>
      <c r="AF1336" s="33" t="s">
        <v>27</v>
      </c>
      <c r="AG1336" s="33" t="s">
        <v>23</v>
      </c>
      <c r="AH1336" s="33" t="s">
        <v>24</v>
      </c>
      <c r="AI1336" s="33" t="s">
        <v>25</v>
      </c>
      <c r="AJ1336" s="33" t="s">
        <v>26</v>
      </c>
      <c r="AK1336" s="33" t="s">
        <v>24</v>
      </c>
      <c r="AL1336" s="27"/>
      <c r="AM1336" s="34" t="s">
        <v>25</v>
      </c>
      <c r="AN1336" s="35" t="str">
        <f t="shared" si="103"/>
        <v>✓ OK</v>
      </c>
      <c r="AO1336" s="36"/>
      <c r="AP1336" s="36"/>
      <c r="AQ1336" s="36"/>
      <c r="AR1336" s="36"/>
      <c r="AS1336" s="36"/>
      <c r="AT1336" s="36"/>
      <c r="AU1336" s="27"/>
      <c r="AV1336" s="37"/>
      <c r="AW1336" s="38" t="str">
        <f t="shared" si="104"/>
        <v/>
      </c>
    </row>
    <row r="1337" spans="1:49" ht="18" customHeight="1" x14ac:dyDescent="0.3">
      <c r="A1337" s="23">
        <v>1333</v>
      </c>
      <c r="B1337" s="24" t="s">
        <v>4515</v>
      </c>
      <c r="C1337" s="25" t="s">
        <v>4516</v>
      </c>
      <c r="D1337" s="23" t="s">
        <v>4000</v>
      </c>
      <c r="E1337" s="43">
        <v>46125</v>
      </c>
      <c r="F1337" s="26" t="s">
        <v>23</v>
      </c>
      <c r="G1337" s="26" t="s">
        <v>24</v>
      </c>
      <c r="H1337" s="26" t="s">
        <v>25</v>
      </c>
      <c r="I1337" s="26" t="s">
        <v>26</v>
      </c>
      <c r="J1337" s="26" t="s">
        <v>24</v>
      </c>
      <c r="K1337" s="27"/>
      <c r="L1337" s="28" t="s">
        <v>25</v>
      </c>
      <c r="M1337" s="29" t="str">
        <f t="shared" si="100"/>
        <v>✓ OK</v>
      </c>
      <c r="N1337" s="43">
        <v>46193</v>
      </c>
      <c r="O1337" s="26" t="s">
        <v>23</v>
      </c>
      <c r="P1337" s="26" t="s">
        <v>24</v>
      </c>
      <c r="Q1337" s="26" t="s">
        <v>25</v>
      </c>
      <c r="R1337" s="26" t="s">
        <v>26</v>
      </c>
      <c r="S1337" s="26" t="s">
        <v>24</v>
      </c>
      <c r="T1337" s="27"/>
      <c r="U1337" s="28" t="s">
        <v>25</v>
      </c>
      <c r="V1337" s="29" t="str">
        <f t="shared" si="101"/>
        <v>✓ OK</v>
      </c>
      <c r="W1337" s="45">
        <v>46248</v>
      </c>
      <c r="X1337" s="30" t="s">
        <v>23</v>
      </c>
      <c r="Y1337" s="30" t="s">
        <v>24</v>
      </c>
      <c r="Z1337" s="30" t="s">
        <v>25</v>
      </c>
      <c r="AA1337" s="30" t="s">
        <v>26</v>
      </c>
      <c r="AB1337" s="30" t="s">
        <v>24</v>
      </c>
      <c r="AC1337" s="27"/>
      <c r="AD1337" s="31" t="s">
        <v>25</v>
      </c>
      <c r="AE1337" s="32" t="str">
        <f t="shared" si="102"/>
        <v>✓ OK</v>
      </c>
      <c r="AF1337" s="33" t="s">
        <v>27</v>
      </c>
      <c r="AG1337" s="33" t="s">
        <v>23</v>
      </c>
      <c r="AH1337" s="33" t="s">
        <v>24</v>
      </c>
      <c r="AI1337" s="33" t="s">
        <v>25</v>
      </c>
      <c r="AJ1337" s="33" t="s">
        <v>26</v>
      </c>
      <c r="AK1337" s="33" t="s">
        <v>24</v>
      </c>
      <c r="AL1337" s="27"/>
      <c r="AM1337" s="34" t="s">
        <v>25</v>
      </c>
      <c r="AN1337" s="35" t="str">
        <f t="shared" si="103"/>
        <v>✓ OK</v>
      </c>
      <c r="AO1337" s="36"/>
      <c r="AP1337" s="36"/>
      <c r="AQ1337" s="36"/>
      <c r="AR1337" s="36"/>
      <c r="AS1337" s="36"/>
      <c r="AT1337" s="36"/>
      <c r="AU1337" s="27"/>
      <c r="AV1337" s="37"/>
      <c r="AW1337" s="38" t="str">
        <f t="shared" si="104"/>
        <v/>
      </c>
    </row>
    <row r="1338" spans="1:49" ht="18" customHeight="1" x14ac:dyDescent="0.3">
      <c r="A1338" s="39">
        <v>1334</v>
      </c>
      <c r="B1338" s="40" t="s">
        <v>4517</v>
      </c>
      <c r="C1338" s="41" t="s">
        <v>4518</v>
      </c>
      <c r="D1338" s="39" t="s">
        <v>4000</v>
      </c>
      <c r="E1338" s="43">
        <v>46125</v>
      </c>
      <c r="F1338" s="26" t="s">
        <v>23</v>
      </c>
      <c r="G1338" s="26" t="s">
        <v>24</v>
      </c>
      <c r="H1338" s="26" t="s">
        <v>25</v>
      </c>
      <c r="I1338" s="26" t="s">
        <v>26</v>
      </c>
      <c r="J1338" s="26" t="s">
        <v>24</v>
      </c>
      <c r="K1338" s="27"/>
      <c r="L1338" s="28" t="s">
        <v>25</v>
      </c>
      <c r="M1338" s="29" t="str">
        <f t="shared" si="100"/>
        <v>✓ OK</v>
      </c>
      <c r="N1338" s="43">
        <v>46193</v>
      </c>
      <c r="O1338" s="26" t="s">
        <v>23</v>
      </c>
      <c r="P1338" s="26" t="s">
        <v>24</v>
      </c>
      <c r="Q1338" s="26" t="s">
        <v>25</v>
      </c>
      <c r="R1338" s="26" t="s">
        <v>26</v>
      </c>
      <c r="S1338" s="26" t="s">
        <v>24</v>
      </c>
      <c r="T1338" s="27"/>
      <c r="U1338" s="28" t="s">
        <v>25</v>
      </c>
      <c r="V1338" s="29" t="str">
        <f t="shared" si="101"/>
        <v>✓ OK</v>
      </c>
      <c r="W1338" s="45">
        <v>46248</v>
      </c>
      <c r="X1338" s="30" t="s">
        <v>23</v>
      </c>
      <c r="Y1338" s="30" t="s">
        <v>24</v>
      </c>
      <c r="Z1338" s="30" t="s">
        <v>25</v>
      </c>
      <c r="AA1338" s="30" t="s">
        <v>26</v>
      </c>
      <c r="AB1338" s="30" t="s">
        <v>24</v>
      </c>
      <c r="AC1338" s="27"/>
      <c r="AD1338" s="31" t="s">
        <v>25</v>
      </c>
      <c r="AE1338" s="32" t="str">
        <f t="shared" si="102"/>
        <v>✓ OK</v>
      </c>
      <c r="AF1338" s="33" t="s">
        <v>27</v>
      </c>
      <c r="AG1338" s="33" t="s">
        <v>23</v>
      </c>
      <c r="AH1338" s="33" t="s">
        <v>24</v>
      </c>
      <c r="AI1338" s="33" t="s">
        <v>25</v>
      </c>
      <c r="AJ1338" s="33" t="s">
        <v>26</v>
      </c>
      <c r="AK1338" s="33" t="s">
        <v>24</v>
      </c>
      <c r="AL1338" s="27"/>
      <c r="AM1338" s="34" t="s">
        <v>25</v>
      </c>
      <c r="AN1338" s="35" t="str">
        <f t="shared" si="103"/>
        <v>✓ OK</v>
      </c>
      <c r="AO1338" s="36"/>
      <c r="AP1338" s="36"/>
      <c r="AQ1338" s="36"/>
      <c r="AR1338" s="36"/>
      <c r="AS1338" s="36"/>
      <c r="AT1338" s="36"/>
      <c r="AU1338" s="27"/>
      <c r="AV1338" s="37"/>
      <c r="AW1338" s="38" t="str">
        <f t="shared" si="104"/>
        <v/>
      </c>
    </row>
    <row r="1339" spans="1:49" ht="18" customHeight="1" x14ac:dyDescent="0.3">
      <c r="A1339" s="23">
        <v>1335</v>
      </c>
      <c r="B1339" s="24" t="s">
        <v>4519</v>
      </c>
      <c r="C1339" s="25" t="s">
        <v>4520</v>
      </c>
      <c r="D1339" s="23" t="s">
        <v>4000</v>
      </c>
      <c r="E1339" s="43">
        <v>46125</v>
      </c>
      <c r="F1339" s="26" t="s">
        <v>23</v>
      </c>
      <c r="G1339" s="26" t="s">
        <v>24</v>
      </c>
      <c r="H1339" s="26" t="s">
        <v>25</v>
      </c>
      <c r="I1339" s="26" t="s">
        <v>26</v>
      </c>
      <c r="J1339" s="26" t="s">
        <v>24</v>
      </c>
      <c r="K1339" s="27"/>
      <c r="L1339" s="28" t="s">
        <v>25</v>
      </c>
      <c r="M1339" s="29" t="str">
        <f t="shared" si="100"/>
        <v>✓ OK</v>
      </c>
      <c r="N1339" s="43">
        <v>46193</v>
      </c>
      <c r="O1339" s="26" t="s">
        <v>23</v>
      </c>
      <c r="P1339" s="26" t="s">
        <v>24</v>
      </c>
      <c r="Q1339" s="26" t="s">
        <v>25</v>
      </c>
      <c r="R1339" s="26" t="s">
        <v>26</v>
      </c>
      <c r="S1339" s="26" t="s">
        <v>24</v>
      </c>
      <c r="T1339" s="27"/>
      <c r="U1339" s="28" t="s">
        <v>25</v>
      </c>
      <c r="V1339" s="29" t="str">
        <f t="shared" si="101"/>
        <v>✓ OK</v>
      </c>
      <c r="W1339" s="45">
        <v>46248</v>
      </c>
      <c r="X1339" s="30" t="s">
        <v>23</v>
      </c>
      <c r="Y1339" s="30" t="s">
        <v>24</v>
      </c>
      <c r="Z1339" s="30" t="s">
        <v>25</v>
      </c>
      <c r="AA1339" s="30" t="s">
        <v>26</v>
      </c>
      <c r="AB1339" s="30" t="s">
        <v>24</v>
      </c>
      <c r="AC1339" s="27"/>
      <c r="AD1339" s="31" t="s">
        <v>25</v>
      </c>
      <c r="AE1339" s="32" t="str">
        <f t="shared" si="102"/>
        <v>✓ OK</v>
      </c>
      <c r="AF1339" s="33" t="s">
        <v>27</v>
      </c>
      <c r="AG1339" s="33" t="s">
        <v>23</v>
      </c>
      <c r="AH1339" s="33" t="s">
        <v>24</v>
      </c>
      <c r="AI1339" s="33" t="s">
        <v>25</v>
      </c>
      <c r="AJ1339" s="33" t="s">
        <v>26</v>
      </c>
      <c r="AK1339" s="33" t="s">
        <v>24</v>
      </c>
      <c r="AL1339" s="27"/>
      <c r="AM1339" s="34" t="s">
        <v>25</v>
      </c>
      <c r="AN1339" s="35" t="str">
        <f t="shared" si="103"/>
        <v>✓ OK</v>
      </c>
      <c r="AO1339" s="36"/>
      <c r="AP1339" s="36"/>
      <c r="AQ1339" s="36"/>
      <c r="AR1339" s="36"/>
      <c r="AS1339" s="36"/>
      <c r="AT1339" s="36"/>
      <c r="AU1339" s="27"/>
      <c r="AV1339" s="37"/>
      <c r="AW1339" s="38" t="str">
        <f t="shared" si="104"/>
        <v/>
      </c>
    </row>
    <row r="1340" spans="1:49" ht="18" customHeight="1" x14ac:dyDescent="0.3">
      <c r="A1340" s="39">
        <v>1336</v>
      </c>
      <c r="B1340" s="40" t="s">
        <v>4521</v>
      </c>
      <c r="C1340" s="41" t="s">
        <v>4522</v>
      </c>
      <c r="D1340" s="39" t="s">
        <v>4000</v>
      </c>
      <c r="E1340" s="43">
        <v>46125</v>
      </c>
      <c r="F1340" s="26" t="s">
        <v>23</v>
      </c>
      <c r="G1340" s="26" t="s">
        <v>24</v>
      </c>
      <c r="H1340" s="26" t="s">
        <v>25</v>
      </c>
      <c r="I1340" s="26" t="s">
        <v>26</v>
      </c>
      <c r="J1340" s="26" t="s">
        <v>24</v>
      </c>
      <c r="K1340" s="27"/>
      <c r="L1340" s="28" t="s">
        <v>25</v>
      </c>
      <c r="M1340" s="29" t="str">
        <f t="shared" si="100"/>
        <v>✓ OK</v>
      </c>
      <c r="N1340" s="43">
        <v>46193</v>
      </c>
      <c r="O1340" s="26" t="s">
        <v>23</v>
      </c>
      <c r="P1340" s="26" t="s">
        <v>24</v>
      </c>
      <c r="Q1340" s="26" t="s">
        <v>25</v>
      </c>
      <c r="R1340" s="26" t="s">
        <v>26</v>
      </c>
      <c r="S1340" s="26" t="s">
        <v>24</v>
      </c>
      <c r="T1340" s="27"/>
      <c r="U1340" s="28" t="s">
        <v>25</v>
      </c>
      <c r="V1340" s="29" t="str">
        <f t="shared" si="101"/>
        <v>✓ OK</v>
      </c>
      <c r="W1340" s="45">
        <v>46248</v>
      </c>
      <c r="X1340" s="30" t="s">
        <v>23</v>
      </c>
      <c r="Y1340" s="30" t="s">
        <v>24</v>
      </c>
      <c r="Z1340" s="30" t="s">
        <v>25</v>
      </c>
      <c r="AA1340" s="30" t="s">
        <v>26</v>
      </c>
      <c r="AB1340" s="30" t="s">
        <v>24</v>
      </c>
      <c r="AC1340" s="27"/>
      <c r="AD1340" s="31" t="s">
        <v>25</v>
      </c>
      <c r="AE1340" s="32" t="str">
        <f t="shared" si="102"/>
        <v>✓ OK</v>
      </c>
      <c r="AF1340" s="33" t="s">
        <v>27</v>
      </c>
      <c r="AG1340" s="33" t="s">
        <v>23</v>
      </c>
      <c r="AH1340" s="33" t="s">
        <v>24</v>
      </c>
      <c r="AI1340" s="33" t="s">
        <v>25</v>
      </c>
      <c r="AJ1340" s="33" t="s">
        <v>26</v>
      </c>
      <c r="AK1340" s="33" t="s">
        <v>24</v>
      </c>
      <c r="AL1340" s="27"/>
      <c r="AM1340" s="34" t="s">
        <v>25</v>
      </c>
      <c r="AN1340" s="35" t="str">
        <f t="shared" si="103"/>
        <v>✓ OK</v>
      </c>
      <c r="AO1340" s="36"/>
      <c r="AP1340" s="36"/>
      <c r="AQ1340" s="36"/>
      <c r="AR1340" s="36"/>
      <c r="AS1340" s="36"/>
      <c r="AT1340" s="36"/>
      <c r="AU1340" s="27"/>
      <c r="AV1340" s="37"/>
      <c r="AW1340" s="38" t="str">
        <f t="shared" si="104"/>
        <v/>
      </c>
    </row>
    <row r="1341" spans="1:49" ht="18" customHeight="1" x14ac:dyDescent="0.3">
      <c r="A1341" s="23">
        <v>1337</v>
      </c>
      <c r="B1341" s="24" t="s">
        <v>4523</v>
      </c>
      <c r="C1341" s="25" t="s">
        <v>4524</v>
      </c>
      <c r="D1341" s="23" t="s">
        <v>4000</v>
      </c>
      <c r="E1341" s="43">
        <v>46125</v>
      </c>
      <c r="F1341" s="26" t="s">
        <v>23</v>
      </c>
      <c r="G1341" s="26" t="s">
        <v>24</v>
      </c>
      <c r="H1341" s="26" t="s">
        <v>25</v>
      </c>
      <c r="I1341" s="26" t="s">
        <v>26</v>
      </c>
      <c r="J1341" s="26" t="s">
        <v>24</v>
      </c>
      <c r="K1341" s="27"/>
      <c r="L1341" s="28" t="s">
        <v>25</v>
      </c>
      <c r="M1341" s="29" t="str">
        <f t="shared" si="100"/>
        <v>✓ OK</v>
      </c>
      <c r="N1341" s="43">
        <v>46193</v>
      </c>
      <c r="O1341" s="26" t="s">
        <v>23</v>
      </c>
      <c r="P1341" s="26" t="s">
        <v>24</v>
      </c>
      <c r="Q1341" s="26" t="s">
        <v>25</v>
      </c>
      <c r="R1341" s="26" t="s">
        <v>26</v>
      </c>
      <c r="S1341" s="26" t="s">
        <v>24</v>
      </c>
      <c r="T1341" s="27"/>
      <c r="U1341" s="28" t="s">
        <v>25</v>
      </c>
      <c r="V1341" s="29" t="str">
        <f t="shared" si="101"/>
        <v>✓ OK</v>
      </c>
      <c r="W1341" s="45">
        <v>46248</v>
      </c>
      <c r="X1341" s="30" t="s">
        <v>23</v>
      </c>
      <c r="Y1341" s="30" t="s">
        <v>24</v>
      </c>
      <c r="Z1341" s="30" t="s">
        <v>25</v>
      </c>
      <c r="AA1341" s="30" t="s">
        <v>26</v>
      </c>
      <c r="AB1341" s="30" t="s">
        <v>24</v>
      </c>
      <c r="AC1341" s="27"/>
      <c r="AD1341" s="31" t="s">
        <v>25</v>
      </c>
      <c r="AE1341" s="32" t="str">
        <f t="shared" si="102"/>
        <v>✓ OK</v>
      </c>
      <c r="AF1341" s="33" t="s">
        <v>27</v>
      </c>
      <c r="AG1341" s="33" t="s">
        <v>23</v>
      </c>
      <c r="AH1341" s="33" t="s">
        <v>24</v>
      </c>
      <c r="AI1341" s="33" t="s">
        <v>25</v>
      </c>
      <c r="AJ1341" s="33" t="s">
        <v>26</v>
      </c>
      <c r="AK1341" s="33" t="s">
        <v>24</v>
      </c>
      <c r="AL1341" s="27"/>
      <c r="AM1341" s="34" t="s">
        <v>25</v>
      </c>
      <c r="AN1341" s="35" t="str">
        <f t="shared" si="103"/>
        <v>✓ OK</v>
      </c>
      <c r="AO1341" s="36"/>
      <c r="AP1341" s="36"/>
      <c r="AQ1341" s="36"/>
      <c r="AR1341" s="36"/>
      <c r="AS1341" s="36"/>
      <c r="AT1341" s="36"/>
      <c r="AU1341" s="27"/>
      <c r="AV1341" s="37"/>
      <c r="AW1341" s="38" t="str">
        <f t="shared" si="104"/>
        <v/>
      </c>
    </row>
    <row r="1342" spans="1:49" ht="18" customHeight="1" x14ac:dyDescent="0.3">
      <c r="A1342" s="39">
        <v>1338</v>
      </c>
      <c r="B1342" s="40" t="s">
        <v>4525</v>
      </c>
      <c r="C1342" s="41" t="s">
        <v>4526</v>
      </c>
      <c r="D1342" s="39" t="s">
        <v>4000</v>
      </c>
      <c r="E1342" s="43">
        <v>46125</v>
      </c>
      <c r="F1342" s="26" t="s">
        <v>23</v>
      </c>
      <c r="G1342" s="26" t="s">
        <v>24</v>
      </c>
      <c r="H1342" s="26" t="s">
        <v>25</v>
      </c>
      <c r="I1342" s="26" t="s">
        <v>26</v>
      </c>
      <c r="J1342" s="26" t="s">
        <v>24</v>
      </c>
      <c r="K1342" s="27"/>
      <c r="L1342" s="28" t="s">
        <v>25</v>
      </c>
      <c r="M1342" s="29" t="str">
        <f t="shared" si="100"/>
        <v>✓ OK</v>
      </c>
      <c r="N1342" s="43">
        <v>46193</v>
      </c>
      <c r="O1342" s="26" t="s">
        <v>23</v>
      </c>
      <c r="P1342" s="26" t="s">
        <v>24</v>
      </c>
      <c r="Q1342" s="26" t="s">
        <v>25</v>
      </c>
      <c r="R1342" s="26" t="s">
        <v>26</v>
      </c>
      <c r="S1342" s="26" t="s">
        <v>24</v>
      </c>
      <c r="T1342" s="27"/>
      <c r="U1342" s="28" t="s">
        <v>25</v>
      </c>
      <c r="V1342" s="29" t="str">
        <f t="shared" si="101"/>
        <v>✓ OK</v>
      </c>
      <c r="W1342" s="45">
        <v>46248</v>
      </c>
      <c r="X1342" s="30" t="s">
        <v>23</v>
      </c>
      <c r="Y1342" s="30" t="s">
        <v>24</v>
      </c>
      <c r="Z1342" s="30" t="s">
        <v>25</v>
      </c>
      <c r="AA1342" s="30" t="s">
        <v>26</v>
      </c>
      <c r="AB1342" s="30" t="s">
        <v>24</v>
      </c>
      <c r="AC1342" s="27"/>
      <c r="AD1342" s="31" t="s">
        <v>25</v>
      </c>
      <c r="AE1342" s="32" t="str">
        <f t="shared" si="102"/>
        <v>✓ OK</v>
      </c>
      <c r="AF1342" s="33" t="s">
        <v>27</v>
      </c>
      <c r="AG1342" s="33" t="s">
        <v>23</v>
      </c>
      <c r="AH1342" s="33" t="s">
        <v>24</v>
      </c>
      <c r="AI1342" s="33" t="s">
        <v>25</v>
      </c>
      <c r="AJ1342" s="33" t="s">
        <v>26</v>
      </c>
      <c r="AK1342" s="33" t="s">
        <v>24</v>
      </c>
      <c r="AL1342" s="27"/>
      <c r="AM1342" s="34" t="s">
        <v>25</v>
      </c>
      <c r="AN1342" s="35" t="str">
        <f t="shared" si="103"/>
        <v>✓ OK</v>
      </c>
      <c r="AO1342" s="36"/>
      <c r="AP1342" s="36"/>
      <c r="AQ1342" s="36"/>
      <c r="AR1342" s="36"/>
      <c r="AS1342" s="36"/>
      <c r="AT1342" s="36"/>
      <c r="AU1342" s="27"/>
      <c r="AV1342" s="37"/>
      <c r="AW1342" s="38" t="str">
        <f t="shared" si="104"/>
        <v/>
      </c>
    </row>
    <row r="1343" spans="1:49" ht="18" customHeight="1" x14ac:dyDescent="0.3">
      <c r="A1343" s="23">
        <v>1339</v>
      </c>
      <c r="B1343" s="24" t="s">
        <v>4527</v>
      </c>
      <c r="C1343" s="25" t="s">
        <v>4528</v>
      </c>
      <c r="D1343" s="23" t="s">
        <v>4000</v>
      </c>
      <c r="E1343" s="43">
        <v>46125</v>
      </c>
      <c r="F1343" s="26" t="s">
        <v>23</v>
      </c>
      <c r="G1343" s="26" t="s">
        <v>24</v>
      </c>
      <c r="H1343" s="26" t="s">
        <v>25</v>
      </c>
      <c r="I1343" s="26" t="s">
        <v>26</v>
      </c>
      <c r="J1343" s="26" t="s">
        <v>24</v>
      </c>
      <c r="K1343" s="27"/>
      <c r="L1343" s="28" t="s">
        <v>25</v>
      </c>
      <c r="M1343" s="29" t="str">
        <f t="shared" si="100"/>
        <v>✓ OK</v>
      </c>
      <c r="N1343" s="43">
        <v>46193</v>
      </c>
      <c r="O1343" s="26" t="s">
        <v>23</v>
      </c>
      <c r="P1343" s="26" t="s">
        <v>24</v>
      </c>
      <c r="Q1343" s="26" t="s">
        <v>25</v>
      </c>
      <c r="R1343" s="26" t="s">
        <v>26</v>
      </c>
      <c r="S1343" s="26" t="s">
        <v>24</v>
      </c>
      <c r="T1343" s="27"/>
      <c r="U1343" s="28" t="s">
        <v>25</v>
      </c>
      <c r="V1343" s="29" t="str">
        <f t="shared" si="101"/>
        <v>✓ OK</v>
      </c>
      <c r="W1343" s="45">
        <v>46248</v>
      </c>
      <c r="X1343" s="30" t="s">
        <v>23</v>
      </c>
      <c r="Y1343" s="30" t="s">
        <v>24</v>
      </c>
      <c r="Z1343" s="30" t="s">
        <v>25</v>
      </c>
      <c r="AA1343" s="30" t="s">
        <v>26</v>
      </c>
      <c r="AB1343" s="30" t="s">
        <v>24</v>
      </c>
      <c r="AC1343" s="27"/>
      <c r="AD1343" s="31" t="s">
        <v>25</v>
      </c>
      <c r="AE1343" s="32" t="str">
        <f t="shared" si="102"/>
        <v>✓ OK</v>
      </c>
      <c r="AF1343" s="33" t="s">
        <v>27</v>
      </c>
      <c r="AG1343" s="33" t="s">
        <v>23</v>
      </c>
      <c r="AH1343" s="33" t="s">
        <v>24</v>
      </c>
      <c r="AI1343" s="33" t="s">
        <v>25</v>
      </c>
      <c r="AJ1343" s="33" t="s">
        <v>26</v>
      </c>
      <c r="AK1343" s="33" t="s">
        <v>24</v>
      </c>
      <c r="AL1343" s="27"/>
      <c r="AM1343" s="34" t="s">
        <v>25</v>
      </c>
      <c r="AN1343" s="35" t="str">
        <f t="shared" si="103"/>
        <v>✓ OK</v>
      </c>
      <c r="AO1343" s="36"/>
      <c r="AP1343" s="36"/>
      <c r="AQ1343" s="36"/>
      <c r="AR1343" s="36"/>
      <c r="AS1343" s="36"/>
      <c r="AT1343" s="36"/>
      <c r="AU1343" s="27"/>
      <c r="AV1343" s="37"/>
      <c r="AW1343" s="38" t="str">
        <f t="shared" si="104"/>
        <v/>
      </c>
    </row>
    <row r="1344" spans="1:49" ht="18" customHeight="1" x14ac:dyDescent="0.3">
      <c r="A1344" s="39">
        <v>1340</v>
      </c>
      <c r="B1344" s="40" t="s">
        <v>4529</v>
      </c>
      <c r="C1344" s="41" t="s">
        <v>4530</v>
      </c>
      <c r="D1344" s="39" t="s">
        <v>4000</v>
      </c>
      <c r="E1344" s="43">
        <v>46125</v>
      </c>
      <c r="F1344" s="26" t="s">
        <v>23</v>
      </c>
      <c r="G1344" s="26" t="s">
        <v>24</v>
      </c>
      <c r="H1344" s="26" t="s">
        <v>25</v>
      </c>
      <c r="I1344" s="26" t="s">
        <v>26</v>
      </c>
      <c r="J1344" s="26" t="s">
        <v>24</v>
      </c>
      <c r="K1344" s="27"/>
      <c r="L1344" s="28" t="s">
        <v>25</v>
      </c>
      <c r="M1344" s="29" t="str">
        <f t="shared" si="100"/>
        <v>✓ OK</v>
      </c>
      <c r="N1344" s="43">
        <v>46193</v>
      </c>
      <c r="O1344" s="26" t="s">
        <v>23</v>
      </c>
      <c r="P1344" s="26" t="s">
        <v>24</v>
      </c>
      <c r="Q1344" s="26" t="s">
        <v>25</v>
      </c>
      <c r="R1344" s="26" t="s">
        <v>26</v>
      </c>
      <c r="S1344" s="26" t="s">
        <v>24</v>
      </c>
      <c r="T1344" s="27"/>
      <c r="U1344" s="28" t="s">
        <v>25</v>
      </c>
      <c r="V1344" s="29" t="str">
        <f t="shared" si="101"/>
        <v>✓ OK</v>
      </c>
      <c r="W1344" s="45">
        <v>46248</v>
      </c>
      <c r="X1344" s="30" t="s">
        <v>23</v>
      </c>
      <c r="Y1344" s="30" t="s">
        <v>24</v>
      </c>
      <c r="Z1344" s="30" t="s">
        <v>25</v>
      </c>
      <c r="AA1344" s="30" t="s">
        <v>26</v>
      </c>
      <c r="AB1344" s="30" t="s">
        <v>24</v>
      </c>
      <c r="AC1344" s="27"/>
      <c r="AD1344" s="31" t="s">
        <v>25</v>
      </c>
      <c r="AE1344" s="32" t="str">
        <f t="shared" si="102"/>
        <v>✓ OK</v>
      </c>
      <c r="AF1344" s="33" t="s">
        <v>27</v>
      </c>
      <c r="AG1344" s="33" t="s">
        <v>23</v>
      </c>
      <c r="AH1344" s="33" t="s">
        <v>24</v>
      </c>
      <c r="AI1344" s="33" t="s">
        <v>25</v>
      </c>
      <c r="AJ1344" s="33" t="s">
        <v>26</v>
      </c>
      <c r="AK1344" s="33" t="s">
        <v>24</v>
      </c>
      <c r="AL1344" s="27"/>
      <c r="AM1344" s="34" t="s">
        <v>25</v>
      </c>
      <c r="AN1344" s="35" t="str">
        <f t="shared" si="103"/>
        <v>✓ OK</v>
      </c>
      <c r="AO1344" s="36"/>
      <c r="AP1344" s="36"/>
      <c r="AQ1344" s="36"/>
      <c r="AR1344" s="36"/>
      <c r="AS1344" s="36"/>
      <c r="AT1344" s="36"/>
      <c r="AU1344" s="27"/>
      <c r="AV1344" s="37"/>
      <c r="AW1344" s="38" t="str">
        <f t="shared" si="104"/>
        <v/>
      </c>
    </row>
    <row r="1345" spans="1:49" ht="18" customHeight="1" x14ac:dyDescent="0.3">
      <c r="A1345" s="23">
        <v>1341</v>
      </c>
      <c r="B1345" s="24" t="s">
        <v>4531</v>
      </c>
      <c r="C1345" s="25" t="s">
        <v>4532</v>
      </c>
      <c r="D1345" s="23" t="s">
        <v>4000</v>
      </c>
      <c r="E1345" s="43">
        <v>46125</v>
      </c>
      <c r="F1345" s="26" t="s">
        <v>23</v>
      </c>
      <c r="G1345" s="26" t="s">
        <v>24</v>
      </c>
      <c r="H1345" s="26" t="s">
        <v>25</v>
      </c>
      <c r="I1345" s="26" t="s">
        <v>26</v>
      </c>
      <c r="J1345" s="26" t="s">
        <v>24</v>
      </c>
      <c r="K1345" s="27"/>
      <c r="L1345" s="28" t="s">
        <v>25</v>
      </c>
      <c r="M1345" s="29" t="str">
        <f t="shared" si="100"/>
        <v>✓ OK</v>
      </c>
      <c r="N1345" s="43">
        <v>46193</v>
      </c>
      <c r="O1345" s="26" t="s">
        <v>23</v>
      </c>
      <c r="P1345" s="26" t="s">
        <v>24</v>
      </c>
      <c r="Q1345" s="26" t="s">
        <v>25</v>
      </c>
      <c r="R1345" s="26" t="s">
        <v>26</v>
      </c>
      <c r="S1345" s="26" t="s">
        <v>24</v>
      </c>
      <c r="T1345" s="27"/>
      <c r="U1345" s="28" t="s">
        <v>25</v>
      </c>
      <c r="V1345" s="29" t="str">
        <f t="shared" si="101"/>
        <v>✓ OK</v>
      </c>
      <c r="W1345" s="45">
        <v>46248</v>
      </c>
      <c r="X1345" s="30" t="s">
        <v>23</v>
      </c>
      <c r="Y1345" s="30" t="s">
        <v>24</v>
      </c>
      <c r="Z1345" s="30" t="s">
        <v>25</v>
      </c>
      <c r="AA1345" s="30" t="s">
        <v>26</v>
      </c>
      <c r="AB1345" s="30" t="s">
        <v>24</v>
      </c>
      <c r="AC1345" s="27"/>
      <c r="AD1345" s="31" t="s">
        <v>25</v>
      </c>
      <c r="AE1345" s="32" t="str">
        <f t="shared" si="102"/>
        <v>✓ OK</v>
      </c>
      <c r="AF1345" s="33" t="s">
        <v>27</v>
      </c>
      <c r="AG1345" s="33" t="s">
        <v>23</v>
      </c>
      <c r="AH1345" s="33" t="s">
        <v>24</v>
      </c>
      <c r="AI1345" s="33" t="s">
        <v>25</v>
      </c>
      <c r="AJ1345" s="33" t="s">
        <v>26</v>
      </c>
      <c r="AK1345" s="33" t="s">
        <v>24</v>
      </c>
      <c r="AL1345" s="27"/>
      <c r="AM1345" s="34" t="s">
        <v>25</v>
      </c>
      <c r="AN1345" s="35" t="str">
        <f t="shared" si="103"/>
        <v>✓ OK</v>
      </c>
      <c r="AO1345" s="36"/>
      <c r="AP1345" s="36"/>
      <c r="AQ1345" s="36"/>
      <c r="AR1345" s="36"/>
      <c r="AS1345" s="36"/>
      <c r="AT1345" s="36"/>
      <c r="AU1345" s="27"/>
      <c r="AV1345" s="37"/>
      <c r="AW1345" s="38" t="str">
        <f t="shared" si="104"/>
        <v/>
      </c>
    </row>
    <row r="1346" spans="1:49" ht="18" customHeight="1" x14ac:dyDescent="0.3">
      <c r="A1346" s="39">
        <v>1342</v>
      </c>
      <c r="B1346" s="40" t="s">
        <v>4533</v>
      </c>
      <c r="C1346" s="41" t="s">
        <v>4534</v>
      </c>
      <c r="D1346" s="39" t="s">
        <v>4000</v>
      </c>
      <c r="E1346" s="43">
        <v>46125</v>
      </c>
      <c r="F1346" s="26" t="s">
        <v>23</v>
      </c>
      <c r="G1346" s="26" t="s">
        <v>24</v>
      </c>
      <c r="H1346" s="26" t="s">
        <v>25</v>
      </c>
      <c r="I1346" s="26" t="s">
        <v>26</v>
      </c>
      <c r="J1346" s="26" t="s">
        <v>24</v>
      </c>
      <c r="K1346" s="27"/>
      <c r="L1346" s="28" t="s">
        <v>25</v>
      </c>
      <c r="M1346" s="29" t="str">
        <f t="shared" si="100"/>
        <v>✓ OK</v>
      </c>
      <c r="N1346" s="43">
        <v>46193</v>
      </c>
      <c r="O1346" s="26" t="s">
        <v>23</v>
      </c>
      <c r="P1346" s="26" t="s">
        <v>24</v>
      </c>
      <c r="Q1346" s="26" t="s">
        <v>25</v>
      </c>
      <c r="R1346" s="26" t="s">
        <v>26</v>
      </c>
      <c r="S1346" s="26" t="s">
        <v>24</v>
      </c>
      <c r="T1346" s="27"/>
      <c r="U1346" s="28" t="s">
        <v>25</v>
      </c>
      <c r="V1346" s="29" t="str">
        <f t="shared" si="101"/>
        <v>✓ OK</v>
      </c>
      <c r="W1346" s="45">
        <v>46248</v>
      </c>
      <c r="X1346" s="30" t="s">
        <v>23</v>
      </c>
      <c r="Y1346" s="30" t="s">
        <v>24</v>
      </c>
      <c r="Z1346" s="30" t="s">
        <v>25</v>
      </c>
      <c r="AA1346" s="30" t="s">
        <v>26</v>
      </c>
      <c r="AB1346" s="30" t="s">
        <v>24</v>
      </c>
      <c r="AC1346" s="27"/>
      <c r="AD1346" s="31" t="s">
        <v>25</v>
      </c>
      <c r="AE1346" s="32" t="str">
        <f t="shared" si="102"/>
        <v>✓ OK</v>
      </c>
      <c r="AF1346" s="33" t="s">
        <v>27</v>
      </c>
      <c r="AG1346" s="33" t="s">
        <v>23</v>
      </c>
      <c r="AH1346" s="33" t="s">
        <v>24</v>
      </c>
      <c r="AI1346" s="33" t="s">
        <v>25</v>
      </c>
      <c r="AJ1346" s="33" t="s">
        <v>26</v>
      </c>
      <c r="AK1346" s="33" t="s">
        <v>24</v>
      </c>
      <c r="AL1346" s="27"/>
      <c r="AM1346" s="34" t="s">
        <v>25</v>
      </c>
      <c r="AN1346" s="35" t="str">
        <f t="shared" si="103"/>
        <v>✓ OK</v>
      </c>
      <c r="AO1346" s="36"/>
      <c r="AP1346" s="36"/>
      <c r="AQ1346" s="36"/>
      <c r="AR1346" s="36"/>
      <c r="AS1346" s="36"/>
      <c r="AT1346" s="36"/>
      <c r="AU1346" s="27"/>
      <c r="AV1346" s="37"/>
      <c r="AW1346" s="38" t="str">
        <f t="shared" si="104"/>
        <v/>
      </c>
    </row>
    <row r="1347" spans="1:49" ht="18" customHeight="1" x14ac:dyDescent="0.3">
      <c r="A1347" s="23">
        <v>1343</v>
      </c>
      <c r="B1347" s="24" t="s">
        <v>4535</v>
      </c>
      <c r="C1347" s="25" t="s">
        <v>4536</v>
      </c>
      <c r="D1347" s="23" t="s">
        <v>4000</v>
      </c>
      <c r="E1347" s="43">
        <v>46125</v>
      </c>
      <c r="F1347" s="26" t="s">
        <v>23</v>
      </c>
      <c r="G1347" s="26" t="s">
        <v>24</v>
      </c>
      <c r="H1347" s="26" t="s">
        <v>25</v>
      </c>
      <c r="I1347" s="26" t="s">
        <v>26</v>
      </c>
      <c r="J1347" s="26" t="s">
        <v>24</v>
      </c>
      <c r="K1347" s="27"/>
      <c r="L1347" s="28" t="s">
        <v>25</v>
      </c>
      <c r="M1347" s="29" t="str">
        <f t="shared" si="100"/>
        <v>✓ OK</v>
      </c>
      <c r="N1347" s="43">
        <v>46193</v>
      </c>
      <c r="O1347" s="26" t="s">
        <v>23</v>
      </c>
      <c r="P1347" s="26" t="s">
        <v>24</v>
      </c>
      <c r="Q1347" s="26" t="s">
        <v>25</v>
      </c>
      <c r="R1347" s="26" t="s">
        <v>26</v>
      </c>
      <c r="S1347" s="26" t="s">
        <v>24</v>
      </c>
      <c r="T1347" s="27"/>
      <c r="U1347" s="28" t="s">
        <v>25</v>
      </c>
      <c r="V1347" s="29" t="str">
        <f t="shared" si="101"/>
        <v>✓ OK</v>
      </c>
      <c r="W1347" s="45">
        <v>46248</v>
      </c>
      <c r="X1347" s="30" t="s">
        <v>23</v>
      </c>
      <c r="Y1347" s="30" t="s">
        <v>24</v>
      </c>
      <c r="Z1347" s="30" t="s">
        <v>25</v>
      </c>
      <c r="AA1347" s="30" t="s">
        <v>26</v>
      </c>
      <c r="AB1347" s="30" t="s">
        <v>24</v>
      </c>
      <c r="AC1347" s="27"/>
      <c r="AD1347" s="31" t="s">
        <v>25</v>
      </c>
      <c r="AE1347" s="32" t="str">
        <f t="shared" si="102"/>
        <v>✓ OK</v>
      </c>
      <c r="AF1347" s="33" t="s">
        <v>27</v>
      </c>
      <c r="AG1347" s="33" t="s">
        <v>23</v>
      </c>
      <c r="AH1347" s="33" t="s">
        <v>24</v>
      </c>
      <c r="AI1347" s="33" t="s">
        <v>25</v>
      </c>
      <c r="AJ1347" s="33" t="s">
        <v>26</v>
      </c>
      <c r="AK1347" s="33" t="s">
        <v>24</v>
      </c>
      <c r="AL1347" s="27"/>
      <c r="AM1347" s="34" t="s">
        <v>25</v>
      </c>
      <c r="AN1347" s="35" t="str">
        <f t="shared" si="103"/>
        <v>✓ OK</v>
      </c>
      <c r="AO1347" s="36"/>
      <c r="AP1347" s="36"/>
      <c r="AQ1347" s="36"/>
      <c r="AR1347" s="36"/>
      <c r="AS1347" s="36"/>
      <c r="AT1347" s="36"/>
      <c r="AU1347" s="27"/>
      <c r="AV1347" s="37"/>
      <c r="AW1347" s="38" t="str">
        <f t="shared" si="104"/>
        <v/>
      </c>
    </row>
    <row r="1348" spans="1:49" ht="18" customHeight="1" x14ac:dyDescent="0.3">
      <c r="A1348" s="39">
        <v>1344</v>
      </c>
      <c r="B1348" s="40" t="s">
        <v>4537</v>
      </c>
      <c r="C1348" s="41" t="s">
        <v>4538</v>
      </c>
      <c r="D1348" s="39" t="s">
        <v>4000</v>
      </c>
      <c r="E1348" s="43">
        <v>46125</v>
      </c>
      <c r="F1348" s="26" t="s">
        <v>23</v>
      </c>
      <c r="G1348" s="26" t="s">
        <v>24</v>
      </c>
      <c r="H1348" s="26" t="s">
        <v>25</v>
      </c>
      <c r="I1348" s="26" t="s">
        <v>26</v>
      </c>
      <c r="J1348" s="26" t="s">
        <v>24</v>
      </c>
      <c r="K1348" s="27"/>
      <c r="L1348" s="28" t="s">
        <v>25</v>
      </c>
      <c r="M1348" s="29" t="str">
        <f t="shared" si="100"/>
        <v>✓ OK</v>
      </c>
      <c r="N1348" s="43">
        <v>46193</v>
      </c>
      <c r="O1348" s="26" t="s">
        <v>23</v>
      </c>
      <c r="P1348" s="26" t="s">
        <v>24</v>
      </c>
      <c r="Q1348" s="26" t="s">
        <v>25</v>
      </c>
      <c r="R1348" s="26" t="s">
        <v>26</v>
      </c>
      <c r="S1348" s="26" t="s">
        <v>24</v>
      </c>
      <c r="T1348" s="27"/>
      <c r="U1348" s="28" t="s">
        <v>25</v>
      </c>
      <c r="V1348" s="29" t="str">
        <f t="shared" si="101"/>
        <v>✓ OK</v>
      </c>
      <c r="W1348" s="45">
        <v>46248</v>
      </c>
      <c r="X1348" s="30" t="s">
        <v>23</v>
      </c>
      <c r="Y1348" s="30" t="s">
        <v>24</v>
      </c>
      <c r="Z1348" s="30" t="s">
        <v>25</v>
      </c>
      <c r="AA1348" s="30" t="s">
        <v>26</v>
      </c>
      <c r="AB1348" s="30" t="s">
        <v>24</v>
      </c>
      <c r="AC1348" s="27"/>
      <c r="AD1348" s="31" t="s">
        <v>25</v>
      </c>
      <c r="AE1348" s="32" t="str">
        <f t="shared" si="102"/>
        <v>✓ OK</v>
      </c>
      <c r="AF1348" s="33" t="s">
        <v>27</v>
      </c>
      <c r="AG1348" s="33" t="s">
        <v>23</v>
      </c>
      <c r="AH1348" s="33" t="s">
        <v>24</v>
      </c>
      <c r="AI1348" s="33" t="s">
        <v>25</v>
      </c>
      <c r="AJ1348" s="33" t="s">
        <v>26</v>
      </c>
      <c r="AK1348" s="33" t="s">
        <v>24</v>
      </c>
      <c r="AL1348" s="27"/>
      <c r="AM1348" s="34" t="s">
        <v>25</v>
      </c>
      <c r="AN1348" s="35" t="str">
        <f t="shared" si="103"/>
        <v>✓ OK</v>
      </c>
      <c r="AO1348" s="36"/>
      <c r="AP1348" s="36"/>
      <c r="AQ1348" s="36"/>
      <c r="AR1348" s="36"/>
      <c r="AS1348" s="36"/>
      <c r="AT1348" s="36"/>
      <c r="AU1348" s="27"/>
      <c r="AV1348" s="37"/>
      <c r="AW1348" s="38" t="str">
        <f t="shared" si="104"/>
        <v/>
      </c>
    </row>
    <row r="1349" spans="1:49" ht="18" customHeight="1" x14ac:dyDescent="0.3">
      <c r="A1349" s="23">
        <v>1345</v>
      </c>
      <c r="B1349" s="24" t="s">
        <v>4539</v>
      </c>
      <c r="C1349" s="25" t="s">
        <v>4540</v>
      </c>
      <c r="D1349" s="23" t="s">
        <v>4000</v>
      </c>
      <c r="E1349" s="43">
        <v>46125</v>
      </c>
      <c r="F1349" s="26" t="s">
        <v>23</v>
      </c>
      <c r="G1349" s="26" t="s">
        <v>24</v>
      </c>
      <c r="H1349" s="26" t="s">
        <v>25</v>
      </c>
      <c r="I1349" s="26" t="s">
        <v>26</v>
      </c>
      <c r="J1349" s="26" t="s">
        <v>24</v>
      </c>
      <c r="K1349" s="27"/>
      <c r="L1349" s="28" t="s">
        <v>25</v>
      </c>
      <c r="M1349" s="29" t="str">
        <f t="shared" ref="M1349:M1413" si="105">IF(E1349="","",IF(H1349="Yes","❌ Disc",IF(G1349="No","⚠ Missing",IF(J1349="Yes","✓ OK","⚠ Check"))))</f>
        <v>✓ OK</v>
      </c>
      <c r="N1349" s="43">
        <v>46193</v>
      </c>
      <c r="O1349" s="26" t="s">
        <v>23</v>
      </c>
      <c r="P1349" s="26" t="s">
        <v>24</v>
      </c>
      <c r="Q1349" s="26" t="s">
        <v>25</v>
      </c>
      <c r="R1349" s="26" t="s">
        <v>26</v>
      </c>
      <c r="S1349" s="26" t="s">
        <v>24</v>
      </c>
      <c r="T1349" s="27"/>
      <c r="U1349" s="28" t="s">
        <v>25</v>
      </c>
      <c r="V1349" s="29" t="str">
        <f t="shared" ref="V1349:V1413" si="106">IF(N1349="","",IF(Q1349="Yes","❌ Disc",IF(P1349="No","⚠ Missing",IF(S1349="Yes","✓ OK","⚠ Check"))))</f>
        <v>✓ OK</v>
      </c>
      <c r="W1349" s="45">
        <v>46248</v>
      </c>
      <c r="X1349" s="30" t="s">
        <v>23</v>
      </c>
      <c r="Y1349" s="30" t="s">
        <v>24</v>
      </c>
      <c r="Z1349" s="30" t="s">
        <v>25</v>
      </c>
      <c r="AA1349" s="30" t="s">
        <v>26</v>
      </c>
      <c r="AB1349" s="30" t="s">
        <v>24</v>
      </c>
      <c r="AC1349" s="27"/>
      <c r="AD1349" s="31" t="s">
        <v>25</v>
      </c>
      <c r="AE1349" s="32" t="str">
        <f t="shared" ref="AE1349:AE1413" si="107">IF(W1349="","",IF(Z1349="Yes","❌ Disc",IF(Y1349="No","⚠ Missing",IF(AB1349="Yes","✓ OK","⚠ Check"))))</f>
        <v>✓ OK</v>
      </c>
      <c r="AF1349" s="33" t="s">
        <v>27</v>
      </c>
      <c r="AG1349" s="33" t="s">
        <v>23</v>
      </c>
      <c r="AH1349" s="33" t="s">
        <v>24</v>
      </c>
      <c r="AI1349" s="33" t="s">
        <v>25</v>
      </c>
      <c r="AJ1349" s="33" t="s">
        <v>26</v>
      </c>
      <c r="AK1349" s="33" t="s">
        <v>24</v>
      </c>
      <c r="AL1349" s="27"/>
      <c r="AM1349" s="34" t="s">
        <v>25</v>
      </c>
      <c r="AN1349" s="35" t="str">
        <f t="shared" ref="AN1349:AN1413" si="108">IF(AF1349="","",IF(AI1349="Yes","❌ Disc",IF(AH1349="No","⚠ Missing",IF(AK1349="Yes","✓ OK","⚠ Check"))))</f>
        <v>✓ OK</v>
      </c>
      <c r="AO1349" s="36"/>
      <c r="AP1349" s="36"/>
      <c r="AQ1349" s="36"/>
      <c r="AR1349" s="36"/>
      <c r="AS1349" s="36"/>
      <c r="AT1349" s="36"/>
      <c r="AU1349" s="27"/>
      <c r="AV1349" s="37"/>
      <c r="AW1349" s="38" t="str">
        <f t="shared" ref="AW1349:AW1413" si="109">IF(AO1349="","",IF(AR1349="Yes","❌ Disc",IF(AQ1349="No","⚠ Missing",IF(AT1349="Yes","✓ OK","⚠ Check"))))</f>
        <v/>
      </c>
    </row>
    <row r="1350" spans="1:49" ht="18" customHeight="1" x14ac:dyDescent="0.3">
      <c r="A1350" s="39">
        <v>1346</v>
      </c>
      <c r="B1350" s="40" t="s">
        <v>4541</v>
      </c>
      <c r="C1350" s="41" t="s">
        <v>4542</v>
      </c>
      <c r="D1350" s="39" t="s">
        <v>4000</v>
      </c>
      <c r="E1350" s="43">
        <v>46125</v>
      </c>
      <c r="F1350" s="26" t="s">
        <v>23</v>
      </c>
      <c r="G1350" s="26" t="s">
        <v>24</v>
      </c>
      <c r="H1350" s="26" t="s">
        <v>25</v>
      </c>
      <c r="I1350" s="26" t="s">
        <v>26</v>
      </c>
      <c r="J1350" s="26" t="s">
        <v>24</v>
      </c>
      <c r="K1350" s="27"/>
      <c r="L1350" s="28" t="s">
        <v>25</v>
      </c>
      <c r="M1350" s="29" t="str">
        <f t="shared" si="105"/>
        <v>✓ OK</v>
      </c>
      <c r="N1350" s="43">
        <v>46193</v>
      </c>
      <c r="O1350" s="26" t="s">
        <v>23</v>
      </c>
      <c r="P1350" s="26" t="s">
        <v>24</v>
      </c>
      <c r="Q1350" s="26" t="s">
        <v>25</v>
      </c>
      <c r="R1350" s="26" t="s">
        <v>26</v>
      </c>
      <c r="S1350" s="26" t="s">
        <v>24</v>
      </c>
      <c r="T1350" s="27"/>
      <c r="U1350" s="28" t="s">
        <v>25</v>
      </c>
      <c r="V1350" s="29" t="str">
        <f t="shared" si="106"/>
        <v>✓ OK</v>
      </c>
      <c r="W1350" s="45">
        <v>46248</v>
      </c>
      <c r="X1350" s="30" t="s">
        <v>23</v>
      </c>
      <c r="Y1350" s="30" t="s">
        <v>24</v>
      </c>
      <c r="Z1350" s="30" t="s">
        <v>25</v>
      </c>
      <c r="AA1350" s="30" t="s">
        <v>26</v>
      </c>
      <c r="AB1350" s="30" t="s">
        <v>24</v>
      </c>
      <c r="AC1350" s="27"/>
      <c r="AD1350" s="31" t="s">
        <v>25</v>
      </c>
      <c r="AE1350" s="32" t="str">
        <f t="shared" si="107"/>
        <v>✓ OK</v>
      </c>
      <c r="AF1350" s="33" t="s">
        <v>27</v>
      </c>
      <c r="AG1350" s="33" t="s">
        <v>23</v>
      </c>
      <c r="AH1350" s="33" t="s">
        <v>24</v>
      </c>
      <c r="AI1350" s="33" t="s">
        <v>25</v>
      </c>
      <c r="AJ1350" s="33" t="s">
        <v>26</v>
      </c>
      <c r="AK1350" s="33" t="s">
        <v>24</v>
      </c>
      <c r="AL1350" s="27"/>
      <c r="AM1350" s="34" t="s">
        <v>25</v>
      </c>
      <c r="AN1350" s="35" t="str">
        <f t="shared" si="108"/>
        <v>✓ OK</v>
      </c>
      <c r="AO1350" s="36"/>
      <c r="AP1350" s="36"/>
      <c r="AQ1350" s="36"/>
      <c r="AR1350" s="36"/>
      <c r="AS1350" s="36"/>
      <c r="AT1350" s="36"/>
      <c r="AU1350" s="27"/>
      <c r="AV1350" s="37"/>
      <c r="AW1350" s="38" t="str">
        <f t="shared" si="109"/>
        <v/>
      </c>
    </row>
    <row r="1351" spans="1:49" ht="18" customHeight="1" x14ac:dyDescent="0.3">
      <c r="A1351" s="23">
        <v>1347</v>
      </c>
      <c r="B1351" s="24" t="s">
        <v>4543</v>
      </c>
      <c r="C1351" s="25" t="s">
        <v>4544</v>
      </c>
      <c r="D1351" s="23" t="s">
        <v>4000</v>
      </c>
      <c r="E1351" s="43">
        <v>46125</v>
      </c>
      <c r="F1351" s="26" t="s">
        <v>23</v>
      </c>
      <c r="G1351" s="26" t="s">
        <v>24</v>
      </c>
      <c r="H1351" s="26" t="s">
        <v>25</v>
      </c>
      <c r="I1351" s="26" t="s">
        <v>26</v>
      </c>
      <c r="J1351" s="26" t="s">
        <v>24</v>
      </c>
      <c r="K1351" s="27"/>
      <c r="L1351" s="28" t="s">
        <v>25</v>
      </c>
      <c r="M1351" s="29" t="str">
        <f t="shared" si="105"/>
        <v>✓ OK</v>
      </c>
      <c r="N1351" s="43">
        <v>46193</v>
      </c>
      <c r="O1351" s="26" t="s">
        <v>23</v>
      </c>
      <c r="P1351" s="26" t="s">
        <v>24</v>
      </c>
      <c r="Q1351" s="26" t="s">
        <v>25</v>
      </c>
      <c r="R1351" s="26" t="s">
        <v>26</v>
      </c>
      <c r="S1351" s="26" t="s">
        <v>24</v>
      </c>
      <c r="T1351" s="27"/>
      <c r="U1351" s="28" t="s">
        <v>25</v>
      </c>
      <c r="V1351" s="29" t="str">
        <f t="shared" si="106"/>
        <v>✓ OK</v>
      </c>
      <c r="W1351" s="45">
        <v>46248</v>
      </c>
      <c r="X1351" s="30" t="s">
        <v>23</v>
      </c>
      <c r="Y1351" s="30" t="s">
        <v>24</v>
      </c>
      <c r="Z1351" s="30" t="s">
        <v>25</v>
      </c>
      <c r="AA1351" s="30" t="s">
        <v>26</v>
      </c>
      <c r="AB1351" s="30" t="s">
        <v>24</v>
      </c>
      <c r="AC1351" s="27"/>
      <c r="AD1351" s="31" t="s">
        <v>25</v>
      </c>
      <c r="AE1351" s="32" t="str">
        <f t="shared" si="107"/>
        <v>✓ OK</v>
      </c>
      <c r="AF1351" s="33" t="s">
        <v>27</v>
      </c>
      <c r="AG1351" s="33" t="s">
        <v>23</v>
      </c>
      <c r="AH1351" s="33" t="s">
        <v>24</v>
      </c>
      <c r="AI1351" s="33" t="s">
        <v>25</v>
      </c>
      <c r="AJ1351" s="33" t="s">
        <v>26</v>
      </c>
      <c r="AK1351" s="33" t="s">
        <v>24</v>
      </c>
      <c r="AL1351" s="27"/>
      <c r="AM1351" s="34" t="s">
        <v>25</v>
      </c>
      <c r="AN1351" s="35" t="str">
        <f t="shared" si="108"/>
        <v>✓ OK</v>
      </c>
      <c r="AO1351" s="36"/>
      <c r="AP1351" s="36"/>
      <c r="AQ1351" s="36"/>
      <c r="AR1351" s="36"/>
      <c r="AS1351" s="36"/>
      <c r="AT1351" s="36"/>
      <c r="AU1351" s="27"/>
      <c r="AV1351" s="37"/>
      <c r="AW1351" s="38" t="str">
        <f t="shared" si="109"/>
        <v/>
      </c>
    </row>
    <row r="1352" spans="1:49" ht="18" customHeight="1" x14ac:dyDescent="0.3">
      <c r="A1352" s="39">
        <v>1348</v>
      </c>
      <c r="B1352" s="40" t="s">
        <v>4545</v>
      </c>
      <c r="C1352" s="41" t="s">
        <v>4546</v>
      </c>
      <c r="D1352" s="39" t="s">
        <v>4000</v>
      </c>
      <c r="E1352" s="43">
        <v>46125</v>
      </c>
      <c r="F1352" s="26" t="s">
        <v>23</v>
      </c>
      <c r="G1352" s="26" t="s">
        <v>24</v>
      </c>
      <c r="H1352" s="26" t="s">
        <v>25</v>
      </c>
      <c r="I1352" s="26" t="s">
        <v>26</v>
      </c>
      <c r="J1352" s="26" t="s">
        <v>24</v>
      </c>
      <c r="K1352" s="27"/>
      <c r="L1352" s="28" t="s">
        <v>25</v>
      </c>
      <c r="M1352" s="29" t="str">
        <f t="shared" si="105"/>
        <v>✓ OK</v>
      </c>
      <c r="N1352" s="43">
        <v>46193</v>
      </c>
      <c r="O1352" s="26" t="s">
        <v>23</v>
      </c>
      <c r="P1352" s="26" t="s">
        <v>24</v>
      </c>
      <c r="Q1352" s="26" t="s">
        <v>25</v>
      </c>
      <c r="R1352" s="26" t="s">
        <v>26</v>
      </c>
      <c r="S1352" s="26" t="s">
        <v>24</v>
      </c>
      <c r="T1352" s="27"/>
      <c r="U1352" s="28" t="s">
        <v>25</v>
      </c>
      <c r="V1352" s="29" t="str">
        <f t="shared" si="106"/>
        <v>✓ OK</v>
      </c>
      <c r="W1352" s="45">
        <v>46248</v>
      </c>
      <c r="X1352" s="30" t="s">
        <v>23</v>
      </c>
      <c r="Y1352" s="30" t="s">
        <v>24</v>
      </c>
      <c r="Z1352" s="30" t="s">
        <v>25</v>
      </c>
      <c r="AA1352" s="30" t="s">
        <v>26</v>
      </c>
      <c r="AB1352" s="30" t="s">
        <v>24</v>
      </c>
      <c r="AC1352" s="27"/>
      <c r="AD1352" s="31" t="s">
        <v>25</v>
      </c>
      <c r="AE1352" s="32" t="str">
        <f t="shared" si="107"/>
        <v>✓ OK</v>
      </c>
      <c r="AF1352" s="33" t="s">
        <v>27</v>
      </c>
      <c r="AG1352" s="33" t="s">
        <v>23</v>
      </c>
      <c r="AH1352" s="33" t="s">
        <v>24</v>
      </c>
      <c r="AI1352" s="33" t="s">
        <v>25</v>
      </c>
      <c r="AJ1352" s="33" t="s">
        <v>26</v>
      </c>
      <c r="AK1352" s="33" t="s">
        <v>24</v>
      </c>
      <c r="AL1352" s="27"/>
      <c r="AM1352" s="34" t="s">
        <v>25</v>
      </c>
      <c r="AN1352" s="35" t="str">
        <f t="shared" si="108"/>
        <v>✓ OK</v>
      </c>
      <c r="AO1352" s="36"/>
      <c r="AP1352" s="36"/>
      <c r="AQ1352" s="36"/>
      <c r="AR1352" s="36"/>
      <c r="AS1352" s="36"/>
      <c r="AT1352" s="36"/>
      <c r="AU1352" s="27"/>
      <c r="AV1352" s="37"/>
      <c r="AW1352" s="38" t="str">
        <f t="shared" si="109"/>
        <v/>
      </c>
    </row>
    <row r="1353" spans="1:49" ht="18" customHeight="1" x14ac:dyDescent="0.3">
      <c r="A1353" s="23">
        <v>1349</v>
      </c>
      <c r="B1353" s="24" t="s">
        <v>4547</v>
      </c>
      <c r="C1353" s="25" t="s">
        <v>4548</v>
      </c>
      <c r="D1353" s="23" t="s">
        <v>4000</v>
      </c>
      <c r="E1353" s="43">
        <v>46125</v>
      </c>
      <c r="F1353" s="26" t="s">
        <v>23</v>
      </c>
      <c r="G1353" s="26" t="s">
        <v>24</v>
      </c>
      <c r="H1353" s="26" t="s">
        <v>25</v>
      </c>
      <c r="I1353" s="26" t="s">
        <v>26</v>
      </c>
      <c r="J1353" s="26" t="s">
        <v>24</v>
      </c>
      <c r="K1353" s="27"/>
      <c r="L1353" s="28" t="s">
        <v>25</v>
      </c>
      <c r="M1353" s="29" t="str">
        <f t="shared" si="105"/>
        <v>✓ OK</v>
      </c>
      <c r="N1353" s="43">
        <v>46193</v>
      </c>
      <c r="O1353" s="26" t="s">
        <v>23</v>
      </c>
      <c r="P1353" s="26" t="s">
        <v>24</v>
      </c>
      <c r="Q1353" s="26" t="s">
        <v>25</v>
      </c>
      <c r="R1353" s="26" t="s">
        <v>26</v>
      </c>
      <c r="S1353" s="26" t="s">
        <v>24</v>
      </c>
      <c r="T1353" s="27"/>
      <c r="U1353" s="28" t="s">
        <v>25</v>
      </c>
      <c r="V1353" s="29" t="str">
        <f t="shared" si="106"/>
        <v>✓ OK</v>
      </c>
      <c r="W1353" s="45">
        <v>46248</v>
      </c>
      <c r="X1353" s="30" t="s">
        <v>23</v>
      </c>
      <c r="Y1353" s="30" t="s">
        <v>24</v>
      </c>
      <c r="Z1353" s="30" t="s">
        <v>25</v>
      </c>
      <c r="AA1353" s="30" t="s">
        <v>26</v>
      </c>
      <c r="AB1353" s="30" t="s">
        <v>24</v>
      </c>
      <c r="AC1353" s="27"/>
      <c r="AD1353" s="31" t="s">
        <v>25</v>
      </c>
      <c r="AE1353" s="32" t="str">
        <f t="shared" si="107"/>
        <v>✓ OK</v>
      </c>
      <c r="AF1353" s="33" t="s">
        <v>27</v>
      </c>
      <c r="AG1353" s="33" t="s">
        <v>23</v>
      </c>
      <c r="AH1353" s="33" t="s">
        <v>24</v>
      </c>
      <c r="AI1353" s="33" t="s">
        <v>25</v>
      </c>
      <c r="AJ1353" s="33" t="s">
        <v>26</v>
      </c>
      <c r="AK1353" s="33" t="s">
        <v>24</v>
      </c>
      <c r="AL1353" s="27"/>
      <c r="AM1353" s="34" t="s">
        <v>25</v>
      </c>
      <c r="AN1353" s="35" t="str">
        <f t="shared" si="108"/>
        <v>✓ OK</v>
      </c>
      <c r="AO1353" s="36"/>
      <c r="AP1353" s="36"/>
      <c r="AQ1353" s="36"/>
      <c r="AR1353" s="36"/>
      <c r="AS1353" s="36"/>
      <c r="AT1353" s="36"/>
      <c r="AU1353" s="27"/>
      <c r="AV1353" s="37"/>
      <c r="AW1353" s="38" t="str">
        <f t="shared" si="109"/>
        <v/>
      </c>
    </row>
    <row r="1354" spans="1:49" ht="18" customHeight="1" x14ac:dyDescent="0.3">
      <c r="A1354" s="39">
        <v>1350</v>
      </c>
      <c r="B1354" s="40" t="s">
        <v>4549</v>
      </c>
      <c r="C1354" s="41" t="s">
        <v>4550</v>
      </c>
      <c r="D1354" s="39" t="s">
        <v>4000</v>
      </c>
      <c r="E1354" s="43">
        <v>46125</v>
      </c>
      <c r="F1354" s="26" t="s">
        <v>23</v>
      </c>
      <c r="G1354" s="26" t="s">
        <v>24</v>
      </c>
      <c r="H1354" s="26" t="s">
        <v>25</v>
      </c>
      <c r="I1354" s="26" t="s">
        <v>26</v>
      </c>
      <c r="J1354" s="26" t="s">
        <v>24</v>
      </c>
      <c r="K1354" s="27"/>
      <c r="L1354" s="28" t="s">
        <v>25</v>
      </c>
      <c r="M1354" s="29" t="str">
        <f t="shared" si="105"/>
        <v>✓ OK</v>
      </c>
      <c r="N1354" s="43">
        <v>46193</v>
      </c>
      <c r="O1354" s="26" t="s">
        <v>23</v>
      </c>
      <c r="P1354" s="26" t="s">
        <v>24</v>
      </c>
      <c r="Q1354" s="26" t="s">
        <v>25</v>
      </c>
      <c r="R1354" s="26" t="s">
        <v>26</v>
      </c>
      <c r="S1354" s="26" t="s">
        <v>24</v>
      </c>
      <c r="T1354" s="27"/>
      <c r="U1354" s="28" t="s">
        <v>25</v>
      </c>
      <c r="V1354" s="29" t="str">
        <f t="shared" si="106"/>
        <v>✓ OK</v>
      </c>
      <c r="W1354" s="45">
        <v>46248</v>
      </c>
      <c r="X1354" s="30" t="s">
        <v>23</v>
      </c>
      <c r="Y1354" s="30" t="s">
        <v>24</v>
      </c>
      <c r="Z1354" s="30" t="s">
        <v>25</v>
      </c>
      <c r="AA1354" s="30" t="s">
        <v>26</v>
      </c>
      <c r="AB1354" s="30" t="s">
        <v>24</v>
      </c>
      <c r="AC1354" s="27"/>
      <c r="AD1354" s="31" t="s">
        <v>25</v>
      </c>
      <c r="AE1354" s="32" t="str">
        <f t="shared" si="107"/>
        <v>✓ OK</v>
      </c>
      <c r="AF1354" s="33" t="s">
        <v>27</v>
      </c>
      <c r="AG1354" s="33" t="s">
        <v>23</v>
      </c>
      <c r="AH1354" s="33" t="s">
        <v>24</v>
      </c>
      <c r="AI1354" s="33" t="s">
        <v>25</v>
      </c>
      <c r="AJ1354" s="33" t="s">
        <v>26</v>
      </c>
      <c r="AK1354" s="33" t="s">
        <v>24</v>
      </c>
      <c r="AL1354" s="27"/>
      <c r="AM1354" s="34" t="s">
        <v>25</v>
      </c>
      <c r="AN1354" s="35" t="str">
        <f t="shared" si="108"/>
        <v>✓ OK</v>
      </c>
      <c r="AO1354" s="36"/>
      <c r="AP1354" s="36"/>
      <c r="AQ1354" s="36"/>
      <c r="AR1354" s="36"/>
      <c r="AS1354" s="36"/>
      <c r="AT1354" s="36"/>
      <c r="AU1354" s="27"/>
      <c r="AV1354" s="37"/>
      <c r="AW1354" s="38" t="str">
        <f t="shared" si="109"/>
        <v/>
      </c>
    </row>
    <row r="1355" spans="1:49" ht="18" customHeight="1" x14ac:dyDescent="0.3">
      <c r="A1355" s="23">
        <v>1351</v>
      </c>
      <c r="B1355" s="24" t="s">
        <v>4551</v>
      </c>
      <c r="C1355" s="25" t="s">
        <v>4552</v>
      </c>
      <c r="D1355" s="23" t="s">
        <v>4000</v>
      </c>
      <c r="E1355" s="43">
        <v>46125</v>
      </c>
      <c r="F1355" s="26" t="s">
        <v>23</v>
      </c>
      <c r="G1355" s="26" t="s">
        <v>24</v>
      </c>
      <c r="H1355" s="26" t="s">
        <v>25</v>
      </c>
      <c r="I1355" s="26" t="s">
        <v>26</v>
      </c>
      <c r="J1355" s="26" t="s">
        <v>24</v>
      </c>
      <c r="K1355" s="27"/>
      <c r="L1355" s="28" t="s">
        <v>25</v>
      </c>
      <c r="M1355" s="29" t="str">
        <f t="shared" si="105"/>
        <v>✓ OK</v>
      </c>
      <c r="N1355" s="43">
        <v>46193</v>
      </c>
      <c r="O1355" s="26" t="s">
        <v>23</v>
      </c>
      <c r="P1355" s="26" t="s">
        <v>24</v>
      </c>
      <c r="Q1355" s="26" t="s">
        <v>25</v>
      </c>
      <c r="R1355" s="26" t="s">
        <v>26</v>
      </c>
      <c r="S1355" s="26" t="s">
        <v>24</v>
      </c>
      <c r="T1355" s="27"/>
      <c r="U1355" s="28" t="s">
        <v>25</v>
      </c>
      <c r="V1355" s="29" t="str">
        <f t="shared" si="106"/>
        <v>✓ OK</v>
      </c>
      <c r="W1355" s="45">
        <v>46248</v>
      </c>
      <c r="X1355" s="30" t="s">
        <v>23</v>
      </c>
      <c r="Y1355" s="30" t="s">
        <v>24</v>
      </c>
      <c r="Z1355" s="30" t="s">
        <v>25</v>
      </c>
      <c r="AA1355" s="30" t="s">
        <v>26</v>
      </c>
      <c r="AB1355" s="30" t="s">
        <v>24</v>
      </c>
      <c r="AC1355" s="27"/>
      <c r="AD1355" s="31" t="s">
        <v>25</v>
      </c>
      <c r="AE1355" s="32" t="str">
        <f t="shared" si="107"/>
        <v>✓ OK</v>
      </c>
      <c r="AF1355" s="33" t="s">
        <v>27</v>
      </c>
      <c r="AG1355" s="33" t="s">
        <v>23</v>
      </c>
      <c r="AH1355" s="33" t="s">
        <v>24</v>
      </c>
      <c r="AI1355" s="33" t="s">
        <v>25</v>
      </c>
      <c r="AJ1355" s="33" t="s">
        <v>26</v>
      </c>
      <c r="AK1355" s="33" t="s">
        <v>24</v>
      </c>
      <c r="AL1355" s="27"/>
      <c r="AM1355" s="34" t="s">
        <v>25</v>
      </c>
      <c r="AN1355" s="35" t="str">
        <f t="shared" si="108"/>
        <v>✓ OK</v>
      </c>
      <c r="AO1355" s="36"/>
      <c r="AP1355" s="36"/>
      <c r="AQ1355" s="36"/>
      <c r="AR1355" s="36"/>
      <c r="AS1355" s="36"/>
      <c r="AT1355" s="36"/>
      <c r="AU1355" s="27"/>
      <c r="AV1355" s="37"/>
      <c r="AW1355" s="38" t="str">
        <f t="shared" si="109"/>
        <v/>
      </c>
    </row>
    <row r="1356" spans="1:49" ht="18" customHeight="1" x14ac:dyDescent="0.3">
      <c r="A1356" s="39">
        <v>1352</v>
      </c>
      <c r="B1356" s="40" t="s">
        <v>4553</v>
      </c>
      <c r="C1356" s="41" t="s">
        <v>4554</v>
      </c>
      <c r="D1356" s="39" t="s">
        <v>4000</v>
      </c>
      <c r="E1356" s="43">
        <v>46125</v>
      </c>
      <c r="F1356" s="26" t="s">
        <v>23</v>
      </c>
      <c r="G1356" s="26" t="s">
        <v>24</v>
      </c>
      <c r="H1356" s="26" t="s">
        <v>25</v>
      </c>
      <c r="I1356" s="26" t="s">
        <v>26</v>
      </c>
      <c r="J1356" s="26" t="s">
        <v>24</v>
      </c>
      <c r="K1356" s="27"/>
      <c r="L1356" s="28" t="s">
        <v>25</v>
      </c>
      <c r="M1356" s="29" t="str">
        <f t="shared" si="105"/>
        <v>✓ OK</v>
      </c>
      <c r="N1356" s="43">
        <v>46193</v>
      </c>
      <c r="O1356" s="26" t="s">
        <v>23</v>
      </c>
      <c r="P1356" s="26" t="s">
        <v>24</v>
      </c>
      <c r="Q1356" s="26" t="s">
        <v>25</v>
      </c>
      <c r="R1356" s="26" t="s">
        <v>26</v>
      </c>
      <c r="S1356" s="26" t="s">
        <v>24</v>
      </c>
      <c r="T1356" s="27"/>
      <c r="U1356" s="28" t="s">
        <v>25</v>
      </c>
      <c r="V1356" s="29" t="str">
        <f t="shared" si="106"/>
        <v>✓ OK</v>
      </c>
      <c r="W1356" s="45">
        <v>46248</v>
      </c>
      <c r="X1356" s="30" t="s">
        <v>23</v>
      </c>
      <c r="Y1356" s="30" t="s">
        <v>24</v>
      </c>
      <c r="Z1356" s="30" t="s">
        <v>25</v>
      </c>
      <c r="AA1356" s="30" t="s">
        <v>26</v>
      </c>
      <c r="AB1356" s="30" t="s">
        <v>24</v>
      </c>
      <c r="AC1356" s="27"/>
      <c r="AD1356" s="31" t="s">
        <v>25</v>
      </c>
      <c r="AE1356" s="32" t="str">
        <f t="shared" si="107"/>
        <v>✓ OK</v>
      </c>
      <c r="AF1356" s="33" t="s">
        <v>27</v>
      </c>
      <c r="AG1356" s="33" t="s">
        <v>23</v>
      </c>
      <c r="AH1356" s="33" t="s">
        <v>24</v>
      </c>
      <c r="AI1356" s="33" t="s">
        <v>25</v>
      </c>
      <c r="AJ1356" s="33" t="s">
        <v>26</v>
      </c>
      <c r="AK1356" s="33" t="s">
        <v>24</v>
      </c>
      <c r="AL1356" s="27"/>
      <c r="AM1356" s="34" t="s">
        <v>25</v>
      </c>
      <c r="AN1356" s="35" t="str">
        <f t="shared" si="108"/>
        <v>✓ OK</v>
      </c>
      <c r="AO1356" s="36"/>
      <c r="AP1356" s="36"/>
      <c r="AQ1356" s="36"/>
      <c r="AR1356" s="36"/>
      <c r="AS1356" s="36"/>
      <c r="AT1356" s="36"/>
      <c r="AU1356" s="27"/>
      <c r="AV1356" s="37"/>
      <c r="AW1356" s="38" t="str">
        <f t="shared" si="109"/>
        <v/>
      </c>
    </row>
    <row r="1357" spans="1:49" ht="18" customHeight="1" x14ac:dyDescent="0.3">
      <c r="A1357" s="23">
        <v>1353</v>
      </c>
      <c r="B1357" s="24" t="s">
        <v>4555</v>
      </c>
      <c r="C1357" s="25" t="s">
        <v>4556</v>
      </c>
      <c r="D1357" s="23" t="s">
        <v>4000</v>
      </c>
      <c r="E1357" s="43">
        <v>46125</v>
      </c>
      <c r="F1357" s="26" t="s">
        <v>23</v>
      </c>
      <c r="G1357" s="26" t="s">
        <v>24</v>
      </c>
      <c r="H1357" s="26" t="s">
        <v>25</v>
      </c>
      <c r="I1357" s="26" t="s">
        <v>26</v>
      </c>
      <c r="J1357" s="26" t="s">
        <v>24</v>
      </c>
      <c r="K1357" s="27"/>
      <c r="L1357" s="28" t="s">
        <v>25</v>
      </c>
      <c r="M1357" s="29" t="str">
        <f t="shared" si="105"/>
        <v>✓ OK</v>
      </c>
      <c r="N1357" s="43">
        <v>46193</v>
      </c>
      <c r="O1357" s="26" t="s">
        <v>23</v>
      </c>
      <c r="P1357" s="26" t="s">
        <v>24</v>
      </c>
      <c r="Q1357" s="26" t="s">
        <v>25</v>
      </c>
      <c r="R1357" s="26" t="s">
        <v>26</v>
      </c>
      <c r="S1357" s="26" t="s">
        <v>24</v>
      </c>
      <c r="T1357" s="27"/>
      <c r="U1357" s="28" t="s">
        <v>25</v>
      </c>
      <c r="V1357" s="29" t="str">
        <f t="shared" si="106"/>
        <v>✓ OK</v>
      </c>
      <c r="W1357" s="45">
        <v>46248</v>
      </c>
      <c r="X1357" s="30" t="s">
        <v>23</v>
      </c>
      <c r="Y1357" s="30" t="s">
        <v>24</v>
      </c>
      <c r="Z1357" s="30" t="s">
        <v>25</v>
      </c>
      <c r="AA1357" s="30" t="s">
        <v>26</v>
      </c>
      <c r="AB1357" s="30" t="s">
        <v>24</v>
      </c>
      <c r="AC1357" s="27"/>
      <c r="AD1357" s="31" t="s">
        <v>25</v>
      </c>
      <c r="AE1357" s="32" t="str">
        <f t="shared" si="107"/>
        <v>✓ OK</v>
      </c>
      <c r="AF1357" s="33" t="s">
        <v>27</v>
      </c>
      <c r="AG1357" s="33" t="s">
        <v>23</v>
      </c>
      <c r="AH1357" s="33" t="s">
        <v>24</v>
      </c>
      <c r="AI1357" s="33" t="s">
        <v>25</v>
      </c>
      <c r="AJ1357" s="33" t="s">
        <v>26</v>
      </c>
      <c r="AK1357" s="33" t="s">
        <v>24</v>
      </c>
      <c r="AL1357" s="27"/>
      <c r="AM1357" s="34" t="s">
        <v>25</v>
      </c>
      <c r="AN1357" s="35" t="str">
        <f t="shared" si="108"/>
        <v>✓ OK</v>
      </c>
      <c r="AO1357" s="36"/>
      <c r="AP1357" s="36"/>
      <c r="AQ1357" s="36"/>
      <c r="AR1357" s="36"/>
      <c r="AS1357" s="36"/>
      <c r="AT1357" s="36"/>
      <c r="AU1357" s="27"/>
      <c r="AV1357" s="37"/>
      <c r="AW1357" s="38" t="str">
        <f t="shared" si="109"/>
        <v/>
      </c>
    </row>
    <row r="1358" spans="1:49" ht="18" customHeight="1" x14ac:dyDescent="0.3">
      <c r="A1358" s="39">
        <v>1354</v>
      </c>
      <c r="B1358" s="40" t="s">
        <v>4557</v>
      </c>
      <c r="C1358" s="41" t="s">
        <v>4558</v>
      </c>
      <c r="D1358" s="39" t="s">
        <v>4000</v>
      </c>
      <c r="E1358" s="43">
        <v>46125</v>
      </c>
      <c r="F1358" s="26" t="s">
        <v>23</v>
      </c>
      <c r="G1358" s="26" t="s">
        <v>24</v>
      </c>
      <c r="H1358" s="26" t="s">
        <v>25</v>
      </c>
      <c r="I1358" s="26" t="s">
        <v>26</v>
      </c>
      <c r="J1358" s="26" t="s">
        <v>24</v>
      </c>
      <c r="K1358" s="27"/>
      <c r="L1358" s="28" t="s">
        <v>25</v>
      </c>
      <c r="M1358" s="29" t="str">
        <f t="shared" si="105"/>
        <v>✓ OK</v>
      </c>
      <c r="N1358" s="43">
        <v>46193</v>
      </c>
      <c r="O1358" s="26" t="s">
        <v>23</v>
      </c>
      <c r="P1358" s="26" t="s">
        <v>24</v>
      </c>
      <c r="Q1358" s="26" t="s">
        <v>25</v>
      </c>
      <c r="R1358" s="26" t="s">
        <v>26</v>
      </c>
      <c r="S1358" s="26" t="s">
        <v>24</v>
      </c>
      <c r="T1358" s="27"/>
      <c r="U1358" s="28" t="s">
        <v>25</v>
      </c>
      <c r="V1358" s="29" t="str">
        <f t="shared" si="106"/>
        <v>✓ OK</v>
      </c>
      <c r="W1358" s="45">
        <v>46248</v>
      </c>
      <c r="X1358" s="30" t="s">
        <v>23</v>
      </c>
      <c r="Y1358" s="30" t="s">
        <v>24</v>
      </c>
      <c r="Z1358" s="30" t="s">
        <v>25</v>
      </c>
      <c r="AA1358" s="30" t="s">
        <v>26</v>
      </c>
      <c r="AB1358" s="30" t="s">
        <v>24</v>
      </c>
      <c r="AC1358" s="27"/>
      <c r="AD1358" s="31" t="s">
        <v>25</v>
      </c>
      <c r="AE1358" s="32" t="str">
        <f t="shared" si="107"/>
        <v>✓ OK</v>
      </c>
      <c r="AF1358" s="33" t="s">
        <v>27</v>
      </c>
      <c r="AG1358" s="33" t="s">
        <v>23</v>
      </c>
      <c r="AH1358" s="33" t="s">
        <v>24</v>
      </c>
      <c r="AI1358" s="33" t="s">
        <v>25</v>
      </c>
      <c r="AJ1358" s="33" t="s">
        <v>26</v>
      </c>
      <c r="AK1358" s="33" t="s">
        <v>24</v>
      </c>
      <c r="AL1358" s="27"/>
      <c r="AM1358" s="34" t="s">
        <v>25</v>
      </c>
      <c r="AN1358" s="35" t="str">
        <f t="shared" si="108"/>
        <v>✓ OK</v>
      </c>
      <c r="AO1358" s="36"/>
      <c r="AP1358" s="36"/>
      <c r="AQ1358" s="36"/>
      <c r="AR1358" s="36"/>
      <c r="AS1358" s="36"/>
      <c r="AT1358" s="36"/>
      <c r="AU1358" s="27"/>
      <c r="AV1358" s="37"/>
      <c r="AW1358" s="38" t="str">
        <f t="shared" si="109"/>
        <v/>
      </c>
    </row>
    <row r="1359" spans="1:49" ht="18" customHeight="1" x14ac:dyDescent="0.3">
      <c r="A1359" s="23">
        <v>1355</v>
      </c>
      <c r="B1359" s="24" t="s">
        <v>4559</v>
      </c>
      <c r="C1359" s="25" t="s">
        <v>4560</v>
      </c>
      <c r="D1359" s="23" t="s">
        <v>4000</v>
      </c>
      <c r="E1359" s="43">
        <v>46125</v>
      </c>
      <c r="F1359" s="26" t="s">
        <v>23</v>
      </c>
      <c r="G1359" s="26" t="s">
        <v>24</v>
      </c>
      <c r="H1359" s="26" t="s">
        <v>25</v>
      </c>
      <c r="I1359" s="26" t="s">
        <v>26</v>
      </c>
      <c r="J1359" s="26" t="s">
        <v>24</v>
      </c>
      <c r="K1359" s="27"/>
      <c r="L1359" s="28" t="s">
        <v>25</v>
      </c>
      <c r="M1359" s="29" t="str">
        <f t="shared" si="105"/>
        <v>✓ OK</v>
      </c>
      <c r="N1359" s="43">
        <v>46193</v>
      </c>
      <c r="O1359" s="26" t="s">
        <v>23</v>
      </c>
      <c r="P1359" s="26" t="s">
        <v>24</v>
      </c>
      <c r="Q1359" s="26" t="s">
        <v>25</v>
      </c>
      <c r="R1359" s="26" t="s">
        <v>26</v>
      </c>
      <c r="S1359" s="26" t="s">
        <v>24</v>
      </c>
      <c r="T1359" s="27"/>
      <c r="U1359" s="28" t="s">
        <v>25</v>
      </c>
      <c r="V1359" s="29" t="str">
        <f t="shared" si="106"/>
        <v>✓ OK</v>
      </c>
      <c r="W1359" s="45">
        <v>46248</v>
      </c>
      <c r="X1359" s="30" t="s">
        <v>23</v>
      </c>
      <c r="Y1359" s="30" t="s">
        <v>24</v>
      </c>
      <c r="Z1359" s="30" t="s">
        <v>25</v>
      </c>
      <c r="AA1359" s="30" t="s">
        <v>26</v>
      </c>
      <c r="AB1359" s="30" t="s">
        <v>24</v>
      </c>
      <c r="AC1359" s="27"/>
      <c r="AD1359" s="31" t="s">
        <v>25</v>
      </c>
      <c r="AE1359" s="32" t="str">
        <f t="shared" si="107"/>
        <v>✓ OK</v>
      </c>
      <c r="AF1359" s="33" t="s">
        <v>27</v>
      </c>
      <c r="AG1359" s="33" t="s">
        <v>23</v>
      </c>
      <c r="AH1359" s="33" t="s">
        <v>24</v>
      </c>
      <c r="AI1359" s="33" t="s">
        <v>25</v>
      </c>
      <c r="AJ1359" s="33" t="s">
        <v>26</v>
      </c>
      <c r="AK1359" s="33" t="s">
        <v>24</v>
      </c>
      <c r="AL1359" s="27"/>
      <c r="AM1359" s="34" t="s">
        <v>25</v>
      </c>
      <c r="AN1359" s="35" t="str">
        <f t="shared" si="108"/>
        <v>✓ OK</v>
      </c>
      <c r="AO1359" s="36"/>
      <c r="AP1359" s="36"/>
      <c r="AQ1359" s="36"/>
      <c r="AR1359" s="36"/>
      <c r="AS1359" s="36"/>
      <c r="AT1359" s="36"/>
      <c r="AU1359" s="27"/>
      <c r="AV1359" s="37"/>
      <c r="AW1359" s="38" t="str">
        <f t="shared" si="109"/>
        <v/>
      </c>
    </row>
    <row r="1360" spans="1:49" ht="18" customHeight="1" x14ac:dyDescent="0.3">
      <c r="A1360" s="39">
        <v>1356</v>
      </c>
      <c r="B1360" s="40" t="s">
        <v>4561</v>
      </c>
      <c r="C1360" s="41" t="s">
        <v>4562</v>
      </c>
      <c r="D1360" s="39" t="s">
        <v>4000</v>
      </c>
      <c r="E1360" s="43">
        <v>46125</v>
      </c>
      <c r="F1360" s="26" t="s">
        <v>23</v>
      </c>
      <c r="G1360" s="26" t="s">
        <v>24</v>
      </c>
      <c r="H1360" s="26" t="s">
        <v>25</v>
      </c>
      <c r="I1360" s="26" t="s">
        <v>26</v>
      </c>
      <c r="J1360" s="26" t="s">
        <v>24</v>
      </c>
      <c r="K1360" s="27"/>
      <c r="L1360" s="28" t="s">
        <v>25</v>
      </c>
      <c r="M1360" s="29" t="str">
        <f t="shared" si="105"/>
        <v>✓ OK</v>
      </c>
      <c r="N1360" s="43">
        <v>46193</v>
      </c>
      <c r="O1360" s="26" t="s">
        <v>23</v>
      </c>
      <c r="P1360" s="26" t="s">
        <v>24</v>
      </c>
      <c r="Q1360" s="26" t="s">
        <v>25</v>
      </c>
      <c r="R1360" s="26" t="s">
        <v>26</v>
      </c>
      <c r="S1360" s="26" t="s">
        <v>24</v>
      </c>
      <c r="T1360" s="27"/>
      <c r="U1360" s="28" t="s">
        <v>25</v>
      </c>
      <c r="V1360" s="29" t="str">
        <f t="shared" si="106"/>
        <v>✓ OK</v>
      </c>
      <c r="W1360" s="45">
        <v>46248</v>
      </c>
      <c r="X1360" s="30" t="s">
        <v>23</v>
      </c>
      <c r="Y1360" s="30" t="s">
        <v>24</v>
      </c>
      <c r="Z1360" s="30" t="s">
        <v>25</v>
      </c>
      <c r="AA1360" s="30" t="s">
        <v>26</v>
      </c>
      <c r="AB1360" s="30" t="s">
        <v>24</v>
      </c>
      <c r="AC1360" s="27"/>
      <c r="AD1360" s="31" t="s">
        <v>25</v>
      </c>
      <c r="AE1360" s="32" t="str">
        <f t="shared" si="107"/>
        <v>✓ OK</v>
      </c>
      <c r="AF1360" s="33" t="s">
        <v>27</v>
      </c>
      <c r="AG1360" s="33" t="s">
        <v>23</v>
      </c>
      <c r="AH1360" s="33" t="s">
        <v>24</v>
      </c>
      <c r="AI1360" s="33" t="s">
        <v>25</v>
      </c>
      <c r="AJ1360" s="33" t="s">
        <v>26</v>
      </c>
      <c r="AK1360" s="33" t="s">
        <v>24</v>
      </c>
      <c r="AL1360" s="27"/>
      <c r="AM1360" s="34" t="s">
        <v>25</v>
      </c>
      <c r="AN1360" s="35" t="str">
        <f t="shared" si="108"/>
        <v>✓ OK</v>
      </c>
      <c r="AO1360" s="36"/>
      <c r="AP1360" s="36"/>
      <c r="AQ1360" s="36"/>
      <c r="AR1360" s="36"/>
      <c r="AS1360" s="36"/>
      <c r="AT1360" s="36"/>
      <c r="AU1360" s="27"/>
      <c r="AV1360" s="37"/>
      <c r="AW1360" s="38" t="str">
        <f t="shared" si="109"/>
        <v/>
      </c>
    </row>
    <row r="1361" spans="1:49" ht="18" customHeight="1" x14ac:dyDescent="0.3">
      <c r="A1361" s="23">
        <v>1357</v>
      </c>
      <c r="B1361" s="24" t="s">
        <v>4563</v>
      </c>
      <c r="C1361" s="25" t="s">
        <v>4564</v>
      </c>
      <c r="D1361" s="23" t="s">
        <v>4000</v>
      </c>
      <c r="E1361" s="43">
        <v>46125</v>
      </c>
      <c r="F1361" s="26" t="s">
        <v>23</v>
      </c>
      <c r="G1361" s="26" t="s">
        <v>24</v>
      </c>
      <c r="H1361" s="26" t="s">
        <v>25</v>
      </c>
      <c r="I1361" s="26" t="s">
        <v>26</v>
      </c>
      <c r="J1361" s="26" t="s">
        <v>24</v>
      </c>
      <c r="K1361" s="27"/>
      <c r="L1361" s="28" t="s">
        <v>25</v>
      </c>
      <c r="M1361" s="29" t="str">
        <f t="shared" si="105"/>
        <v>✓ OK</v>
      </c>
      <c r="N1361" s="43">
        <v>46193</v>
      </c>
      <c r="O1361" s="26" t="s">
        <v>23</v>
      </c>
      <c r="P1361" s="26" t="s">
        <v>24</v>
      </c>
      <c r="Q1361" s="26" t="s">
        <v>25</v>
      </c>
      <c r="R1361" s="26" t="s">
        <v>26</v>
      </c>
      <c r="S1361" s="26" t="s">
        <v>24</v>
      </c>
      <c r="T1361" s="27"/>
      <c r="U1361" s="28" t="s">
        <v>25</v>
      </c>
      <c r="V1361" s="29" t="str">
        <f t="shared" si="106"/>
        <v>✓ OK</v>
      </c>
      <c r="W1361" s="45">
        <v>46248</v>
      </c>
      <c r="X1361" s="30" t="s">
        <v>23</v>
      </c>
      <c r="Y1361" s="30" t="s">
        <v>24</v>
      </c>
      <c r="Z1361" s="30" t="s">
        <v>25</v>
      </c>
      <c r="AA1361" s="30" t="s">
        <v>26</v>
      </c>
      <c r="AB1361" s="30" t="s">
        <v>24</v>
      </c>
      <c r="AC1361" s="27"/>
      <c r="AD1361" s="31" t="s">
        <v>25</v>
      </c>
      <c r="AE1361" s="32" t="str">
        <f t="shared" si="107"/>
        <v>✓ OK</v>
      </c>
      <c r="AF1361" s="33" t="s">
        <v>27</v>
      </c>
      <c r="AG1361" s="33" t="s">
        <v>23</v>
      </c>
      <c r="AH1361" s="33" t="s">
        <v>24</v>
      </c>
      <c r="AI1361" s="33" t="s">
        <v>25</v>
      </c>
      <c r="AJ1361" s="33" t="s">
        <v>26</v>
      </c>
      <c r="AK1361" s="33" t="s">
        <v>24</v>
      </c>
      <c r="AL1361" s="27"/>
      <c r="AM1361" s="34" t="s">
        <v>25</v>
      </c>
      <c r="AN1361" s="35" t="str">
        <f t="shared" si="108"/>
        <v>✓ OK</v>
      </c>
      <c r="AO1361" s="36"/>
      <c r="AP1361" s="36"/>
      <c r="AQ1361" s="36"/>
      <c r="AR1361" s="36"/>
      <c r="AS1361" s="36"/>
      <c r="AT1361" s="36"/>
      <c r="AU1361" s="27"/>
      <c r="AV1361" s="37"/>
      <c r="AW1361" s="38" t="str">
        <f t="shared" si="109"/>
        <v/>
      </c>
    </row>
    <row r="1362" spans="1:49" ht="18" customHeight="1" x14ac:dyDescent="0.3">
      <c r="A1362" s="39">
        <v>1358</v>
      </c>
      <c r="B1362" s="40" t="s">
        <v>4565</v>
      </c>
      <c r="C1362" s="41" t="s">
        <v>4566</v>
      </c>
      <c r="D1362" s="39" t="s">
        <v>4000</v>
      </c>
      <c r="E1362" s="43">
        <v>46125</v>
      </c>
      <c r="F1362" s="26" t="s">
        <v>23</v>
      </c>
      <c r="G1362" s="26" t="s">
        <v>24</v>
      </c>
      <c r="H1362" s="26" t="s">
        <v>25</v>
      </c>
      <c r="I1362" s="26" t="s">
        <v>26</v>
      </c>
      <c r="J1362" s="26" t="s">
        <v>24</v>
      </c>
      <c r="K1362" s="27"/>
      <c r="L1362" s="28" t="s">
        <v>25</v>
      </c>
      <c r="M1362" s="29" t="str">
        <f t="shared" si="105"/>
        <v>✓ OK</v>
      </c>
      <c r="N1362" s="43">
        <v>46193</v>
      </c>
      <c r="O1362" s="26" t="s">
        <v>23</v>
      </c>
      <c r="P1362" s="26" t="s">
        <v>24</v>
      </c>
      <c r="Q1362" s="26" t="s">
        <v>25</v>
      </c>
      <c r="R1362" s="26" t="s">
        <v>26</v>
      </c>
      <c r="S1362" s="26" t="s">
        <v>24</v>
      </c>
      <c r="T1362" s="27"/>
      <c r="U1362" s="28" t="s">
        <v>25</v>
      </c>
      <c r="V1362" s="29" t="str">
        <f t="shared" si="106"/>
        <v>✓ OK</v>
      </c>
      <c r="W1362" s="45">
        <v>46248</v>
      </c>
      <c r="X1362" s="30" t="s">
        <v>23</v>
      </c>
      <c r="Y1362" s="30" t="s">
        <v>24</v>
      </c>
      <c r="Z1362" s="30" t="s">
        <v>25</v>
      </c>
      <c r="AA1362" s="30" t="s">
        <v>26</v>
      </c>
      <c r="AB1362" s="30" t="s">
        <v>24</v>
      </c>
      <c r="AC1362" s="27"/>
      <c r="AD1362" s="31" t="s">
        <v>25</v>
      </c>
      <c r="AE1362" s="32" t="str">
        <f t="shared" si="107"/>
        <v>✓ OK</v>
      </c>
      <c r="AF1362" s="33" t="s">
        <v>27</v>
      </c>
      <c r="AG1362" s="33" t="s">
        <v>23</v>
      </c>
      <c r="AH1362" s="33" t="s">
        <v>24</v>
      </c>
      <c r="AI1362" s="33" t="s">
        <v>25</v>
      </c>
      <c r="AJ1362" s="33" t="s">
        <v>26</v>
      </c>
      <c r="AK1362" s="33" t="s">
        <v>24</v>
      </c>
      <c r="AL1362" s="27"/>
      <c r="AM1362" s="34" t="s">
        <v>25</v>
      </c>
      <c r="AN1362" s="35" t="str">
        <f t="shared" si="108"/>
        <v>✓ OK</v>
      </c>
      <c r="AO1362" s="36"/>
      <c r="AP1362" s="36"/>
      <c r="AQ1362" s="36"/>
      <c r="AR1362" s="36"/>
      <c r="AS1362" s="36"/>
      <c r="AT1362" s="36"/>
      <c r="AU1362" s="27"/>
      <c r="AV1362" s="37"/>
      <c r="AW1362" s="38" t="str">
        <f t="shared" si="109"/>
        <v/>
      </c>
    </row>
    <row r="1363" spans="1:49" ht="18" customHeight="1" x14ac:dyDescent="0.3">
      <c r="A1363" s="23">
        <v>1359</v>
      </c>
      <c r="B1363" s="24" t="s">
        <v>4567</v>
      </c>
      <c r="C1363" s="25" t="s">
        <v>4568</v>
      </c>
      <c r="D1363" s="23" t="s">
        <v>4000</v>
      </c>
      <c r="E1363" s="43">
        <v>46125</v>
      </c>
      <c r="F1363" s="26" t="s">
        <v>23</v>
      </c>
      <c r="G1363" s="26" t="s">
        <v>24</v>
      </c>
      <c r="H1363" s="26" t="s">
        <v>25</v>
      </c>
      <c r="I1363" s="26" t="s">
        <v>26</v>
      </c>
      <c r="J1363" s="26" t="s">
        <v>24</v>
      </c>
      <c r="K1363" s="27"/>
      <c r="L1363" s="28" t="s">
        <v>25</v>
      </c>
      <c r="M1363" s="29" t="str">
        <f t="shared" si="105"/>
        <v>✓ OK</v>
      </c>
      <c r="N1363" s="43">
        <v>46193</v>
      </c>
      <c r="O1363" s="26" t="s">
        <v>23</v>
      </c>
      <c r="P1363" s="26" t="s">
        <v>24</v>
      </c>
      <c r="Q1363" s="26" t="s">
        <v>25</v>
      </c>
      <c r="R1363" s="26" t="s">
        <v>26</v>
      </c>
      <c r="S1363" s="26" t="s">
        <v>24</v>
      </c>
      <c r="T1363" s="27"/>
      <c r="U1363" s="28" t="s">
        <v>25</v>
      </c>
      <c r="V1363" s="29" t="str">
        <f t="shared" si="106"/>
        <v>✓ OK</v>
      </c>
      <c r="W1363" s="45">
        <v>46248</v>
      </c>
      <c r="X1363" s="30" t="s">
        <v>23</v>
      </c>
      <c r="Y1363" s="30" t="s">
        <v>24</v>
      </c>
      <c r="Z1363" s="30" t="s">
        <v>25</v>
      </c>
      <c r="AA1363" s="30" t="s">
        <v>26</v>
      </c>
      <c r="AB1363" s="30" t="s">
        <v>24</v>
      </c>
      <c r="AC1363" s="27"/>
      <c r="AD1363" s="31" t="s">
        <v>25</v>
      </c>
      <c r="AE1363" s="32" t="str">
        <f t="shared" si="107"/>
        <v>✓ OK</v>
      </c>
      <c r="AF1363" s="33" t="s">
        <v>27</v>
      </c>
      <c r="AG1363" s="33" t="s">
        <v>23</v>
      </c>
      <c r="AH1363" s="33" t="s">
        <v>24</v>
      </c>
      <c r="AI1363" s="33" t="s">
        <v>25</v>
      </c>
      <c r="AJ1363" s="33" t="s">
        <v>26</v>
      </c>
      <c r="AK1363" s="33" t="s">
        <v>24</v>
      </c>
      <c r="AL1363" s="27"/>
      <c r="AM1363" s="34" t="s">
        <v>25</v>
      </c>
      <c r="AN1363" s="35" t="str">
        <f t="shared" si="108"/>
        <v>✓ OK</v>
      </c>
      <c r="AO1363" s="36"/>
      <c r="AP1363" s="36"/>
      <c r="AQ1363" s="36"/>
      <c r="AR1363" s="36"/>
      <c r="AS1363" s="36"/>
      <c r="AT1363" s="36"/>
      <c r="AU1363" s="27"/>
      <c r="AV1363" s="37"/>
      <c r="AW1363" s="38" t="str">
        <f t="shared" si="109"/>
        <v/>
      </c>
    </row>
    <row r="1364" spans="1:49" ht="18" customHeight="1" x14ac:dyDescent="0.3">
      <c r="A1364" s="39">
        <v>1360</v>
      </c>
      <c r="B1364" s="40" t="s">
        <v>4569</v>
      </c>
      <c r="C1364" s="41" t="s">
        <v>4570</v>
      </c>
      <c r="D1364" s="39" t="s">
        <v>4000</v>
      </c>
      <c r="E1364" s="43">
        <v>46125</v>
      </c>
      <c r="F1364" s="26" t="s">
        <v>23</v>
      </c>
      <c r="G1364" s="26" t="s">
        <v>24</v>
      </c>
      <c r="H1364" s="26" t="s">
        <v>25</v>
      </c>
      <c r="I1364" s="26" t="s">
        <v>26</v>
      </c>
      <c r="J1364" s="26" t="s">
        <v>24</v>
      </c>
      <c r="K1364" s="27"/>
      <c r="L1364" s="28" t="s">
        <v>25</v>
      </c>
      <c r="M1364" s="29" t="str">
        <f t="shared" si="105"/>
        <v>✓ OK</v>
      </c>
      <c r="N1364" s="43">
        <v>46193</v>
      </c>
      <c r="O1364" s="26" t="s">
        <v>23</v>
      </c>
      <c r="P1364" s="26" t="s">
        <v>24</v>
      </c>
      <c r="Q1364" s="26" t="s">
        <v>25</v>
      </c>
      <c r="R1364" s="26" t="s">
        <v>26</v>
      </c>
      <c r="S1364" s="26" t="s">
        <v>24</v>
      </c>
      <c r="T1364" s="27"/>
      <c r="U1364" s="28" t="s">
        <v>25</v>
      </c>
      <c r="V1364" s="29" t="str">
        <f t="shared" si="106"/>
        <v>✓ OK</v>
      </c>
      <c r="W1364" s="45">
        <v>46248</v>
      </c>
      <c r="X1364" s="30" t="s">
        <v>23</v>
      </c>
      <c r="Y1364" s="30" t="s">
        <v>24</v>
      </c>
      <c r="Z1364" s="30" t="s">
        <v>25</v>
      </c>
      <c r="AA1364" s="30" t="s">
        <v>26</v>
      </c>
      <c r="AB1364" s="30" t="s">
        <v>24</v>
      </c>
      <c r="AC1364" s="27"/>
      <c r="AD1364" s="31" t="s">
        <v>25</v>
      </c>
      <c r="AE1364" s="32" t="str">
        <f t="shared" si="107"/>
        <v>✓ OK</v>
      </c>
      <c r="AF1364" s="33" t="s">
        <v>27</v>
      </c>
      <c r="AG1364" s="33" t="s">
        <v>23</v>
      </c>
      <c r="AH1364" s="33" t="s">
        <v>24</v>
      </c>
      <c r="AI1364" s="33" t="s">
        <v>25</v>
      </c>
      <c r="AJ1364" s="33" t="s">
        <v>26</v>
      </c>
      <c r="AK1364" s="33" t="s">
        <v>24</v>
      </c>
      <c r="AL1364" s="27"/>
      <c r="AM1364" s="34" t="s">
        <v>25</v>
      </c>
      <c r="AN1364" s="35" t="str">
        <f t="shared" si="108"/>
        <v>✓ OK</v>
      </c>
      <c r="AO1364" s="36"/>
      <c r="AP1364" s="36"/>
      <c r="AQ1364" s="36"/>
      <c r="AR1364" s="36"/>
      <c r="AS1364" s="36"/>
      <c r="AT1364" s="36"/>
      <c r="AU1364" s="27"/>
      <c r="AV1364" s="37"/>
      <c r="AW1364" s="38" t="str">
        <f t="shared" si="109"/>
        <v/>
      </c>
    </row>
    <row r="1365" spans="1:49" ht="18" customHeight="1" x14ac:dyDescent="0.3">
      <c r="A1365" s="23">
        <v>1361</v>
      </c>
      <c r="B1365" s="24" t="s">
        <v>4571</v>
      </c>
      <c r="C1365" s="25" t="s">
        <v>4572</v>
      </c>
      <c r="D1365" s="23" t="s">
        <v>4000</v>
      </c>
      <c r="E1365" s="43">
        <v>46125</v>
      </c>
      <c r="F1365" s="26" t="s">
        <v>23</v>
      </c>
      <c r="G1365" s="26" t="s">
        <v>24</v>
      </c>
      <c r="H1365" s="26" t="s">
        <v>25</v>
      </c>
      <c r="I1365" s="26" t="s">
        <v>26</v>
      </c>
      <c r="J1365" s="26" t="s">
        <v>24</v>
      </c>
      <c r="K1365" s="27"/>
      <c r="L1365" s="28" t="s">
        <v>25</v>
      </c>
      <c r="M1365" s="29" t="str">
        <f t="shared" si="105"/>
        <v>✓ OK</v>
      </c>
      <c r="N1365" s="43">
        <v>46193</v>
      </c>
      <c r="O1365" s="26" t="s">
        <v>23</v>
      </c>
      <c r="P1365" s="26" t="s">
        <v>24</v>
      </c>
      <c r="Q1365" s="26" t="s">
        <v>25</v>
      </c>
      <c r="R1365" s="26" t="s">
        <v>26</v>
      </c>
      <c r="S1365" s="26" t="s">
        <v>24</v>
      </c>
      <c r="T1365" s="27"/>
      <c r="U1365" s="28" t="s">
        <v>25</v>
      </c>
      <c r="V1365" s="29" t="str">
        <f t="shared" si="106"/>
        <v>✓ OK</v>
      </c>
      <c r="W1365" s="45">
        <v>46248</v>
      </c>
      <c r="X1365" s="30" t="s">
        <v>23</v>
      </c>
      <c r="Y1365" s="30" t="s">
        <v>24</v>
      </c>
      <c r="Z1365" s="30" t="s">
        <v>25</v>
      </c>
      <c r="AA1365" s="30" t="s">
        <v>26</v>
      </c>
      <c r="AB1365" s="30" t="s">
        <v>24</v>
      </c>
      <c r="AC1365" s="27"/>
      <c r="AD1365" s="31" t="s">
        <v>25</v>
      </c>
      <c r="AE1365" s="32" t="str">
        <f t="shared" si="107"/>
        <v>✓ OK</v>
      </c>
      <c r="AF1365" s="33" t="s">
        <v>27</v>
      </c>
      <c r="AG1365" s="33" t="s">
        <v>23</v>
      </c>
      <c r="AH1365" s="33" t="s">
        <v>24</v>
      </c>
      <c r="AI1365" s="33" t="s">
        <v>25</v>
      </c>
      <c r="AJ1365" s="33" t="s">
        <v>26</v>
      </c>
      <c r="AK1365" s="33" t="s">
        <v>24</v>
      </c>
      <c r="AL1365" s="27"/>
      <c r="AM1365" s="34" t="s">
        <v>25</v>
      </c>
      <c r="AN1365" s="35" t="str">
        <f t="shared" si="108"/>
        <v>✓ OK</v>
      </c>
      <c r="AO1365" s="36"/>
      <c r="AP1365" s="36"/>
      <c r="AQ1365" s="36"/>
      <c r="AR1365" s="36"/>
      <c r="AS1365" s="36"/>
      <c r="AT1365" s="36"/>
      <c r="AU1365" s="27"/>
      <c r="AV1365" s="37"/>
      <c r="AW1365" s="38" t="str">
        <f t="shared" si="109"/>
        <v/>
      </c>
    </row>
    <row r="1366" spans="1:49" ht="18" customHeight="1" x14ac:dyDescent="0.3">
      <c r="A1366" s="39">
        <v>1362</v>
      </c>
      <c r="B1366" s="40" t="s">
        <v>4573</v>
      </c>
      <c r="C1366" s="41" t="s">
        <v>4574</v>
      </c>
      <c r="D1366" s="39" t="s">
        <v>4000</v>
      </c>
      <c r="E1366" s="43">
        <v>46125</v>
      </c>
      <c r="F1366" s="26" t="s">
        <v>23</v>
      </c>
      <c r="G1366" s="26" t="s">
        <v>24</v>
      </c>
      <c r="H1366" s="26" t="s">
        <v>25</v>
      </c>
      <c r="I1366" s="26" t="s">
        <v>26</v>
      </c>
      <c r="J1366" s="26" t="s">
        <v>24</v>
      </c>
      <c r="K1366" s="27"/>
      <c r="L1366" s="28" t="s">
        <v>25</v>
      </c>
      <c r="M1366" s="29" t="str">
        <f t="shared" si="105"/>
        <v>✓ OK</v>
      </c>
      <c r="N1366" s="43">
        <v>46193</v>
      </c>
      <c r="O1366" s="26" t="s">
        <v>23</v>
      </c>
      <c r="P1366" s="26" t="s">
        <v>24</v>
      </c>
      <c r="Q1366" s="26" t="s">
        <v>25</v>
      </c>
      <c r="R1366" s="26" t="s">
        <v>26</v>
      </c>
      <c r="S1366" s="26" t="s">
        <v>24</v>
      </c>
      <c r="T1366" s="27"/>
      <c r="U1366" s="28" t="s">
        <v>25</v>
      </c>
      <c r="V1366" s="29" t="str">
        <f t="shared" si="106"/>
        <v>✓ OK</v>
      </c>
      <c r="W1366" s="45">
        <v>46248</v>
      </c>
      <c r="X1366" s="30" t="s">
        <v>23</v>
      </c>
      <c r="Y1366" s="30" t="s">
        <v>24</v>
      </c>
      <c r="Z1366" s="30" t="s">
        <v>25</v>
      </c>
      <c r="AA1366" s="30" t="s">
        <v>26</v>
      </c>
      <c r="AB1366" s="30" t="s">
        <v>24</v>
      </c>
      <c r="AC1366" s="27"/>
      <c r="AD1366" s="31" t="s">
        <v>25</v>
      </c>
      <c r="AE1366" s="32" t="str">
        <f t="shared" si="107"/>
        <v>✓ OK</v>
      </c>
      <c r="AF1366" s="33" t="s">
        <v>27</v>
      </c>
      <c r="AG1366" s="33" t="s">
        <v>23</v>
      </c>
      <c r="AH1366" s="33" t="s">
        <v>24</v>
      </c>
      <c r="AI1366" s="33" t="s">
        <v>25</v>
      </c>
      <c r="AJ1366" s="33" t="s">
        <v>26</v>
      </c>
      <c r="AK1366" s="33" t="s">
        <v>24</v>
      </c>
      <c r="AL1366" s="27"/>
      <c r="AM1366" s="34" t="s">
        <v>25</v>
      </c>
      <c r="AN1366" s="35" t="str">
        <f t="shared" si="108"/>
        <v>✓ OK</v>
      </c>
      <c r="AO1366" s="36"/>
      <c r="AP1366" s="36"/>
      <c r="AQ1366" s="36"/>
      <c r="AR1366" s="36"/>
      <c r="AS1366" s="36"/>
      <c r="AT1366" s="36"/>
      <c r="AU1366" s="27"/>
      <c r="AV1366" s="37"/>
      <c r="AW1366" s="38" t="str">
        <f t="shared" si="109"/>
        <v/>
      </c>
    </row>
    <row r="1367" spans="1:49" ht="18" customHeight="1" x14ac:dyDescent="0.3">
      <c r="A1367" s="23">
        <v>1363</v>
      </c>
      <c r="B1367" s="24" t="s">
        <v>4575</v>
      </c>
      <c r="C1367" s="25" t="s">
        <v>4576</v>
      </c>
      <c r="D1367" s="23" t="s">
        <v>4000</v>
      </c>
      <c r="E1367" s="43">
        <v>46125</v>
      </c>
      <c r="F1367" s="26" t="s">
        <v>23</v>
      </c>
      <c r="G1367" s="26" t="s">
        <v>24</v>
      </c>
      <c r="H1367" s="26" t="s">
        <v>25</v>
      </c>
      <c r="I1367" s="26" t="s">
        <v>26</v>
      </c>
      <c r="J1367" s="26" t="s">
        <v>24</v>
      </c>
      <c r="K1367" s="27"/>
      <c r="L1367" s="28" t="s">
        <v>25</v>
      </c>
      <c r="M1367" s="29" t="str">
        <f t="shared" si="105"/>
        <v>✓ OK</v>
      </c>
      <c r="N1367" s="43">
        <v>46193</v>
      </c>
      <c r="O1367" s="26" t="s">
        <v>23</v>
      </c>
      <c r="P1367" s="26" t="s">
        <v>24</v>
      </c>
      <c r="Q1367" s="26" t="s">
        <v>25</v>
      </c>
      <c r="R1367" s="26" t="s">
        <v>26</v>
      </c>
      <c r="S1367" s="26" t="s">
        <v>24</v>
      </c>
      <c r="T1367" s="27"/>
      <c r="U1367" s="28" t="s">
        <v>25</v>
      </c>
      <c r="V1367" s="29" t="str">
        <f t="shared" si="106"/>
        <v>✓ OK</v>
      </c>
      <c r="W1367" s="45">
        <v>46248</v>
      </c>
      <c r="X1367" s="30" t="s">
        <v>23</v>
      </c>
      <c r="Y1367" s="30" t="s">
        <v>24</v>
      </c>
      <c r="Z1367" s="30" t="s">
        <v>25</v>
      </c>
      <c r="AA1367" s="30" t="s">
        <v>26</v>
      </c>
      <c r="AB1367" s="30" t="s">
        <v>24</v>
      </c>
      <c r="AC1367" s="27"/>
      <c r="AD1367" s="31" t="s">
        <v>25</v>
      </c>
      <c r="AE1367" s="32" t="str">
        <f t="shared" si="107"/>
        <v>✓ OK</v>
      </c>
      <c r="AF1367" s="33" t="s">
        <v>27</v>
      </c>
      <c r="AG1367" s="33" t="s">
        <v>23</v>
      </c>
      <c r="AH1367" s="33" t="s">
        <v>24</v>
      </c>
      <c r="AI1367" s="33" t="s">
        <v>25</v>
      </c>
      <c r="AJ1367" s="33" t="s">
        <v>26</v>
      </c>
      <c r="AK1367" s="33" t="s">
        <v>24</v>
      </c>
      <c r="AL1367" s="27"/>
      <c r="AM1367" s="34" t="s">
        <v>25</v>
      </c>
      <c r="AN1367" s="35" t="str">
        <f t="shared" si="108"/>
        <v>✓ OK</v>
      </c>
      <c r="AO1367" s="36"/>
      <c r="AP1367" s="36"/>
      <c r="AQ1367" s="36"/>
      <c r="AR1367" s="36"/>
      <c r="AS1367" s="36"/>
      <c r="AT1367" s="36"/>
      <c r="AU1367" s="27"/>
      <c r="AV1367" s="37"/>
      <c r="AW1367" s="38" t="str">
        <f t="shared" si="109"/>
        <v/>
      </c>
    </row>
    <row r="1368" spans="1:49" ht="18" customHeight="1" x14ac:dyDescent="0.3">
      <c r="A1368" s="39">
        <v>1364</v>
      </c>
      <c r="B1368" s="40" t="s">
        <v>4577</v>
      </c>
      <c r="C1368" s="41" t="s">
        <v>4578</v>
      </c>
      <c r="D1368" s="39" t="s">
        <v>4000</v>
      </c>
      <c r="E1368" s="43">
        <v>46125</v>
      </c>
      <c r="F1368" s="26" t="s">
        <v>23</v>
      </c>
      <c r="G1368" s="26" t="s">
        <v>24</v>
      </c>
      <c r="H1368" s="26" t="s">
        <v>25</v>
      </c>
      <c r="I1368" s="26" t="s">
        <v>26</v>
      </c>
      <c r="J1368" s="26" t="s">
        <v>24</v>
      </c>
      <c r="K1368" s="27"/>
      <c r="L1368" s="28" t="s">
        <v>25</v>
      </c>
      <c r="M1368" s="29" t="str">
        <f t="shared" si="105"/>
        <v>✓ OK</v>
      </c>
      <c r="N1368" s="43">
        <v>46193</v>
      </c>
      <c r="O1368" s="26" t="s">
        <v>23</v>
      </c>
      <c r="P1368" s="26" t="s">
        <v>24</v>
      </c>
      <c r="Q1368" s="26" t="s">
        <v>25</v>
      </c>
      <c r="R1368" s="26" t="s">
        <v>26</v>
      </c>
      <c r="S1368" s="26" t="s">
        <v>24</v>
      </c>
      <c r="T1368" s="27"/>
      <c r="U1368" s="28" t="s">
        <v>25</v>
      </c>
      <c r="V1368" s="29" t="str">
        <f t="shared" si="106"/>
        <v>✓ OK</v>
      </c>
      <c r="W1368" s="45">
        <v>46248</v>
      </c>
      <c r="X1368" s="30" t="s">
        <v>23</v>
      </c>
      <c r="Y1368" s="30" t="s">
        <v>24</v>
      </c>
      <c r="Z1368" s="30" t="s">
        <v>25</v>
      </c>
      <c r="AA1368" s="30" t="s">
        <v>26</v>
      </c>
      <c r="AB1368" s="30" t="s">
        <v>24</v>
      </c>
      <c r="AC1368" s="27"/>
      <c r="AD1368" s="31" t="s">
        <v>25</v>
      </c>
      <c r="AE1368" s="32" t="str">
        <f t="shared" si="107"/>
        <v>✓ OK</v>
      </c>
      <c r="AF1368" s="33" t="s">
        <v>27</v>
      </c>
      <c r="AG1368" s="33" t="s">
        <v>23</v>
      </c>
      <c r="AH1368" s="33" t="s">
        <v>24</v>
      </c>
      <c r="AI1368" s="33" t="s">
        <v>25</v>
      </c>
      <c r="AJ1368" s="33" t="s">
        <v>26</v>
      </c>
      <c r="AK1368" s="33" t="s">
        <v>24</v>
      </c>
      <c r="AL1368" s="27"/>
      <c r="AM1368" s="34" t="s">
        <v>25</v>
      </c>
      <c r="AN1368" s="35" t="str">
        <f t="shared" si="108"/>
        <v>✓ OK</v>
      </c>
      <c r="AO1368" s="36"/>
      <c r="AP1368" s="36"/>
      <c r="AQ1368" s="36"/>
      <c r="AR1368" s="36"/>
      <c r="AS1368" s="36"/>
      <c r="AT1368" s="36"/>
      <c r="AU1368" s="27"/>
      <c r="AV1368" s="37"/>
      <c r="AW1368" s="38" t="str">
        <f t="shared" si="109"/>
        <v/>
      </c>
    </row>
    <row r="1369" spans="1:49" ht="18" customHeight="1" x14ac:dyDescent="0.3">
      <c r="A1369" s="23">
        <v>1365</v>
      </c>
      <c r="B1369" s="24" t="s">
        <v>4579</v>
      </c>
      <c r="C1369" s="25" t="s">
        <v>4580</v>
      </c>
      <c r="D1369" s="23" t="s">
        <v>4000</v>
      </c>
      <c r="E1369" s="43">
        <v>46125</v>
      </c>
      <c r="F1369" s="26" t="s">
        <v>23</v>
      </c>
      <c r="G1369" s="26" t="s">
        <v>24</v>
      </c>
      <c r="H1369" s="26" t="s">
        <v>25</v>
      </c>
      <c r="I1369" s="26" t="s">
        <v>26</v>
      </c>
      <c r="J1369" s="26" t="s">
        <v>24</v>
      </c>
      <c r="K1369" s="27"/>
      <c r="L1369" s="28" t="s">
        <v>25</v>
      </c>
      <c r="M1369" s="29" t="str">
        <f t="shared" si="105"/>
        <v>✓ OK</v>
      </c>
      <c r="N1369" s="43">
        <v>46193</v>
      </c>
      <c r="O1369" s="26" t="s">
        <v>23</v>
      </c>
      <c r="P1369" s="26" t="s">
        <v>24</v>
      </c>
      <c r="Q1369" s="26" t="s">
        <v>25</v>
      </c>
      <c r="R1369" s="26" t="s">
        <v>26</v>
      </c>
      <c r="S1369" s="26" t="s">
        <v>24</v>
      </c>
      <c r="T1369" s="27"/>
      <c r="U1369" s="28" t="s">
        <v>25</v>
      </c>
      <c r="V1369" s="29" t="str">
        <f t="shared" si="106"/>
        <v>✓ OK</v>
      </c>
      <c r="W1369" s="45">
        <v>46248</v>
      </c>
      <c r="X1369" s="30" t="s">
        <v>23</v>
      </c>
      <c r="Y1369" s="30" t="s">
        <v>24</v>
      </c>
      <c r="Z1369" s="30" t="s">
        <v>25</v>
      </c>
      <c r="AA1369" s="30" t="s">
        <v>26</v>
      </c>
      <c r="AB1369" s="30" t="s">
        <v>24</v>
      </c>
      <c r="AC1369" s="27"/>
      <c r="AD1369" s="31" t="s">
        <v>25</v>
      </c>
      <c r="AE1369" s="32" t="str">
        <f t="shared" si="107"/>
        <v>✓ OK</v>
      </c>
      <c r="AF1369" s="33" t="s">
        <v>27</v>
      </c>
      <c r="AG1369" s="33" t="s">
        <v>23</v>
      </c>
      <c r="AH1369" s="33" t="s">
        <v>24</v>
      </c>
      <c r="AI1369" s="33" t="s">
        <v>25</v>
      </c>
      <c r="AJ1369" s="33" t="s">
        <v>26</v>
      </c>
      <c r="AK1369" s="33" t="s">
        <v>24</v>
      </c>
      <c r="AL1369" s="27"/>
      <c r="AM1369" s="34" t="s">
        <v>25</v>
      </c>
      <c r="AN1369" s="35" t="str">
        <f t="shared" si="108"/>
        <v>✓ OK</v>
      </c>
      <c r="AO1369" s="36"/>
      <c r="AP1369" s="36"/>
      <c r="AQ1369" s="36"/>
      <c r="AR1369" s="36"/>
      <c r="AS1369" s="36"/>
      <c r="AT1369" s="36"/>
      <c r="AU1369" s="27"/>
      <c r="AV1369" s="37"/>
      <c r="AW1369" s="38" t="str">
        <f t="shared" si="109"/>
        <v/>
      </c>
    </row>
    <row r="1370" spans="1:49" ht="18" customHeight="1" x14ac:dyDescent="0.3">
      <c r="A1370" s="39">
        <v>1366</v>
      </c>
      <c r="B1370" s="40" t="s">
        <v>4581</v>
      </c>
      <c r="C1370" s="41" t="s">
        <v>4582</v>
      </c>
      <c r="D1370" s="39" t="s">
        <v>4000</v>
      </c>
      <c r="E1370" s="43">
        <v>46125</v>
      </c>
      <c r="F1370" s="26" t="s">
        <v>23</v>
      </c>
      <c r="G1370" s="26" t="s">
        <v>24</v>
      </c>
      <c r="H1370" s="26" t="s">
        <v>25</v>
      </c>
      <c r="I1370" s="26" t="s">
        <v>26</v>
      </c>
      <c r="J1370" s="26" t="s">
        <v>24</v>
      </c>
      <c r="K1370" s="27"/>
      <c r="L1370" s="28" t="s">
        <v>25</v>
      </c>
      <c r="M1370" s="29" t="str">
        <f t="shared" si="105"/>
        <v>✓ OK</v>
      </c>
      <c r="N1370" s="43">
        <v>46193</v>
      </c>
      <c r="O1370" s="26" t="s">
        <v>23</v>
      </c>
      <c r="P1370" s="26" t="s">
        <v>24</v>
      </c>
      <c r="Q1370" s="26" t="s">
        <v>25</v>
      </c>
      <c r="R1370" s="26" t="s">
        <v>26</v>
      </c>
      <c r="S1370" s="26" t="s">
        <v>24</v>
      </c>
      <c r="T1370" s="27"/>
      <c r="U1370" s="28" t="s">
        <v>25</v>
      </c>
      <c r="V1370" s="29" t="str">
        <f t="shared" si="106"/>
        <v>✓ OK</v>
      </c>
      <c r="W1370" s="45">
        <v>46248</v>
      </c>
      <c r="X1370" s="30" t="s">
        <v>23</v>
      </c>
      <c r="Y1370" s="30" t="s">
        <v>24</v>
      </c>
      <c r="Z1370" s="30" t="s">
        <v>25</v>
      </c>
      <c r="AA1370" s="30" t="s">
        <v>26</v>
      </c>
      <c r="AB1370" s="30" t="s">
        <v>24</v>
      </c>
      <c r="AC1370" s="27"/>
      <c r="AD1370" s="31" t="s">
        <v>25</v>
      </c>
      <c r="AE1370" s="32" t="str">
        <f t="shared" si="107"/>
        <v>✓ OK</v>
      </c>
      <c r="AF1370" s="33" t="s">
        <v>27</v>
      </c>
      <c r="AG1370" s="33" t="s">
        <v>23</v>
      </c>
      <c r="AH1370" s="33" t="s">
        <v>24</v>
      </c>
      <c r="AI1370" s="33" t="s">
        <v>25</v>
      </c>
      <c r="AJ1370" s="33" t="s">
        <v>26</v>
      </c>
      <c r="AK1370" s="33" t="s">
        <v>24</v>
      </c>
      <c r="AL1370" s="27"/>
      <c r="AM1370" s="34" t="s">
        <v>25</v>
      </c>
      <c r="AN1370" s="35" t="str">
        <f t="shared" si="108"/>
        <v>✓ OK</v>
      </c>
      <c r="AO1370" s="36"/>
      <c r="AP1370" s="36"/>
      <c r="AQ1370" s="36"/>
      <c r="AR1370" s="36"/>
      <c r="AS1370" s="36"/>
      <c r="AT1370" s="36"/>
      <c r="AU1370" s="27"/>
      <c r="AV1370" s="37"/>
      <c r="AW1370" s="38" t="str">
        <f t="shared" si="109"/>
        <v/>
      </c>
    </row>
    <row r="1371" spans="1:49" ht="18" customHeight="1" x14ac:dyDescent="0.3">
      <c r="A1371" s="23">
        <v>1367</v>
      </c>
      <c r="B1371" s="24" t="s">
        <v>4583</v>
      </c>
      <c r="C1371" s="25" t="s">
        <v>4584</v>
      </c>
      <c r="D1371" s="23" t="s">
        <v>4000</v>
      </c>
      <c r="E1371" s="43">
        <v>46125</v>
      </c>
      <c r="F1371" s="26" t="s">
        <v>23</v>
      </c>
      <c r="G1371" s="26" t="s">
        <v>24</v>
      </c>
      <c r="H1371" s="26" t="s">
        <v>25</v>
      </c>
      <c r="I1371" s="26" t="s">
        <v>26</v>
      </c>
      <c r="J1371" s="26" t="s">
        <v>24</v>
      </c>
      <c r="K1371" s="27"/>
      <c r="L1371" s="28" t="s">
        <v>25</v>
      </c>
      <c r="M1371" s="29" t="str">
        <f t="shared" si="105"/>
        <v>✓ OK</v>
      </c>
      <c r="N1371" s="43">
        <v>46193</v>
      </c>
      <c r="O1371" s="26" t="s">
        <v>23</v>
      </c>
      <c r="P1371" s="26" t="s">
        <v>24</v>
      </c>
      <c r="Q1371" s="26" t="s">
        <v>25</v>
      </c>
      <c r="R1371" s="26" t="s">
        <v>26</v>
      </c>
      <c r="S1371" s="26" t="s">
        <v>24</v>
      </c>
      <c r="T1371" s="27"/>
      <c r="U1371" s="28" t="s">
        <v>25</v>
      </c>
      <c r="V1371" s="29" t="str">
        <f t="shared" si="106"/>
        <v>✓ OK</v>
      </c>
      <c r="W1371" s="45">
        <v>46248</v>
      </c>
      <c r="X1371" s="30" t="s">
        <v>23</v>
      </c>
      <c r="Y1371" s="30" t="s">
        <v>24</v>
      </c>
      <c r="Z1371" s="30" t="s">
        <v>25</v>
      </c>
      <c r="AA1371" s="30" t="s">
        <v>26</v>
      </c>
      <c r="AB1371" s="30" t="s">
        <v>24</v>
      </c>
      <c r="AC1371" s="27"/>
      <c r="AD1371" s="31" t="s">
        <v>25</v>
      </c>
      <c r="AE1371" s="32" t="str">
        <f t="shared" si="107"/>
        <v>✓ OK</v>
      </c>
      <c r="AF1371" s="33" t="s">
        <v>27</v>
      </c>
      <c r="AG1371" s="33" t="s">
        <v>23</v>
      </c>
      <c r="AH1371" s="33" t="s">
        <v>24</v>
      </c>
      <c r="AI1371" s="33" t="s">
        <v>25</v>
      </c>
      <c r="AJ1371" s="33" t="s">
        <v>26</v>
      </c>
      <c r="AK1371" s="33" t="s">
        <v>24</v>
      </c>
      <c r="AL1371" s="27"/>
      <c r="AM1371" s="34" t="s">
        <v>25</v>
      </c>
      <c r="AN1371" s="35" t="str">
        <f t="shared" si="108"/>
        <v>✓ OK</v>
      </c>
      <c r="AO1371" s="36"/>
      <c r="AP1371" s="36"/>
      <c r="AQ1371" s="36"/>
      <c r="AR1371" s="36"/>
      <c r="AS1371" s="36"/>
      <c r="AT1371" s="36"/>
      <c r="AU1371" s="27"/>
      <c r="AV1371" s="37"/>
      <c r="AW1371" s="38" t="str">
        <f t="shared" si="109"/>
        <v/>
      </c>
    </row>
    <row r="1372" spans="1:49" ht="18" customHeight="1" x14ac:dyDescent="0.3">
      <c r="A1372" s="39">
        <v>1368</v>
      </c>
      <c r="B1372" s="40" t="s">
        <v>4585</v>
      </c>
      <c r="C1372" s="41" t="s">
        <v>4586</v>
      </c>
      <c r="D1372" s="39" t="s">
        <v>4000</v>
      </c>
      <c r="E1372" s="43">
        <v>46125</v>
      </c>
      <c r="F1372" s="26" t="s">
        <v>23</v>
      </c>
      <c r="G1372" s="26" t="s">
        <v>24</v>
      </c>
      <c r="H1372" s="26" t="s">
        <v>25</v>
      </c>
      <c r="I1372" s="26" t="s">
        <v>26</v>
      </c>
      <c r="J1372" s="26" t="s">
        <v>24</v>
      </c>
      <c r="K1372" s="27"/>
      <c r="L1372" s="28" t="s">
        <v>25</v>
      </c>
      <c r="M1372" s="29" t="str">
        <f t="shared" si="105"/>
        <v>✓ OK</v>
      </c>
      <c r="N1372" s="43">
        <v>46193</v>
      </c>
      <c r="O1372" s="26" t="s">
        <v>23</v>
      </c>
      <c r="P1372" s="26" t="s">
        <v>24</v>
      </c>
      <c r="Q1372" s="26" t="s">
        <v>25</v>
      </c>
      <c r="R1372" s="26" t="s">
        <v>26</v>
      </c>
      <c r="S1372" s="26" t="s">
        <v>24</v>
      </c>
      <c r="T1372" s="27"/>
      <c r="U1372" s="28" t="s">
        <v>25</v>
      </c>
      <c r="V1372" s="29" t="str">
        <f t="shared" si="106"/>
        <v>✓ OK</v>
      </c>
      <c r="W1372" s="45">
        <v>46248</v>
      </c>
      <c r="X1372" s="30" t="s">
        <v>23</v>
      </c>
      <c r="Y1372" s="30" t="s">
        <v>24</v>
      </c>
      <c r="Z1372" s="30" t="s">
        <v>25</v>
      </c>
      <c r="AA1372" s="30" t="s">
        <v>26</v>
      </c>
      <c r="AB1372" s="30" t="s">
        <v>24</v>
      </c>
      <c r="AC1372" s="27"/>
      <c r="AD1372" s="31" t="s">
        <v>25</v>
      </c>
      <c r="AE1372" s="32" t="str">
        <f t="shared" si="107"/>
        <v>✓ OK</v>
      </c>
      <c r="AF1372" s="33" t="s">
        <v>27</v>
      </c>
      <c r="AG1372" s="33" t="s">
        <v>23</v>
      </c>
      <c r="AH1372" s="33" t="s">
        <v>24</v>
      </c>
      <c r="AI1372" s="33" t="s">
        <v>25</v>
      </c>
      <c r="AJ1372" s="33" t="s">
        <v>26</v>
      </c>
      <c r="AK1372" s="33" t="s">
        <v>24</v>
      </c>
      <c r="AL1372" s="27"/>
      <c r="AM1372" s="34" t="s">
        <v>25</v>
      </c>
      <c r="AN1372" s="35" t="str">
        <f t="shared" si="108"/>
        <v>✓ OK</v>
      </c>
      <c r="AO1372" s="36"/>
      <c r="AP1372" s="36"/>
      <c r="AQ1372" s="36"/>
      <c r="AR1372" s="36"/>
      <c r="AS1372" s="36"/>
      <c r="AT1372" s="36"/>
      <c r="AU1372" s="27"/>
      <c r="AV1372" s="37"/>
      <c r="AW1372" s="38" t="str">
        <f t="shared" si="109"/>
        <v/>
      </c>
    </row>
    <row r="1373" spans="1:49" ht="18" customHeight="1" x14ac:dyDescent="0.3">
      <c r="A1373" s="23">
        <v>1369</v>
      </c>
      <c r="B1373" s="24" t="s">
        <v>4587</v>
      </c>
      <c r="C1373" s="25" t="s">
        <v>4588</v>
      </c>
      <c r="D1373" s="23" t="s">
        <v>4000</v>
      </c>
      <c r="E1373" s="43">
        <v>46125</v>
      </c>
      <c r="F1373" s="26" t="s">
        <v>23</v>
      </c>
      <c r="G1373" s="26" t="s">
        <v>24</v>
      </c>
      <c r="H1373" s="26" t="s">
        <v>25</v>
      </c>
      <c r="I1373" s="26" t="s">
        <v>26</v>
      </c>
      <c r="J1373" s="26" t="s">
        <v>24</v>
      </c>
      <c r="K1373" s="27"/>
      <c r="L1373" s="28" t="s">
        <v>25</v>
      </c>
      <c r="M1373" s="29" t="str">
        <f t="shared" si="105"/>
        <v>✓ OK</v>
      </c>
      <c r="N1373" s="43">
        <v>46193</v>
      </c>
      <c r="O1373" s="26" t="s">
        <v>23</v>
      </c>
      <c r="P1373" s="26" t="s">
        <v>24</v>
      </c>
      <c r="Q1373" s="26" t="s">
        <v>25</v>
      </c>
      <c r="R1373" s="26" t="s">
        <v>26</v>
      </c>
      <c r="S1373" s="26" t="s">
        <v>24</v>
      </c>
      <c r="T1373" s="27"/>
      <c r="U1373" s="28" t="s">
        <v>25</v>
      </c>
      <c r="V1373" s="29" t="str">
        <f t="shared" si="106"/>
        <v>✓ OK</v>
      </c>
      <c r="W1373" s="45">
        <v>46248</v>
      </c>
      <c r="X1373" s="30" t="s">
        <v>23</v>
      </c>
      <c r="Y1373" s="30" t="s">
        <v>24</v>
      </c>
      <c r="Z1373" s="30" t="s">
        <v>25</v>
      </c>
      <c r="AA1373" s="30" t="s">
        <v>26</v>
      </c>
      <c r="AB1373" s="30" t="s">
        <v>24</v>
      </c>
      <c r="AC1373" s="27"/>
      <c r="AD1373" s="31" t="s">
        <v>25</v>
      </c>
      <c r="AE1373" s="32" t="str">
        <f t="shared" si="107"/>
        <v>✓ OK</v>
      </c>
      <c r="AF1373" s="33" t="s">
        <v>27</v>
      </c>
      <c r="AG1373" s="33" t="s">
        <v>23</v>
      </c>
      <c r="AH1373" s="33" t="s">
        <v>24</v>
      </c>
      <c r="AI1373" s="33" t="s">
        <v>25</v>
      </c>
      <c r="AJ1373" s="33" t="s">
        <v>26</v>
      </c>
      <c r="AK1373" s="33" t="s">
        <v>24</v>
      </c>
      <c r="AL1373" s="27"/>
      <c r="AM1373" s="34" t="s">
        <v>25</v>
      </c>
      <c r="AN1373" s="35" t="str">
        <f t="shared" si="108"/>
        <v>✓ OK</v>
      </c>
      <c r="AO1373" s="36"/>
      <c r="AP1373" s="36"/>
      <c r="AQ1373" s="36"/>
      <c r="AR1373" s="36"/>
      <c r="AS1373" s="36"/>
      <c r="AT1373" s="36"/>
      <c r="AU1373" s="27"/>
      <c r="AV1373" s="37"/>
      <c r="AW1373" s="38" t="str">
        <f t="shared" si="109"/>
        <v/>
      </c>
    </row>
    <row r="1374" spans="1:49" ht="18" customHeight="1" x14ac:dyDescent="0.3">
      <c r="A1374" s="39">
        <v>1370</v>
      </c>
      <c r="B1374" s="40" t="s">
        <v>4589</v>
      </c>
      <c r="C1374" s="41" t="s">
        <v>4590</v>
      </c>
      <c r="D1374" s="39" t="s">
        <v>4000</v>
      </c>
      <c r="E1374" s="43">
        <v>46125</v>
      </c>
      <c r="F1374" s="26" t="s">
        <v>23</v>
      </c>
      <c r="G1374" s="26" t="s">
        <v>24</v>
      </c>
      <c r="H1374" s="26" t="s">
        <v>25</v>
      </c>
      <c r="I1374" s="26" t="s">
        <v>26</v>
      </c>
      <c r="J1374" s="26" t="s">
        <v>24</v>
      </c>
      <c r="K1374" s="27"/>
      <c r="L1374" s="28" t="s">
        <v>25</v>
      </c>
      <c r="M1374" s="29" t="str">
        <f t="shared" si="105"/>
        <v>✓ OK</v>
      </c>
      <c r="N1374" s="43">
        <v>46193</v>
      </c>
      <c r="O1374" s="26" t="s">
        <v>23</v>
      </c>
      <c r="P1374" s="26" t="s">
        <v>24</v>
      </c>
      <c r="Q1374" s="26" t="s">
        <v>25</v>
      </c>
      <c r="R1374" s="26" t="s">
        <v>26</v>
      </c>
      <c r="S1374" s="26" t="s">
        <v>24</v>
      </c>
      <c r="T1374" s="27"/>
      <c r="U1374" s="28" t="s">
        <v>25</v>
      </c>
      <c r="V1374" s="29" t="str">
        <f t="shared" si="106"/>
        <v>✓ OK</v>
      </c>
      <c r="W1374" s="45">
        <v>46248</v>
      </c>
      <c r="X1374" s="30" t="s">
        <v>23</v>
      </c>
      <c r="Y1374" s="30" t="s">
        <v>24</v>
      </c>
      <c r="Z1374" s="30" t="s">
        <v>25</v>
      </c>
      <c r="AA1374" s="30" t="s">
        <v>26</v>
      </c>
      <c r="AB1374" s="30" t="s">
        <v>24</v>
      </c>
      <c r="AC1374" s="27"/>
      <c r="AD1374" s="31" t="s">
        <v>25</v>
      </c>
      <c r="AE1374" s="32" t="str">
        <f t="shared" si="107"/>
        <v>✓ OK</v>
      </c>
      <c r="AF1374" s="33" t="s">
        <v>27</v>
      </c>
      <c r="AG1374" s="33" t="s">
        <v>23</v>
      </c>
      <c r="AH1374" s="33" t="s">
        <v>24</v>
      </c>
      <c r="AI1374" s="33" t="s">
        <v>25</v>
      </c>
      <c r="AJ1374" s="33" t="s">
        <v>26</v>
      </c>
      <c r="AK1374" s="33" t="s">
        <v>24</v>
      </c>
      <c r="AL1374" s="27"/>
      <c r="AM1374" s="34" t="s">
        <v>25</v>
      </c>
      <c r="AN1374" s="35" t="str">
        <f t="shared" si="108"/>
        <v>✓ OK</v>
      </c>
      <c r="AO1374" s="36"/>
      <c r="AP1374" s="36"/>
      <c r="AQ1374" s="36"/>
      <c r="AR1374" s="36"/>
      <c r="AS1374" s="36"/>
      <c r="AT1374" s="36"/>
      <c r="AU1374" s="27"/>
      <c r="AV1374" s="37"/>
      <c r="AW1374" s="38" t="str">
        <f t="shared" si="109"/>
        <v/>
      </c>
    </row>
    <row r="1375" spans="1:49" ht="18" customHeight="1" x14ac:dyDescent="0.3">
      <c r="A1375" s="23">
        <v>1371</v>
      </c>
      <c r="B1375" s="24" t="s">
        <v>4591</v>
      </c>
      <c r="C1375" s="25" t="s">
        <v>4592</v>
      </c>
      <c r="D1375" s="23" t="s">
        <v>4000</v>
      </c>
      <c r="E1375" s="43">
        <v>46125</v>
      </c>
      <c r="F1375" s="26" t="s">
        <v>23</v>
      </c>
      <c r="G1375" s="26" t="s">
        <v>24</v>
      </c>
      <c r="H1375" s="26" t="s">
        <v>25</v>
      </c>
      <c r="I1375" s="26" t="s">
        <v>26</v>
      </c>
      <c r="J1375" s="26" t="s">
        <v>24</v>
      </c>
      <c r="K1375" s="27"/>
      <c r="L1375" s="28" t="s">
        <v>25</v>
      </c>
      <c r="M1375" s="29" t="str">
        <f t="shared" si="105"/>
        <v>✓ OK</v>
      </c>
      <c r="N1375" s="43">
        <v>46193</v>
      </c>
      <c r="O1375" s="26" t="s">
        <v>23</v>
      </c>
      <c r="P1375" s="26" t="s">
        <v>24</v>
      </c>
      <c r="Q1375" s="26" t="s">
        <v>25</v>
      </c>
      <c r="R1375" s="26" t="s">
        <v>26</v>
      </c>
      <c r="S1375" s="26" t="s">
        <v>24</v>
      </c>
      <c r="T1375" s="27"/>
      <c r="U1375" s="28" t="s">
        <v>25</v>
      </c>
      <c r="V1375" s="29" t="str">
        <f t="shared" si="106"/>
        <v>✓ OK</v>
      </c>
      <c r="W1375" s="45">
        <v>46248</v>
      </c>
      <c r="X1375" s="30" t="s">
        <v>23</v>
      </c>
      <c r="Y1375" s="30" t="s">
        <v>24</v>
      </c>
      <c r="Z1375" s="30" t="s">
        <v>25</v>
      </c>
      <c r="AA1375" s="30" t="s">
        <v>26</v>
      </c>
      <c r="AB1375" s="30" t="s">
        <v>24</v>
      </c>
      <c r="AC1375" s="27"/>
      <c r="AD1375" s="31" t="s">
        <v>25</v>
      </c>
      <c r="AE1375" s="32" t="str">
        <f t="shared" si="107"/>
        <v>✓ OK</v>
      </c>
      <c r="AF1375" s="33" t="s">
        <v>27</v>
      </c>
      <c r="AG1375" s="33" t="s">
        <v>23</v>
      </c>
      <c r="AH1375" s="33" t="s">
        <v>24</v>
      </c>
      <c r="AI1375" s="33" t="s">
        <v>25</v>
      </c>
      <c r="AJ1375" s="33" t="s">
        <v>26</v>
      </c>
      <c r="AK1375" s="33" t="s">
        <v>24</v>
      </c>
      <c r="AL1375" s="27"/>
      <c r="AM1375" s="34" t="s">
        <v>25</v>
      </c>
      <c r="AN1375" s="35" t="str">
        <f t="shared" si="108"/>
        <v>✓ OK</v>
      </c>
      <c r="AO1375" s="36"/>
      <c r="AP1375" s="36"/>
      <c r="AQ1375" s="36"/>
      <c r="AR1375" s="36"/>
      <c r="AS1375" s="36"/>
      <c r="AT1375" s="36"/>
      <c r="AU1375" s="27"/>
      <c r="AV1375" s="37"/>
      <c r="AW1375" s="38" t="str">
        <f t="shared" si="109"/>
        <v/>
      </c>
    </row>
    <row r="1376" spans="1:49" ht="18" customHeight="1" x14ac:dyDescent="0.3">
      <c r="A1376" s="39">
        <v>1372</v>
      </c>
      <c r="B1376" s="40" t="s">
        <v>4593</v>
      </c>
      <c r="C1376" s="41" t="s">
        <v>4594</v>
      </c>
      <c r="D1376" s="39" t="s">
        <v>4000</v>
      </c>
      <c r="E1376" s="43">
        <v>46125</v>
      </c>
      <c r="F1376" s="26" t="s">
        <v>23</v>
      </c>
      <c r="G1376" s="26" t="s">
        <v>24</v>
      </c>
      <c r="H1376" s="26" t="s">
        <v>25</v>
      </c>
      <c r="I1376" s="26" t="s">
        <v>26</v>
      </c>
      <c r="J1376" s="26" t="s">
        <v>24</v>
      </c>
      <c r="K1376" s="27"/>
      <c r="L1376" s="28" t="s">
        <v>25</v>
      </c>
      <c r="M1376" s="29" t="str">
        <f t="shared" si="105"/>
        <v>✓ OK</v>
      </c>
      <c r="N1376" s="43">
        <v>46193</v>
      </c>
      <c r="O1376" s="26" t="s">
        <v>23</v>
      </c>
      <c r="P1376" s="26" t="s">
        <v>24</v>
      </c>
      <c r="Q1376" s="26" t="s">
        <v>25</v>
      </c>
      <c r="R1376" s="26" t="s">
        <v>26</v>
      </c>
      <c r="S1376" s="26" t="s">
        <v>24</v>
      </c>
      <c r="T1376" s="27"/>
      <c r="U1376" s="28" t="s">
        <v>25</v>
      </c>
      <c r="V1376" s="29" t="str">
        <f t="shared" si="106"/>
        <v>✓ OK</v>
      </c>
      <c r="W1376" s="45">
        <v>46248</v>
      </c>
      <c r="X1376" s="30" t="s">
        <v>23</v>
      </c>
      <c r="Y1376" s="30" t="s">
        <v>24</v>
      </c>
      <c r="Z1376" s="30" t="s">
        <v>25</v>
      </c>
      <c r="AA1376" s="30" t="s">
        <v>26</v>
      </c>
      <c r="AB1376" s="30" t="s">
        <v>24</v>
      </c>
      <c r="AC1376" s="27"/>
      <c r="AD1376" s="31" t="s">
        <v>25</v>
      </c>
      <c r="AE1376" s="32" t="str">
        <f t="shared" si="107"/>
        <v>✓ OK</v>
      </c>
      <c r="AF1376" s="33" t="s">
        <v>27</v>
      </c>
      <c r="AG1376" s="33" t="s">
        <v>23</v>
      </c>
      <c r="AH1376" s="33" t="s">
        <v>24</v>
      </c>
      <c r="AI1376" s="33" t="s">
        <v>25</v>
      </c>
      <c r="AJ1376" s="33" t="s">
        <v>26</v>
      </c>
      <c r="AK1376" s="33" t="s">
        <v>24</v>
      </c>
      <c r="AL1376" s="27"/>
      <c r="AM1376" s="34" t="s">
        <v>25</v>
      </c>
      <c r="AN1376" s="35" t="str">
        <f t="shared" si="108"/>
        <v>✓ OK</v>
      </c>
      <c r="AO1376" s="36"/>
      <c r="AP1376" s="36"/>
      <c r="AQ1376" s="36"/>
      <c r="AR1376" s="36"/>
      <c r="AS1376" s="36"/>
      <c r="AT1376" s="36"/>
      <c r="AU1376" s="27"/>
      <c r="AV1376" s="37"/>
      <c r="AW1376" s="38" t="str">
        <f t="shared" si="109"/>
        <v/>
      </c>
    </row>
    <row r="1377" spans="1:49" ht="18" customHeight="1" x14ac:dyDescent="0.3">
      <c r="A1377" s="23">
        <v>1373</v>
      </c>
      <c r="B1377" s="24" t="s">
        <v>4595</v>
      </c>
      <c r="C1377" s="25" t="s">
        <v>4596</v>
      </c>
      <c r="D1377" s="23" t="s">
        <v>4000</v>
      </c>
      <c r="E1377" s="43">
        <v>46125</v>
      </c>
      <c r="F1377" s="26" t="s">
        <v>23</v>
      </c>
      <c r="G1377" s="26" t="s">
        <v>24</v>
      </c>
      <c r="H1377" s="26" t="s">
        <v>25</v>
      </c>
      <c r="I1377" s="26" t="s">
        <v>26</v>
      </c>
      <c r="J1377" s="26" t="s">
        <v>24</v>
      </c>
      <c r="K1377" s="27"/>
      <c r="L1377" s="28" t="s">
        <v>25</v>
      </c>
      <c r="M1377" s="29" t="str">
        <f t="shared" si="105"/>
        <v>✓ OK</v>
      </c>
      <c r="N1377" s="43">
        <v>46193</v>
      </c>
      <c r="O1377" s="26" t="s">
        <v>23</v>
      </c>
      <c r="P1377" s="26" t="s">
        <v>24</v>
      </c>
      <c r="Q1377" s="26" t="s">
        <v>25</v>
      </c>
      <c r="R1377" s="26" t="s">
        <v>26</v>
      </c>
      <c r="S1377" s="26" t="s">
        <v>24</v>
      </c>
      <c r="T1377" s="27"/>
      <c r="U1377" s="28" t="s">
        <v>25</v>
      </c>
      <c r="V1377" s="29" t="str">
        <f t="shared" si="106"/>
        <v>✓ OK</v>
      </c>
      <c r="W1377" s="45">
        <v>46248</v>
      </c>
      <c r="X1377" s="30" t="s">
        <v>23</v>
      </c>
      <c r="Y1377" s="30" t="s">
        <v>24</v>
      </c>
      <c r="Z1377" s="30" t="s">
        <v>25</v>
      </c>
      <c r="AA1377" s="30" t="s">
        <v>26</v>
      </c>
      <c r="AB1377" s="30" t="s">
        <v>24</v>
      </c>
      <c r="AC1377" s="27"/>
      <c r="AD1377" s="31" t="s">
        <v>25</v>
      </c>
      <c r="AE1377" s="32" t="str">
        <f t="shared" si="107"/>
        <v>✓ OK</v>
      </c>
      <c r="AF1377" s="33" t="s">
        <v>27</v>
      </c>
      <c r="AG1377" s="33" t="s">
        <v>23</v>
      </c>
      <c r="AH1377" s="33" t="s">
        <v>24</v>
      </c>
      <c r="AI1377" s="33" t="s">
        <v>25</v>
      </c>
      <c r="AJ1377" s="33" t="s">
        <v>26</v>
      </c>
      <c r="AK1377" s="33" t="s">
        <v>24</v>
      </c>
      <c r="AL1377" s="27"/>
      <c r="AM1377" s="34" t="s">
        <v>25</v>
      </c>
      <c r="AN1377" s="35" t="str">
        <f t="shared" si="108"/>
        <v>✓ OK</v>
      </c>
      <c r="AO1377" s="36"/>
      <c r="AP1377" s="36"/>
      <c r="AQ1377" s="36"/>
      <c r="AR1377" s="36"/>
      <c r="AS1377" s="36"/>
      <c r="AT1377" s="36"/>
      <c r="AU1377" s="27"/>
      <c r="AV1377" s="37"/>
      <c r="AW1377" s="38" t="str">
        <f t="shared" si="109"/>
        <v/>
      </c>
    </row>
    <row r="1378" spans="1:49" ht="18" customHeight="1" x14ac:dyDescent="0.3">
      <c r="A1378" s="39">
        <v>1374</v>
      </c>
      <c r="B1378" s="40" t="s">
        <v>4597</v>
      </c>
      <c r="C1378" s="41" t="s">
        <v>4598</v>
      </c>
      <c r="D1378" s="39" t="s">
        <v>4000</v>
      </c>
      <c r="E1378" s="43">
        <v>46125</v>
      </c>
      <c r="F1378" s="26" t="s">
        <v>23</v>
      </c>
      <c r="G1378" s="26" t="s">
        <v>24</v>
      </c>
      <c r="H1378" s="26" t="s">
        <v>25</v>
      </c>
      <c r="I1378" s="26" t="s">
        <v>26</v>
      </c>
      <c r="J1378" s="26" t="s">
        <v>24</v>
      </c>
      <c r="K1378" s="27"/>
      <c r="L1378" s="28" t="s">
        <v>25</v>
      </c>
      <c r="M1378" s="29" t="str">
        <f t="shared" si="105"/>
        <v>✓ OK</v>
      </c>
      <c r="N1378" s="43">
        <v>46193</v>
      </c>
      <c r="O1378" s="26" t="s">
        <v>23</v>
      </c>
      <c r="P1378" s="26" t="s">
        <v>24</v>
      </c>
      <c r="Q1378" s="26" t="s">
        <v>25</v>
      </c>
      <c r="R1378" s="26" t="s">
        <v>26</v>
      </c>
      <c r="S1378" s="26" t="s">
        <v>24</v>
      </c>
      <c r="T1378" s="27"/>
      <c r="U1378" s="28" t="s">
        <v>25</v>
      </c>
      <c r="V1378" s="29" t="str">
        <f t="shared" si="106"/>
        <v>✓ OK</v>
      </c>
      <c r="W1378" s="45">
        <v>46248</v>
      </c>
      <c r="X1378" s="30" t="s">
        <v>23</v>
      </c>
      <c r="Y1378" s="30" t="s">
        <v>24</v>
      </c>
      <c r="Z1378" s="30" t="s">
        <v>25</v>
      </c>
      <c r="AA1378" s="30" t="s">
        <v>26</v>
      </c>
      <c r="AB1378" s="30" t="s">
        <v>24</v>
      </c>
      <c r="AC1378" s="27"/>
      <c r="AD1378" s="31" t="s">
        <v>25</v>
      </c>
      <c r="AE1378" s="32" t="str">
        <f t="shared" si="107"/>
        <v>✓ OK</v>
      </c>
      <c r="AF1378" s="33" t="s">
        <v>27</v>
      </c>
      <c r="AG1378" s="33" t="s">
        <v>23</v>
      </c>
      <c r="AH1378" s="33" t="s">
        <v>24</v>
      </c>
      <c r="AI1378" s="33" t="s">
        <v>25</v>
      </c>
      <c r="AJ1378" s="33" t="s">
        <v>26</v>
      </c>
      <c r="AK1378" s="33" t="s">
        <v>24</v>
      </c>
      <c r="AL1378" s="27"/>
      <c r="AM1378" s="34" t="s">
        <v>25</v>
      </c>
      <c r="AN1378" s="35" t="str">
        <f t="shared" si="108"/>
        <v>✓ OK</v>
      </c>
      <c r="AO1378" s="36"/>
      <c r="AP1378" s="36"/>
      <c r="AQ1378" s="36"/>
      <c r="AR1378" s="36"/>
      <c r="AS1378" s="36"/>
      <c r="AT1378" s="36"/>
      <c r="AU1378" s="27"/>
      <c r="AV1378" s="37"/>
      <c r="AW1378" s="38" t="str">
        <f t="shared" si="109"/>
        <v/>
      </c>
    </row>
    <row r="1379" spans="1:49" ht="18" customHeight="1" x14ac:dyDescent="0.3">
      <c r="A1379" s="23">
        <v>1375</v>
      </c>
      <c r="B1379" s="24" t="s">
        <v>4599</v>
      </c>
      <c r="C1379" s="25" t="s">
        <v>4600</v>
      </c>
      <c r="D1379" s="23" t="s">
        <v>4000</v>
      </c>
      <c r="E1379" s="43">
        <v>46125</v>
      </c>
      <c r="F1379" s="26" t="s">
        <v>23</v>
      </c>
      <c r="G1379" s="26" t="s">
        <v>24</v>
      </c>
      <c r="H1379" s="26" t="s">
        <v>25</v>
      </c>
      <c r="I1379" s="26" t="s">
        <v>26</v>
      </c>
      <c r="J1379" s="26" t="s">
        <v>24</v>
      </c>
      <c r="K1379" s="27"/>
      <c r="L1379" s="28" t="s">
        <v>25</v>
      </c>
      <c r="M1379" s="29" t="str">
        <f t="shared" si="105"/>
        <v>✓ OK</v>
      </c>
      <c r="N1379" s="43">
        <v>46193</v>
      </c>
      <c r="O1379" s="26" t="s">
        <v>23</v>
      </c>
      <c r="P1379" s="26" t="s">
        <v>24</v>
      </c>
      <c r="Q1379" s="26" t="s">
        <v>25</v>
      </c>
      <c r="R1379" s="26" t="s">
        <v>26</v>
      </c>
      <c r="S1379" s="26" t="s">
        <v>24</v>
      </c>
      <c r="T1379" s="27"/>
      <c r="U1379" s="28" t="s">
        <v>25</v>
      </c>
      <c r="V1379" s="29" t="str">
        <f t="shared" si="106"/>
        <v>✓ OK</v>
      </c>
      <c r="W1379" s="45">
        <v>46248</v>
      </c>
      <c r="X1379" s="30" t="s">
        <v>23</v>
      </c>
      <c r="Y1379" s="30" t="s">
        <v>24</v>
      </c>
      <c r="Z1379" s="30" t="s">
        <v>25</v>
      </c>
      <c r="AA1379" s="30" t="s">
        <v>26</v>
      </c>
      <c r="AB1379" s="30" t="s">
        <v>24</v>
      </c>
      <c r="AC1379" s="27"/>
      <c r="AD1379" s="31" t="s">
        <v>25</v>
      </c>
      <c r="AE1379" s="32" t="str">
        <f t="shared" si="107"/>
        <v>✓ OK</v>
      </c>
      <c r="AF1379" s="33" t="s">
        <v>27</v>
      </c>
      <c r="AG1379" s="33" t="s">
        <v>23</v>
      </c>
      <c r="AH1379" s="33" t="s">
        <v>24</v>
      </c>
      <c r="AI1379" s="33" t="s">
        <v>25</v>
      </c>
      <c r="AJ1379" s="33" t="s">
        <v>26</v>
      </c>
      <c r="AK1379" s="33" t="s">
        <v>24</v>
      </c>
      <c r="AL1379" s="27"/>
      <c r="AM1379" s="34" t="s">
        <v>25</v>
      </c>
      <c r="AN1379" s="35" t="str">
        <f t="shared" si="108"/>
        <v>✓ OK</v>
      </c>
      <c r="AO1379" s="36"/>
      <c r="AP1379" s="36"/>
      <c r="AQ1379" s="36"/>
      <c r="AR1379" s="36"/>
      <c r="AS1379" s="36"/>
      <c r="AT1379" s="36"/>
      <c r="AU1379" s="27"/>
      <c r="AV1379" s="37"/>
      <c r="AW1379" s="38" t="str">
        <f t="shared" si="109"/>
        <v/>
      </c>
    </row>
    <row r="1380" spans="1:49" ht="18" customHeight="1" x14ac:dyDescent="0.3">
      <c r="A1380" s="39">
        <v>1376</v>
      </c>
      <c r="B1380" s="40" t="s">
        <v>4601</v>
      </c>
      <c r="C1380" s="41" t="s">
        <v>4602</v>
      </c>
      <c r="D1380" s="39" t="s">
        <v>4000</v>
      </c>
      <c r="E1380" s="43">
        <v>46125</v>
      </c>
      <c r="F1380" s="26" t="s">
        <v>23</v>
      </c>
      <c r="G1380" s="26" t="s">
        <v>24</v>
      </c>
      <c r="H1380" s="26" t="s">
        <v>25</v>
      </c>
      <c r="I1380" s="26" t="s">
        <v>26</v>
      </c>
      <c r="J1380" s="26" t="s">
        <v>24</v>
      </c>
      <c r="K1380" s="27"/>
      <c r="L1380" s="28" t="s">
        <v>25</v>
      </c>
      <c r="M1380" s="29" t="str">
        <f t="shared" si="105"/>
        <v>✓ OK</v>
      </c>
      <c r="N1380" s="43">
        <v>46193</v>
      </c>
      <c r="O1380" s="26" t="s">
        <v>23</v>
      </c>
      <c r="P1380" s="26" t="s">
        <v>24</v>
      </c>
      <c r="Q1380" s="26" t="s">
        <v>25</v>
      </c>
      <c r="R1380" s="26" t="s">
        <v>26</v>
      </c>
      <c r="S1380" s="26" t="s">
        <v>24</v>
      </c>
      <c r="T1380" s="27"/>
      <c r="U1380" s="28" t="s">
        <v>25</v>
      </c>
      <c r="V1380" s="29" t="str">
        <f t="shared" si="106"/>
        <v>✓ OK</v>
      </c>
      <c r="W1380" s="45">
        <v>46248</v>
      </c>
      <c r="X1380" s="30" t="s">
        <v>23</v>
      </c>
      <c r="Y1380" s="30" t="s">
        <v>24</v>
      </c>
      <c r="Z1380" s="30" t="s">
        <v>25</v>
      </c>
      <c r="AA1380" s="30" t="s">
        <v>26</v>
      </c>
      <c r="AB1380" s="30" t="s">
        <v>24</v>
      </c>
      <c r="AC1380" s="27"/>
      <c r="AD1380" s="31" t="s">
        <v>25</v>
      </c>
      <c r="AE1380" s="32" t="str">
        <f t="shared" si="107"/>
        <v>✓ OK</v>
      </c>
      <c r="AF1380" s="33" t="s">
        <v>27</v>
      </c>
      <c r="AG1380" s="33" t="s">
        <v>23</v>
      </c>
      <c r="AH1380" s="33" t="s">
        <v>24</v>
      </c>
      <c r="AI1380" s="33" t="s">
        <v>25</v>
      </c>
      <c r="AJ1380" s="33" t="s">
        <v>26</v>
      </c>
      <c r="AK1380" s="33" t="s">
        <v>24</v>
      </c>
      <c r="AL1380" s="27"/>
      <c r="AM1380" s="34" t="s">
        <v>25</v>
      </c>
      <c r="AN1380" s="35" t="str">
        <f t="shared" si="108"/>
        <v>✓ OK</v>
      </c>
      <c r="AO1380" s="36"/>
      <c r="AP1380" s="36"/>
      <c r="AQ1380" s="36"/>
      <c r="AR1380" s="36"/>
      <c r="AS1380" s="36"/>
      <c r="AT1380" s="36"/>
      <c r="AU1380" s="27"/>
      <c r="AV1380" s="37"/>
      <c r="AW1380" s="38" t="str">
        <f t="shared" si="109"/>
        <v/>
      </c>
    </row>
    <row r="1381" spans="1:49" ht="18" customHeight="1" x14ac:dyDescent="0.3">
      <c r="A1381" s="23">
        <v>1377</v>
      </c>
      <c r="B1381" s="24" t="s">
        <v>4603</v>
      </c>
      <c r="C1381" s="25" t="s">
        <v>4604</v>
      </c>
      <c r="D1381" s="23" t="s">
        <v>4000</v>
      </c>
      <c r="E1381" s="43">
        <v>46125</v>
      </c>
      <c r="F1381" s="26" t="s">
        <v>23</v>
      </c>
      <c r="G1381" s="26" t="s">
        <v>24</v>
      </c>
      <c r="H1381" s="26" t="s">
        <v>25</v>
      </c>
      <c r="I1381" s="26" t="s">
        <v>26</v>
      </c>
      <c r="J1381" s="26" t="s">
        <v>24</v>
      </c>
      <c r="K1381" s="27"/>
      <c r="L1381" s="28" t="s">
        <v>25</v>
      </c>
      <c r="M1381" s="29" t="str">
        <f t="shared" si="105"/>
        <v>✓ OK</v>
      </c>
      <c r="N1381" s="43">
        <v>46193</v>
      </c>
      <c r="O1381" s="26" t="s">
        <v>23</v>
      </c>
      <c r="P1381" s="26" t="s">
        <v>24</v>
      </c>
      <c r="Q1381" s="26" t="s">
        <v>25</v>
      </c>
      <c r="R1381" s="26" t="s">
        <v>26</v>
      </c>
      <c r="S1381" s="26" t="s">
        <v>24</v>
      </c>
      <c r="T1381" s="27"/>
      <c r="U1381" s="28" t="s">
        <v>25</v>
      </c>
      <c r="V1381" s="29" t="str">
        <f t="shared" si="106"/>
        <v>✓ OK</v>
      </c>
      <c r="W1381" s="45">
        <v>46248</v>
      </c>
      <c r="X1381" s="30" t="s">
        <v>23</v>
      </c>
      <c r="Y1381" s="30" t="s">
        <v>24</v>
      </c>
      <c r="Z1381" s="30" t="s">
        <v>25</v>
      </c>
      <c r="AA1381" s="30" t="s">
        <v>26</v>
      </c>
      <c r="AB1381" s="30" t="s">
        <v>24</v>
      </c>
      <c r="AC1381" s="27"/>
      <c r="AD1381" s="31" t="s">
        <v>25</v>
      </c>
      <c r="AE1381" s="32" t="str">
        <f t="shared" si="107"/>
        <v>✓ OK</v>
      </c>
      <c r="AF1381" s="33" t="s">
        <v>27</v>
      </c>
      <c r="AG1381" s="33" t="s">
        <v>23</v>
      </c>
      <c r="AH1381" s="33" t="s">
        <v>24</v>
      </c>
      <c r="AI1381" s="33" t="s">
        <v>25</v>
      </c>
      <c r="AJ1381" s="33" t="s">
        <v>26</v>
      </c>
      <c r="AK1381" s="33" t="s">
        <v>24</v>
      </c>
      <c r="AL1381" s="27"/>
      <c r="AM1381" s="34" t="s">
        <v>25</v>
      </c>
      <c r="AN1381" s="35" t="str">
        <f t="shared" si="108"/>
        <v>✓ OK</v>
      </c>
      <c r="AO1381" s="36"/>
      <c r="AP1381" s="36"/>
      <c r="AQ1381" s="36"/>
      <c r="AR1381" s="36"/>
      <c r="AS1381" s="36"/>
      <c r="AT1381" s="36"/>
      <c r="AU1381" s="27"/>
      <c r="AV1381" s="37"/>
      <c r="AW1381" s="38" t="str">
        <f t="shared" si="109"/>
        <v/>
      </c>
    </row>
    <row r="1382" spans="1:49" ht="18" customHeight="1" x14ac:dyDescent="0.3">
      <c r="A1382" s="39">
        <v>1378</v>
      </c>
      <c r="B1382" s="40" t="s">
        <v>4605</v>
      </c>
      <c r="C1382" s="41" t="s">
        <v>4606</v>
      </c>
      <c r="D1382" s="39" t="s">
        <v>4000</v>
      </c>
      <c r="E1382" s="43">
        <v>46125</v>
      </c>
      <c r="F1382" s="26" t="s">
        <v>23</v>
      </c>
      <c r="G1382" s="26" t="s">
        <v>24</v>
      </c>
      <c r="H1382" s="26" t="s">
        <v>25</v>
      </c>
      <c r="I1382" s="26" t="s">
        <v>26</v>
      </c>
      <c r="J1382" s="26" t="s">
        <v>24</v>
      </c>
      <c r="K1382" s="27"/>
      <c r="L1382" s="28" t="s">
        <v>25</v>
      </c>
      <c r="M1382" s="29" t="str">
        <f t="shared" si="105"/>
        <v>✓ OK</v>
      </c>
      <c r="N1382" s="43">
        <v>46193</v>
      </c>
      <c r="O1382" s="26" t="s">
        <v>23</v>
      </c>
      <c r="P1382" s="26" t="s">
        <v>24</v>
      </c>
      <c r="Q1382" s="26" t="s">
        <v>25</v>
      </c>
      <c r="R1382" s="26" t="s">
        <v>26</v>
      </c>
      <c r="S1382" s="26" t="s">
        <v>24</v>
      </c>
      <c r="T1382" s="27"/>
      <c r="U1382" s="28" t="s">
        <v>25</v>
      </c>
      <c r="V1382" s="29" t="str">
        <f t="shared" si="106"/>
        <v>✓ OK</v>
      </c>
      <c r="W1382" s="45">
        <v>46248</v>
      </c>
      <c r="X1382" s="30" t="s">
        <v>23</v>
      </c>
      <c r="Y1382" s="30" t="s">
        <v>24</v>
      </c>
      <c r="Z1382" s="30" t="s">
        <v>25</v>
      </c>
      <c r="AA1382" s="30" t="s">
        <v>26</v>
      </c>
      <c r="AB1382" s="30" t="s">
        <v>24</v>
      </c>
      <c r="AC1382" s="27"/>
      <c r="AD1382" s="31" t="s">
        <v>25</v>
      </c>
      <c r="AE1382" s="32" t="str">
        <f t="shared" si="107"/>
        <v>✓ OK</v>
      </c>
      <c r="AF1382" s="33" t="s">
        <v>27</v>
      </c>
      <c r="AG1382" s="33" t="s">
        <v>23</v>
      </c>
      <c r="AH1382" s="33" t="s">
        <v>24</v>
      </c>
      <c r="AI1382" s="33" t="s">
        <v>25</v>
      </c>
      <c r="AJ1382" s="33" t="s">
        <v>26</v>
      </c>
      <c r="AK1382" s="33" t="s">
        <v>24</v>
      </c>
      <c r="AL1382" s="27"/>
      <c r="AM1382" s="34" t="s">
        <v>25</v>
      </c>
      <c r="AN1382" s="35" t="str">
        <f t="shared" si="108"/>
        <v>✓ OK</v>
      </c>
      <c r="AO1382" s="36"/>
      <c r="AP1382" s="36"/>
      <c r="AQ1382" s="36"/>
      <c r="AR1382" s="36"/>
      <c r="AS1382" s="36"/>
      <c r="AT1382" s="36"/>
      <c r="AU1382" s="27"/>
      <c r="AV1382" s="37"/>
      <c r="AW1382" s="38" t="str">
        <f t="shared" si="109"/>
        <v/>
      </c>
    </row>
    <row r="1383" spans="1:49" ht="18" customHeight="1" x14ac:dyDescent="0.3">
      <c r="A1383" s="23">
        <v>1379</v>
      </c>
      <c r="B1383" s="24" t="s">
        <v>4607</v>
      </c>
      <c r="C1383" s="25" t="s">
        <v>4608</v>
      </c>
      <c r="D1383" s="23" t="s">
        <v>4000</v>
      </c>
      <c r="E1383" s="43">
        <v>46125</v>
      </c>
      <c r="F1383" s="26" t="s">
        <v>23</v>
      </c>
      <c r="G1383" s="26" t="s">
        <v>24</v>
      </c>
      <c r="H1383" s="26" t="s">
        <v>25</v>
      </c>
      <c r="I1383" s="26" t="s">
        <v>26</v>
      </c>
      <c r="J1383" s="26" t="s">
        <v>24</v>
      </c>
      <c r="K1383" s="27"/>
      <c r="L1383" s="28" t="s">
        <v>25</v>
      </c>
      <c r="M1383" s="29" t="str">
        <f t="shared" si="105"/>
        <v>✓ OK</v>
      </c>
      <c r="N1383" s="43">
        <v>46193</v>
      </c>
      <c r="O1383" s="26" t="s">
        <v>23</v>
      </c>
      <c r="P1383" s="26" t="s">
        <v>24</v>
      </c>
      <c r="Q1383" s="26" t="s">
        <v>25</v>
      </c>
      <c r="R1383" s="26" t="s">
        <v>26</v>
      </c>
      <c r="S1383" s="26" t="s">
        <v>24</v>
      </c>
      <c r="T1383" s="27"/>
      <c r="U1383" s="28" t="s">
        <v>25</v>
      </c>
      <c r="V1383" s="29" t="str">
        <f t="shared" si="106"/>
        <v>✓ OK</v>
      </c>
      <c r="W1383" s="45">
        <v>46248</v>
      </c>
      <c r="X1383" s="30" t="s">
        <v>23</v>
      </c>
      <c r="Y1383" s="30" t="s">
        <v>24</v>
      </c>
      <c r="Z1383" s="30" t="s">
        <v>25</v>
      </c>
      <c r="AA1383" s="30" t="s">
        <v>26</v>
      </c>
      <c r="AB1383" s="30" t="s">
        <v>24</v>
      </c>
      <c r="AC1383" s="27"/>
      <c r="AD1383" s="31" t="s">
        <v>25</v>
      </c>
      <c r="AE1383" s="32" t="str">
        <f t="shared" si="107"/>
        <v>✓ OK</v>
      </c>
      <c r="AF1383" s="33" t="s">
        <v>27</v>
      </c>
      <c r="AG1383" s="33" t="s">
        <v>23</v>
      </c>
      <c r="AH1383" s="33" t="s">
        <v>24</v>
      </c>
      <c r="AI1383" s="33" t="s">
        <v>25</v>
      </c>
      <c r="AJ1383" s="33" t="s">
        <v>26</v>
      </c>
      <c r="AK1383" s="33" t="s">
        <v>24</v>
      </c>
      <c r="AL1383" s="27"/>
      <c r="AM1383" s="34" t="s">
        <v>25</v>
      </c>
      <c r="AN1383" s="35" t="str">
        <f t="shared" si="108"/>
        <v>✓ OK</v>
      </c>
      <c r="AO1383" s="36"/>
      <c r="AP1383" s="36"/>
      <c r="AQ1383" s="36"/>
      <c r="AR1383" s="36"/>
      <c r="AS1383" s="36"/>
      <c r="AT1383" s="36"/>
      <c r="AU1383" s="27"/>
      <c r="AV1383" s="37"/>
      <c r="AW1383" s="38" t="str">
        <f t="shared" si="109"/>
        <v/>
      </c>
    </row>
    <row r="1384" spans="1:49" ht="18" customHeight="1" x14ac:dyDescent="0.3">
      <c r="A1384" s="39">
        <v>1380</v>
      </c>
      <c r="B1384" s="40" t="s">
        <v>4609</v>
      </c>
      <c r="C1384" s="41" t="s">
        <v>4610</v>
      </c>
      <c r="D1384" s="39" t="s">
        <v>4000</v>
      </c>
      <c r="E1384" s="43">
        <v>46125</v>
      </c>
      <c r="F1384" s="26" t="s">
        <v>23</v>
      </c>
      <c r="G1384" s="26" t="s">
        <v>24</v>
      </c>
      <c r="H1384" s="26" t="s">
        <v>25</v>
      </c>
      <c r="I1384" s="26" t="s">
        <v>26</v>
      </c>
      <c r="J1384" s="26" t="s">
        <v>24</v>
      </c>
      <c r="K1384" s="27"/>
      <c r="L1384" s="28" t="s">
        <v>25</v>
      </c>
      <c r="M1384" s="29" t="str">
        <f t="shared" si="105"/>
        <v>✓ OK</v>
      </c>
      <c r="N1384" s="43">
        <v>46193</v>
      </c>
      <c r="O1384" s="26" t="s">
        <v>23</v>
      </c>
      <c r="P1384" s="26" t="s">
        <v>24</v>
      </c>
      <c r="Q1384" s="26" t="s">
        <v>25</v>
      </c>
      <c r="R1384" s="26" t="s">
        <v>26</v>
      </c>
      <c r="S1384" s="26" t="s">
        <v>24</v>
      </c>
      <c r="T1384" s="27"/>
      <c r="U1384" s="28" t="s">
        <v>25</v>
      </c>
      <c r="V1384" s="29" t="str">
        <f t="shared" si="106"/>
        <v>✓ OK</v>
      </c>
      <c r="W1384" s="45">
        <v>46248</v>
      </c>
      <c r="X1384" s="30" t="s">
        <v>23</v>
      </c>
      <c r="Y1384" s="30" t="s">
        <v>24</v>
      </c>
      <c r="Z1384" s="30" t="s">
        <v>25</v>
      </c>
      <c r="AA1384" s="30" t="s">
        <v>26</v>
      </c>
      <c r="AB1384" s="30" t="s">
        <v>24</v>
      </c>
      <c r="AC1384" s="27"/>
      <c r="AD1384" s="31" t="s">
        <v>25</v>
      </c>
      <c r="AE1384" s="32" t="str">
        <f t="shared" si="107"/>
        <v>✓ OK</v>
      </c>
      <c r="AF1384" s="33" t="s">
        <v>27</v>
      </c>
      <c r="AG1384" s="33" t="s">
        <v>23</v>
      </c>
      <c r="AH1384" s="33" t="s">
        <v>24</v>
      </c>
      <c r="AI1384" s="33" t="s">
        <v>25</v>
      </c>
      <c r="AJ1384" s="33" t="s">
        <v>26</v>
      </c>
      <c r="AK1384" s="33" t="s">
        <v>24</v>
      </c>
      <c r="AL1384" s="27"/>
      <c r="AM1384" s="34" t="s">
        <v>25</v>
      </c>
      <c r="AN1384" s="35" t="str">
        <f t="shared" si="108"/>
        <v>✓ OK</v>
      </c>
      <c r="AO1384" s="36"/>
      <c r="AP1384" s="36"/>
      <c r="AQ1384" s="36"/>
      <c r="AR1384" s="36"/>
      <c r="AS1384" s="36"/>
      <c r="AT1384" s="36"/>
      <c r="AU1384" s="27"/>
      <c r="AV1384" s="37"/>
      <c r="AW1384" s="38" t="str">
        <f t="shared" si="109"/>
        <v/>
      </c>
    </row>
    <row r="1385" spans="1:49" ht="18" customHeight="1" x14ac:dyDescent="0.3">
      <c r="A1385" s="23">
        <v>1381</v>
      </c>
      <c r="B1385" s="24" t="s">
        <v>4611</v>
      </c>
      <c r="C1385" s="25" t="s">
        <v>4612</v>
      </c>
      <c r="D1385" s="23" t="s">
        <v>4000</v>
      </c>
      <c r="E1385" s="43">
        <v>46125</v>
      </c>
      <c r="F1385" s="26" t="s">
        <v>23</v>
      </c>
      <c r="G1385" s="26" t="s">
        <v>24</v>
      </c>
      <c r="H1385" s="26" t="s">
        <v>25</v>
      </c>
      <c r="I1385" s="26" t="s">
        <v>26</v>
      </c>
      <c r="J1385" s="26" t="s">
        <v>24</v>
      </c>
      <c r="K1385" s="27"/>
      <c r="L1385" s="28" t="s">
        <v>25</v>
      </c>
      <c r="M1385" s="29" t="str">
        <f t="shared" si="105"/>
        <v>✓ OK</v>
      </c>
      <c r="N1385" s="43">
        <v>46193</v>
      </c>
      <c r="O1385" s="26" t="s">
        <v>23</v>
      </c>
      <c r="P1385" s="26" t="s">
        <v>24</v>
      </c>
      <c r="Q1385" s="26" t="s">
        <v>25</v>
      </c>
      <c r="R1385" s="26" t="s">
        <v>26</v>
      </c>
      <c r="S1385" s="26" t="s">
        <v>24</v>
      </c>
      <c r="T1385" s="27"/>
      <c r="U1385" s="28" t="s">
        <v>25</v>
      </c>
      <c r="V1385" s="29" t="str">
        <f t="shared" si="106"/>
        <v>✓ OK</v>
      </c>
      <c r="W1385" s="45">
        <v>46248</v>
      </c>
      <c r="X1385" s="30" t="s">
        <v>23</v>
      </c>
      <c r="Y1385" s="30" t="s">
        <v>24</v>
      </c>
      <c r="Z1385" s="30" t="s">
        <v>25</v>
      </c>
      <c r="AA1385" s="30" t="s">
        <v>26</v>
      </c>
      <c r="AB1385" s="30" t="s">
        <v>24</v>
      </c>
      <c r="AC1385" s="27"/>
      <c r="AD1385" s="31" t="s">
        <v>25</v>
      </c>
      <c r="AE1385" s="32" t="str">
        <f t="shared" si="107"/>
        <v>✓ OK</v>
      </c>
      <c r="AF1385" s="33" t="s">
        <v>27</v>
      </c>
      <c r="AG1385" s="33" t="s">
        <v>23</v>
      </c>
      <c r="AH1385" s="33" t="s">
        <v>24</v>
      </c>
      <c r="AI1385" s="33" t="s">
        <v>25</v>
      </c>
      <c r="AJ1385" s="33" t="s">
        <v>26</v>
      </c>
      <c r="AK1385" s="33" t="s">
        <v>24</v>
      </c>
      <c r="AL1385" s="27"/>
      <c r="AM1385" s="34" t="s">
        <v>25</v>
      </c>
      <c r="AN1385" s="35" t="str">
        <f t="shared" si="108"/>
        <v>✓ OK</v>
      </c>
      <c r="AO1385" s="36"/>
      <c r="AP1385" s="36"/>
      <c r="AQ1385" s="36"/>
      <c r="AR1385" s="36"/>
      <c r="AS1385" s="36"/>
      <c r="AT1385" s="36"/>
      <c r="AU1385" s="27"/>
      <c r="AV1385" s="37"/>
      <c r="AW1385" s="38" t="str">
        <f t="shared" si="109"/>
        <v/>
      </c>
    </row>
    <row r="1386" spans="1:49" ht="18" customHeight="1" x14ac:dyDescent="0.3">
      <c r="A1386" s="39">
        <v>1382</v>
      </c>
      <c r="B1386" s="40" t="s">
        <v>4613</v>
      </c>
      <c r="C1386" s="41" t="s">
        <v>4614</v>
      </c>
      <c r="D1386" s="39" t="s">
        <v>4000</v>
      </c>
      <c r="E1386" s="43">
        <v>46125</v>
      </c>
      <c r="F1386" s="26" t="s">
        <v>23</v>
      </c>
      <c r="G1386" s="26" t="s">
        <v>24</v>
      </c>
      <c r="H1386" s="26" t="s">
        <v>25</v>
      </c>
      <c r="I1386" s="26" t="s">
        <v>26</v>
      </c>
      <c r="J1386" s="26" t="s">
        <v>24</v>
      </c>
      <c r="K1386" s="27"/>
      <c r="L1386" s="28" t="s">
        <v>25</v>
      </c>
      <c r="M1386" s="29" t="str">
        <f t="shared" si="105"/>
        <v>✓ OK</v>
      </c>
      <c r="N1386" s="43">
        <v>46193</v>
      </c>
      <c r="O1386" s="26" t="s">
        <v>23</v>
      </c>
      <c r="P1386" s="26" t="s">
        <v>24</v>
      </c>
      <c r="Q1386" s="26" t="s">
        <v>25</v>
      </c>
      <c r="R1386" s="26" t="s">
        <v>26</v>
      </c>
      <c r="S1386" s="26" t="s">
        <v>24</v>
      </c>
      <c r="T1386" s="27"/>
      <c r="U1386" s="28" t="s">
        <v>25</v>
      </c>
      <c r="V1386" s="29" t="str">
        <f t="shared" si="106"/>
        <v>✓ OK</v>
      </c>
      <c r="W1386" s="45">
        <v>46248</v>
      </c>
      <c r="X1386" s="30" t="s">
        <v>23</v>
      </c>
      <c r="Y1386" s="30" t="s">
        <v>24</v>
      </c>
      <c r="Z1386" s="30" t="s">
        <v>25</v>
      </c>
      <c r="AA1386" s="30" t="s">
        <v>26</v>
      </c>
      <c r="AB1386" s="30" t="s">
        <v>24</v>
      </c>
      <c r="AC1386" s="27"/>
      <c r="AD1386" s="31" t="s">
        <v>25</v>
      </c>
      <c r="AE1386" s="32" t="str">
        <f t="shared" si="107"/>
        <v>✓ OK</v>
      </c>
      <c r="AF1386" s="33" t="s">
        <v>27</v>
      </c>
      <c r="AG1386" s="33" t="s">
        <v>23</v>
      </c>
      <c r="AH1386" s="33" t="s">
        <v>24</v>
      </c>
      <c r="AI1386" s="33" t="s">
        <v>25</v>
      </c>
      <c r="AJ1386" s="33" t="s">
        <v>26</v>
      </c>
      <c r="AK1386" s="33" t="s">
        <v>24</v>
      </c>
      <c r="AL1386" s="27"/>
      <c r="AM1386" s="34" t="s">
        <v>25</v>
      </c>
      <c r="AN1386" s="35" t="str">
        <f t="shared" si="108"/>
        <v>✓ OK</v>
      </c>
      <c r="AO1386" s="36"/>
      <c r="AP1386" s="36"/>
      <c r="AQ1386" s="36"/>
      <c r="AR1386" s="36"/>
      <c r="AS1386" s="36"/>
      <c r="AT1386" s="36"/>
      <c r="AU1386" s="27"/>
      <c r="AV1386" s="37"/>
      <c r="AW1386" s="38" t="str">
        <f t="shared" si="109"/>
        <v/>
      </c>
    </row>
    <row r="1387" spans="1:49" ht="18" customHeight="1" x14ac:dyDescent="0.3">
      <c r="A1387" s="23">
        <v>1383</v>
      </c>
      <c r="B1387" s="24" t="s">
        <v>4615</v>
      </c>
      <c r="C1387" s="25" t="s">
        <v>4616</v>
      </c>
      <c r="D1387" s="23" t="s">
        <v>4000</v>
      </c>
      <c r="E1387" s="43">
        <v>46125</v>
      </c>
      <c r="F1387" s="26" t="s">
        <v>23</v>
      </c>
      <c r="G1387" s="26" t="s">
        <v>24</v>
      </c>
      <c r="H1387" s="26" t="s">
        <v>25</v>
      </c>
      <c r="I1387" s="26" t="s">
        <v>26</v>
      </c>
      <c r="J1387" s="26" t="s">
        <v>24</v>
      </c>
      <c r="K1387" s="27"/>
      <c r="L1387" s="28" t="s">
        <v>25</v>
      </c>
      <c r="M1387" s="29" t="str">
        <f t="shared" si="105"/>
        <v>✓ OK</v>
      </c>
      <c r="N1387" s="43">
        <v>46193</v>
      </c>
      <c r="O1387" s="26" t="s">
        <v>23</v>
      </c>
      <c r="P1387" s="26" t="s">
        <v>24</v>
      </c>
      <c r="Q1387" s="26" t="s">
        <v>25</v>
      </c>
      <c r="R1387" s="26" t="s">
        <v>26</v>
      </c>
      <c r="S1387" s="26" t="s">
        <v>24</v>
      </c>
      <c r="T1387" s="27"/>
      <c r="U1387" s="28" t="s">
        <v>25</v>
      </c>
      <c r="V1387" s="29" t="str">
        <f t="shared" si="106"/>
        <v>✓ OK</v>
      </c>
      <c r="W1387" s="45">
        <v>46248</v>
      </c>
      <c r="X1387" s="30" t="s">
        <v>23</v>
      </c>
      <c r="Y1387" s="30" t="s">
        <v>24</v>
      </c>
      <c r="Z1387" s="30" t="s">
        <v>25</v>
      </c>
      <c r="AA1387" s="30" t="s">
        <v>26</v>
      </c>
      <c r="AB1387" s="30" t="s">
        <v>24</v>
      </c>
      <c r="AC1387" s="27"/>
      <c r="AD1387" s="31" t="s">
        <v>25</v>
      </c>
      <c r="AE1387" s="32" t="str">
        <f t="shared" si="107"/>
        <v>✓ OK</v>
      </c>
      <c r="AF1387" s="33" t="s">
        <v>27</v>
      </c>
      <c r="AG1387" s="33" t="s">
        <v>23</v>
      </c>
      <c r="AH1387" s="33" t="s">
        <v>24</v>
      </c>
      <c r="AI1387" s="33" t="s">
        <v>25</v>
      </c>
      <c r="AJ1387" s="33" t="s">
        <v>26</v>
      </c>
      <c r="AK1387" s="33" t="s">
        <v>24</v>
      </c>
      <c r="AL1387" s="27"/>
      <c r="AM1387" s="34" t="s">
        <v>25</v>
      </c>
      <c r="AN1387" s="35" t="str">
        <f t="shared" si="108"/>
        <v>✓ OK</v>
      </c>
      <c r="AO1387" s="36"/>
      <c r="AP1387" s="36"/>
      <c r="AQ1387" s="36"/>
      <c r="AR1387" s="36"/>
      <c r="AS1387" s="36"/>
      <c r="AT1387" s="36"/>
      <c r="AU1387" s="27"/>
      <c r="AV1387" s="37"/>
      <c r="AW1387" s="38" t="str">
        <f t="shared" si="109"/>
        <v/>
      </c>
    </row>
    <row r="1388" spans="1:49" ht="18" customHeight="1" x14ac:dyDescent="0.3">
      <c r="A1388" s="39">
        <v>1384</v>
      </c>
      <c r="B1388" s="40" t="s">
        <v>4617</v>
      </c>
      <c r="C1388" s="41" t="s">
        <v>4618</v>
      </c>
      <c r="D1388" s="39" t="s">
        <v>4000</v>
      </c>
      <c r="E1388" s="43">
        <v>46125</v>
      </c>
      <c r="F1388" s="26" t="s">
        <v>23</v>
      </c>
      <c r="G1388" s="26" t="s">
        <v>24</v>
      </c>
      <c r="H1388" s="26" t="s">
        <v>25</v>
      </c>
      <c r="I1388" s="26" t="s">
        <v>26</v>
      </c>
      <c r="J1388" s="26" t="s">
        <v>24</v>
      </c>
      <c r="K1388" s="27"/>
      <c r="L1388" s="28" t="s">
        <v>25</v>
      </c>
      <c r="M1388" s="29" t="str">
        <f t="shared" si="105"/>
        <v>✓ OK</v>
      </c>
      <c r="N1388" s="43">
        <v>46193</v>
      </c>
      <c r="O1388" s="26" t="s">
        <v>23</v>
      </c>
      <c r="P1388" s="26" t="s">
        <v>24</v>
      </c>
      <c r="Q1388" s="26" t="s">
        <v>25</v>
      </c>
      <c r="R1388" s="26" t="s">
        <v>26</v>
      </c>
      <c r="S1388" s="26" t="s">
        <v>24</v>
      </c>
      <c r="T1388" s="27"/>
      <c r="U1388" s="28" t="s">
        <v>25</v>
      </c>
      <c r="V1388" s="29" t="str">
        <f t="shared" si="106"/>
        <v>✓ OK</v>
      </c>
      <c r="W1388" s="45">
        <v>46248</v>
      </c>
      <c r="X1388" s="30" t="s">
        <v>23</v>
      </c>
      <c r="Y1388" s="30" t="s">
        <v>24</v>
      </c>
      <c r="Z1388" s="30" t="s">
        <v>25</v>
      </c>
      <c r="AA1388" s="30" t="s">
        <v>26</v>
      </c>
      <c r="AB1388" s="30" t="s">
        <v>24</v>
      </c>
      <c r="AC1388" s="27"/>
      <c r="AD1388" s="31" t="s">
        <v>25</v>
      </c>
      <c r="AE1388" s="32" t="str">
        <f t="shared" si="107"/>
        <v>✓ OK</v>
      </c>
      <c r="AF1388" s="33" t="s">
        <v>27</v>
      </c>
      <c r="AG1388" s="33" t="s">
        <v>23</v>
      </c>
      <c r="AH1388" s="33" t="s">
        <v>24</v>
      </c>
      <c r="AI1388" s="33" t="s">
        <v>25</v>
      </c>
      <c r="AJ1388" s="33" t="s">
        <v>26</v>
      </c>
      <c r="AK1388" s="33" t="s">
        <v>24</v>
      </c>
      <c r="AL1388" s="27"/>
      <c r="AM1388" s="34" t="s">
        <v>25</v>
      </c>
      <c r="AN1388" s="35" t="str">
        <f t="shared" si="108"/>
        <v>✓ OK</v>
      </c>
      <c r="AO1388" s="36"/>
      <c r="AP1388" s="36"/>
      <c r="AQ1388" s="36"/>
      <c r="AR1388" s="36"/>
      <c r="AS1388" s="36"/>
      <c r="AT1388" s="36"/>
      <c r="AU1388" s="27"/>
      <c r="AV1388" s="37"/>
      <c r="AW1388" s="38" t="str">
        <f t="shared" si="109"/>
        <v/>
      </c>
    </row>
    <row r="1389" spans="1:49" ht="18" customHeight="1" x14ac:dyDescent="0.3">
      <c r="A1389" s="23">
        <v>1385</v>
      </c>
      <c r="B1389" s="24" t="s">
        <v>4619</v>
      </c>
      <c r="C1389" s="25" t="s">
        <v>4620</v>
      </c>
      <c r="D1389" s="23" t="s">
        <v>4000</v>
      </c>
      <c r="E1389" s="43">
        <v>46125</v>
      </c>
      <c r="F1389" s="26" t="s">
        <v>23</v>
      </c>
      <c r="G1389" s="26" t="s">
        <v>24</v>
      </c>
      <c r="H1389" s="26" t="s">
        <v>25</v>
      </c>
      <c r="I1389" s="26" t="s">
        <v>26</v>
      </c>
      <c r="J1389" s="26" t="s">
        <v>24</v>
      </c>
      <c r="K1389" s="27"/>
      <c r="L1389" s="28" t="s">
        <v>25</v>
      </c>
      <c r="M1389" s="29" t="str">
        <f t="shared" si="105"/>
        <v>✓ OK</v>
      </c>
      <c r="N1389" s="43">
        <v>46193</v>
      </c>
      <c r="O1389" s="26" t="s">
        <v>23</v>
      </c>
      <c r="P1389" s="26" t="s">
        <v>24</v>
      </c>
      <c r="Q1389" s="26" t="s">
        <v>25</v>
      </c>
      <c r="R1389" s="26" t="s">
        <v>26</v>
      </c>
      <c r="S1389" s="26" t="s">
        <v>24</v>
      </c>
      <c r="T1389" s="27"/>
      <c r="U1389" s="28" t="s">
        <v>25</v>
      </c>
      <c r="V1389" s="29" t="str">
        <f t="shared" si="106"/>
        <v>✓ OK</v>
      </c>
      <c r="W1389" s="45">
        <v>46248</v>
      </c>
      <c r="X1389" s="30" t="s">
        <v>23</v>
      </c>
      <c r="Y1389" s="30" t="s">
        <v>24</v>
      </c>
      <c r="Z1389" s="30" t="s">
        <v>25</v>
      </c>
      <c r="AA1389" s="30" t="s">
        <v>26</v>
      </c>
      <c r="AB1389" s="30" t="s">
        <v>24</v>
      </c>
      <c r="AC1389" s="27"/>
      <c r="AD1389" s="31" t="s">
        <v>25</v>
      </c>
      <c r="AE1389" s="32" t="str">
        <f t="shared" si="107"/>
        <v>✓ OK</v>
      </c>
      <c r="AF1389" s="33" t="s">
        <v>27</v>
      </c>
      <c r="AG1389" s="33" t="s">
        <v>23</v>
      </c>
      <c r="AH1389" s="33" t="s">
        <v>24</v>
      </c>
      <c r="AI1389" s="33" t="s">
        <v>25</v>
      </c>
      <c r="AJ1389" s="33" t="s">
        <v>26</v>
      </c>
      <c r="AK1389" s="33" t="s">
        <v>24</v>
      </c>
      <c r="AL1389" s="27"/>
      <c r="AM1389" s="34" t="s">
        <v>25</v>
      </c>
      <c r="AN1389" s="35" t="str">
        <f t="shared" si="108"/>
        <v>✓ OK</v>
      </c>
      <c r="AO1389" s="36"/>
      <c r="AP1389" s="36"/>
      <c r="AQ1389" s="36"/>
      <c r="AR1389" s="36"/>
      <c r="AS1389" s="36"/>
      <c r="AT1389" s="36"/>
      <c r="AU1389" s="27"/>
      <c r="AV1389" s="37"/>
      <c r="AW1389" s="38" t="str">
        <f t="shared" si="109"/>
        <v/>
      </c>
    </row>
    <row r="1390" spans="1:49" ht="18" customHeight="1" x14ac:dyDescent="0.3">
      <c r="A1390" s="39">
        <v>1386</v>
      </c>
      <c r="B1390" s="40" t="s">
        <v>4621</v>
      </c>
      <c r="C1390" s="41" t="s">
        <v>4622</v>
      </c>
      <c r="D1390" s="39" t="s">
        <v>4000</v>
      </c>
      <c r="E1390" s="43">
        <v>46125</v>
      </c>
      <c r="F1390" s="26" t="s">
        <v>23</v>
      </c>
      <c r="G1390" s="26" t="s">
        <v>24</v>
      </c>
      <c r="H1390" s="26" t="s">
        <v>25</v>
      </c>
      <c r="I1390" s="26" t="s">
        <v>26</v>
      </c>
      <c r="J1390" s="26" t="s">
        <v>24</v>
      </c>
      <c r="K1390" s="27"/>
      <c r="L1390" s="28" t="s">
        <v>25</v>
      </c>
      <c r="M1390" s="29" t="str">
        <f t="shared" si="105"/>
        <v>✓ OK</v>
      </c>
      <c r="N1390" s="43">
        <v>46193</v>
      </c>
      <c r="O1390" s="26" t="s">
        <v>23</v>
      </c>
      <c r="P1390" s="26" t="s">
        <v>24</v>
      </c>
      <c r="Q1390" s="26" t="s">
        <v>25</v>
      </c>
      <c r="R1390" s="26" t="s">
        <v>26</v>
      </c>
      <c r="S1390" s="26" t="s">
        <v>24</v>
      </c>
      <c r="T1390" s="27"/>
      <c r="U1390" s="28" t="s">
        <v>25</v>
      </c>
      <c r="V1390" s="29" t="str">
        <f t="shared" si="106"/>
        <v>✓ OK</v>
      </c>
      <c r="W1390" s="45">
        <v>46248</v>
      </c>
      <c r="X1390" s="30" t="s">
        <v>23</v>
      </c>
      <c r="Y1390" s="30" t="s">
        <v>24</v>
      </c>
      <c r="Z1390" s="30" t="s">
        <v>25</v>
      </c>
      <c r="AA1390" s="30" t="s">
        <v>26</v>
      </c>
      <c r="AB1390" s="30" t="s">
        <v>24</v>
      </c>
      <c r="AC1390" s="27"/>
      <c r="AD1390" s="31" t="s">
        <v>25</v>
      </c>
      <c r="AE1390" s="32" t="str">
        <f t="shared" si="107"/>
        <v>✓ OK</v>
      </c>
      <c r="AF1390" s="33" t="s">
        <v>27</v>
      </c>
      <c r="AG1390" s="33" t="s">
        <v>23</v>
      </c>
      <c r="AH1390" s="33" t="s">
        <v>24</v>
      </c>
      <c r="AI1390" s="33" t="s">
        <v>25</v>
      </c>
      <c r="AJ1390" s="33" t="s">
        <v>26</v>
      </c>
      <c r="AK1390" s="33" t="s">
        <v>24</v>
      </c>
      <c r="AL1390" s="27"/>
      <c r="AM1390" s="34" t="s">
        <v>25</v>
      </c>
      <c r="AN1390" s="35" t="str">
        <f t="shared" si="108"/>
        <v>✓ OK</v>
      </c>
      <c r="AO1390" s="36"/>
      <c r="AP1390" s="36"/>
      <c r="AQ1390" s="36"/>
      <c r="AR1390" s="36"/>
      <c r="AS1390" s="36"/>
      <c r="AT1390" s="36"/>
      <c r="AU1390" s="27"/>
      <c r="AV1390" s="37"/>
      <c r="AW1390" s="38" t="str">
        <f t="shared" si="109"/>
        <v/>
      </c>
    </row>
    <row r="1391" spans="1:49" ht="18" customHeight="1" x14ac:dyDescent="0.3">
      <c r="A1391" s="23">
        <v>1387</v>
      </c>
      <c r="B1391" s="24" t="s">
        <v>4623</v>
      </c>
      <c r="C1391" s="25" t="s">
        <v>4624</v>
      </c>
      <c r="D1391" s="23" t="s">
        <v>4000</v>
      </c>
      <c r="E1391" s="43">
        <v>46125</v>
      </c>
      <c r="F1391" s="26" t="s">
        <v>23</v>
      </c>
      <c r="G1391" s="26" t="s">
        <v>24</v>
      </c>
      <c r="H1391" s="26" t="s">
        <v>25</v>
      </c>
      <c r="I1391" s="26" t="s">
        <v>26</v>
      </c>
      <c r="J1391" s="26" t="s">
        <v>24</v>
      </c>
      <c r="K1391" s="27"/>
      <c r="L1391" s="28" t="s">
        <v>25</v>
      </c>
      <c r="M1391" s="29" t="str">
        <f t="shared" si="105"/>
        <v>✓ OK</v>
      </c>
      <c r="N1391" s="43">
        <v>46193</v>
      </c>
      <c r="O1391" s="26" t="s">
        <v>23</v>
      </c>
      <c r="P1391" s="26" t="s">
        <v>24</v>
      </c>
      <c r="Q1391" s="26" t="s">
        <v>25</v>
      </c>
      <c r="R1391" s="26" t="s">
        <v>26</v>
      </c>
      <c r="S1391" s="26" t="s">
        <v>24</v>
      </c>
      <c r="T1391" s="27"/>
      <c r="U1391" s="28" t="s">
        <v>25</v>
      </c>
      <c r="V1391" s="29" t="str">
        <f t="shared" si="106"/>
        <v>✓ OK</v>
      </c>
      <c r="W1391" s="45">
        <v>46248</v>
      </c>
      <c r="X1391" s="30" t="s">
        <v>23</v>
      </c>
      <c r="Y1391" s="30" t="s">
        <v>24</v>
      </c>
      <c r="Z1391" s="30" t="s">
        <v>25</v>
      </c>
      <c r="AA1391" s="30" t="s">
        <v>26</v>
      </c>
      <c r="AB1391" s="30" t="s">
        <v>24</v>
      </c>
      <c r="AC1391" s="27"/>
      <c r="AD1391" s="31" t="s">
        <v>25</v>
      </c>
      <c r="AE1391" s="32" t="str">
        <f t="shared" si="107"/>
        <v>✓ OK</v>
      </c>
      <c r="AF1391" s="33" t="s">
        <v>27</v>
      </c>
      <c r="AG1391" s="33" t="s">
        <v>23</v>
      </c>
      <c r="AH1391" s="33" t="s">
        <v>24</v>
      </c>
      <c r="AI1391" s="33" t="s">
        <v>25</v>
      </c>
      <c r="AJ1391" s="33" t="s">
        <v>26</v>
      </c>
      <c r="AK1391" s="33" t="s">
        <v>24</v>
      </c>
      <c r="AL1391" s="27"/>
      <c r="AM1391" s="34" t="s">
        <v>25</v>
      </c>
      <c r="AN1391" s="35" t="str">
        <f t="shared" si="108"/>
        <v>✓ OK</v>
      </c>
      <c r="AO1391" s="36"/>
      <c r="AP1391" s="36"/>
      <c r="AQ1391" s="36"/>
      <c r="AR1391" s="36"/>
      <c r="AS1391" s="36"/>
      <c r="AT1391" s="36"/>
      <c r="AU1391" s="27"/>
      <c r="AV1391" s="37"/>
      <c r="AW1391" s="38" t="str">
        <f t="shared" si="109"/>
        <v/>
      </c>
    </row>
    <row r="1392" spans="1:49" ht="18" customHeight="1" x14ac:dyDescent="0.3">
      <c r="A1392" s="39">
        <v>1388</v>
      </c>
      <c r="B1392" s="40" t="s">
        <v>4625</v>
      </c>
      <c r="C1392" s="41" t="s">
        <v>4626</v>
      </c>
      <c r="D1392" s="39" t="s">
        <v>4000</v>
      </c>
      <c r="E1392" s="43">
        <v>46125</v>
      </c>
      <c r="F1392" s="26" t="s">
        <v>23</v>
      </c>
      <c r="G1392" s="26" t="s">
        <v>24</v>
      </c>
      <c r="H1392" s="26" t="s">
        <v>25</v>
      </c>
      <c r="I1392" s="26" t="s">
        <v>26</v>
      </c>
      <c r="J1392" s="26" t="s">
        <v>24</v>
      </c>
      <c r="K1392" s="27"/>
      <c r="L1392" s="28" t="s">
        <v>25</v>
      </c>
      <c r="M1392" s="29" t="str">
        <f t="shared" si="105"/>
        <v>✓ OK</v>
      </c>
      <c r="N1392" s="43">
        <v>46193</v>
      </c>
      <c r="O1392" s="26" t="s">
        <v>23</v>
      </c>
      <c r="P1392" s="26" t="s">
        <v>24</v>
      </c>
      <c r="Q1392" s="26" t="s">
        <v>25</v>
      </c>
      <c r="R1392" s="26" t="s">
        <v>26</v>
      </c>
      <c r="S1392" s="26" t="s">
        <v>24</v>
      </c>
      <c r="T1392" s="27"/>
      <c r="U1392" s="28" t="s">
        <v>25</v>
      </c>
      <c r="V1392" s="29" t="str">
        <f t="shared" si="106"/>
        <v>✓ OK</v>
      </c>
      <c r="W1392" s="45">
        <v>46248</v>
      </c>
      <c r="X1392" s="30" t="s">
        <v>23</v>
      </c>
      <c r="Y1392" s="30" t="s">
        <v>24</v>
      </c>
      <c r="Z1392" s="30" t="s">
        <v>25</v>
      </c>
      <c r="AA1392" s="30" t="s">
        <v>26</v>
      </c>
      <c r="AB1392" s="30" t="s">
        <v>24</v>
      </c>
      <c r="AC1392" s="27"/>
      <c r="AD1392" s="31" t="s">
        <v>25</v>
      </c>
      <c r="AE1392" s="32" t="str">
        <f t="shared" si="107"/>
        <v>✓ OK</v>
      </c>
      <c r="AF1392" s="33" t="s">
        <v>27</v>
      </c>
      <c r="AG1392" s="33" t="s">
        <v>23</v>
      </c>
      <c r="AH1392" s="33" t="s">
        <v>24</v>
      </c>
      <c r="AI1392" s="33" t="s">
        <v>25</v>
      </c>
      <c r="AJ1392" s="33" t="s">
        <v>26</v>
      </c>
      <c r="AK1392" s="33" t="s">
        <v>24</v>
      </c>
      <c r="AL1392" s="27"/>
      <c r="AM1392" s="34" t="s">
        <v>25</v>
      </c>
      <c r="AN1392" s="35" t="str">
        <f t="shared" si="108"/>
        <v>✓ OK</v>
      </c>
      <c r="AO1392" s="36"/>
      <c r="AP1392" s="36"/>
      <c r="AQ1392" s="36"/>
      <c r="AR1392" s="36"/>
      <c r="AS1392" s="36"/>
      <c r="AT1392" s="36"/>
      <c r="AU1392" s="27"/>
      <c r="AV1392" s="37"/>
      <c r="AW1392" s="38" t="str">
        <f t="shared" si="109"/>
        <v/>
      </c>
    </row>
    <row r="1393" spans="1:49" ht="18" customHeight="1" x14ac:dyDescent="0.3">
      <c r="A1393" s="23">
        <v>1389</v>
      </c>
      <c r="B1393" s="24" t="s">
        <v>4627</v>
      </c>
      <c r="C1393" s="25" t="s">
        <v>4628</v>
      </c>
      <c r="D1393" s="23" t="s">
        <v>4000</v>
      </c>
      <c r="E1393" s="43">
        <v>46125</v>
      </c>
      <c r="F1393" s="26" t="s">
        <v>23</v>
      </c>
      <c r="G1393" s="26" t="s">
        <v>24</v>
      </c>
      <c r="H1393" s="26" t="s">
        <v>25</v>
      </c>
      <c r="I1393" s="26" t="s">
        <v>26</v>
      </c>
      <c r="J1393" s="26" t="s">
        <v>24</v>
      </c>
      <c r="K1393" s="27"/>
      <c r="L1393" s="28" t="s">
        <v>25</v>
      </c>
      <c r="M1393" s="29" t="str">
        <f t="shared" si="105"/>
        <v>✓ OK</v>
      </c>
      <c r="N1393" s="43">
        <v>46193</v>
      </c>
      <c r="O1393" s="26" t="s">
        <v>23</v>
      </c>
      <c r="P1393" s="26" t="s">
        <v>24</v>
      </c>
      <c r="Q1393" s="26" t="s">
        <v>25</v>
      </c>
      <c r="R1393" s="26" t="s">
        <v>26</v>
      </c>
      <c r="S1393" s="26" t="s">
        <v>24</v>
      </c>
      <c r="T1393" s="27"/>
      <c r="U1393" s="28" t="s">
        <v>25</v>
      </c>
      <c r="V1393" s="29" t="str">
        <f t="shared" si="106"/>
        <v>✓ OK</v>
      </c>
      <c r="W1393" s="45">
        <v>46248</v>
      </c>
      <c r="X1393" s="30" t="s">
        <v>23</v>
      </c>
      <c r="Y1393" s="30" t="s">
        <v>24</v>
      </c>
      <c r="Z1393" s="30" t="s">
        <v>25</v>
      </c>
      <c r="AA1393" s="30" t="s">
        <v>26</v>
      </c>
      <c r="AB1393" s="30" t="s">
        <v>24</v>
      </c>
      <c r="AC1393" s="27"/>
      <c r="AD1393" s="31" t="s">
        <v>25</v>
      </c>
      <c r="AE1393" s="32" t="str">
        <f t="shared" si="107"/>
        <v>✓ OK</v>
      </c>
      <c r="AF1393" s="33" t="s">
        <v>27</v>
      </c>
      <c r="AG1393" s="33" t="s">
        <v>23</v>
      </c>
      <c r="AH1393" s="33" t="s">
        <v>24</v>
      </c>
      <c r="AI1393" s="33" t="s">
        <v>25</v>
      </c>
      <c r="AJ1393" s="33" t="s">
        <v>26</v>
      </c>
      <c r="AK1393" s="33" t="s">
        <v>24</v>
      </c>
      <c r="AL1393" s="27"/>
      <c r="AM1393" s="34" t="s">
        <v>25</v>
      </c>
      <c r="AN1393" s="35" t="str">
        <f t="shared" si="108"/>
        <v>✓ OK</v>
      </c>
      <c r="AO1393" s="36"/>
      <c r="AP1393" s="36"/>
      <c r="AQ1393" s="36"/>
      <c r="AR1393" s="36"/>
      <c r="AS1393" s="36"/>
      <c r="AT1393" s="36"/>
      <c r="AU1393" s="27"/>
      <c r="AV1393" s="37"/>
      <c r="AW1393" s="38" t="str">
        <f t="shared" si="109"/>
        <v/>
      </c>
    </row>
    <row r="1394" spans="1:49" ht="18" customHeight="1" x14ac:dyDescent="0.3">
      <c r="A1394" s="39">
        <v>1390</v>
      </c>
      <c r="B1394" s="40" t="s">
        <v>4629</v>
      </c>
      <c r="C1394" s="41" t="s">
        <v>4630</v>
      </c>
      <c r="D1394" s="39" t="s">
        <v>4000</v>
      </c>
      <c r="E1394" s="43">
        <v>46125</v>
      </c>
      <c r="F1394" s="26" t="s">
        <v>23</v>
      </c>
      <c r="G1394" s="26" t="s">
        <v>24</v>
      </c>
      <c r="H1394" s="26" t="s">
        <v>25</v>
      </c>
      <c r="I1394" s="26" t="s">
        <v>26</v>
      </c>
      <c r="J1394" s="26" t="s">
        <v>24</v>
      </c>
      <c r="K1394" s="27"/>
      <c r="L1394" s="28" t="s">
        <v>25</v>
      </c>
      <c r="M1394" s="29" t="str">
        <f t="shared" si="105"/>
        <v>✓ OK</v>
      </c>
      <c r="N1394" s="43">
        <v>46193</v>
      </c>
      <c r="O1394" s="26" t="s">
        <v>23</v>
      </c>
      <c r="P1394" s="26" t="s">
        <v>24</v>
      </c>
      <c r="Q1394" s="26" t="s">
        <v>25</v>
      </c>
      <c r="R1394" s="26" t="s">
        <v>26</v>
      </c>
      <c r="S1394" s="26" t="s">
        <v>24</v>
      </c>
      <c r="T1394" s="27"/>
      <c r="U1394" s="28" t="s">
        <v>25</v>
      </c>
      <c r="V1394" s="29" t="str">
        <f t="shared" si="106"/>
        <v>✓ OK</v>
      </c>
      <c r="W1394" s="45">
        <v>46248</v>
      </c>
      <c r="X1394" s="30" t="s">
        <v>23</v>
      </c>
      <c r="Y1394" s="30" t="s">
        <v>24</v>
      </c>
      <c r="Z1394" s="30" t="s">
        <v>25</v>
      </c>
      <c r="AA1394" s="30" t="s">
        <v>26</v>
      </c>
      <c r="AB1394" s="30" t="s">
        <v>24</v>
      </c>
      <c r="AC1394" s="27"/>
      <c r="AD1394" s="31" t="s">
        <v>25</v>
      </c>
      <c r="AE1394" s="32" t="str">
        <f t="shared" si="107"/>
        <v>✓ OK</v>
      </c>
      <c r="AF1394" s="33" t="s">
        <v>27</v>
      </c>
      <c r="AG1394" s="33" t="s">
        <v>23</v>
      </c>
      <c r="AH1394" s="33" t="s">
        <v>24</v>
      </c>
      <c r="AI1394" s="33" t="s">
        <v>25</v>
      </c>
      <c r="AJ1394" s="33" t="s">
        <v>26</v>
      </c>
      <c r="AK1394" s="33" t="s">
        <v>24</v>
      </c>
      <c r="AL1394" s="27"/>
      <c r="AM1394" s="34" t="s">
        <v>25</v>
      </c>
      <c r="AN1394" s="35" t="str">
        <f t="shared" si="108"/>
        <v>✓ OK</v>
      </c>
      <c r="AO1394" s="36"/>
      <c r="AP1394" s="36"/>
      <c r="AQ1394" s="36"/>
      <c r="AR1394" s="36"/>
      <c r="AS1394" s="36"/>
      <c r="AT1394" s="36"/>
      <c r="AU1394" s="27"/>
      <c r="AV1394" s="37"/>
      <c r="AW1394" s="38" t="str">
        <f t="shared" si="109"/>
        <v/>
      </c>
    </row>
    <row r="1395" spans="1:49" ht="18" customHeight="1" x14ac:dyDescent="0.3">
      <c r="A1395" s="23">
        <v>1391</v>
      </c>
      <c r="B1395" s="24" t="s">
        <v>4631</v>
      </c>
      <c r="C1395" s="25" t="s">
        <v>4632</v>
      </c>
      <c r="D1395" s="23" t="s">
        <v>4000</v>
      </c>
      <c r="E1395" s="43">
        <v>46125</v>
      </c>
      <c r="F1395" s="26" t="s">
        <v>23</v>
      </c>
      <c r="G1395" s="26" t="s">
        <v>24</v>
      </c>
      <c r="H1395" s="26" t="s">
        <v>25</v>
      </c>
      <c r="I1395" s="26" t="s">
        <v>26</v>
      </c>
      <c r="J1395" s="26" t="s">
        <v>24</v>
      </c>
      <c r="K1395" s="27"/>
      <c r="L1395" s="28" t="s">
        <v>25</v>
      </c>
      <c r="M1395" s="29" t="str">
        <f t="shared" si="105"/>
        <v>✓ OK</v>
      </c>
      <c r="N1395" s="43">
        <v>46193</v>
      </c>
      <c r="O1395" s="26" t="s">
        <v>23</v>
      </c>
      <c r="P1395" s="26" t="s">
        <v>24</v>
      </c>
      <c r="Q1395" s="26" t="s">
        <v>25</v>
      </c>
      <c r="R1395" s="26" t="s">
        <v>26</v>
      </c>
      <c r="S1395" s="26" t="s">
        <v>24</v>
      </c>
      <c r="T1395" s="27"/>
      <c r="U1395" s="28" t="s">
        <v>25</v>
      </c>
      <c r="V1395" s="29" t="str">
        <f t="shared" si="106"/>
        <v>✓ OK</v>
      </c>
      <c r="W1395" s="45">
        <v>46248</v>
      </c>
      <c r="X1395" s="30" t="s">
        <v>23</v>
      </c>
      <c r="Y1395" s="30" t="s">
        <v>24</v>
      </c>
      <c r="Z1395" s="30" t="s">
        <v>25</v>
      </c>
      <c r="AA1395" s="30" t="s">
        <v>26</v>
      </c>
      <c r="AB1395" s="30" t="s">
        <v>24</v>
      </c>
      <c r="AC1395" s="27"/>
      <c r="AD1395" s="31" t="s">
        <v>25</v>
      </c>
      <c r="AE1395" s="32" t="str">
        <f t="shared" si="107"/>
        <v>✓ OK</v>
      </c>
      <c r="AF1395" s="33" t="s">
        <v>27</v>
      </c>
      <c r="AG1395" s="33" t="s">
        <v>23</v>
      </c>
      <c r="AH1395" s="33" t="s">
        <v>24</v>
      </c>
      <c r="AI1395" s="33" t="s">
        <v>25</v>
      </c>
      <c r="AJ1395" s="33" t="s">
        <v>26</v>
      </c>
      <c r="AK1395" s="33" t="s">
        <v>24</v>
      </c>
      <c r="AL1395" s="27"/>
      <c r="AM1395" s="34" t="s">
        <v>25</v>
      </c>
      <c r="AN1395" s="35" t="str">
        <f t="shared" si="108"/>
        <v>✓ OK</v>
      </c>
      <c r="AO1395" s="36"/>
      <c r="AP1395" s="36"/>
      <c r="AQ1395" s="36"/>
      <c r="AR1395" s="36"/>
      <c r="AS1395" s="36"/>
      <c r="AT1395" s="36"/>
      <c r="AU1395" s="27"/>
      <c r="AV1395" s="37"/>
      <c r="AW1395" s="38" t="str">
        <f t="shared" si="109"/>
        <v/>
      </c>
    </row>
    <row r="1396" spans="1:49" ht="18" customHeight="1" x14ac:dyDescent="0.3">
      <c r="A1396" s="39">
        <v>1392</v>
      </c>
      <c r="B1396" s="40" t="s">
        <v>4633</v>
      </c>
      <c r="C1396" s="41" t="s">
        <v>4634</v>
      </c>
      <c r="D1396" s="39" t="s">
        <v>4000</v>
      </c>
      <c r="E1396" s="43">
        <v>46125</v>
      </c>
      <c r="F1396" s="26" t="s">
        <v>23</v>
      </c>
      <c r="G1396" s="26" t="s">
        <v>24</v>
      </c>
      <c r="H1396" s="26" t="s">
        <v>25</v>
      </c>
      <c r="I1396" s="26" t="s">
        <v>26</v>
      </c>
      <c r="J1396" s="26" t="s">
        <v>24</v>
      </c>
      <c r="K1396" s="27"/>
      <c r="L1396" s="28" t="s">
        <v>25</v>
      </c>
      <c r="M1396" s="29" t="str">
        <f t="shared" si="105"/>
        <v>✓ OK</v>
      </c>
      <c r="N1396" s="43">
        <v>46193</v>
      </c>
      <c r="O1396" s="26" t="s">
        <v>23</v>
      </c>
      <c r="P1396" s="26" t="s">
        <v>24</v>
      </c>
      <c r="Q1396" s="26" t="s">
        <v>25</v>
      </c>
      <c r="R1396" s="26" t="s">
        <v>26</v>
      </c>
      <c r="S1396" s="26" t="s">
        <v>24</v>
      </c>
      <c r="T1396" s="27"/>
      <c r="U1396" s="28" t="s">
        <v>25</v>
      </c>
      <c r="V1396" s="29" t="str">
        <f t="shared" si="106"/>
        <v>✓ OK</v>
      </c>
      <c r="W1396" s="45">
        <v>46248</v>
      </c>
      <c r="X1396" s="30" t="s">
        <v>23</v>
      </c>
      <c r="Y1396" s="30" t="s">
        <v>24</v>
      </c>
      <c r="Z1396" s="30" t="s">
        <v>25</v>
      </c>
      <c r="AA1396" s="30" t="s">
        <v>26</v>
      </c>
      <c r="AB1396" s="30" t="s">
        <v>24</v>
      </c>
      <c r="AC1396" s="27"/>
      <c r="AD1396" s="31" t="s">
        <v>25</v>
      </c>
      <c r="AE1396" s="32" t="str">
        <f t="shared" si="107"/>
        <v>✓ OK</v>
      </c>
      <c r="AF1396" s="33" t="s">
        <v>27</v>
      </c>
      <c r="AG1396" s="33" t="s">
        <v>23</v>
      </c>
      <c r="AH1396" s="33" t="s">
        <v>24</v>
      </c>
      <c r="AI1396" s="33" t="s">
        <v>25</v>
      </c>
      <c r="AJ1396" s="33" t="s">
        <v>26</v>
      </c>
      <c r="AK1396" s="33" t="s">
        <v>24</v>
      </c>
      <c r="AL1396" s="27"/>
      <c r="AM1396" s="34" t="s">
        <v>25</v>
      </c>
      <c r="AN1396" s="35" t="str">
        <f t="shared" si="108"/>
        <v>✓ OK</v>
      </c>
      <c r="AO1396" s="36"/>
      <c r="AP1396" s="36"/>
      <c r="AQ1396" s="36"/>
      <c r="AR1396" s="36"/>
      <c r="AS1396" s="36"/>
      <c r="AT1396" s="36"/>
      <c r="AU1396" s="27"/>
      <c r="AV1396" s="37"/>
      <c r="AW1396" s="38" t="str">
        <f t="shared" si="109"/>
        <v/>
      </c>
    </row>
    <row r="1397" spans="1:49" ht="18" customHeight="1" x14ac:dyDescent="0.3">
      <c r="A1397" s="23">
        <v>1393</v>
      </c>
      <c r="B1397" s="24" t="s">
        <v>4635</v>
      </c>
      <c r="C1397" s="25" t="s">
        <v>4636</v>
      </c>
      <c r="D1397" s="23" t="s">
        <v>4000</v>
      </c>
      <c r="E1397" s="43">
        <v>46125</v>
      </c>
      <c r="F1397" s="26" t="s">
        <v>23</v>
      </c>
      <c r="G1397" s="26" t="s">
        <v>24</v>
      </c>
      <c r="H1397" s="26" t="s">
        <v>25</v>
      </c>
      <c r="I1397" s="26" t="s">
        <v>26</v>
      </c>
      <c r="J1397" s="26" t="s">
        <v>24</v>
      </c>
      <c r="K1397" s="27"/>
      <c r="L1397" s="28" t="s">
        <v>25</v>
      </c>
      <c r="M1397" s="29" t="str">
        <f t="shared" si="105"/>
        <v>✓ OK</v>
      </c>
      <c r="N1397" s="43">
        <v>46193</v>
      </c>
      <c r="O1397" s="26" t="s">
        <v>23</v>
      </c>
      <c r="P1397" s="26" t="s">
        <v>24</v>
      </c>
      <c r="Q1397" s="26" t="s">
        <v>25</v>
      </c>
      <c r="R1397" s="26" t="s">
        <v>26</v>
      </c>
      <c r="S1397" s="26" t="s">
        <v>24</v>
      </c>
      <c r="T1397" s="27"/>
      <c r="U1397" s="28" t="s">
        <v>25</v>
      </c>
      <c r="V1397" s="29" t="str">
        <f t="shared" si="106"/>
        <v>✓ OK</v>
      </c>
      <c r="W1397" s="45">
        <v>46248</v>
      </c>
      <c r="X1397" s="30" t="s">
        <v>23</v>
      </c>
      <c r="Y1397" s="30" t="s">
        <v>24</v>
      </c>
      <c r="Z1397" s="30" t="s">
        <v>25</v>
      </c>
      <c r="AA1397" s="30" t="s">
        <v>26</v>
      </c>
      <c r="AB1397" s="30" t="s">
        <v>24</v>
      </c>
      <c r="AC1397" s="27"/>
      <c r="AD1397" s="31" t="s">
        <v>25</v>
      </c>
      <c r="AE1397" s="32" t="str">
        <f t="shared" si="107"/>
        <v>✓ OK</v>
      </c>
      <c r="AF1397" s="33" t="s">
        <v>27</v>
      </c>
      <c r="AG1397" s="33" t="s">
        <v>23</v>
      </c>
      <c r="AH1397" s="33" t="s">
        <v>24</v>
      </c>
      <c r="AI1397" s="33" t="s">
        <v>25</v>
      </c>
      <c r="AJ1397" s="33" t="s">
        <v>26</v>
      </c>
      <c r="AK1397" s="33" t="s">
        <v>24</v>
      </c>
      <c r="AL1397" s="27"/>
      <c r="AM1397" s="34" t="s">
        <v>25</v>
      </c>
      <c r="AN1397" s="35" t="str">
        <f t="shared" si="108"/>
        <v>✓ OK</v>
      </c>
      <c r="AO1397" s="36"/>
      <c r="AP1397" s="36"/>
      <c r="AQ1397" s="36"/>
      <c r="AR1397" s="36"/>
      <c r="AS1397" s="36"/>
      <c r="AT1397" s="36"/>
      <c r="AU1397" s="27"/>
      <c r="AV1397" s="37"/>
      <c r="AW1397" s="38" t="str">
        <f t="shared" si="109"/>
        <v/>
      </c>
    </row>
    <row r="1398" spans="1:49" ht="18" customHeight="1" x14ac:dyDescent="0.3">
      <c r="A1398" s="39">
        <v>1394</v>
      </c>
      <c r="B1398" s="40" t="s">
        <v>4637</v>
      </c>
      <c r="C1398" s="41" t="s">
        <v>4638</v>
      </c>
      <c r="D1398" s="39" t="s">
        <v>4000</v>
      </c>
      <c r="E1398" s="43">
        <v>46125</v>
      </c>
      <c r="F1398" s="26" t="s">
        <v>23</v>
      </c>
      <c r="G1398" s="26" t="s">
        <v>24</v>
      </c>
      <c r="H1398" s="26" t="s">
        <v>25</v>
      </c>
      <c r="I1398" s="26" t="s">
        <v>26</v>
      </c>
      <c r="J1398" s="26" t="s">
        <v>24</v>
      </c>
      <c r="K1398" s="27"/>
      <c r="L1398" s="28" t="s">
        <v>25</v>
      </c>
      <c r="M1398" s="29" t="str">
        <f t="shared" si="105"/>
        <v>✓ OK</v>
      </c>
      <c r="N1398" s="43">
        <v>46193</v>
      </c>
      <c r="O1398" s="26" t="s">
        <v>23</v>
      </c>
      <c r="P1398" s="26" t="s">
        <v>24</v>
      </c>
      <c r="Q1398" s="26" t="s">
        <v>25</v>
      </c>
      <c r="R1398" s="26" t="s">
        <v>26</v>
      </c>
      <c r="S1398" s="26" t="s">
        <v>24</v>
      </c>
      <c r="T1398" s="27"/>
      <c r="U1398" s="28" t="s">
        <v>25</v>
      </c>
      <c r="V1398" s="29" t="str">
        <f t="shared" si="106"/>
        <v>✓ OK</v>
      </c>
      <c r="W1398" s="45">
        <v>46248</v>
      </c>
      <c r="X1398" s="30" t="s">
        <v>23</v>
      </c>
      <c r="Y1398" s="30" t="s">
        <v>24</v>
      </c>
      <c r="Z1398" s="30" t="s">
        <v>25</v>
      </c>
      <c r="AA1398" s="30" t="s">
        <v>26</v>
      </c>
      <c r="AB1398" s="30" t="s">
        <v>24</v>
      </c>
      <c r="AC1398" s="27"/>
      <c r="AD1398" s="31" t="s">
        <v>25</v>
      </c>
      <c r="AE1398" s="32" t="str">
        <f t="shared" si="107"/>
        <v>✓ OK</v>
      </c>
      <c r="AF1398" s="33" t="s">
        <v>27</v>
      </c>
      <c r="AG1398" s="33" t="s">
        <v>23</v>
      </c>
      <c r="AH1398" s="33" t="s">
        <v>24</v>
      </c>
      <c r="AI1398" s="33" t="s">
        <v>25</v>
      </c>
      <c r="AJ1398" s="33" t="s">
        <v>26</v>
      </c>
      <c r="AK1398" s="33" t="s">
        <v>24</v>
      </c>
      <c r="AL1398" s="27"/>
      <c r="AM1398" s="34" t="s">
        <v>25</v>
      </c>
      <c r="AN1398" s="35" t="str">
        <f t="shared" si="108"/>
        <v>✓ OK</v>
      </c>
      <c r="AO1398" s="36"/>
      <c r="AP1398" s="36"/>
      <c r="AQ1398" s="36"/>
      <c r="AR1398" s="36"/>
      <c r="AS1398" s="36"/>
      <c r="AT1398" s="36"/>
      <c r="AU1398" s="27"/>
      <c r="AV1398" s="37"/>
      <c r="AW1398" s="38" t="str">
        <f t="shared" si="109"/>
        <v/>
      </c>
    </row>
    <row r="1399" spans="1:49" ht="18" customHeight="1" x14ac:dyDescent="0.3">
      <c r="A1399" s="23">
        <v>1395</v>
      </c>
      <c r="B1399" s="24" t="s">
        <v>4639</v>
      </c>
      <c r="C1399" s="25" t="s">
        <v>4640</v>
      </c>
      <c r="D1399" s="23" t="s">
        <v>4000</v>
      </c>
      <c r="E1399" s="43">
        <v>46125</v>
      </c>
      <c r="F1399" s="26" t="s">
        <v>23</v>
      </c>
      <c r="G1399" s="26" t="s">
        <v>24</v>
      </c>
      <c r="H1399" s="26" t="s">
        <v>25</v>
      </c>
      <c r="I1399" s="26" t="s">
        <v>26</v>
      </c>
      <c r="J1399" s="26" t="s">
        <v>24</v>
      </c>
      <c r="K1399" s="27"/>
      <c r="L1399" s="28" t="s">
        <v>25</v>
      </c>
      <c r="M1399" s="29" t="str">
        <f t="shared" si="105"/>
        <v>✓ OK</v>
      </c>
      <c r="N1399" s="43">
        <v>46193</v>
      </c>
      <c r="O1399" s="26" t="s">
        <v>23</v>
      </c>
      <c r="P1399" s="26" t="s">
        <v>24</v>
      </c>
      <c r="Q1399" s="26" t="s">
        <v>25</v>
      </c>
      <c r="R1399" s="26" t="s">
        <v>26</v>
      </c>
      <c r="S1399" s="26" t="s">
        <v>24</v>
      </c>
      <c r="T1399" s="27"/>
      <c r="U1399" s="28" t="s">
        <v>25</v>
      </c>
      <c r="V1399" s="29" t="str">
        <f t="shared" si="106"/>
        <v>✓ OK</v>
      </c>
      <c r="W1399" s="45">
        <v>46248</v>
      </c>
      <c r="X1399" s="30" t="s">
        <v>23</v>
      </c>
      <c r="Y1399" s="30" t="s">
        <v>24</v>
      </c>
      <c r="Z1399" s="30" t="s">
        <v>25</v>
      </c>
      <c r="AA1399" s="30" t="s">
        <v>26</v>
      </c>
      <c r="AB1399" s="30" t="s">
        <v>24</v>
      </c>
      <c r="AC1399" s="27"/>
      <c r="AD1399" s="31" t="s">
        <v>25</v>
      </c>
      <c r="AE1399" s="32" t="str">
        <f t="shared" si="107"/>
        <v>✓ OK</v>
      </c>
      <c r="AF1399" s="33" t="s">
        <v>27</v>
      </c>
      <c r="AG1399" s="33" t="s">
        <v>23</v>
      </c>
      <c r="AH1399" s="33" t="s">
        <v>24</v>
      </c>
      <c r="AI1399" s="33" t="s">
        <v>25</v>
      </c>
      <c r="AJ1399" s="33" t="s">
        <v>26</v>
      </c>
      <c r="AK1399" s="33" t="s">
        <v>24</v>
      </c>
      <c r="AL1399" s="27"/>
      <c r="AM1399" s="34" t="s">
        <v>25</v>
      </c>
      <c r="AN1399" s="35" t="str">
        <f t="shared" si="108"/>
        <v>✓ OK</v>
      </c>
      <c r="AO1399" s="36"/>
      <c r="AP1399" s="36"/>
      <c r="AQ1399" s="36"/>
      <c r="AR1399" s="36"/>
      <c r="AS1399" s="36"/>
      <c r="AT1399" s="36"/>
      <c r="AU1399" s="27"/>
      <c r="AV1399" s="37"/>
      <c r="AW1399" s="38" t="str">
        <f t="shared" si="109"/>
        <v/>
      </c>
    </row>
    <row r="1400" spans="1:49" ht="18" customHeight="1" x14ac:dyDescent="0.3">
      <c r="A1400" s="39">
        <v>1396</v>
      </c>
      <c r="B1400" s="40" t="s">
        <v>4641</v>
      </c>
      <c r="C1400" s="41" t="s">
        <v>4642</v>
      </c>
      <c r="D1400" s="39" t="s">
        <v>4000</v>
      </c>
      <c r="E1400" s="43">
        <v>46125</v>
      </c>
      <c r="F1400" s="26" t="s">
        <v>23</v>
      </c>
      <c r="G1400" s="26" t="s">
        <v>24</v>
      </c>
      <c r="H1400" s="26" t="s">
        <v>25</v>
      </c>
      <c r="I1400" s="26" t="s">
        <v>26</v>
      </c>
      <c r="J1400" s="26" t="s">
        <v>24</v>
      </c>
      <c r="K1400" s="27"/>
      <c r="L1400" s="28" t="s">
        <v>25</v>
      </c>
      <c r="M1400" s="29" t="str">
        <f t="shared" si="105"/>
        <v>✓ OK</v>
      </c>
      <c r="N1400" s="43">
        <v>46193</v>
      </c>
      <c r="O1400" s="26" t="s">
        <v>23</v>
      </c>
      <c r="P1400" s="26" t="s">
        <v>24</v>
      </c>
      <c r="Q1400" s="26" t="s">
        <v>25</v>
      </c>
      <c r="R1400" s="26" t="s">
        <v>26</v>
      </c>
      <c r="S1400" s="26" t="s">
        <v>24</v>
      </c>
      <c r="T1400" s="27"/>
      <c r="U1400" s="28" t="s">
        <v>25</v>
      </c>
      <c r="V1400" s="29" t="str">
        <f t="shared" si="106"/>
        <v>✓ OK</v>
      </c>
      <c r="W1400" s="45">
        <v>46248</v>
      </c>
      <c r="X1400" s="30" t="s">
        <v>23</v>
      </c>
      <c r="Y1400" s="30" t="s">
        <v>24</v>
      </c>
      <c r="Z1400" s="30" t="s">
        <v>25</v>
      </c>
      <c r="AA1400" s="30" t="s">
        <v>26</v>
      </c>
      <c r="AB1400" s="30" t="s">
        <v>24</v>
      </c>
      <c r="AC1400" s="27"/>
      <c r="AD1400" s="31" t="s">
        <v>25</v>
      </c>
      <c r="AE1400" s="32" t="str">
        <f t="shared" si="107"/>
        <v>✓ OK</v>
      </c>
      <c r="AF1400" s="33" t="s">
        <v>27</v>
      </c>
      <c r="AG1400" s="33" t="s">
        <v>23</v>
      </c>
      <c r="AH1400" s="33" t="s">
        <v>24</v>
      </c>
      <c r="AI1400" s="33" t="s">
        <v>25</v>
      </c>
      <c r="AJ1400" s="33" t="s">
        <v>26</v>
      </c>
      <c r="AK1400" s="33" t="s">
        <v>24</v>
      </c>
      <c r="AL1400" s="27"/>
      <c r="AM1400" s="34" t="s">
        <v>25</v>
      </c>
      <c r="AN1400" s="35" t="str">
        <f t="shared" si="108"/>
        <v>✓ OK</v>
      </c>
      <c r="AO1400" s="36"/>
      <c r="AP1400" s="36"/>
      <c r="AQ1400" s="36"/>
      <c r="AR1400" s="36"/>
      <c r="AS1400" s="36"/>
      <c r="AT1400" s="36"/>
      <c r="AU1400" s="27"/>
      <c r="AV1400" s="37"/>
      <c r="AW1400" s="38" t="str">
        <f t="shared" si="109"/>
        <v/>
      </c>
    </row>
    <row r="1401" spans="1:49" ht="18" customHeight="1" x14ac:dyDescent="0.3">
      <c r="A1401" s="23">
        <v>1397</v>
      </c>
      <c r="B1401" s="24" t="s">
        <v>4643</v>
      </c>
      <c r="C1401" s="25" t="s">
        <v>4644</v>
      </c>
      <c r="D1401" s="23" t="s">
        <v>4000</v>
      </c>
      <c r="E1401" s="43">
        <v>46125</v>
      </c>
      <c r="F1401" s="26" t="s">
        <v>23</v>
      </c>
      <c r="G1401" s="26" t="s">
        <v>24</v>
      </c>
      <c r="H1401" s="26" t="s">
        <v>25</v>
      </c>
      <c r="I1401" s="26" t="s">
        <v>26</v>
      </c>
      <c r="J1401" s="26" t="s">
        <v>24</v>
      </c>
      <c r="K1401" s="27"/>
      <c r="L1401" s="28" t="s">
        <v>25</v>
      </c>
      <c r="M1401" s="29" t="str">
        <f t="shared" si="105"/>
        <v>✓ OK</v>
      </c>
      <c r="N1401" s="43">
        <v>46193</v>
      </c>
      <c r="O1401" s="26" t="s">
        <v>23</v>
      </c>
      <c r="P1401" s="26" t="s">
        <v>24</v>
      </c>
      <c r="Q1401" s="26" t="s">
        <v>25</v>
      </c>
      <c r="R1401" s="26" t="s">
        <v>26</v>
      </c>
      <c r="S1401" s="26" t="s">
        <v>24</v>
      </c>
      <c r="T1401" s="27"/>
      <c r="U1401" s="28" t="s">
        <v>25</v>
      </c>
      <c r="V1401" s="29" t="str">
        <f t="shared" si="106"/>
        <v>✓ OK</v>
      </c>
      <c r="W1401" s="45">
        <v>46248</v>
      </c>
      <c r="X1401" s="30" t="s">
        <v>23</v>
      </c>
      <c r="Y1401" s="30" t="s">
        <v>24</v>
      </c>
      <c r="Z1401" s="30" t="s">
        <v>25</v>
      </c>
      <c r="AA1401" s="30" t="s">
        <v>26</v>
      </c>
      <c r="AB1401" s="30" t="s">
        <v>24</v>
      </c>
      <c r="AC1401" s="27"/>
      <c r="AD1401" s="31" t="s">
        <v>25</v>
      </c>
      <c r="AE1401" s="32" t="str">
        <f t="shared" si="107"/>
        <v>✓ OK</v>
      </c>
      <c r="AF1401" s="33" t="s">
        <v>27</v>
      </c>
      <c r="AG1401" s="33" t="s">
        <v>23</v>
      </c>
      <c r="AH1401" s="33" t="s">
        <v>24</v>
      </c>
      <c r="AI1401" s="33" t="s">
        <v>25</v>
      </c>
      <c r="AJ1401" s="33" t="s">
        <v>26</v>
      </c>
      <c r="AK1401" s="33" t="s">
        <v>24</v>
      </c>
      <c r="AL1401" s="27"/>
      <c r="AM1401" s="34" t="s">
        <v>25</v>
      </c>
      <c r="AN1401" s="35" t="str">
        <f t="shared" si="108"/>
        <v>✓ OK</v>
      </c>
      <c r="AO1401" s="36"/>
      <c r="AP1401" s="36"/>
      <c r="AQ1401" s="36"/>
      <c r="AR1401" s="36"/>
      <c r="AS1401" s="36"/>
      <c r="AT1401" s="36"/>
      <c r="AU1401" s="27"/>
      <c r="AV1401" s="37"/>
      <c r="AW1401" s="38" t="str">
        <f t="shared" si="109"/>
        <v/>
      </c>
    </row>
    <row r="1402" spans="1:49" ht="18" customHeight="1" x14ac:dyDescent="0.3">
      <c r="A1402" s="39">
        <v>1398</v>
      </c>
      <c r="B1402" s="40" t="s">
        <v>4645</v>
      </c>
      <c r="C1402" s="41" t="s">
        <v>4646</v>
      </c>
      <c r="D1402" s="39" t="s">
        <v>4000</v>
      </c>
      <c r="E1402" s="43">
        <v>46125</v>
      </c>
      <c r="F1402" s="26" t="s">
        <v>23</v>
      </c>
      <c r="G1402" s="26" t="s">
        <v>24</v>
      </c>
      <c r="H1402" s="26" t="s">
        <v>25</v>
      </c>
      <c r="I1402" s="26" t="s">
        <v>26</v>
      </c>
      <c r="J1402" s="26" t="s">
        <v>24</v>
      </c>
      <c r="K1402" s="27"/>
      <c r="L1402" s="28" t="s">
        <v>25</v>
      </c>
      <c r="M1402" s="29" t="str">
        <f t="shared" si="105"/>
        <v>✓ OK</v>
      </c>
      <c r="N1402" s="43">
        <v>46193</v>
      </c>
      <c r="O1402" s="26" t="s">
        <v>23</v>
      </c>
      <c r="P1402" s="26" t="s">
        <v>24</v>
      </c>
      <c r="Q1402" s="26" t="s">
        <v>25</v>
      </c>
      <c r="R1402" s="26" t="s">
        <v>26</v>
      </c>
      <c r="S1402" s="26" t="s">
        <v>24</v>
      </c>
      <c r="T1402" s="27"/>
      <c r="U1402" s="28" t="s">
        <v>25</v>
      </c>
      <c r="V1402" s="29" t="str">
        <f t="shared" si="106"/>
        <v>✓ OK</v>
      </c>
      <c r="W1402" s="45">
        <v>46248</v>
      </c>
      <c r="X1402" s="30" t="s">
        <v>23</v>
      </c>
      <c r="Y1402" s="30" t="s">
        <v>24</v>
      </c>
      <c r="Z1402" s="30" t="s">
        <v>25</v>
      </c>
      <c r="AA1402" s="30" t="s">
        <v>26</v>
      </c>
      <c r="AB1402" s="30" t="s">
        <v>24</v>
      </c>
      <c r="AC1402" s="27"/>
      <c r="AD1402" s="31" t="s">
        <v>25</v>
      </c>
      <c r="AE1402" s="32" t="str">
        <f t="shared" si="107"/>
        <v>✓ OK</v>
      </c>
      <c r="AF1402" s="33" t="s">
        <v>27</v>
      </c>
      <c r="AG1402" s="33" t="s">
        <v>23</v>
      </c>
      <c r="AH1402" s="33" t="s">
        <v>24</v>
      </c>
      <c r="AI1402" s="33" t="s">
        <v>25</v>
      </c>
      <c r="AJ1402" s="33" t="s">
        <v>26</v>
      </c>
      <c r="AK1402" s="33" t="s">
        <v>24</v>
      </c>
      <c r="AL1402" s="27"/>
      <c r="AM1402" s="34" t="s">
        <v>25</v>
      </c>
      <c r="AN1402" s="35" t="str">
        <f t="shared" si="108"/>
        <v>✓ OK</v>
      </c>
      <c r="AO1402" s="36"/>
      <c r="AP1402" s="36"/>
      <c r="AQ1402" s="36"/>
      <c r="AR1402" s="36"/>
      <c r="AS1402" s="36"/>
      <c r="AT1402" s="36"/>
      <c r="AU1402" s="27"/>
      <c r="AV1402" s="37"/>
      <c r="AW1402" s="38" t="str">
        <f t="shared" si="109"/>
        <v/>
      </c>
    </row>
    <row r="1403" spans="1:49" ht="18" customHeight="1" x14ac:dyDescent="0.3">
      <c r="A1403" s="23">
        <v>1399</v>
      </c>
      <c r="B1403" s="24" t="s">
        <v>4647</v>
      </c>
      <c r="C1403" s="25" t="s">
        <v>4648</v>
      </c>
      <c r="D1403" s="23" t="s">
        <v>4000</v>
      </c>
      <c r="E1403" s="43">
        <v>46125</v>
      </c>
      <c r="F1403" s="26" t="s">
        <v>23</v>
      </c>
      <c r="G1403" s="26" t="s">
        <v>24</v>
      </c>
      <c r="H1403" s="26" t="s">
        <v>25</v>
      </c>
      <c r="I1403" s="26" t="s">
        <v>26</v>
      </c>
      <c r="J1403" s="26" t="s">
        <v>24</v>
      </c>
      <c r="K1403" s="27"/>
      <c r="L1403" s="28" t="s">
        <v>25</v>
      </c>
      <c r="M1403" s="29" t="str">
        <f t="shared" si="105"/>
        <v>✓ OK</v>
      </c>
      <c r="N1403" s="43">
        <v>46193</v>
      </c>
      <c r="O1403" s="26" t="s">
        <v>23</v>
      </c>
      <c r="P1403" s="26" t="s">
        <v>24</v>
      </c>
      <c r="Q1403" s="26" t="s">
        <v>25</v>
      </c>
      <c r="R1403" s="26" t="s">
        <v>26</v>
      </c>
      <c r="S1403" s="26" t="s">
        <v>24</v>
      </c>
      <c r="T1403" s="27"/>
      <c r="U1403" s="28" t="s">
        <v>25</v>
      </c>
      <c r="V1403" s="29" t="str">
        <f t="shared" si="106"/>
        <v>✓ OK</v>
      </c>
      <c r="W1403" s="45">
        <v>46248</v>
      </c>
      <c r="X1403" s="30" t="s">
        <v>23</v>
      </c>
      <c r="Y1403" s="30" t="s">
        <v>24</v>
      </c>
      <c r="Z1403" s="30" t="s">
        <v>25</v>
      </c>
      <c r="AA1403" s="30" t="s">
        <v>26</v>
      </c>
      <c r="AB1403" s="30" t="s">
        <v>24</v>
      </c>
      <c r="AC1403" s="27"/>
      <c r="AD1403" s="31" t="s">
        <v>25</v>
      </c>
      <c r="AE1403" s="32" t="str">
        <f t="shared" si="107"/>
        <v>✓ OK</v>
      </c>
      <c r="AF1403" s="33" t="s">
        <v>27</v>
      </c>
      <c r="AG1403" s="33" t="s">
        <v>23</v>
      </c>
      <c r="AH1403" s="33" t="s">
        <v>24</v>
      </c>
      <c r="AI1403" s="33" t="s">
        <v>25</v>
      </c>
      <c r="AJ1403" s="33" t="s">
        <v>26</v>
      </c>
      <c r="AK1403" s="33" t="s">
        <v>24</v>
      </c>
      <c r="AL1403" s="27"/>
      <c r="AM1403" s="34" t="s">
        <v>25</v>
      </c>
      <c r="AN1403" s="35" t="str">
        <f t="shared" si="108"/>
        <v>✓ OK</v>
      </c>
      <c r="AO1403" s="36"/>
      <c r="AP1403" s="36"/>
      <c r="AQ1403" s="36"/>
      <c r="AR1403" s="36"/>
      <c r="AS1403" s="36"/>
      <c r="AT1403" s="36"/>
      <c r="AU1403" s="27"/>
      <c r="AV1403" s="37"/>
      <c r="AW1403" s="38" t="str">
        <f t="shared" si="109"/>
        <v/>
      </c>
    </row>
    <row r="1404" spans="1:49" ht="18" customHeight="1" x14ac:dyDescent="0.3">
      <c r="A1404" s="39">
        <v>1400</v>
      </c>
      <c r="B1404" s="40" t="s">
        <v>4649</v>
      </c>
      <c r="C1404" s="41" t="s">
        <v>4650</v>
      </c>
      <c r="D1404" s="39" t="s">
        <v>4000</v>
      </c>
      <c r="E1404" s="43">
        <v>46125</v>
      </c>
      <c r="F1404" s="26" t="s">
        <v>23</v>
      </c>
      <c r="G1404" s="26" t="s">
        <v>24</v>
      </c>
      <c r="H1404" s="26" t="s">
        <v>25</v>
      </c>
      <c r="I1404" s="26" t="s">
        <v>26</v>
      </c>
      <c r="J1404" s="26" t="s">
        <v>24</v>
      </c>
      <c r="K1404" s="27"/>
      <c r="L1404" s="28" t="s">
        <v>25</v>
      </c>
      <c r="M1404" s="29" t="str">
        <f t="shared" si="105"/>
        <v>✓ OK</v>
      </c>
      <c r="N1404" s="43">
        <v>46193</v>
      </c>
      <c r="O1404" s="26" t="s">
        <v>23</v>
      </c>
      <c r="P1404" s="26" t="s">
        <v>24</v>
      </c>
      <c r="Q1404" s="26" t="s">
        <v>25</v>
      </c>
      <c r="R1404" s="26" t="s">
        <v>26</v>
      </c>
      <c r="S1404" s="26" t="s">
        <v>24</v>
      </c>
      <c r="T1404" s="27"/>
      <c r="U1404" s="28" t="s">
        <v>25</v>
      </c>
      <c r="V1404" s="29" t="str">
        <f t="shared" si="106"/>
        <v>✓ OK</v>
      </c>
      <c r="W1404" s="45">
        <v>46248</v>
      </c>
      <c r="X1404" s="30" t="s">
        <v>23</v>
      </c>
      <c r="Y1404" s="30" t="s">
        <v>24</v>
      </c>
      <c r="Z1404" s="30" t="s">
        <v>25</v>
      </c>
      <c r="AA1404" s="30" t="s">
        <v>26</v>
      </c>
      <c r="AB1404" s="30" t="s">
        <v>24</v>
      </c>
      <c r="AC1404" s="27"/>
      <c r="AD1404" s="31" t="s">
        <v>25</v>
      </c>
      <c r="AE1404" s="32" t="str">
        <f t="shared" si="107"/>
        <v>✓ OK</v>
      </c>
      <c r="AF1404" s="33" t="s">
        <v>27</v>
      </c>
      <c r="AG1404" s="33" t="s">
        <v>23</v>
      </c>
      <c r="AH1404" s="33" t="s">
        <v>24</v>
      </c>
      <c r="AI1404" s="33" t="s">
        <v>25</v>
      </c>
      <c r="AJ1404" s="33" t="s">
        <v>26</v>
      </c>
      <c r="AK1404" s="33" t="s">
        <v>24</v>
      </c>
      <c r="AL1404" s="27"/>
      <c r="AM1404" s="34" t="s">
        <v>25</v>
      </c>
      <c r="AN1404" s="35" t="str">
        <f t="shared" si="108"/>
        <v>✓ OK</v>
      </c>
      <c r="AO1404" s="36"/>
      <c r="AP1404" s="36"/>
      <c r="AQ1404" s="36"/>
      <c r="AR1404" s="36"/>
      <c r="AS1404" s="36"/>
      <c r="AT1404" s="36"/>
      <c r="AU1404" s="27"/>
      <c r="AV1404" s="37"/>
      <c r="AW1404" s="38" t="str">
        <f t="shared" si="109"/>
        <v/>
      </c>
    </row>
    <row r="1405" spans="1:49" ht="18" customHeight="1" x14ac:dyDescent="0.3">
      <c r="A1405" s="23">
        <v>1401</v>
      </c>
      <c r="B1405" s="24" t="s">
        <v>4651</v>
      </c>
      <c r="C1405" s="25" t="s">
        <v>4652</v>
      </c>
      <c r="D1405" s="23" t="s">
        <v>4000</v>
      </c>
      <c r="E1405" s="43">
        <v>46125</v>
      </c>
      <c r="F1405" s="26" t="s">
        <v>23</v>
      </c>
      <c r="G1405" s="26" t="s">
        <v>24</v>
      </c>
      <c r="H1405" s="26" t="s">
        <v>25</v>
      </c>
      <c r="I1405" s="26" t="s">
        <v>26</v>
      </c>
      <c r="J1405" s="26" t="s">
        <v>24</v>
      </c>
      <c r="K1405" s="27"/>
      <c r="L1405" s="28" t="s">
        <v>25</v>
      </c>
      <c r="M1405" s="29" t="str">
        <f t="shared" si="105"/>
        <v>✓ OK</v>
      </c>
      <c r="N1405" s="43">
        <v>46193</v>
      </c>
      <c r="O1405" s="26" t="s">
        <v>23</v>
      </c>
      <c r="P1405" s="26" t="s">
        <v>24</v>
      </c>
      <c r="Q1405" s="26" t="s">
        <v>25</v>
      </c>
      <c r="R1405" s="26" t="s">
        <v>26</v>
      </c>
      <c r="S1405" s="26" t="s">
        <v>24</v>
      </c>
      <c r="T1405" s="27"/>
      <c r="U1405" s="28" t="s">
        <v>25</v>
      </c>
      <c r="V1405" s="29" t="str">
        <f t="shared" si="106"/>
        <v>✓ OK</v>
      </c>
      <c r="W1405" s="45">
        <v>46248</v>
      </c>
      <c r="X1405" s="30" t="s">
        <v>23</v>
      </c>
      <c r="Y1405" s="30" t="s">
        <v>24</v>
      </c>
      <c r="Z1405" s="30" t="s">
        <v>25</v>
      </c>
      <c r="AA1405" s="30" t="s">
        <v>26</v>
      </c>
      <c r="AB1405" s="30" t="s">
        <v>24</v>
      </c>
      <c r="AC1405" s="27"/>
      <c r="AD1405" s="31" t="s">
        <v>25</v>
      </c>
      <c r="AE1405" s="32" t="str">
        <f t="shared" si="107"/>
        <v>✓ OK</v>
      </c>
      <c r="AF1405" s="33" t="s">
        <v>27</v>
      </c>
      <c r="AG1405" s="33" t="s">
        <v>23</v>
      </c>
      <c r="AH1405" s="33" t="s">
        <v>24</v>
      </c>
      <c r="AI1405" s="33" t="s">
        <v>25</v>
      </c>
      <c r="AJ1405" s="33" t="s">
        <v>26</v>
      </c>
      <c r="AK1405" s="33" t="s">
        <v>24</v>
      </c>
      <c r="AL1405" s="27"/>
      <c r="AM1405" s="34" t="s">
        <v>25</v>
      </c>
      <c r="AN1405" s="35" t="str">
        <f t="shared" si="108"/>
        <v>✓ OK</v>
      </c>
      <c r="AO1405" s="36"/>
      <c r="AP1405" s="36"/>
      <c r="AQ1405" s="36"/>
      <c r="AR1405" s="36"/>
      <c r="AS1405" s="36"/>
      <c r="AT1405" s="36"/>
      <c r="AU1405" s="27"/>
      <c r="AV1405" s="37"/>
      <c r="AW1405" s="38" t="str">
        <f t="shared" si="109"/>
        <v/>
      </c>
    </row>
    <row r="1406" spans="1:49" ht="18" customHeight="1" x14ac:dyDescent="0.3">
      <c r="A1406" s="39">
        <v>1402</v>
      </c>
      <c r="B1406" s="40" t="s">
        <v>4653</v>
      </c>
      <c r="C1406" s="41" t="s">
        <v>4654</v>
      </c>
      <c r="D1406" s="39" t="s">
        <v>4000</v>
      </c>
      <c r="E1406" s="43">
        <v>46125</v>
      </c>
      <c r="F1406" s="26" t="s">
        <v>23</v>
      </c>
      <c r="G1406" s="26" t="s">
        <v>24</v>
      </c>
      <c r="H1406" s="26" t="s">
        <v>25</v>
      </c>
      <c r="I1406" s="26" t="s">
        <v>26</v>
      </c>
      <c r="J1406" s="26" t="s">
        <v>24</v>
      </c>
      <c r="K1406" s="27"/>
      <c r="L1406" s="28" t="s">
        <v>25</v>
      </c>
      <c r="M1406" s="29" t="str">
        <f t="shared" si="105"/>
        <v>✓ OK</v>
      </c>
      <c r="N1406" s="43">
        <v>46193</v>
      </c>
      <c r="O1406" s="26" t="s">
        <v>23</v>
      </c>
      <c r="P1406" s="26" t="s">
        <v>24</v>
      </c>
      <c r="Q1406" s="26" t="s">
        <v>25</v>
      </c>
      <c r="R1406" s="26" t="s">
        <v>26</v>
      </c>
      <c r="S1406" s="26" t="s">
        <v>24</v>
      </c>
      <c r="T1406" s="27"/>
      <c r="U1406" s="28" t="s">
        <v>25</v>
      </c>
      <c r="V1406" s="29" t="str">
        <f t="shared" si="106"/>
        <v>✓ OK</v>
      </c>
      <c r="W1406" s="45">
        <v>46248</v>
      </c>
      <c r="X1406" s="30" t="s">
        <v>23</v>
      </c>
      <c r="Y1406" s="30" t="s">
        <v>24</v>
      </c>
      <c r="Z1406" s="30" t="s">
        <v>25</v>
      </c>
      <c r="AA1406" s="30" t="s">
        <v>26</v>
      </c>
      <c r="AB1406" s="30" t="s">
        <v>24</v>
      </c>
      <c r="AC1406" s="27"/>
      <c r="AD1406" s="31" t="s">
        <v>25</v>
      </c>
      <c r="AE1406" s="32" t="str">
        <f t="shared" si="107"/>
        <v>✓ OK</v>
      </c>
      <c r="AF1406" s="33" t="s">
        <v>27</v>
      </c>
      <c r="AG1406" s="33" t="s">
        <v>23</v>
      </c>
      <c r="AH1406" s="33" t="s">
        <v>24</v>
      </c>
      <c r="AI1406" s="33" t="s">
        <v>25</v>
      </c>
      <c r="AJ1406" s="33" t="s">
        <v>26</v>
      </c>
      <c r="AK1406" s="33" t="s">
        <v>24</v>
      </c>
      <c r="AL1406" s="27"/>
      <c r="AM1406" s="34" t="s">
        <v>25</v>
      </c>
      <c r="AN1406" s="35" t="str">
        <f t="shared" si="108"/>
        <v>✓ OK</v>
      </c>
      <c r="AO1406" s="36"/>
      <c r="AP1406" s="36"/>
      <c r="AQ1406" s="36"/>
      <c r="AR1406" s="36"/>
      <c r="AS1406" s="36"/>
      <c r="AT1406" s="36"/>
      <c r="AU1406" s="27"/>
      <c r="AV1406" s="37"/>
      <c r="AW1406" s="38" t="str">
        <f t="shared" si="109"/>
        <v/>
      </c>
    </row>
    <row r="1407" spans="1:49" ht="18" customHeight="1" x14ac:dyDescent="0.3">
      <c r="A1407" s="23">
        <v>1403</v>
      </c>
      <c r="B1407" s="24" t="s">
        <v>4655</v>
      </c>
      <c r="C1407" s="25" t="s">
        <v>4656</v>
      </c>
      <c r="D1407" s="23" t="s">
        <v>4000</v>
      </c>
      <c r="E1407" s="43">
        <v>46125</v>
      </c>
      <c r="F1407" s="26" t="s">
        <v>23</v>
      </c>
      <c r="G1407" s="26" t="s">
        <v>24</v>
      </c>
      <c r="H1407" s="26" t="s">
        <v>25</v>
      </c>
      <c r="I1407" s="26" t="s">
        <v>26</v>
      </c>
      <c r="J1407" s="26" t="s">
        <v>24</v>
      </c>
      <c r="K1407" s="27"/>
      <c r="L1407" s="28" t="s">
        <v>25</v>
      </c>
      <c r="M1407" s="29" t="str">
        <f t="shared" si="105"/>
        <v>✓ OK</v>
      </c>
      <c r="N1407" s="43">
        <v>46193</v>
      </c>
      <c r="O1407" s="26" t="s">
        <v>23</v>
      </c>
      <c r="P1407" s="26" t="s">
        <v>24</v>
      </c>
      <c r="Q1407" s="26" t="s">
        <v>25</v>
      </c>
      <c r="R1407" s="26" t="s">
        <v>26</v>
      </c>
      <c r="S1407" s="26" t="s">
        <v>24</v>
      </c>
      <c r="T1407" s="27"/>
      <c r="U1407" s="28" t="s">
        <v>25</v>
      </c>
      <c r="V1407" s="29" t="str">
        <f t="shared" si="106"/>
        <v>✓ OK</v>
      </c>
      <c r="W1407" s="45">
        <v>46248</v>
      </c>
      <c r="X1407" s="30" t="s">
        <v>23</v>
      </c>
      <c r="Y1407" s="30" t="s">
        <v>24</v>
      </c>
      <c r="Z1407" s="30" t="s">
        <v>25</v>
      </c>
      <c r="AA1407" s="30" t="s">
        <v>26</v>
      </c>
      <c r="AB1407" s="30" t="s">
        <v>24</v>
      </c>
      <c r="AC1407" s="27"/>
      <c r="AD1407" s="31" t="s">
        <v>25</v>
      </c>
      <c r="AE1407" s="32" t="str">
        <f t="shared" si="107"/>
        <v>✓ OK</v>
      </c>
      <c r="AF1407" s="33" t="s">
        <v>27</v>
      </c>
      <c r="AG1407" s="33" t="s">
        <v>23</v>
      </c>
      <c r="AH1407" s="33" t="s">
        <v>24</v>
      </c>
      <c r="AI1407" s="33" t="s">
        <v>25</v>
      </c>
      <c r="AJ1407" s="33" t="s">
        <v>26</v>
      </c>
      <c r="AK1407" s="33" t="s">
        <v>24</v>
      </c>
      <c r="AL1407" s="27"/>
      <c r="AM1407" s="34" t="s">
        <v>25</v>
      </c>
      <c r="AN1407" s="35" t="str">
        <f t="shared" si="108"/>
        <v>✓ OK</v>
      </c>
      <c r="AO1407" s="36"/>
      <c r="AP1407" s="36"/>
      <c r="AQ1407" s="36"/>
      <c r="AR1407" s="36"/>
      <c r="AS1407" s="36"/>
      <c r="AT1407" s="36"/>
      <c r="AU1407" s="27"/>
      <c r="AV1407" s="37"/>
      <c r="AW1407" s="38" t="str">
        <f t="shared" si="109"/>
        <v/>
      </c>
    </row>
    <row r="1408" spans="1:49" ht="18" customHeight="1" x14ac:dyDescent="0.3">
      <c r="A1408" s="39">
        <v>1404</v>
      </c>
      <c r="B1408" s="40" t="s">
        <v>4657</v>
      </c>
      <c r="C1408" s="41" t="s">
        <v>4658</v>
      </c>
      <c r="D1408" s="39" t="s">
        <v>4000</v>
      </c>
      <c r="E1408" s="43">
        <v>46125</v>
      </c>
      <c r="F1408" s="26" t="s">
        <v>23</v>
      </c>
      <c r="G1408" s="26" t="s">
        <v>24</v>
      </c>
      <c r="H1408" s="26" t="s">
        <v>25</v>
      </c>
      <c r="I1408" s="26" t="s">
        <v>26</v>
      </c>
      <c r="J1408" s="26" t="s">
        <v>24</v>
      </c>
      <c r="K1408" s="27"/>
      <c r="L1408" s="28" t="s">
        <v>25</v>
      </c>
      <c r="M1408" s="29" t="str">
        <f t="shared" si="105"/>
        <v>✓ OK</v>
      </c>
      <c r="N1408" s="43">
        <v>46193</v>
      </c>
      <c r="O1408" s="26" t="s">
        <v>23</v>
      </c>
      <c r="P1408" s="26" t="s">
        <v>24</v>
      </c>
      <c r="Q1408" s="26" t="s">
        <v>25</v>
      </c>
      <c r="R1408" s="26" t="s">
        <v>26</v>
      </c>
      <c r="S1408" s="26" t="s">
        <v>24</v>
      </c>
      <c r="T1408" s="27"/>
      <c r="U1408" s="28" t="s">
        <v>25</v>
      </c>
      <c r="V1408" s="29" t="str">
        <f t="shared" si="106"/>
        <v>✓ OK</v>
      </c>
      <c r="W1408" s="45">
        <v>46248</v>
      </c>
      <c r="X1408" s="30" t="s">
        <v>23</v>
      </c>
      <c r="Y1408" s="30" t="s">
        <v>24</v>
      </c>
      <c r="Z1408" s="30" t="s">
        <v>25</v>
      </c>
      <c r="AA1408" s="30" t="s">
        <v>26</v>
      </c>
      <c r="AB1408" s="30" t="s">
        <v>24</v>
      </c>
      <c r="AC1408" s="27"/>
      <c r="AD1408" s="31" t="s">
        <v>25</v>
      </c>
      <c r="AE1408" s="32" t="str">
        <f t="shared" si="107"/>
        <v>✓ OK</v>
      </c>
      <c r="AF1408" s="33" t="s">
        <v>27</v>
      </c>
      <c r="AG1408" s="33" t="s">
        <v>23</v>
      </c>
      <c r="AH1408" s="33" t="s">
        <v>24</v>
      </c>
      <c r="AI1408" s="33" t="s">
        <v>25</v>
      </c>
      <c r="AJ1408" s="33" t="s">
        <v>26</v>
      </c>
      <c r="AK1408" s="33" t="s">
        <v>24</v>
      </c>
      <c r="AL1408" s="27"/>
      <c r="AM1408" s="34" t="s">
        <v>25</v>
      </c>
      <c r="AN1408" s="35" t="str">
        <f t="shared" si="108"/>
        <v>✓ OK</v>
      </c>
      <c r="AO1408" s="36"/>
      <c r="AP1408" s="36"/>
      <c r="AQ1408" s="36"/>
      <c r="AR1408" s="36"/>
      <c r="AS1408" s="36"/>
      <c r="AT1408" s="36"/>
      <c r="AU1408" s="27"/>
      <c r="AV1408" s="37"/>
      <c r="AW1408" s="38" t="str">
        <f t="shared" si="109"/>
        <v/>
      </c>
    </row>
    <row r="1409" spans="1:49" ht="18" customHeight="1" x14ac:dyDescent="0.3">
      <c r="A1409" s="23">
        <v>1405</v>
      </c>
      <c r="B1409" s="24" t="s">
        <v>4659</v>
      </c>
      <c r="C1409" s="25" t="s">
        <v>4660</v>
      </c>
      <c r="D1409" s="23" t="s">
        <v>4000</v>
      </c>
      <c r="E1409" s="43">
        <v>46125</v>
      </c>
      <c r="F1409" s="26" t="s">
        <v>23</v>
      </c>
      <c r="G1409" s="26" t="s">
        <v>24</v>
      </c>
      <c r="H1409" s="26" t="s">
        <v>25</v>
      </c>
      <c r="I1409" s="26" t="s">
        <v>26</v>
      </c>
      <c r="J1409" s="26" t="s">
        <v>24</v>
      </c>
      <c r="K1409" s="27"/>
      <c r="L1409" s="28" t="s">
        <v>25</v>
      </c>
      <c r="M1409" s="29" t="str">
        <f t="shared" si="105"/>
        <v>✓ OK</v>
      </c>
      <c r="N1409" s="43">
        <v>46193</v>
      </c>
      <c r="O1409" s="26" t="s">
        <v>23</v>
      </c>
      <c r="P1409" s="26" t="s">
        <v>24</v>
      </c>
      <c r="Q1409" s="26" t="s">
        <v>25</v>
      </c>
      <c r="R1409" s="26" t="s">
        <v>26</v>
      </c>
      <c r="S1409" s="26" t="s">
        <v>24</v>
      </c>
      <c r="T1409" s="27"/>
      <c r="U1409" s="28" t="s">
        <v>25</v>
      </c>
      <c r="V1409" s="29" t="str">
        <f t="shared" si="106"/>
        <v>✓ OK</v>
      </c>
      <c r="W1409" s="45">
        <v>46248</v>
      </c>
      <c r="X1409" s="30" t="s">
        <v>23</v>
      </c>
      <c r="Y1409" s="30" t="s">
        <v>24</v>
      </c>
      <c r="Z1409" s="30" t="s">
        <v>25</v>
      </c>
      <c r="AA1409" s="30" t="s">
        <v>26</v>
      </c>
      <c r="AB1409" s="30" t="s">
        <v>24</v>
      </c>
      <c r="AC1409" s="27"/>
      <c r="AD1409" s="31" t="s">
        <v>25</v>
      </c>
      <c r="AE1409" s="32" t="str">
        <f t="shared" si="107"/>
        <v>✓ OK</v>
      </c>
      <c r="AF1409" s="33" t="s">
        <v>27</v>
      </c>
      <c r="AG1409" s="33" t="s">
        <v>23</v>
      </c>
      <c r="AH1409" s="33" t="s">
        <v>24</v>
      </c>
      <c r="AI1409" s="33" t="s">
        <v>25</v>
      </c>
      <c r="AJ1409" s="33" t="s">
        <v>26</v>
      </c>
      <c r="AK1409" s="33" t="s">
        <v>24</v>
      </c>
      <c r="AL1409" s="27"/>
      <c r="AM1409" s="34" t="s">
        <v>25</v>
      </c>
      <c r="AN1409" s="35" t="str">
        <f t="shared" si="108"/>
        <v>✓ OK</v>
      </c>
      <c r="AO1409" s="36"/>
      <c r="AP1409" s="36"/>
      <c r="AQ1409" s="36"/>
      <c r="AR1409" s="36"/>
      <c r="AS1409" s="36"/>
      <c r="AT1409" s="36"/>
      <c r="AU1409" s="27"/>
      <c r="AV1409" s="37"/>
      <c r="AW1409" s="38" t="str">
        <f t="shared" si="109"/>
        <v/>
      </c>
    </row>
    <row r="1410" spans="1:49" ht="18" customHeight="1" x14ac:dyDescent="0.3">
      <c r="A1410" s="39">
        <v>1406</v>
      </c>
      <c r="B1410" s="40" t="s">
        <v>4661</v>
      </c>
      <c r="C1410" s="41" t="s">
        <v>4662</v>
      </c>
      <c r="D1410" s="39" t="s">
        <v>4000</v>
      </c>
      <c r="E1410" s="43">
        <v>46125</v>
      </c>
      <c r="F1410" s="26" t="s">
        <v>23</v>
      </c>
      <c r="G1410" s="26" t="s">
        <v>24</v>
      </c>
      <c r="H1410" s="26" t="s">
        <v>25</v>
      </c>
      <c r="I1410" s="26" t="s">
        <v>26</v>
      </c>
      <c r="J1410" s="26" t="s">
        <v>24</v>
      </c>
      <c r="K1410" s="27"/>
      <c r="L1410" s="28" t="s">
        <v>25</v>
      </c>
      <c r="M1410" s="29" t="str">
        <f t="shared" si="105"/>
        <v>✓ OK</v>
      </c>
      <c r="N1410" s="43">
        <v>46193</v>
      </c>
      <c r="O1410" s="26" t="s">
        <v>23</v>
      </c>
      <c r="P1410" s="26" t="s">
        <v>24</v>
      </c>
      <c r="Q1410" s="26" t="s">
        <v>25</v>
      </c>
      <c r="R1410" s="26" t="s">
        <v>26</v>
      </c>
      <c r="S1410" s="26" t="s">
        <v>24</v>
      </c>
      <c r="T1410" s="27"/>
      <c r="U1410" s="28" t="s">
        <v>25</v>
      </c>
      <c r="V1410" s="29" t="str">
        <f t="shared" si="106"/>
        <v>✓ OK</v>
      </c>
      <c r="W1410" s="45">
        <v>46248</v>
      </c>
      <c r="X1410" s="30" t="s">
        <v>23</v>
      </c>
      <c r="Y1410" s="30" t="s">
        <v>24</v>
      </c>
      <c r="Z1410" s="30" t="s">
        <v>25</v>
      </c>
      <c r="AA1410" s="30" t="s">
        <v>26</v>
      </c>
      <c r="AB1410" s="30" t="s">
        <v>24</v>
      </c>
      <c r="AC1410" s="27"/>
      <c r="AD1410" s="31" t="s">
        <v>25</v>
      </c>
      <c r="AE1410" s="32" t="str">
        <f t="shared" si="107"/>
        <v>✓ OK</v>
      </c>
      <c r="AF1410" s="33" t="s">
        <v>27</v>
      </c>
      <c r="AG1410" s="33" t="s">
        <v>23</v>
      </c>
      <c r="AH1410" s="33" t="s">
        <v>24</v>
      </c>
      <c r="AI1410" s="33" t="s">
        <v>25</v>
      </c>
      <c r="AJ1410" s="33" t="s">
        <v>26</v>
      </c>
      <c r="AK1410" s="33" t="s">
        <v>24</v>
      </c>
      <c r="AL1410" s="27"/>
      <c r="AM1410" s="34" t="s">
        <v>25</v>
      </c>
      <c r="AN1410" s="35" t="str">
        <f t="shared" si="108"/>
        <v>✓ OK</v>
      </c>
      <c r="AO1410" s="36"/>
      <c r="AP1410" s="36"/>
      <c r="AQ1410" s="36"/>
      <c r="AR1410" s="36"/>
      <c r="AS1410" s="36"/>
      <c r="AT1410" s="36"/>
      <c r="AU1410" s="27"/>
      <c r="AV1410" s="37"/>
      <c r="AW1410" s="38" t="str">
        <f t="shared" si="109"/>
        <v/>
      </c>
    </row>
    <row r="1411" spans="1:49" ht="18" customHeight="1" x14ac:dyDescent="0.3">
      <c r="A1411" s="23">
        <v>1407</v>
      </c>
      <c r="B1411" s="24" t="s">
        <v>4663</v>
      </c>
      <c r="C1411" s="25" t="s">
        <v>4664</v>
      </c>
      <c r="D1411" s="23" t="s">
        <v>4000</v>
      </c>
      <c r="E1411" s="43">
        <v>46125</v>
      </c>
      <c r="F1411" s="26" t="s">
        <v>23</v>
      </c>
      <c r="G1411" s="26" t="s">
        <v>24</v>
      </c>
      <c r="H1411" s="26" t="s">
        <v>25</v>
      </c>
      <c r="I1411" s="26" t="s">
        <v>26</v>
      </c>
      <c r="J1411" s="26" t="s">
        <v>24</v>
      </c>
      <c r="K1411" s="27"/>
      <c r="L1411" s="28" t="s">
        <v>25</v>
      </c>
      <c r="M1411" s="29" t="str">
        <f t="shared" si="105"/>
        <v>✓ OK</v>
      </c>
      <c r="N1411" s="43">
        <v>46193</v>
      </c>
      <c r="O1411" s="26" t="s">
        <v>23</v>
      </c>
      <c r="P1411" s="26" t="s">
        <v>24</v>
      </c>
      <c r="Q1411" s="26" t="s">
        <v>25</v>
      </c>
      <c r="R1411" s="26" t="s">
        <v>26</v>
      </c>
      <c r="S1411" s="26" t="s">
        <v>24</v>
      </c>
      <c r="T1411" s="27"/>
      <c r="U1411" s="28" t="s">
        <v>25</v>
      </c>
      <c r="V1411" s="29" t="str">
        <f t="shared" si="106"/>
        <v>✓ OK</v>
      </c>
      <c r="W1411" s="45">
        <v>46248</v>
      </c>
      <c r="X1411" s="30" t="s">
        <v>23</v>
      </c>
      <c r="Y1411" s="30" t="s">
        <v>24</v>
      </c>
      <c r="Z1411" s="30" t="s">
        <v>25</v>
      </c>
      <c r="AA1411" s="30" t="s">
        <v>26</v>
      </c>
      <c r="AB1411" s="30" t="s">
        <v>24</v>
      </c>
      <c r="AC1411" s="27"/>
      <c r="AD1411" s="31" t="s">
        <v>25</v>
      </c>
      <c r="AE1411" s="32" t="str">
        <f t="shared" si="107"/>
        <v>✓ OK</v>
      </c>
      <c r="AF1411" s="33" t="s">
        <v>27</v>
      </c>
      <c r="AG1411" s="33" t="s">
        <v>23</v>
      </c>
      <c r="AH1411" s="33" t="s">
        <v>24</v>
      </c>
      <c r="AI1411" s="33" t="s">
        <v>25</v>
      </c>
      <c r="AJ1411" s="33" t="s">
        <v>26</v>
      </c>
      <c r="AK1411" s="33" t="s">
        <v>24</v>
      </c>
      <c r="AL1411" s="27"/>
      <c r="AM1411" s="34" t="s">
        <v>25</v>
      </c>
      <c r="AN1411" s="35" t="str">
        <f t="shared" si="108"/>
        <v>✓ OK</v>
      </c>
      <c r="AO1411" s="36"/>
      <c r="AP1411" s="36"/>
      <c r="AQ1411" s="36"/>
      <c r="AR1411" s="36"/>
      <c r="AS1411" s="36"/>
      <c r="AT1411" s="36"/>
      <c r="AU1411" s="27"/>
      <c r="AV1411" s="37"/>
      <c r="AW1411" s="38" t="str">
        <f t="shared" si="109"/>
        <v/>
      </c>
    </row>
    <row r="1412" spans="1:49" ht="18" customHeight="1" x14ac:dyDescent="0.3">
      <c r="A1412" s="39">
        <v>1408</v>
      </c>
      <c r="B1412" s="40" t="s">
        <v>4665</v>
      </c>
      <c r="C1412" s="41" t="s">
        <v>4666</v>
      </c>
      <c r="D1412" s="39" t="s">
        <v>4000</v>
      </c>
      <c r="E1412" s="43">
        <v>46125</v>
      </c>
      <c r="F1412" s="26" t="s">
        <v>23</v>
      </c>
      <c r="G1412" s="26" t="s">
        <v>24</v>
      </c>
      <c r="H1412" s="26" t="s">
        <v>25</v>
      </c>
      <c r="I1412" s="26" t="s">
        <v>26</v>
      </c>
      <c r="J1412" s="26" t="s">
        <v>24</v>
      </c>
      <c r="K1412" s="27"/>
      <c r="L1412" s="28" t="s">
        <v>25</v>
      </c>
      <c r="M1412" s="29" t="str">
        <f t="shared" si="105"/>
        <v>✓ OK</v>
      </c>
      <c r="N1412" s="43">
        <v>46193</v>
      </c>
      <c r="O1412" s="26" t="s">
        <v>23</v>
      </c>
      <c r="P1412" s="26" t="s">
        <v>24</v>
      </c>
      <c r="Q1412" s="26" t="s">
        <v>25</v>
      </c>
      <c r="R1412" s="26" t="s">
        <v>26</v>
      </c>
      <c r="S1412" s="26" t="s">
        <v>24</v>
      </c>
      <c r="T1412" s="27"/>
      <c r="U1412" s="28" t="s">
        <v>25</v>
      </c>
      <c r="V1412" s="29" t="str">
        <f t="shared" si="106"/>
        <v>✓ OK</v>
      </c>
      <c r="W1412" s="45">
        <v>46248</v>
      </c>
      <c r="X1412" s="30" t="s">
        <v>23</v>
      </c>
      <c r="Y1412" s="30" t="s">
        <v>24</v>
      </c>
      <c r="Z1412" s="30" t="s">
        <v>25</v>
      </c>
      <c r="AA1412" s="30" t="s">
        <v>26</v>
      </c>
      <c r="AB1412" s="30" t="s">
        <v>24</v>
      </c>
      <c r="AC1412" s="27"/>
      <c r="AD1412" s="31" t="s">
        <v>25</v>
      </c>
      <c r="AE1412" s="32" t="str">
        <f t="shared" si="107"/>
        <v>✓ OK</v>
      </c>
      <c r="AF1412" s="33" t="s">
        <v>27</v>
      </c>
      <c r="AG1412" s="33" t="s">
        <v>23</v>
      </c>
      <c r="AH1412" s="33" t="s">
        <v>24</v>
      </c>
      <c r="AI1412" s="33" t="s">
        <v>25</v>
      </c>
      <c r="AJ1412" s="33" t="s">
        <v>26</v>
      </c>
      <c r="AK1412" s="33" t="s">
        <v>24</v>
      </c>
      <c r="AL1412" s="27"/>
      <c r="AM1412" s="34" t="s">
        <v>25</v>
      </c>
      <c r="AN1412" s="35" t="str">
        <f t="shared" si="108"/>
        <v>✓ OK</v>
      </c>
      <c r="AO1412" s="36"/>
      <c r="AP1412" s="36"/>
      <c r="AQ1412" s="36"/>
      <c r="AR1412" s="36"/>
      <c r="AS1412" s="36"/>
      <c r="AT1412" s="36"/>
      <c r="AU1412" s="27"/>
      <c r="AV1412" s="37"/>
      <c r="AW1412" s="38" t="str">
        <f t="shared" si="109"/>
        <v/>
      </c>
    </row>
    <row r="1413" spans="1:49" ht="18" customHeight="1" x14ac:dyDescent="0.3">
      <c r="A1413" s="23">
        <v>1409</v>
      </c>
      <c r="B1413" s="24" t="s">
        <v>4667</v>
      </c>
      <c r="C1413" s="25" t="s">
        <v>4668</v>
      </c>
      <c r="D1413" s="23" t="s">
        <v>4000</v>
      </c>
      <c r="E1413" s="43">
        <v>46125</v>
      </c>
      <c r="F1413" s="26" t="s">
        <v>23</v>
      </c>
      <c r="G1413" s="26" t="s">
        <v>24</v>
      </c>
      <c r="H1413" s="26" t="s">
        <v>25</v>
      </c>
      <c r="I1413" s="26" t="s">
        <v>26</v>
      </c>
      <c r="J1413" s="26" t="s">
        <v>24</v>
      </c>
      <c r="K1413" s="27"/>
      <c r="L1413" s="28" t="s">
        <v>25</v>
      </c>
      <c r="M1413" s="29" t="str">
        <f t="shared" si="105"/>
        <v>✓ OK</v>
      </c>
      <c r="N1413" s="43">
        <v>46193</v>
      </c>
      <c r="O1413" s="26" t="s">
        <v>23</v>
      </c>
      <c r="P1413" s="26" t="s">
        <v>24</v>
      </c>
      <c r="Q1413" s="26" t="s">
        <v>25</v>
      </c>
      <c r="R1413" s="26" t="s">
        <v>26</v>
      </c>
      <c r="S1413" s="26" t="s">
        <v>24</v>
      </c>
      <c r="T1413" s="27"/>
      <c r="U1413" s="28" t="s">
        <v>25</v>
      </c>
      <c r="V1413" s="29" t="str">
        <f t="shared" si="106"/>
        <v>✓ OK</v>
      </c>
      <c r="W1413" s="45">
        <v>46248</v>
      </c>
      <c r="X1413" s="30" t="s">
        <v>23</v>
      </c>
      <c r="Y1413" s="30" t="s">
        <v>24</v>
      </c>
      <c r="Z1413" s="30" t="s">
        <v>25</v>
      </c>
      <c r="AA1413" s="30" t="s">
        <v>26</v>
      </c>
      <c r="AB1413" s="30" t="s">
        <v>24</v>
      </c>
      <c r="AC1413" s="27"/>
      <c r="AD1413" s="31" t="s">
        <v>25</v>
      </c>
      <c r="AE1413" s="32" t="str">
        <f t="shared" si="107"/>
        <v>✓ OK</v>
      </c>
      <c r="AF1413" s="33" t="s">
        <v>27</v>
      </c>
      <c r="AG1413" s="33" t="s">
        <v>23</v>
      </c>
      <c r="AH1413" s="33" t="s">
        <v>24</v>
      </c>
      <c r="AI1413" s="33" t="s">
        <v>25</v>
      </c>
      <c r="AJ1413" s="33" t="s">
        <v>26</v>
      </c>
      <c r="AK1413" s="33" t="s">
        <v>24</v>
      </c>
      <c r="AL1413" s="27"/>
      <c r="AM1413" s="34" t="s">
        <v>25</v>
      </c>
      <c r="AN1413" s="35" t="str">
        <f t="shared" si="108"/>
        <v>✓ OK</v>
      </c>
      <c r="AO1413" s="36"/>
      <c r="AP1413" s="36"/>
      <c r="AQ1413" s="36"/>
      <c r="AR1413" s="36"/>
      <c r="AS1413" s="36"/>
      <c r="AT1413" s="36"/>
      <c r="AU1413" s="27"/>
      <c r="AV1413" s="37"/>
      <c r="AW1413" s="38" t="str">
        <f t="shared" si="109"/>
        <v/>
      </c>
    </row>
  </sheetData>
  <autoFilter ref="A4:AW1413" xr:uid="{00000000-0009-0000-0000-000005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413">
    <cfRule type="expression" dxfId="417" priority="15">
      <formula>G5="Yes"</formula>
    </cfRule>
    <cfRule type="expression" dxfId="416" priority="16">
      <formula>G5="No"</formula>
    </cfRule>
  </conditionalFormatting>
  <conditionalFormatting sqref="H5:H1413">
    <cfRule type="expression" dxfId="415" priority="17">
      <formula>H5="Yes"</formula>
    </cfRule>
  </conditionalFormatting>
  <conditionalFormatting sqref="J5:J1413">
    <cfRule type="expression" dxfId="414" priority="18">
      <formula>J5="Yes"</formula>
    </cfRule>
    <cfRule type="expression" dxfId="413" priority="19">
      <formula>J5="No"</formula>
    </cfRule>
  </conditionalFormatting>
  <conditionalFormatting sqref="M5:M1413">
    <cfRule type="expression" dxfId="412" priority="13">
      <formula>M5="⚠ Missing"</formula>
    </cfRule>
    <cfRule type="expression" dxfId="411" priority="11">
      <formula>M5="✓ OK"</formula>
    </cfRule>
    <cfRule type="expression" dxfId="410" priority="12">
      <formula>M5="❌ Disc"</formula>
    </cfRule>
    <cfRule type="expression" dxfId="409" priority="14">
      <formula>M5="⚠ Check"</formula>
    </cfRule>
  </conditionalFormatting>
  <conditionalFormatting sqref="N5:N1413">
    <cfRule type="expression" dxfId="408" priority="1">
      <formula>MOD(ROW(),2)=0</formula>
    </cfRule>
  </conditionalFormatting>
  <conditionalFormatting sqref="O5:AW1413 A5:M1413">
    <cfRule type="expression" dxfId="407" priority="56">
      <formula>MOD(ROW(),2)=0</formula>
    </cfRule>
  </conditionalFormatting>
  <conditionalFormatting sqref="P5:P1413">
    <cfRule type="expression" dxfId="406" priority="6">
      <formula>P5="Yes"</formula>
    </cfRule>
    <cfRule type="expression" dxfId="405" priority="7">
      <formula>P5="No"</formula>
    </cfRule>
    <cfRule type="expression" dxfId="404" priority="24">
      <formula>P5="Yes"</formula>
    </cfRule>
    <cfRule type="expression" dxfId="403" priority="25">
      <formula>P5="No"</formula>
    </cfRule>
  </conditionalFormatting>
  <conditionalFormatting sqref="Q5:Q1413">
    <cfRule type="expression" dxfId="402" priority="8">
      <formula>Q5="Yes"</formula>
    </cfRule>
  </conditionalFormatting>
  <conditionalFormatting sqref="S5:S1413">
    <cfRule type="expression" dxfId="401" priority="9">
      <formula>S5="Yes"</formula>
    </cfRule>
    <cfRule type="expression" dxfId="400" priority="10">
      <formula>S5="No"</formula>
    </cfRule>
    <cfRule type="expression" dxfId="399" priority="27">
      <formula>S5="Yes"</formula>
    </cfRule>
    <cfRule type="expression" dxfId="398" priority="28">
      <formula>S5="No"</formula>
    </cfRule>
  </conditionalFormatting>
  <conditionalFormatting sqref="V5:V1413">
    <cfRule type="expression" dxfId="397" priority="2">
      <formula>V5="✓ OK"</formula>
    </cfRule>
    <cfRule type="expression" dxfId="396" priority="3">
      <formula>V5="❌ Disc"</formula>
    </cfRule>
    <cfRule type="expression" dxfId="395" priority="4">
      <formula>V5="⚠ Missing"</formula>
    </cfRule>
    <cfRule type="expression" dxfId="394" priority="5">
      <formula>V5="⚠ Check"</formula>
    </cfRule>
    <cfRule type="expression" dxfId="393" priority="20">
      <formula>V5="✓ OK"</formula>
    </cfRule>
    <cfRule type="expression" dxfId="392" priority="21">
      <formula>V5="❌ Disc"</formula>
    </cfRule>
    <cfRule type="expression" dxfId="391" priority="22">
      <formula>V5="⚠ Missing"</formula>
    </cfRule>
    <cfRule type="expression" dxfId="390" priority="23">
      <formula>V5="⚠ Check"</formula>
    </cfRule>
  </conditionalFormatting>
  <conditionalFormatting sqref="Y5:Y1413">
    <cfRule type="expression" dxfId="389" priority="33">
      <formula>Y5="Yes"</formula>
    </cfRule>
    <cfRule type="expression" dxfId="388" priority="34">
      <formula>Y5="No"</formula>
    </cfRule>
  </conditionalFormatting>
  <conditionalFormatting sqref="Z5:Z1413">
    <cfRule type="expression" dxfId="387" priority="35">
      <formula>Z5="Yes"</formula>
    </cfRule>
  </conditionalFormatting>
  <conditionalFormatting sqref="AB5:AB1413">
    <cfRule type="expression" dxfId="386" priority="36">
      <formula>AB5="Yes"</formula>
    </cfRule>
    <cfRule type="expression" dxfId="385" priority="37">
      <formula>AB5="No"</formula>
    </cfRule>
  </conditionalFormatting>
  <conditionalFormatting sqref="AE5:AE1413">
    <cfRule type="expression" dxfId="384" priority="30">
      <formula>AE5="❌ Disc"</formula>
    </cfRule>
    <cfRule type="expression" dxfId="383" priority="31">
      <formula>AE5="⚠ Missing"</formula>
    </cfRule>
    <cfRule type="expression" dxfId="382" priority="29">
      <formula>AE5="✓ OK"</formula>
    </cfRule>
    <cfRule type="expression" dxfId="381" priority="32">
      <formula>AE5="⚠ Check"</formula>
    </cfRule>
  </conditionalFormatting>
  <conditionalFormatting sqref="AH5:AH1413">
    <cfRule type="expression" dxfId="380" priority="42">
      <formula>AH5="Yes"</formula>
    </cfRule>
    <cfRule type="expression" dxfId="379" priority="43">
      <formula>AH5="No"</formula>
    </cfRule>
  </conditionalFormatting>
  <conditionalFormatting sqref="AI5:AI1413">
    <cfRule type="expression" dxfId="378" priority="44">
      <formula>AI5="Yes"</formula>
    </cfRule>
  </conditionalFormatting>
  <conditionalFormatting sqref="AK5:AK1413">
    <cfRule type="expression" dxfId="377" priority="45">
      <formula>AK5="Yes"</formula>
    </cfRule>
    <cfRule type="expression" dxfId="376" priority="46">
      <formula>AK5="No"</formula>
    </cfRule>
  </conditionalFormatting>
  <conditionalFormatting sqref="AN5:AN1413">
    <cfRule type="expression" dxfId="375" priority="38">
      <formula>AN5="✓ OK"</formula>
    </cfRule>
    <cfRule type="expression" dxfId="374" priority="39">
      <formula>AN5="❌ Disc"</formula>
    </cfRule>
    <cfRule type="expression" dxfId="373" priority="40">
      <formula>AN5="⚠ Missing"</formula>
    </cfRule>
    <cfRule type="expression" dxfId="372" priority="41">
      <formula>AN5="⚠ Check"</formula>
    </cfRule>
  </conditionalFormatting>
  <conditionalFormatting sqref="AQ5:AQ1413">
    <cfRule type="expression" dxfId="371" priority="51">
      <formula>AQ5="Yes"</formula>
    </cfRule>
    <cfRule type="expression" dxfId="370" priority="52">
      <formula>AQ5="No"</formula>
    </cfRule>
  </conditionalFormatting>
  <conditionalFormatting sqref="AR5:AR1413">
    <cfRule type="expression" dxfId="369" priority="53">
      <formula>AR5="Yes"</formula>
    </cfRule>
  </conditionalFormatting>
  <conditionalFormatting sqref="AT5:AT1413">
    <cfRule type="expression" dxfId="368" priority="54">
      <formula>AT5="Yes"</formula>
    </cfRule>
    <cfRule type="expression" dxfId="367" priority="55">
      <formula>AT5="No"</formula>
    </cfRule>
  </conditionalFormatting>
  <conditionalFormatting sqref="AW5:AW1413">
    <cfRule type="expression" dxfId="366" priority="47">
      <formula>AW5="✓ OK"</formula>
    </cfRule>
    <cfRule type="expression" dxfId="365" priority="48">
      <formula>AW5="❌ Disc"</formula>
    </cfRule>
    <cfRule type="expression" dxfId="364" priority="49">
      <formula>AW5="⚠ Missing"</formula>
    </cfRule>
    <cfRule type="expression" dxfId="363" priority="50">
      <formula>AW5="⚠ Check"</formula>
    </cfRule>
  </conditionalFormatting>
  <dataValidations count="2">
    <dataValidation type="list" allowBlank="1" sqref="G5:H1413 J5:J1413 P5:Q1413 S5:S1413 Y5:Z1413 AB5:AB1413 AH5:AI1413 AK5:AK1413 AQ5:AR1413 AT5:AT1413" xr:uid="{00000000-0002-0000-0500-000000000000}">
      <formula1>"Yes,No"</formula1>
    </dataValidation>
    <dataValidation type="list" allowBlank="1" sqref="I5:I1413 R5:R1413 AA5:AA1413 AJ5:AJ1413 AS5:AS1413" xr:uid="{00000000-0002-0000-05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AW117"/>
  <sheetViews>
    <sheetView workbookViewId="0">
      <pane xSplit="4" ySplit="4" topLeftCell="AF5" activePane="bottomRight" state="frozen"/>
      <selection pane="topRight" activeCell="AU16" sqref="AU16"/>
      <selection pane="bottomLeft" activeCell="AU16" sqref="AU16"/>
      <selection pane="bottomRight" activeCell="AM5" sqref="AM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4669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4670</v>
      </c>
      <c r="C5" s="25" t="s">
        <v>4671</v>
      </c>
      <c r="D5" s="23" t="s">
        <v>4672</v>
      </c>
      <c r="E5" s="43">
        <v>46126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43">
        <v>46196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/>
      <c r="AD5" s="31" t="s">
        <v>25</v>
      </c>
      <c r="AE5" s="32" t="str">
        <f t="shared" ref="AE5:AE36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/>
      <c r="AM5" s="34" t="s">
        <v>25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4673</v>
      </c>
      <c r="C6" s="41" t="s">
        <v>4674</v>
      </c>
      <c r="D6" s="39" t="s">
        <v>4672</v>
      </c>
      <c r="E6" s="43">
        <v>46126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46196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24</v>
      </c>
      <c r="Z6" s="30" t="s">
        <v>25</v>
      </c>
      <c r="AA6" s="30" t="s">
        <v>26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24</v>
      </c>
      <c r="AI6" s="33" t="s">
        <v>25</v>
      </c>
      <c r="AJ6" s="33" t="s">
        <v>26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4675</v>
      </c>
      <c r="C7" s="25" t="s">
        <v>4676</v>
      </c>
      <c r="D7" s="23" t="s">
        <v>4672</v>
      </c>
      <c r="E7" s="43">
        <v>46126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46196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24</v>
      </c>
      <c r="Z7" s="30" t="s">
        <v>25</v>
      </c>
      <c r="AA7" s="30" t="s">
        <v>26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24</v>
      </c>
      <c r="AI7" s="33" t="s">
        <v>25</v>
      </c>
      <c r="AJ7" s="33" t="s">
        <v>26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4677</v>
      </c>
      <c r="C8" s="41" t="s">
        <v>4678</v>
      </c>
      <c r="D8" s="39" t="s">
        <v>4672</v>
      </c>
      <c r="E8" s="43">
        <v>46126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46196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 t="s">
        <v>25</v>
      </c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 t="s">
        <v>25</v>
      </c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4679</v>
      </c>
      <c r="C9" s="25" t="s">
        <v>4680</v>
      </c>
      <c r="D9" s="23" t="s">
        <v>4672</v>
      </c>
      <c r="E9" s="43">
        <v>46126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46196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 t="s">
        <v>25</v>
      </c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 t="s">
        <v>25</v>
      </c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4681</v>
      </c>
      <c r="C10" s="41" t="s">
        <v>4682</v>
      </c>
      <c r="D10" s="39" t="s">
        <v>4672</v>
      </c>
      <c r="E10" s="43">
        <v>46126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46196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4683</v>
      </c>
      <c r="C11" s="25" t="s">
        <v>4684</v>
      </c>
      <c r="D11" s="23" t="s">
        <v>4672</v>
      </c>
      <c r="E11" s="43">
        <v>46126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46196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 t="s">
        <v>25</v>
      </c>
      <c r="AA11" s="30" t="s">
        <v>26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 t="s">
        <v>25</v>
      </c>
      <c r="AJ11" s="33" t="s">
        <v>26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4685</v>
      </c>
      <c r="C12" s="41" t="s">
        <v>4686</v>
      </c>
      <c r="D12" s="39" t="s">
        <v>4672</v>
      </c>
      <c r="E12" s="43">
        <v>46126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46196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4687</v>
      </c>
      <c r="C13" s="25" t="s">
        <v>4688</v>
      </c>
      <c r="D13" s="23" t="s">
        <v>4672</v>
      </c>
      <c r="E13" s="43">
        <v>46126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46196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 t="s">
        <v>25</v>
      </c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 t="s">
        <v>25</v>
      </c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4689</v>
      </c>
      <c r="C14" s="41" t="s">
        <v>4690</v>
      </c>
      <c r="D14" s="39" t="s">
        <v>4672</v>
      </c>
      <c r="E14" s="43">
        <v>46126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46196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4691</v>
      </c>
      <c r="C15" s="25" t="s">
        <v>4692</v>
      </c>
      <c r="D15" s="23" t="s">
        <v>4672</v>
      </c>
      <c r="E15" s="43">
        <v>46126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46196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4693</v>
      </c>
      <c r="C16" s="41" t="s">
        <v>4694</v>
      </c>
      <c r="D16" s="39" t="s">
        <v>4672</v>
      </c>
      <c r="E16" s="43">
        <v>46126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46196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 t="s">
        <v>25</v>
      </c>
      <c r="AA16" s="30" t="s">
        <v>26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 t="s">
        <v>25</v>
      </c>
      <c r="AJ16" s="33" t="s">
        <v>26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4695</v>
      </c>
      <c r="C17" s="25" t="s">
        <v>4696</v>
      </c>
      <c r="D17" s="23" t="s">
        <v>4672</v>
      </c>
      <c r="E17" s="43">
        <v>46126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46196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24</v>
      </c>
      <c r="Z17" s="30" t="s">
        <v>25</v>
      </c>
      <c r="AA17" s="30" t="s">
        <v>26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24</v>
      </c>
      <c r="AI17" s="33" t="s">
        <v>25</v>
      </c>
      <c r="AJ17" s="33" t="s">
        <v>26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4697</v>
      </c>
      <c r="C18" s="41" t="s">
        <v>4698</v>
      </c>
      <c r="D18" s="39" t="s">
        <v>4672</v>
      </c>
      <c r="E18" s="43">
        <v>46126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46196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4699</v>
      </c>
      <c r="C19" s="25" t="s">
        <v>4700</v>
      </c>
      <c r="D19" s="23" t="s">
        <v>4672</v>
      </c>
      <c r="E19" s="43">
        <v>46126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46196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4701</v>
      </c>
      <c r="C20" s="41" t="s">
        <v>4702</v>
      </c>
      <c r="D20" s="39" t="s">
        <v>4672</v>
      </c>
      <c r="E20" s="43">
        <v>46126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46196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24</v>
      </c>
      <c r="Z20" s="30" t="s">
        <v>25</v>
      </c>
      <c r="AA20" s="30" t="s">
        <v>26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24</v>
      </c>
      <c r="AI20" s="33" t="s">
        <v>25</v>
      </c>
      <c r="AJ20" s="33" t="s">
        <v>26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4703</v>
      </c>
      <c r="C21" s="25" t="s">
        <v>4704</v>
      </c>
      <c r="D21" s="23" t="s">
        <v>4672</v>
      </c>
      <c r="E21" s="43">
        <v>46126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46196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4705</v>
      </c>
      <c r="C22" s="41" t="s">
        <v>4706</v>
      </c>
      <c r="D22" s="39" t="s">
        <v>4672</v>
      </c>
      <c r="E22" s="43">
        <v>46126</v>
      </c>
      <c r="F22" s="26" t="s">
        <v>23</v>
      </c>
      <c r="G22" s="26" t="s">
        <v>25</v>
      </c>
      <c r="H22" s="26" t="s">
        <v>25</v>
      </c>
      <c r="I22" s="26" t="s">
        <v>735</v>
      </c>
      <c r="J22" s="26" t="s">
        <v>25</v>
      </c>
      <c r="K22" s="27"/>
      <c r="L22" s="28" t="s">
        <v>24</v>
      </c>
      <c r="M22" s="29" t="str">
        <f t="shared" si="0"/>
        <v>⚠ Missing</v>
      </c>
      <c r="N22" s="43">
        <v>46196</v>
      </c>
      <c r="O22" s="26" t="s">
        <v>23</v>
      </c>
      <c r="P22" s="26" t="s">
        <v>25</v>
      </c>
      <c r="Q22" s="26" t="s">
        <v>25</v>
      </c>
      <c r="R22" s="26" t="s">
        <v>735</v>
      </c>
      <c r="S22" s="26" t="s">
        <v>25</v>
      </c>
      <c r="T22" s="27"/>
      <c r="U22" s="28" t="s">
        <v>24</v>
      </c>
      <c r="V22" s="29" t="str">
        <f t="shared" si="1"/>
        <v>⚠ Missing</v>
      </c>
      <c r="W22" s="45">
        <v>46248</v>
      </c>
      <c r="X22" s="30" t="s">
        <v>23</v>
      </c>
      <c r="Y22" s="30" t="s">
        <v>25</v>
      </c>
      <c r="Z22" s="30" t="s">
        <v>25</v>
      </c>
      <c r="AA22" s="30" t="s">
        <v>735</v>
      </c>
      <c r="AB22" s="30" t="s">
        <v>25</v>
      </c>
      <c r="AC22" s="27"/>
      <c r="AD22" s="31" t="s">
        <v>24</v>
      </c>
      <c r="AE22" s="32" t="str">
        <f t="shared" si="2"/>
        <v>⚠ Missing</v>
      </c>
      <c r="AF22" s="33" t="s">
        <v>27</v>
      </c>
      <c r="AG22" s="33" t="s">
        <v>23</v>
      </c>
      <c r="AH22" s="33" t="s">
        <v>25</v>
      </c>
      <c r="AI22" s="33" t="s">
        <v>25</v>
      </c>
      <c r="AJ22" s="33" t="s">
        <v>735</v>
      </c>
      <c r="AK22" s="33" t="s">
        <v>25</v>
      </c>
      <c r="AL22" s="27"/>
      <c r="AM22" s="34" t="s">
        <v>24</v>
      </c>
      <c r="AN22" s="35" t="str">
        <f t="shared" si="3"/>
        <v>⚠ Missing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4707</v>
      </c>
      <c r="C23" s="25" t="s">
        <v>4708</v>
      </c>
      <c r="D23" s="23" t="s">
        <v>4672</v>
      </c>
      <c r="E23" s="43">
        <v>46126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46196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4709</v>
      </c>
      <c r="C24" s="41" t="s">
        <v>4710</v>
      </c>
      <c r="D24" s="39" t="s">
        <v>4672</v>
      </c>
      <c r="E24" s="43">
        <v>46126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46196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24</v>
      </c>
      <c r="Z24" s="30" t="s">
        <v>25</v>
      </c>
      <c r="AA24" s="30" t="s">
        <v>26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24</v>
      </c>
      <c r="AI24" s="33" t="s">
        <v>25</v>
      </c>
      <c r="AJ24" s="33" t="s">
        <v>26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4711</v>
      </c>
      <c r="C25" s="25" t="s">
        <v>4712</v>
      </c>
      <c r="D25" s="23" t="s">
        <v>4672</v>
      </c>
      <c r="E25" s="43">
        <v>46126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46196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4713</v>
      </c>
      <c r="C26" s="41" t="s">
        <v>4714</v>
      </c>
      <c r="D26" s="39" t="s">
        <v>4672</v>
      </c>
      <c r="E26" s="43">
        <v>46126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46196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24</v>
      </c>
      <c r="Z26" s="30" t="s">
        <v>25</v>
      </c>
      <c r="AA26" s="30" t="s">
        <v>26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24</v>
      </c>
      <c r="AI26" s="33" t="s">
        <v>25</v>
      </c>
      <c r="AJ26" s="33" t="s">
        <v>26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4715</v>
      </c>
      <c r="C27" s="25" t="s">
        <v>4716</v>
      </c>
      <c r="D27" s="23" t="s">
        <v>4672</v>
      </c>
      <c r="E27" s="43">
        <v>46126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46196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4717</v>
      </c>
      <c r="C28" s="41" t="s">
        <v>4718</v>
      </c>
      <c r="D28" s="39" t="s">
        <v>4672</v>
      </c>
      <c r="E28" s="43">
        <v>46126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46196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24</v>
      </c>
      <c r="AI28" s="33" t="s">
        <v>25</v>
      </c>
      <c r="AJ28" s="33" t="s">
        <v>26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4719</v>
      </c>
      <c r="C29" s="25" t="s">
        <v>4720</v>
      </c>
      <c r="D29" s="23" t="s">
        <v>4672</v>
      </c>
      <c r="E29" s="43">
        <v>46126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46196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4721</v>
      </c>
      <c r="C30" s="41" t="s">
        <v>4722</v>
      </c>
      <c r="D30" s="39" t="s">
        <v>4672</v>
      </c>
      <c r="E30" s="43">
        <v>46126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46196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24</v>
      </c>
      <c r="Z30" s="30" t="s">
        <v>25</v>
      </c>
      <c r="AA30" s="30" t="s">
        <v>26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24</v>
      </c>
      <c r="AI30" s="33" t="s">
        <v>25</v>
      </c>
      <c r="AJ30" s="33" t="s">
        <v>26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4723</v>
      </c>
      <c r="C31" s="25" t="s">
        <v>4724</v>
      </c>
      <c r="D31" s="23" t="s">
        <v>4672</v>
      </c>
      <c r="E31" s="43">
        <v>46126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46196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24</v>
      </c>
      <c r="AI31" s="33" t="s">
        <v>25</v>
      </c>
      <c r="AJ31" s="33" t="s">
        <v>26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4725</v>
      </c>
      <c r="C32" s="41" t="s">
        <v>4726</v>
      </c>
      <c r="D32" s="39" t="s">
        <v>4672</v>
      </c>
      <c r="E32" s="43">
        <v>46126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46196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24</v>
      </c>
      <c r="Z32" s="30" t="s">
        <v>25</v>
      </c>
      <c r="AA32" s="30" t="s">
        <v>26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24</v>
      </c>
      <c r="AI32" s="33" t="s">
        <v>25</v>
      </c>
      <c r="AJ32" s="33" t="s">
        <v>26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4727</v>
      </c>
      <c r="C33" s="25" t="s">
        <v>4728</v>
      </c>
      <c r="D33" s="23" t="s">
        <v>4672</v>
      </c>
      <c r="E33" s="43">
        <v>46126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46196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24</v>
      </c>
      <c r="Z33" s="30" t="s">
        <v>25</v>
      </c>
      <c r="AA33" s="30" t="s">
        <v>26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24</v>
      </c>
      <c r="AI33" s="33" t="s">
        <v>25</v>
      </c>
      <c r="AJ33" s="33" t="s">
        <v>26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4729</v>
      </c>
      <c r="C34" s="41" t="s">
        <v>4730</v>
      </c>
      <c r="D34" s="39" t="s">
        <v>4672</v>
      </c>
      <c r="E34" s="43">
        <v>46126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46196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24</v>
      </c>
      <c r="Z34" s="30" t="s">
        <v>25</v>
      </c>
      <c r="AA34" s="30" t="s">
        <v>26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24</v>
      </c>
      <c r="AI34" s="33" t="s">
        <v>25</v>
      </c>
      <c r="AJ34" s="33" t="s">
        <v>26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4731</v>
      </c>
      <c r="C35" s="25" t="s">
        <v>4732</v>
      </c>
      <c r="D35" s="23" t="s">
        <v>4672</v>
      </c>
      <c r="E35" s="43">
        <v>46126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46196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24</v>
      </c>
      <c r="Z35" s="30" t="s">
        <v>25</v>
      </c>
      <c r="AA35" s="30" t="s">
        <v>26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24</v>
      </c>
      <c r="AI35" s="33" t="s">
        <v>25</v>
      </c>
      <c r="AJ35" s="33" t="s">
        <v>26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4733</v>
      </c>
      <c r="C36" s="41" t="s">
        <v>4734</v>
      </c>
      <c r="D36" s="39" t="s">
        <v>4672</v>
      </c>
      <c r="E36" s="43">
        <v>46126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46196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24</v>
      </c>
      <c r="Z36" s="30" t="s">
        <v>25</v>
      </c>
      <c r="AA36" s="30" t="s">
        <v>26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24</v>
      </c>
      <c r="AI36" s="33" t="s">
        <v>25</v>
      </c>
      <c r="AJ36" s="33" t="s">
        <v>26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4735</v>
      </c>
      <c r="C37" s="25" t="s">
        <v>4736</v>
      </c>
      <c r="D37" s="23" t="s">
        <v>4672</v>
      </c>
      <c r="E37" s="43">
        <v>46126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ref="M37:M68" si="5">IF(E37="","",IF(H37="Yes","❌ Disc",IF(G37="No","⚠ Missing",IF(J37="Yes","✓ OK","⚠ Check"))))</f>
        <v>✓ OK</v>
      </c>
      <c r="N37" s="43">
        <v>46196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ref="V37:V68" si="6">IF(N37="","",IF(Q37="Yes","❌ Disc",IF(P37="No","⚠ Missing",IF(S37="Yes","✓ OK","⚠ Check"))))</f>
        <v>✓ OK</v>
      </c>
      <c r="W37" s="45">
        <v>46248</v>
      </c>
      <c r="X37" s="30" t="s">
        <v>23</v>
      </c>
      <c r="Y37" s="30" t="s">
        <v>24</v>
      </c>
      <c r="Z37" s="30" t="s">
        <v>25</v>
      </c>
      <c r="AA37" s="30" t="s">
        <v>26</v>
      </c>
      <c r="AB37" s="30" t="s">
        <v>24</v>
      </c>
      <c r="AC37" s="27"/>
      <c r="AD37" s="31" t="s">
        <v>25</v>
      </c>
      <c r="AE37" s="32" t="str">
        <f t="shared" ref="AE37:AE68" si="7">IF(W37="","",IF(Z37="Yes","❌ Disc",IF(Y37="No","⚠ Missing",IF(AB37="Yes","✓ OK","⚠ Check"))))</f>
        <v>✓ OK</v>
      </c>
      <c r="AF37" s="33" t="s">
        <v>27</v>
      </c>
      <c r="AG37" s="33" t="s">
        <v>23</v>
      </c>
      <c r="AH37" s="33" t="s">
        <v>24</v>
      </c>
      <c r="AI37" s="33" t="s">
        <v>25</v>
      </c>
      <c r="AJ37" s="33" t="s">
        <v>26</v>
      </c>
      <c r="AK37" s="33" t="s">
        <v>24</v>
      </c>
      <c r="AL37" s="27"/>
      <c r="AM37" s="34" t="s">
        <v>25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4737</v>
      </c>
      <c r="C38" s="41" t="s">
        <v>4738</v>
      </c>
      <c r="D38" s="39" t="s">
        <v>4672</v>
      </c>
      <c r="E38" s="43">
        <v>46126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43">
        <v>46196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7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4739</v>
      </c>
      <c r="C39" s="25" t="s">
        <v>4740</v>
      </c>
      <c r="D39" s="23" t="s">
        <v>4672</v>
      </c>
      <c r="E39" s="43">
        <v>46126</v>
      </c>
      <c r="F39" s="26" t="s">
        <v>23</v>
      </c>
      <c r="G39" s="26" t="s">
        <v>25</v>
      </c>
      <c r="H39" s="26" t="s">
        <v>25</v>
      </c>
      <c r="I39" s="26" t="s">
        <v>735</v>
      </c>
      <c r="J39" s="26" t="s">
        <v>25</v>
      </c>
      <c r="K39" s="27"/>
      <c r="L39" s="28" t="s">
        <v>24</v>
      </c>
      <c r="M39" s="29" t="str">
        <f t="shared" si="5"/>
        <v>⚠ Missing</v>
      </c>
      <c r="N39" s="43">
        <v>46196</v>
      </c>
      <c r="O39" s="26" t="s">
        <v>23</v>
      </c>
      <c r="P39" s="26" t="s">
        <v>25</v>
      </c>
      <c r="Q39" s="26" t="s">
        <v>25</v>
      </c>
      <c r="R39" s="26" t="s">
        <v>735</v>
      </c>
      <c r="S39" s="26" t="s">
        <v>25</v>
      </c>
      <c r="T39" s="27"/>
      <c r="U39" s="28" t="s">
        <v>24</v>
      </c>
      <c r="V39" s="29" t="str">
        <f t="shared" si="6"/>
        <v>⚠ Missing</v>
      </c>
      <c r="W39" s="45">
        <v>46248</v>
      </c>
      <c r="X39" s="30" t="s">
        <v>23</v>
      </c>
      <c r="Y39" s="30" t="s">
        <v>25</v>
      </c>
      <c r="Z39" s="30" t="s">
        <v>25</v>
      </c>
      <c r="AA39" s="30" t="s">
        <v>735</v>
      </c>
      <c r="AB39" s="30" t="s">
        <v>25</v>
      </c>
      <c r="AC39" s="27"/>
      <c r="AD39" s="31" t="s">
        <v>24</v>
      </c>
      <c r="AE39" s="32" t="str">
        <f t="shared" si="7"/>
        <v>⚠ Missing</v>
      </c>
      <c r="AF39" s="33" t="s">
        <v>27</v>
      </c>
      <c r="AG39" s="33" t="s">
        <v>23</v>
      </c>
      <c r="AH39" s="33" t="s">
        <v>25</v>
      </c>
      <c r="AI39" s="33" t="s">
        <v>25</v>
      </c>
      <c r="AJ39" s="33" t="s">
        <v>735</v>
      </c>
      <c r="AK39" s="33" t="s">
        <v>25</v>
      </c>
      <c r="AL39" s="27"/>
      <c r="AM39" s="34" t="s">
        <v>24</v>
      </c>
      <c r="AN39" s="35" t="str">
        <f t="shared" si="8"/>
        <v>⚠ Missing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4741</v>
      </c>
      <c r="C40" s="41" t="s">
        <v>4742</v>
      </c>
      <c r="D40" s="39" t="s">
        <v>4672</v>
      </c>
      <c r="E40" s="43">
        <v>46126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5"/>
        <v>✓ OK</v>
      </c>
      <c r="N40" s="43">
        <v>46196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6"/>
        <v>✓ OK</v>
      </c>
      <c r="W40" s="45">
        <v>46248</v>
      </c>
      <c r="X40" s="30" t="s">
        <v>23</v>
      </c>
      <c r="Y40" s="30" t="s">
        <v>24</v>
      </c>
      <c r="Z40" s="30" t="s">
        <v>25</v>
      </c>
      <c r="AA40" s="30" t="s">
        <v>26</v>
      </c>
      <c r="AB40" s="30" t="s">
        <v>24</v>
      </c>
      <c r="AC40" s="27"/>
      <c r="AD40" s="31" t="s">
        <v>25</v>
      </c>
      <c r="AE40" s="32" t="str">
        <f t="shared" si="7"/>
        <v>✓ OK</v>
      </c>
      <c r="AF40" s="33" t="s">
        <v>27</v>
      </c>
      <c r="AG40" s="33" t="s">
        <v>23</v>
      </c>
      <c r="AH40" s="33" t="s">
        <v>24</v>
      </c>
      <c r="AI40" s="33" t="s">
        <v>25</v>
      </c>
      <c r="AJ40" s="33" t="s">
        <v>26</v>
      </c>
      <c r="AK40" s="33" t="s">
        <v>24</v>
      </c>
      <c r="AL40" s="27"/>
      <c r="AM40" s="34" t="s">
        <v>25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4743</v>
      </c>
      <c r="C41" s="25" t="s">
        <v>4744</v>
      </c>
      <c r="D41" s="23" t="s">
        <v>4672</v>
      </c>
      <c r="E41" s="43">
        <v>46126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5"/>
        <v>✓ OK</v>
      </c>
      <c r="N41" s="43">
        <v>46196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6"/>
        <v>✓ OK</v>
      </c>
      <c r="W41" s="45">
        <v>46248</v>
      </c>
      <c r="X41" s="30" t="s">
        <v>23</v>
      </c>
      <c r="Y41" s="30" t="s">
        <v>24</v>
      </c>
      <c r="Z41" s="30" t="s">
        <v>25</v>
      </c>
      <c r="AA41" s="30" t="s">
        <v>26</v>
      </c>
      <c r="AB41" s="30" t="s">
        <v>24</v>
      </c>
      <c r="AC41" s="27"/>
      <c r="AD41" s="31" t="s">
        <v>25</v>
      </c>
      <c r="AE41" s="32" t="str">
        <f t="shared" si="7"/>
        <v>✓ OK</v>
      </c>
      <c r="AF41" s="33" t="s">
        <v>27</v>
      </c>
      <c r="AG41" s="33" t="s">
        <v>23</v>
      </c>
      <c r="AH41" s="33" t="s">
        <v>24</v>
      </c>
      <c r="AI41" s="33" t="s">
        <v>25</v>
      </c>
      <c r="AJ41" s="33" t="s">
        <v>26</v>
      </c>
      <c r="AK41" s="33" t="s">
        <v>24</v>
      </c>
      <c r="AL41" s="27"/>
      <c r="AM41" s="34" t="s">
        <v>25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4745</v>
      </c>
      <c r="C42" s="41" t="s">
        <v>4746</v>
      </c>
      <c r="D42" s="39" t="s">
        <v>4672</v>
      </c>
      <c r="E42" s="43">
        <v>46126</v>
      </c>
      <c r="F42" s="26" t="s">
        <v>23</v>
      </c>
      <c r="G42" s="26" t="s">
        <v>25</v>
      </c>
      <c r="H42" s="26" t="s">
        <v>25</v>
      </c>
      <c r="I42" s="26" t="s">
        <v>735</v>
      </c>
      <c r="J42" s="26" t="s">
        <v>25</v>
      </c>
      <c r="K42" s="27"/>
      <c r="L42" s="28" t="s">
        <v>24</v>
      </c>
      <c r="M42" s="29" t="str">
        <f t="shared" si="5"/>
        <v>⚠ Missing</v>
      </c>
      <c r="N42" s="43">
        <v>46196</v>
      </c>
      <c r="O42" s="26" t="s">
        <v>23</v>
      </c>
      <c r="P42" s="26" t="s">
        <v>25</v>
      </c>
      <c r="Q42" s="26" t="s">
        <v>25</v>
      </c>
      <c r="R42" s="26" t="s">
        <v>735</v>
      </c>
      <c r="S42" s="26" t="s">
        <v>25</v>
      </c>
      <c r="T42" s="27"/>
      <c r="U42" s="28" t="s">
        <v>24</v>
      </c>
      <c r="V42" s="29" t="str">
        <f t="shared" si="6"/>
        <v>⚠ Missing</v>
      </c>
      <c r="W42" s="45">
        <v>46248</v>
      </c>
      <c r="X42" s="30" t="s">
        <v>23</v>
      </c>
      <c r="Y42" s="30" t="s">
        <v>25</v>
      </c>
      <c r="Z42" s="30" t="s">
        <v>25</v>
      </c>
      <c r="AA42" s="30" t="s">
        <v>735</v>
      </c>
      <c r="AB42" s="30" t="s">
        <v>25</v>
      </c>
      <c r="AC42" s="27"/>
      <c r="AD42" s="31" t="s">
        <v>24</v>
      </c>
      <c r="AE42" s="32" t="str">
        <f t="shared" si="7"/>
        <v>⚠ Missing</v>
      </c>
      <c r="AF42" s="33" t="s">
        <v>27</v>
      </c>
      <c r="AG42" s="33" t="s">
        <v>23</v>
      </c>
      <c r="AH42" s="33" t="s">
        <v>25</v>
      </c>
      <c r="AI42" s="33" t="s">
        <v>25</v>
      </c>
      <c r="AJ42" s="33" t="s">
        <v>735</v>
      </c>
      <c r="AK42" s="33" t="s">
        <v>25</v>
      </c>
      <c r="AL42" s="27"/>
      <c r="AM42" s="34" t="s">
        <v>24</v>
      </c>
      <c r="AN42" s="35" t="str">
        <f t="shared" si="8"/>
        <v>⚠ Missing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4747</v>
      </c>
      <c r="C43" s="25" t="s">
        <v>4748</v>
      </c>
      <c r="D43" s="23" t="s">
        <v>4672</v>
      </c>
      <c r="E43" s="43">
        <v>46126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5"/>
        <v>✓ OK</v>
      </c>
      <c r="N43" s="43">
        <v>46196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6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7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4749</v>
      </c>
      <c r="C44" s="41" t="s">
        <v>4750</v>
      </c>
      <c r="D44" s="39" t="s">
        <v>4672</v>
      </c>
      <c r="E44" s="43">
        <v>46126</v>
      </c>
      <c r="F44" s="26" t="s">
        <v>23</v>
      </c>
      <c r="G44" s="26" t="s">
        <v>25</v>
      </c>
      <c r="H44" s="26" t="s">
        <v>25</v>
      </c>
      <c r="I44" s="26" t="s">
        <v>735</v>
      </c>
      <c r="J44" s="26" t="s">
        <v>25</v>
      </c>
      <c r="K44" s="27"/>
      <c r="L44" s="28" t="s">
        <v>24</v>
      </c>
      <c r="M44" s="29" t="str">
        <f t="shared" si="5"/>
        <v>⚠ Missing</v>
      </c>
      <c r="N44" s="43">
        <v>46196</v>
      </c>
      <c r="O44" s="26" t="s">
        <v>23</v>
      </c>
      <c r="P44" s="26" t="s">
        <v>25</v>
      </c>
      <c r="Q44" s="26" t="s">
        <v>25</v>
      </c>
      <c r="R44" s="26" t="s">
        <v>735</v>
      </c>
      <c r="S44" s="26" t="s">
        <v>25</v>
      </c>
      <c r="T44" s="27"/>
      <c r="U44" s="28" t="s">
        <v>24</v>
      </c>
      <c r="V44" s="29" t="str">
        <f t="shared" si="6"/>
        <v>⚠ Missing</v>
      </c>
      <c r="W44" s="45">
        <v>46248</v>
      </c>
      <c r="X44" s="30" t="s">
        <v>23</v>
      </c>
      <c r="Y44" s="30" t="s">
        <v>25</v>
      </c>
      <c r="Z44" s="30" t="s">
        <v>25</v>
      </c>
      <c r="AA44" s="30" t="s">
        <v>735</v>
      </c>
      <c r="AB44" s="30" t="s">
        <v>25</v>
      </c>
      <c r="AC44" s="27"/>
      <c r="AD44" s="31" t="s">
        <v>24</v>
      </c>
      <c r="AE44" s="32" t="str">
        <f t="shared" si="7"/>
        <v>⚠ Missing</v>
      </c>
      <c r="AF44" s="33" t="s">
        <v>27</v>
      </c>
      <c r="AG44" s="33" t="s">
        <v>23</v>
      </c>
      <c r="AH44" s="33" t="s">
        <v>25</v>
      </c>
      <c r="AI44" s="33" t="s">
        <v>25</v>
      </c>
      <c r="AJ44" s="33" t="s">
        <v>735</v>
      </c>
      <c r="AK44" s="33" t="s">
        <v>25</v>
      </c>
      <c r="AL44" s="27"/>
      <c r="AM44" s="34" t="s">
        <v>24</v>
      </c>
      <c r="AN44" s="35" t="str">
        <f t="shared" si="8"/>
        <v>⚠ Missing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4751</v>
      </c>
      <c r="C45" s="25" t="s">
        <v>4752</v>
      </c>
      <c r="D45" s="23" t="s">
        <v>4672</v>
      </c>
      <c r="E45" s="43">
        <v>46126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5"/>
        <v>✓ OK</v>
      </c>
      <c r="N45" s="43">
        <v>46196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6"/>
        <v>✓ OK</v>
      </c>
      <c r="W45" s="45">
        <v>46248</v>
      </c>
      <c r="X45" s="30" t="s">
        <v>23</v>
      </c>
      <c r="Y45" s="30" t="s">
        <v>24</v>
      </c>
      <c r="Z45" s="30" t="s">
        <v>25</v>
      </c>
      <c r="AA45" s="30" t="s">
        <v>26</v>
      </c>
      <c r="AB45" s="30" t="s">
        <v>24</v>
      </c>
      <c r="AC45" s="27"/>
      <c r="AD45" s="31" t="s">
        <v>25</v>
      </c>
      <c r="AE45" s="32" t="str">
        <f t="shared" si="7"/>
        <v>✓ OK</v>
      </c>
      <c r="AF45" s="33" t="s">
        <v>27</v>
      </c>
      <c r="AG45" s="33" t="s">
        <v>23</v>
      </c>
      <c r="AH45" s="33" t="s">
        <v>24</v>
      </c>
      <c r="AI45" s="33" t="s">
        <v>25</v>
      </c>
      <c r="AJ45" s="33" t="s">
        <v>26</v>
      </c>
      <c r="AK45" s="33" t="s">
        <v>24</v>
      </c>
      <c r="AL45" s="27"/>
      <c r="AM45" s="34" t="s">
        <v>25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4753</v>
      </c>
      <c r="C46" s="41" t="s">
        <v>4754</v>
      </c>
      <c r="D46" s="39" t="s">
        <v>4672</v>
      </c>
      <c r="E46" s="43">
        <v>46126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5"/>
        <v>✓ OK</v>
      </c>
      <c r="N46" s="43">
        <v>46196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6"/>
        <v>✓ OK</v>
      </c>
      <c r="W46" s="45">
        <v>46248</v>
      </c>
      <c r="X46" s="30" t="s">
        <v>23</v>
      </c>
      <c r="Y46" s="30" t="s">
        <v>24</v>
      </c>
      <c r="Z46" s="30" t="s">
        <v>25</v>
      </c>
      <c r="AA46" s="30" t="s">
        <v>26</v>
      </c>
      <c r="AB46" s="30" t="s">
        <v>24</v>
      </c>
      <c r="AC46" s="27"/>
      <c r="AD46" s="31" t="s">
        <v>25</v>
      </c>
      <c r="AE46" s="32" t="str">
        <f t="shared" si="7"/>
        <v>✓ OK</v>
      </c>
      <c r="AF46" s="33" t="s">
        <v>27</v>
      </c>
      <c r="AG46" s="33" t="s">
        <v>23</v>
      </c>
      <c r="AH46" s="33" t="s">
        <v>24</v>
      </c>
      <c r="AI46" s="33" t="s">
        <v>25</v>
      </c>
      <c r="AJ46" s="33" t="s">
        <v>26</v>
      </c>
      <c r="AK46" s="33" t="s">
        <v>24</v>
      </c>
      <c r="AL46" s="27"/>
      <c r="AM46" s="34" t="s">
        <v>25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4755</v>
      </c>
      <c r="C47" s="25" t="s">
        <v>4756</v>
      </c>
      <c r="D47" s="23" t="s">
        <v>4672</v>
      </c>
      <c r="E47" s="43">
        <v>46126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5"/>
        <v>✓ OK</v>
      </c>
      <c r="N47" s="43">
        <v>46196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6"/>
        <v>✓ OK</v>
      </c>
      <c r="W47" s="45">
        <v>46248</v>
      </c>
      <c r="X47" s="30" t="s">
        <v>23</v>
      </c>
      <c r="Y47" s="30" t="s">
        <v>24</v>
      </c>
      <c r="Z47" s="30" t="s">
        <v>25</v>
      </c>
      <c r="AA47" s="30" t="s">
        <v>26</v>
      </c>
      <c r="AB47" s="30" t="s">
        <v>24</v>
      </c>
      <c r="AC47" s="27"/>
      <c r="AD47" s="31" t="s">
        <v>25</v>
      </c>
      <c r="AE47" s="32" t="str">
        <f t="shared" si="7"/>
        <v>✓ OK</v>
      </c>
      <c r="AF47" s="33" t="s">
        <v>27</v>
      </c>
      <c r="AG47" s="33" t="s">
        <v>23</v>
      </c>
      <c r="AH47" s="33" t="s">
        <v>24</v>
      </c>
      <c r="AI47" s="33" t="s">
        <v>25</v>
      </c>
      <c r="AJ47" s="33" t="s">
        <v>26</v>
      </c>
      <c r="AK47" s="33" t="s">
        <v>24</v>
      </c>
      <c r="AL47" s="27"/>
      <c r="AM47" s="34" t="s">
        <v>25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4757</v>
      </c>
      <c r="C48" s="41" t="s">
        <v>4758</v>
      </c>
      <c r="D48" s="39" t="s">
        <v>4759</v>
      </c>
      <c r="E48" s="43">
        <v>46126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5"/>
        <v>✓ OK</v>
      </c>
      <c r="N48" s="43">
        <v>46196</v>
      </c>
      <c r="O48" s="26" t="s">
        <v>23</v>
      </c>
      <c r="P48" s="26" t="s">
        <v>25</v>
      </c>
      <c r="Q48" s="26" t="s">
        <v>24</v>
      </c>
      <c r="R48" s="26" t="s">
        <v>135</v>
      </c>
      <c r="S48" s="26" t="s">
        <v>25</v>
      </c>
      <c r="T48" s="27"/>
      <c r="U48" s="28" t="s">
        <v>25</v>
      </c>
      <c r="V48" s="29" t="str">
        <f t="shared" si="6"/>
        <v>❌ Disc</v>
      </c>
      <c r="W48" s="45">
        <v>46248</v>
      </c>
      <c r="X48" s="30" t="s">
        <v>23</v>
      </c>
      <c r="Y48" s="30" t="s">
        <v>25</v>
      </c>
      <c r="Z48" s="30" t="s">
        <v>24</v>
      </c>
      <c r="AA48" s="30" t="s">
        <v>135</v>
      </c>
      <c r="AB48" s="30" t="s">
        <v>25</v>
      </c>
      <c r="AC48" s="27"/>
      <c r="AD48" s="31" t="s">
        <v>25</v>
      </c>
      <c r="AE48" s="32" t="str">
        <f t="shared" si="7"/>
        <v>❌ Disc</v>
      </c>
      <c r="AF48" s="33" t="s">
        <v>27</v>
      </c>
      <c r="AG48" s="33" t="s">
        <v>23</v>
      </c>
      <c r="AH48" s="33" t="s">
        <v>25</v>
      </c>
      <c r="AI48" s="33" t="s">
        <v>24</v>
      </c>
      <c r="AJ48" s="33" t="s">
        <v>135</v>
      </c>
      <c r="AK48" s="33" t="s">
        <v>25</v>
      </c>
      <c r="AL48" s="27"/>
      <c r="AM48" s="34" t="s">
        <v>25</v>
      </c>
      <c r="AN48" s="35" t="str">
        <f t="shared" si="8"/>
        <v>❌ Disc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4760</v>
      </c>
      <c r="C49" s="25" t="s">
        <v>4761</v>
      </c>
      <c r="D49" s="23" t="s">
        <v>4759</v>
      </c>
      <c r="E49" s="43">
        <v>46126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5"/>
        <v>✓ OK</v>
      </c>
      <c r="N49" s="43">
        <v>46196</v>
      </c>
      <c r="O49" s="26" t="s">
        <v>23</v>
      </c>
      <c r="P49" s="26" t="s">
        <v>25</v>
      </c>
      <c r="Q49" s="26" t="s">
        <v>24</v>
      </c>
      <c r="R49" s="26" t="s">
        <v>135</v>
      </c>
      <c r="S49" s="26" t="s">
        <v>25</v>
      </c>
      <c r="T49" s="27"/>
      <c r="U49" s="28" t="s">
        <v>25</v>
      </c>
      <c r="V49" s="29" t="str">
        <f t="shared" si="6"/>
        <v>❌ Disc</v>
      </c>
      <c r="W49" s="45">
        <v>46248</v>
      </c>
      <c r="X49" s="30" t="s">
        <v>23</v>
      </c>
      <c r="Y49" s="30" t="s">
        <v>25</v>
      </c>
      <c r="Z49" s="30" t="s">
        <v>24</v>
      </c>
      <c r="AA49" s="30" t="s">
        <v>135</v>
      </c>
      <c r="AB49" s="30" t="s">
        <v>25</v>
      </c>
      <c r="AC49" s="27"/>
      <c r="AD49" s="31" t="s">
        <v>25</v>
      </c>
      <c r="AE49" s="32" t="str">
        <f t="shared" si="7"/>
        <v>❌ Disc</v>
      </c>
      <c r="AF49" s="33" t="s">
        <v>27</v>
      </c>
      <c r="AG49" s="33" t="s">
        <v>23</v>
      </c>
      <c r="AH49" s="33" t="s">
        <v>25</v>
      </c>
      <c r="AI49" s="33" t="s">
        <v>24</v>
      </c>
      <c r="AJ49" s="33" t="s">
        <v>135</v>
      </c>
      <c r="AK49" s="33" t="s">
        <v>25</v>
      </c>
      <c r="AL49" s="27"/>
      <c r="AM49" s="34" t="s">
        <v>25</v>
      </c>
      <c r="AN49" s="35" t="str">
        <f t="shared" si="8"/>
        <v>❌ Disc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4762</v>
      </c>
      <c r="C50" s="41" t="s">
        <v>4763</v>
      </c>
      <c r="D50" s="39" t="s">
        <v>4759</v>
      </c>
      <c r="E50" s="43">
        <v>46126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5"/>
        <v>✓ OK</v>
      </c>
      <c r="N50" s="43">
        <v>46196</v>
      </c>
      <c r="O50" s="26" t="s">
        <v>23</v>
      </c>
      <c r="P50" s="26" t="s">
        <v>25</v>
      </c>
      <c r="Q50" s="26" t="s">
        <v>24</v>
      </c>
      <c r="R50" s="26" t="s">
        <v>135</v>
      </c>
      <c r="S50" s="26" t="s">
        <v>25</v>
      </c>
      <c r="T50" s="27"/>
      <c r="U50" s="28" t="s">
        <v>25</v>
      </c>
      <c r="V50" s="29" t="str">
        <f t="shared" si="6"/>
        <v>❌ Disc</v>
      </c>
      <c r="W50" s="45">
        <v>46248</v>
      </c>
      <c r="X50" s="30" t="s">
        <v>23</v>
      </c>
      <c r="Y50" s="30" t="s">
        <v>25</v>
      </c>
      <c r="Z50" s="30" t="s">
        <v>24</v>
      </c>
      <c r="AA50" s="30" t="s">
        <v>135</v>
      </c>
      <c r="AB50" s="30" t="s">
        <v>25</v>
      </c>
      <c r="AC50" s="27"/>
      <c r="AD50" s="31" t="s">
        <v>25</v>
      </c>
      <c r="AE50" s="32" t="str">
        <f t="shared" si="7"/>
        <v>❌ Disc</v>
      </c>
      <c r="AF50" s="33" t="s">
        <v>27</v>
      </c>
      <c r="AG50" s="33" t="s">
        <v>23</v>
      </c>
      <c r="AH50" s="33" t="s">
        <v>25</v>
      </c>
      <c r="AI50" s="33" t="s">
        <v>24</v>
      </c>
      <c r="AJ50" s="33" t="s">
        <v>135</v>
      </c>
      <c r="AK50" s="33" t="s">
        <v>25</v>
      </c>
      <c r="AL50" s="27"/>
      <c r="AM50" s="34" t="s">
        <v>25</v>
      </c>
      <c r="AN50" s="35" t="str">
        <f t="shared" si="8"/>
        <v>❌ Disc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4764</v>
      </c>
      <c r="C51" s="25" t="s">
        <v>4765</v>
      </c>
      <c r="D51" s="23" t="s">
        <v>4759</v>
      </c>
      <c r="E51" s="43">
        <v>46126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5"/>
        <v>✓ OK</v>
      </c>
      <c r="N51" s="43">
        <v>46196</v>
      </c>
      <c r="O51" s="26" t="s">
        <v>23</v>
      </c>
      <c r="P51" s="26" t="s">
        <v>25</v>
      </c>
      <c r="Q51" s="26" t="s">
        <v>24</v>
      </c>
      <c r="R51" s="26" t="s">
        <v>135</v>
      </c>
      <c r="S51" s="26" t="s">
        <v>25</v>
      </c>
      <c r="T51" s="27"/>
      <c r="U51" s="28" t="s">
        <v>25</v>
      </c>
      <c r="V51" s="29" t="str">
        <f t="shared" si="6"/>
        <v>❌ Disc</v>
      </c>
      <c r="W51" s="45">
        <v>46248</v>
      </c>
      <c r="X51" s="30" t="s">
        <v>23</v>
      </c>
      <c r="Y51" s="30" t="s">
        <v>25</v>
      </c>
      <c r="Z51" s="30" t="s">
        <v>24</v>
      </c>
      <c r="AA51" s="30" t="s">
        <v>135</v>
      </c>
      <c r="AB51" s="30" t="s">
        <v>25</v>
      </c>
      <c r="AC51" s="27"/>
      <c r="AD51" s="31" t="s">
        <v>25</v>
      </c>
      <c r="AE51" s="32" t="str">
        <f t="shared" si="7"/>
        <v>❌ Disc</v>
      </c>
      <c r="AF51" s="33" t="s">
        <v>27</v>
      </c>
      <c r="AG51" s="33" t="s">
        <v>23</v>
      </c>
      <c r="AH51" s="33" t="s">
        <v>25</v>
      </c>
      <c r="AI51" s="33" t="s">
        <v>24</v>
      </c>
      <c r="AJ51" s="33" t="s">
        <v>135</v>
      </c>
      <c r="AK51" s="33" t="s">
        <v>25</v>
      </c>
      <c r="AL51" s="27"/>
      <c r="AM51" s="34" t="s">
        <v>25</v>
      </c>
      <c r="AN51" s="35" t="str">
        <f t="shared" si="8"/>
        <v>❌ Disc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4766</v>
      </c>
      <c r="C52" s="41" t="s">
        <v>4767</v>
      </c>
      <c r="D52" s="39" t="s">
        <v>4759</v>
      </c>
      <c r="E52" s="43">
        <v>46126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5"/>
        <v>✓ OK</v>
      </c>
      <c r="N52" s="43">
        <v>46196</v>
      </c>
      <c r="O52" s="26" t="s">
        <v>23</v>
      </c>
      <c r="P52" s="26" t="s">
        <v>25</v>
      </c>
      <c r="Q52" s="26" t="s">
        <v>24</v>
      </c>
      <c r="R52" s="26" t="s">
        <v>135</v>
      </c>
      <c r="S52" s="26" t="s">
        <v>25</v>
      </c>
      <c r="T52" s="27"/>
      <c r="U52" s="28" t="s">
        <v>25</v>
      </c>
      <c r="V52" s="29" t="str">
        <f t="shared" si="6"/>
        <v>❌ Disc</v>
      </c>
      <c r="W52" s="45">
        <v>46248</v>
      </c>
      <c r="X52" s="30" t="s">
        <v>23</v>
      </c>
      <c r="Y52" s="30" t="s">
        <v>25</v>
      </c>
      <c r="Z52" s="30" t="s">
        <v>24</v>
      </c>
      <c r="AA52" s="30" t="s">
        <v>135</v>
      </c>
      <c r="AB52" s="30" t="s">
        <v>25</v>
      </c>
      <c r="AC52" s="27"/>
      <c r="AD52" s="31" t="s">
        <v>25</v>
      </c>
      <c r="AE52" s="32" t="str">
        <f t="shared" si="7"/>
        <v>❌ Disc</v>
      </c>
      <c r="AF52" s="33" t="s">
        <v>27</v>
      </c>
      <c r="AG52" s="33" t="s">
        <v>23</v>
      </c>
      <c r="AH52" s="33" t="s">
        <v>25</v>
      </c>
      <c r="AI52" s="33" t="s">
        <v>24</v>
      </c>
      <c r="AJ52" s="33" t="s">
        <v>135</v>
      </c>
      <c r="AK52" s="33" t="s">
        <v>25</v>
      </c>
      <c r="AL52" s="27"/>
      <c r="AM52" s="34" t="s">
        <v>25</v>
      </c>
      <c r="AN52" s="35" t="str">
        <f t="shared" si="8"/>
        <v>❌ Disc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4768</v>
      </c>
      <c r="C53" s="25" t="s">
        <v>4769</v>
      </c>
      <c r="D53" s="23" t="s">
        <v>4759</v>
      </c>
      <c r="E53" s="43">
        <v>46126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5"/>
        <v>✓ OK</v>
      </c>
      <c r="N53" s="43">
        <v>46196</v>
      </c>
      <c r="O53" s="26" t="s">
        <v>23</v>
      </c>
      <c r="P53" s="26" t="s">
        <v>25</v>
      </c>
      <c r="Q53" s="26" t="s">
        <v>24</v>
      </c>
      <c r="R53" s="26" t="s">
        <v>135</v>
      </c>
      <c r="S53" s="26" t="s">
        <v>25</v>
      </c>
      <c r="T53" s="27"/>
      <c r="U53" s="28" t="s">
        <v>25</v>
      </c>
      <c r="V53" s="29" t="str">
        <f t="shared" si="6"/>
        <v>❌ Disc</v>
      </c>
      <c r="W53" s="45">
        <v>46248</v>
      </c>
      <c r="X53" s="30" t="s">
        <v>23</v>
      </c>
      <c r="Y53" s="30" t="s">
        <v>25</v>
      </c>
      <c r="Z53" s="30" t="s">
        <v>24</v>
      </c>
      <c r="AA53" s="30" t="s">
        <v>135</v>
      </c>
      <c r="AB53" s="30" t="s">
        <v>25</v>
      </c>
      <c r="AC53" s="27"/>
      <c r="AD53" s="31" t="s">
        <v>25</v>
      </c>
      <c r="AE53" s="32" t="str">
        <f t="shared" si="7"/>
        <v>❌ Disc</v>
      </c>
      <c r="AF53" s="33" t="s">
        <v>27</v>
      </c>
      <c r="AG53" s="33" t="s">
        <v>23</v>
      </c>
      <c r="AH53" s="33" t="s">
        <v>25</v>
      </c>
      <c r="AI53" s="33" t="s">
        <v>24</v>
      </c>
      <c r="AJ53" s="33" t="s">
        <v>135</v>
      </c>
      <c r="AK53" s="33" t="s">
        <v>25</v>
      </c>
      <c r="AL53" s="27"/>
      <c r="AM53" s="34" t="s">
        <v>25</v>
      </c>
      <c r="AN53" s="35" t="str">
        <f t="shared" si="8"/>
        <v>❌ Disc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4770</v>
      </c>
      <c r="C54" s="41" t="s">
        <v>4771</v>
      </c>
      <c r="D54" s="39" t="s">
        <v>4759</v>
      </c>
      <c r="E54" s="43">
        <v>46126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5"/>
        <v>✓ OK</v>
      </c>
      <c r="N54" s="43">
        <v>46196</v>
      </c>
      <c r="O54" s="26" t="s">
        <v>23</v>
      </c>
      <c r="P54" s="26" t="s">
        <v>25</v>
      </c>
      <c r="Q54" s="26" t="s">
        <v>24</v>
      </c>
      <c r="R54" s="26" t="s">
        <v>135</v>
      </c>
      <c r="S54" s="26" t="s">
        <v>25</v>
      </c>
      <c r="T54" s="27"/>
      <c r="U54" s="28" t="s">
        <v>25</v>
      </c>
      <c r="V54" s="29" t="str">
        <f t="shared" si="6"/>
        <v>❌ Disc</v>
      </c>
      <c r="W54" s="45">
        <v>46248</v>
      </c>
      <c r="X54" s="30" t="s">
        <v>23</v>
      </c>
      <c r="Y54" s="30" t="s">
        <v>25</v>
      </c>
      <c r="Z54" s="30" t="s">
        <v>24</v>
      </c>
      <c r="AA54" s="30" t="s">
        <v>135</v>
      </c>
      <c r="AB54" s="30" t="s">
        <v>25</v>
      </c>
      <c r="AC54" s="27"/>
      <c r="AD54" s="31" t="s">
        <v>25</v>
      </c>
      <c r="AE54" s="32" t="str">
        <f t="shared" si="7"/>
        <v>❌ Disc</v>
      </c>
      <c r="AF54" s="33" t="s">
        <v>27</v>
      </c>
      <c r="AG54" s="33" t="s">
        <v>23</v>
      </c>
      <c r="AH54" s="33" t="s">
        <v>25</v>
      </c>
      <c r="AI54" s="33" t="s">
        <v>24</v>
      </c>
      <c r="AJ54" s="33" t="s">
        <v>135</v>
      </c>
      <c r="AK54" s="33" t="s">
        <v>25</v>
      </c>
      <c r="AL54" s="27"/>
      <c r="AM54" s="34" t="s">
        <v>25</v>
      </c>
      <c r="AN54" s="35" t="str">
        <f t="shared" si="8"/>
        <v>❌ Disc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4772</v>
      </c>
      <c r="C55" s="25" t="s">
        <v>4773</v>
      </c>
      <c r="D55" s="23" t="s">
        <v>4759</v>
      </c>
      <c r="E55" s="43">
        <v>46126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5"/>
        <v>✓ OK</v>
      </c>
      <c r="N55" s="43">
        <v>46196</v>
      </c>
      <c r="O55" s="26" t="s">
        <v>23</v>
      </c>
      <c r="P55" s="26" t="s">
        <v>25</v>
      </c>
      <c r="Q55" s="26" t="s">
        <v>24</v>
      </c>
      <c r="R55" s="26" t="s">
        <v>135</v>
      </c>
      <c r="S55" s="26" t="s">
        <v>25</v>
      </c>
      <c r="T55" s="27"/>
      <c r="U55" s="28" t="s">
        <v>25</v>
      </c>
      <c r="V55" s="29" t="str">
        <f t="shared" si="6"/>
        <v>❌ Disc</v>
      </c>
      <c r="W55" s="45">
        <v>46248</v>
      </c>
      <c r="X55" s="30" t="s">
        <v>23</v>
      </c>
      <c r="Y55" s="30" t="s">
        <v>25</v>
      </c>
      <c r="Z55" s="30" t="s">
        <v>24</v>
      </c>
      <c r="AA55" s="30" t="s">
        <v>135</v>
      </c>
      <c r="AB55" s="30" t="s">
        <v>25</v>
      </c>
      <c r="AC55" s="27"/>
      <c r="AD55" s="31" t="s">
        <v>25</v>
      </c>
      <c r="AE55" s="32" t="str">
        <f t="shared" si="7"/>
        <v>❌ Disc</v>
      </c>
      <c r="AF55" s="33" t="s">
        <v>27</v>
      </c>
      <c r="AG55" s="33" t="s">
        <v>23</v>
      </c>
      <c r="AH55" s="33" t="s">
        <v>25</v>
      </c>
      <c r="AI55" s="33" t="s">
        <v>24</v>
      </c>
      <c r="AJ55" s="33" t="s">
        <v>135</v>
      </c>
      <c r="AK55" s="33" t="s">
        <v>25</v>
      </c>
      <c r="AL55" s="27"/>
      <c r="AM55" s="34" t="s">
        <v>25</v>
      </c>
      <c r="AN55" s="35" t="str">
        <f t="shared" si="8"/>
        <v>❌ Disc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4774</v>
      </c>
      <c r="C56" s="41" t="s">
        <v>4775</v>
      </c>
      <c r="D56" s="39" t="s">
        <v>4759</v>
      </c>
      <c r="E56" s="43">
        <v>46126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5"/>
        <v>✓ OK</v>
      </c>
      <c r="N56" s="43">
        <v>46196</v>
      </c>
      <c r="O56" s="26" t="s">
        <v>23</v>
      </c>
      <c r="P56" s="26" t="s">
        <v>25</v>
      </c>
      <c r="Q56" s="26" t="s">
        <v>24</v>
      </c>
      <c r="R56" s="26" t="s">
        <v>135</v>
      </c>
      <c r="S56" s="26" t="s">
        <v>25</v>
      </c>
      <c r="T56" s="27"/>
      <c r="U56" s="28" t="s">
        <v>25</v>
      </c>
      <c r="V56" s="29" t="str">
        <f t="shared" si="6"/>
        <v>❌ Disc</v>
      </c>
      <c r="W56" s="45">
        <v>46248</v>
      </c>
      <c r="X56" s="30" t="s">
        <v>23</v>
      </c>
      <c r="Y56" s="30" t="s">
        <v>25</v>
      </c>
      <c r="Z56" s="30" t="s">
        <v>24</v>
      </c>
      <c r="AA56" s="30" t="s">
        <v>135</v>
      </c>
      <c r="AB56" s="30" t="s">
        <v>25</v>
      </c>
      <c r="AC56" s="27"/>
      <c r="AD56" s="31" t="s">
        <v>25</v>
      </c>
      <c r="AE56" s="32" t="str">
        <f t="shared" si="7"/>
        <v>❌ Disc</v>
      </c>
      <c r="AF56" s="33" t="s">
        <v>27</v>
      </c>
      <c r="AG56" s="33" t="s">
        <v>23</v>
      </c>
      <c r="AH56" s="33" t="s">
        <v>25</v>
      </c>
      <c r="AI56" s="33" t="s">
        <v>24</v>
      </c>
      <c r="AJ56" s="33" t="s">
        <v>135</v>
      </c>
      <c r="AK56" s="33" t="s">
        <v>25</v>
      </c>
      <c r="AL56" s="27"/>
      <c r="AM56" s="34" t="s">
        <v>25</v>
      </c>
      <c r="AN56" s="35" t="str">
        <f t="shared" si="8"/>
        <v>❌ Disc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4776</v>
      </c>
      <c r="C57" s="25" t="s">
        <v>4777</v>
      </c>
      <c r="D57" s="23" t="s">
        <v>4759</v>
      </c>
      <c r="E57" s="43">
        <v>46126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5"/>
        <v>✓ OK</v>
      </c>
      <c r="N57" s="43">
        <v>46196</v>
      </c>
      <c r="O57" s="26" t="s">
        <v>23</v>
      </c>
      <c r="P57" s="26" t="s">
        <v>25</v>
      </c>
      <c r="Q57" s="26" t="s">
        <v>24</v>
      </c>
      <c r="R57" s="26" t="s">
        <v>135</v>
      </c>
      <c r="S57" s="26" t="s">
        <v>25</v>
      </c>
      <c r="T57" s="27"/>
      <c r="U57" s="28" t="s">
        <v>25</v>
      </c>
      <c r="V57" s="29" t="str">
        <f t="shared" si="6"/>
        <v>❌ Disc</v>
      </c>
      <c r="W57" s="45">
        <v>46248</v>
      </c>
      <c r="X57" s="30" t="s">
        <v>23</v>
      </c>
      <c r="Y57" s="30" t="s">
        <v>25</v>
      </c>
      <c r="Z57" s="30" t="s">
        <v>24</v>
      </c>
      <c r="AA57" s="30" t="s">
        <v>135</v>
      </c>
      <c r="AB57" s="30" t="s">
        <v>25</v>
      </c>
      <c r="AC57" s="27"/>
      <c r="AD57" s="31" t="s">
        <v>25</v>
      </c>
      <c r="AE57" s="32" t="str">
        <f t="shared" si="7"/>
        <v>❌ Disc</v>
      </c>
      <c r="AF57" s="33" t="s">
        <v>27</v>
      </c>
      <c r="AG57" s="33" t="s">
        <v>23</v>
      </c>
      <c r="AH57" s="33" t="s">
        <v>25</v>
      </c>
      <c r="AI57" s="33" t="s">
        <v>24</v>
      </c>
      <c r="AJ57" s="33" t="s">
        <v>135</v>
      </c>
      <c r="AK57" s="33" t="s">
        <v>25</v>
      </c>
      <c r="AL57" s="27"/>
      <c r="AM57" s="34" t="s">
        <v>25</v>
      </c>
      <c r="AN57" s="35" t="str">
        <f t="shared" si="8"/>
        <v>❌ Disc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4778</v>
      </c>
      <c r="C58" s="41" t="s">
        <v>4779</v>
      </c>
      <c r="D58" s="39" t="s">
        <v>4780</v>
      </c>
      <c r="E58" s="43">
        <v>46126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5"/>
        <v>✓ OK</v>
      </c>
      <c r="N58" s="43">
        <v>46196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6"/>
        <v>✓ OK</v>
      </c>
      <c r="W58" s="45">
        <v>46248</v>
      </c>
      <c r="X58" s="30" t="s">
        <v>23</v>
      </c>
      <c r="Y58" s="30" t="s">
        <v>24</v>
      </c>
      <c r="Z58" s="30" t="s">
        <v>25</v>
      </c>
      <c r="AA58" s="30" t="s">
        <v>26</v>
      </c>
      <c r="AB58" s="30" t="s">
        <v>24</v>
      </c>
      <c r="AC58" s="27"/>
      <c r="AD58" s="31" t="s">
        <v>25</v>
      </c>
      <c r="AE58" s="32" t="str">
        <f t="shared" si="7"/>
        <v>✓ OK</v>
      </c>
      <c r="AF58" s="33" t="s">
        <v>27</v>
      </c>
      <c r="AG58" s="33" t="s">
        <v>23</v>
      </c>
      <c r="AH58" s="33" t="s">
        <v>24</v>
      </c>
      <c r="AI58" s="33" t="s">
        <v>25</v>
      </c>
      <c r="AJ58" s="33" t="s">
        <v>26</v>
      </c>
      <c r="AK58" s="33" t="s">
        <v>24</v>
      </c>
      <c r="AL58" s="27"/>
      <c r="AM58" s="34" t="s">
        <v>25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4781</v>
      </c>
      <c r="C59" s="25" t="s">
        <v>4782</v>
      </c>
      <c r="D59" s="23" t="s">
        <v>4780</v>
      </c>
      <c r="E59" s="43">
        <v>46126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43">
        <v>46196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45">
        <v>46248</v>
      </c>
      <c r="X59" s="30" t="s">
        <v>23</v>
      </c>
      <c r="Y59" s="30" t="s">
        <v>24</v>
      </c>
      <c r="Z59" s="30" t="s">
        <v>25</v>
      </c>
      <c r="AA59" s="30" t="s">
        <v>26</v>
      </c>
      <c r="AB59" s="30" t="s">
        <v>24</v>
      </c>
      <c r="AC59" s="27"/>
      <c r="AD59" s="31" t="s">
        <v>25</v>
      </c>
      <c r="AE59" s="32" t="str">
        <f t="shared" si="7"/>
        <v>✓ OK</v>
      </c>
      <c r="AF59" s="33" t="s">
        <v>27</v>
      </c>
      <c r="AG59" s="33" t="s">
        <v>23</v>
      </c>
      <c r="AH59" s="33" t="s">
        <v>24</v>
      </c>
      <c r="AI59" s="33" t="s">
        <v>25</v>
      </c>
      <c r="AJ59" s="33" t="s">
        <v>26</v>
      </c>
      <c r="AK59" s="33" t="s">
        <v>24</v>
      </c>
      <c r="AL59" s="27"/>
      <c r="AM59" s="34" t="s">
        <v>25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4783</v>
      </c>
      <c r="C60" s="41" t="s">
        <v>4784</v>
      </c>
      <c r="D60" s="39" t="s">
        <v>4780</v>
      </c>
      <c r="E60" s="43">
        <v>46126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5"/>
        <v>✓ OK</v>
      </c>
      <c r="N60" s="43">
        <v>46196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6"/>
        <v>✓ OK</v>
      </c>
      <c r="W60" s="45">
        <v>46248</v>
      </c>
      <c r="X60" s="30" t="s">
        <v>23</v>
      </c>
      <c r="Y60" s="30" t="s">
        <v>24</v>
      </c>
      <c r="Z60" s="30" t="s">
        <v>25</v>
      </c>
      <c r="AA60" s="30" t="s">
        <v>26</v>
      </c>
      <c r="AB60" s="30" t="s">
        <v>24</v>
      </c>
      <c r="AC60" s="27"/>
      <c r="AD60" s="31" t="s">
        <v>25</v>
      </c>
      <c r="AE60" s="32" t="str">
        <f t="shared" si="7"/>
        <v>✓ OK</v>
      </c>
      <c r="AF60" s="33" t="s">
        <v>27</v>
      </c>
      <c r="AG60" s="33" t="s">
        <v>23</v>
      </c>
      <c r="AH60" s="33" t="s">
        <v>24</v>
      </c>
      <c r="AI60" s="33" t="s">
        <v>25</v>
      </c>
      <c r="AJ60" s="33" t="s">
        <v>26</v>
      </c>
      <c r="AK60" s="33" t="s">
        <v>24</v>
      </c>
      <c r="AL60" s="27"/>
      <c r="AM60" s="34" t="s">
        <v>25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4785</v>
      </c>
      <c r="C61" s="25" t="s">
        <v>4786</v>
      </c>
      <c r="D61" s="23" t="s">
        <v>4780</v>
      </c>
      <c r="E61" s="43">
        <v>46126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5"/>
        <v>✓ OK</v>
      </c>
      <c r="N61" s="43">
        <v>46196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6"/>
        <v>✓ OK</v>
      </c>
      <c r="W61" s="45">
        <v>46248</v>
      </c>
      <c r="X61" s="30" t="s">
        <v>23</v>
      </c>
      <c r="Y61" s="30" t="s">
        <v>24</v>
      </c>
      <c r="Z61" s="30" t="s">
        <v>25</v>
      </c>
      <c r="AA61" s="30" t="s">
        <v>26</v>
      </c>
      <c r="AB61" s="30" t="s">
        <v>24</v>
      </c>
      <c r="AC61" s="27"/>
      <c r="AD61" s="31" t="s">
        <v>25</v>
      </c>
      <c r="AE61" s="32" t="str">
        <f t="shared" si="7"/>
        <v>✓ OK</v>
      </c>
      <c r="AF61" s="33" t="s">
        <v>27</v>
      </c>
      <c r="AG61" s="33" t="s">
        <v>23</v>
      </c>
      <c r="AH61" s="33" t="s">
        <v>24</v>
      </c>
      <c r="AI61" s="33" t="s">
        <v>25</v>
      </c>
      <c r="AJ61" s="33" t="s">
        <v>26</v>
      </c>
      <c r="AK61" s="33" t="s">
        <v>24</v>
      </c>
      <c r="AL61" s="27"/>
      <c r="AM61" s="34" t="s">
        <v>25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4787</v>
      </c>
      <c r="C62" s="41" t="s">
        <v>4788</v>
      </c>
      <c r="D62" s="39" t="s">
        <v>4780</v>
      </c>
      <c r="E62" s="43">
        <v>46126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5"/>
        <v>✓ OK</v>
      </c>
      <c r="N62" s="43">
        <v>46196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6"/>
        <v>✓ OK</v>
      </c>
      <c r="W62" s="45">
        <v>46248</v>
      </c>
      <c r="X62" s="30" t="s">
        <v>23</v>
      </c>
      <c r="Y62" s="30" t="s">
        <v>24</v>
      </c>
      <c r="Z62" s="30" t="s">
        <v>25</v>
      </c>
      <c r="AA62" s="30" t="s">
        <v>26</v>
      </c>
      <c r="AB62" s="30" t="s">
        <v>24</v>
      </c>
      <c r="AC62" s="27"/>
      <c r="AD62" s="31" t="s">
        <v>25</v>
      </c>
      <c r="AE62" s="32" t="str">
        <f t="shared" si="7"/>
        <v>✓ OK</v>
      </c>
      <c r="AF62" s="33" t="s">
        <v>27</v>
      </c>
      <c r="AG62" s="33" t="s">
        <v>23</v>
      </c>
      <c r="AH62" s="33" t="s">
        <v>24</v>
      </c>
      <c r="AI62" s="33" t="s">
        <v>25</v>
      </c>
      <c r="AJ62" s="33" t="s">
        <v>26</v>
      </c>
      <c r="AK62" s="33" t="s">
        <v>24</v>
      </c>
      <c r="AL62" s="27"/>
      <c r="AM62" s="34" t="s">
        <v>25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4789</v>
      </c>
      <c r="C63" s="25" t="s">
        <v>4790</v>
      </c>
      <c r="D63" s="23" t="s">
        <v>4780</v>
      </c>
      <c r="E63" s="43">
        <v>46126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5"/>
        <v>✓ OK</v>
      </c>
      <c r="N63" s="43">
        <v>46196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6"/>
        <v>✓ OK</v>
      </c>
      <c r="W63" s="45">
        <v>46248</v>
      </c>
      <c r="X63" s="30" t="s">
        <v>23</v>
      </c>
      <c r="Y63" s="30" t="s">
        <v>24</v>
      </c>
      <c r="Z63" s="30" t="s">
        <v>25</v>
      </c>
      <c r="AA63" s="30" t="s">
        <v>26</v>
      </c>
      <c r="AB63" s="30" t="s">
        <v>24</v>
      </c>
      <c r="AC63" s="27"/>
      <c r="AD63" s="31" t="s">
        <v>25</v>
      </c>
      <c r="AE63" s="32" t="str">
        <f t="shared" si="7"/>
        <v>✓ OK</v>
      </c>
      <c r="AF63" s="33" t="s">
        <v>27</v>
      </c>
      <c r="AG63" s="33" t="s">
        <v>23</v>
      </c>
      <c r="AH63" s="33" t="s">
        <v>24</v>
      </c>
      <c r="AI63" s="33" t="s">
        <v>25</v>
      </c>
      <c r="AJ63" s="33" t="s">
        <v>26</v>
      </c>
      <c r="AK63" s="33" t="s">
        <v>24</v>
      </c>
      <c r="AL63" s="27"/>
      <c r="AM63" s="34" t="s">
        <v>25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4791</v>
      </c>
      <c r="C64" s="41" t="s">
        <v>4792</v>
      </c>
      <c r="D64" s="39" t="s">
        <v>4780</v>
      </c>
      <c r="E64" s="43">
        <v>46126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5"/>
        <v>✓ OK</v>
      </c>
      <c r="N64" s="43">
        <v>46196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6"/>
        <v>✓ OK</v>
      </c>
      <c r="W64" s="45">
        <v>46248</v>
      </c>
      <c r="X64" s="30" t="s">
        <v>23</v>
      </c>
      <c r="Y64" s="30" t="s">
        <v>24</v>
      </c>
      <c r="Z64" s="30" t="s">
        <v>25</v>
      </c>
      <c r="AA64" s="30" t="s">
        <v>26</v>
      </c>
      <c r="AB64" s="30" t="s">
        <v>24</v>
      </c>
      <c r="AC64" s="27"/>
      <c r="AD64" s="31" t="s">
        <v>25</v>
      </c>
      <c r="AE64" s="32" t="str">
        <f t="shared" si="7"/>
        <v>✓ OK</v>
      </c>
      <c r="AF64" s="33" t="s">
        <v>27</v>
      </c>
      <c r="AG64" s="33" t="s">
        <v>23</v>
      </c>
      <c r="AH64" s="33" t="s">
        <v>24</v>
      </c>
      <c r="AI64" s="33" t="s">
        <v>25</v>
      </c>
      <c r="AJ64" s="33" t="s">
        <v>26</v>
      </c>
      <c r="AK64" s="33" t="s">
        <v>24</v>
      </c>
      <c r="AL64" s="27"/>
      <c r="AM64" s="34" t="s">
        <v>25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4793</v>
      </c>
      <c r="C65" s="25" t="s">
        <v>4794</v>
      </c>
      <c r="D65" s="23" t="s">
        <v>4780</v>
      </c>
      <c r="E65" s="43">
        <v>46126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5"/>
        <v>✓ OK</v>
      </c>
      <c r="N65" s="43">
        <v>46196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6"/>
        <v>✓ OK</v>
      </c>
      <c r="W65" s="45">
        <v>46248</v>
      </c>
      <c r="X65" s="30" t="s">
        <v>23</v>
      </c>
      <c r="Y65" s="30" t="s">
        <v>24</v>
      </c>
      <c r="Z65" s="30" t="s">
        <v>25</v>
      </c>
      <c r="AA65" s="30" t="s">
        <v>26</v>
      </c>
      <c r="AB65" s="30" t="s">
        <v>24</v>
      </c>
      <c r="AC65" s="27"/>
      <c r="AD65" s="31" t="s">
        <v>25</v>
      </c>
      <c r="AE65" s="32" t="str">
        <f t="shared" si="7"/>
        <v>✓ OK</v>
      </c>
      <c r="AF65" s="33" t="s">
        <v>27</v>
      </c>
      <c r="AG65" s="33" t="s">
        <v>23</v>
      </c>
      <c r="AH65" s="33" t="s">
        <v>24</v>
      </c>
      <c r="AI65" s="33" t="s">
        <v>25</v>
      </c>
      <c r="AJ65" s="33" t="s">
        <v>26</v>
      </c>
      <c r="AK65" s="33" t="s">
        <v>24</v>
      </c>
      <c r="AL65" s="27"/>
      <c r="AM65" s="34" t="s">
        <v>25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4795</v>
      </c>
      <c r="C66" s="41" t="s">
        <v>4796</v>
      </c>
      <c r="D66" s="39" t="s">
        <v>4780</v>
      </c>
      <c r="E66" s="43">
        <v>46126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5"/>
        <v>✓ OK</v>
      </c>
      <c r="N66" s="43">
        <v>46196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6"/>
        <v>✓ OK</v>
      </c>
      <c r="W66" s="45">
        <v>46248</v>
      </c>
      <c r="X66" s="30" t="s">
        <v>23</v>
      </c>
      <c r="Y66" s="30" t="s">
        <v>24</v>
      </c>
      <c r="Z66" s="30" t="s">
        <v>25</v>
      </c>
      <c r="AA66" s="30" t="s">
        <v>26</v>
      </c>
      <c r="AB66" s="30" t="s">
        <v>24</v>
      </c>
      <c r="AC66" s="27"/>
      <c r="AD66" s="31" t="s">
        <v>25</v>
      </c>
      <c r="AE66" s="32" t="str">
        <f t="shared" si="7"/>
        <v>✓ OK</v>
      </c>
      <c r="AF66" s="33" t="s">
        <v>27</v>
      </c>
      <c r="AG66" s="33" t="s">
        <v>23</v>
      </c>
      <c r="AH66" s="33" t="s">
        <v>24</v>
      </c>
      <c r="AI66" s="33" t="s">
        <v>25</v>
      </c>
      <c r="AJ66" s="33" t="s">
        <v>26</v>
      </c>
      <c r="AK66" s="33" t="s">
        <v>24</v>
      </c>
      <c r="AL66" s="27"/>
      <c r="AM66" s="34" t="s">
        <v>25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4797</v>
      </c>
      <c r="C67" s="25" t="s">
        <v>4798</v>
      </c>
      <c r="D67" s="23" t="s">
        <v>4780</v>
      </c>
      <c r="E67" s="43">
        <v>46126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5"/>
        <v>✓ OK</v>
      </c>
      <c r="N67" s="43">
        <v>46196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6"/>
        <v>✓ OK</v>
      </c>
      <c r="W67" s="45">
        <v>46248</v>
      </c>
      <c r="X67" s="30" t="s">
        <v>23</v>
      </c>
      <c r="Y67" s="30" t="s">
        <v>24</v>
      </c>
      <c r="Z67" s="30" t="s">
        <v>25</v>
      </c>
      <c r="AA67" s="30" t="s">
        <v>26</v>
      </c>
      <c r="AB67" s="30" t="s">
        <v>24</v>
      </c>
      <c r="AC67" s="27"/>
      <c r="AD67" s="31" t="s">
        <v>25</v>
      </c>
      <c r="AE67" s="32" t="str">
        <f t="shared" si="7"/>
        <v>✓ OK</v>
      </c>
      <c r="AF67" s="33" t="s">
        <v>27</v>
      </c>
      <c r="AG67" s="33" t="s">
        <v>23</v>
      </c>
      <c r="AH67" s="33" t="s">
        <v>24</v>
      </c>
      <c r="AI67" s="33" t="s">
        <v>25</v>
      </c>
      <c r="AJ67" s="33" t="s">
        <v>26</v>
      </c>
      <c r="AK67" s="33" t="s">
        <v>24</v>
      </c>
      <c r="AL67" s="27"/>
      <c r="AM67" s="34" t="s">
        <v>25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8" customHeight="1" x14ac:dyDescent="0.3">
      <c r="A68" s="39">
        <v>64</v>
      </c>
      <c r="B68" s="40" t="s">
        <v>4799</v>
      </c>
      <c r="C68" s="41" t="s">
        <v>4800</v>
      </c>
      <c r="D68" s="39" t="s">
        <v>4780</v>
      </c>
      <c r="E68" s="43">
        <v>46126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5"/>
        <v>✓ OK</v>
      </c>
      <c r="N68" s="43">
        <v>46196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6"/>
        <v>✓ OK</v>
      </c>
      <c r="W68" s="45">
        <v>46248</v>
      </c>
      <c r="X68" s="30" t="s">
        <v>23</v>
      </c>
      <c r="Y68" s="30" t="s">
        <v>24</v>
      </c>
      <c r="Z68" s="30" t="s">
        <v>25</v>
      </c>
      <c r="AA68" s="30" t="s">
        <v>26</v>
      </c>
      <c r="AB68" s="30" t="s">
        <v>24</v>
      </c>
      <c r="AC68" s="27"/>
      <c r="AD68" s="31" t="s">
        <v>25</v>
      </c>
      <c r="AE68" s="32" t="str">
        <f t="shared" si="7"/>
        <v>✓ OK</v>
      </c>
      <c r="AF68" s="33" t="s">
        <v>27</v>
      </c>
      <c r="AG68" s="33" t="s">
        <v>23</v>
      </c>
      <c r="AH68" s="33" t="s">
        <v>24</v>
      </c>
      <c r="AI68" s="33" t="s">
        <v>25</v>
      </c>
      <c r="AJ68" s="33" t="s">
        <v>26</v>
      </c>
      <c r="AK68" s="33" t="s">
        <v>24</v>
      </c>
      <c r="AL68" s="27"/>
      <c r="AM68" s="34" t="s">
        <v>25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8" customHeight="1" x14ac:dyDescent="0.3">
      <c r="A69" s="23">
        <v>65</v>
      </c>
      <c r="B69" s="24" t="s">
        <v>4801</v>
      </c>
      <c r="C69" s="25" t="s">
        <v>4802</v>
      </c>
      <c r="D69" s="23" t="s">
        <v>4780</v>
      </c>
      <c r="E69" s="43">
        <v>46126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00" si="10">IF(E69="","",IF(H69="Yes","❌ Disc",IF(G69="No","⚠ Missing",IF(J69="Yes","✓ OK","⚠ Check"))))</f>
        <v>✓ OK</v>
      </c>
      <c r="N69" s="43">
        <v>46196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100" si="11">IF(N69="","",IF(Q69="Yes","❌ Disc",IF(P69="No","⚠ Missing",IF(S69="Yes","✓ OK","⚠ Check"))))</f>
        <v>✓ OK</v>
      </c>
      <c r="W69" s="45">
        <v>46248</v>
      </c>
      <c r="X69" s="30" t="s">
        <v>23</v>
      </c>
      <c r="Y69" s="30" t="s">
        <v>24</v>
      </c>
      <c r="Z69" s="30" t="s">
        <v>25</v>
      </c>
      <c r="AA69" s="30" t="s">
        <v>26</v>
      </c>
      <c r="AB69" s="30" t="s">
        <v>24</v>
      </c>
      <c r="AC69" s="27"/>
      <c r="AD69" s="31" t="s">
        <v>25</v>
      </c>
      <c r="AE69" s="32" t="str">
        <f t="shared" ref="AE69:AE100" si="12">IF(W69="","",IF(Z69="Yes","❌ Disc",IF(Y69="No","⚠ Missing",IF(AB69="Yes","✓ OK","⚠ Check"))))</f>
        <v>✓ OK</v>
      </c>
      <c r="AF69" s="33" t="s">
        <v>27</v>
      </c>
      <c r="AG69" s="33" t="s">
        <v>23</v>
      </c>
      <c r="AH69" s="33" t="s">
        <v>24</v>
      </c>
      <c r="AI69" s="33" t="s">
        <v>25</v>
      </c>
      <c r="AJ69" s="33" t="s">
        <v>26</v>
      </c>
      <c r="AK69" s="33" t="s">
        <v>24</v>
      </c>
      <c r="AL69" s="27"/>
      <c r="AM69" s="34" t="s">
        <v>25</v>
      </c>
      <c r="AN69" s="35" t="str">
        <f t="shared" ref="AN69:AN100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00" si="14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4803</v>
      </c>
      <c r="C70" s="41" t="s">
        <v>4804</v>
      </c>
      <c r="D70" s="39" t="s">
        <v>4780</v>
      </c>
      <c r="E70" s="43">
        <v>46126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10"/>
        <v>✓ OK</v>
      </c>
      <c r="N70" s="43">
        <v>46196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11"/>
        <v>✓ OK</v>
      </c>
      <c r="W70" s="45">
        <v>46248</v>
      </c>
      <c r="X70" s="30" t="s">
        <v>23</v>
      </c>
      <c r="Y70" s="30" t="s">
        <v>24</v>
      </c>
      <c r="Z70" s="30" t="s">
        <v>25</v>
      </c>
      <c r="AA70" s="30" t="s">
        <v>26</v>
      </c>
      <c r="AB70" s="30" t="s">
        <v>24</v>
      </c>
      <c r="AC70" s="27"/>
      <c r="AD70" s="31" t="s">
        <v>25</v>
      </c>
      <c r="AE70" s="32" t="str">
        <f t="shared" si="12"/>
        <v>✓ OK</v>
      </c>
      <c r="AF70" s="33" t="s">
        <v>27</v>
      </c>
      <c r="AG70" s="33" t="s">
        <v>23</v>
      </c>
      <c r="AH70" s="33" t="s">
        <v>24</v>
      </c>
      <c r="AI70" s="33" t="s">
        <v>25</v>
      </c>
      <c r="AJ70" s="33" t="s">
        <v>26</v>
      </c>
      <c r="AK70" s="33" t="s">
        <v>24</v>
      </c>
      <c r="AL70" s="27"/>
      <c r="AM70" s="34" t="s">
        <v>25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8" customHeight="1" x14ac:dyDescent="0.3">
      <c r="A71" s="23">
        <v>67</v>
      </c>
      <c r="B71" s="24" t="s">
        <v>4805</v>
      </c>
      <c r="C71" s="25" t="s">
        <v>4806</v>
      </c>
      <c r="D71" s="23" t="s">
        <v>4780</v>
      </c>
      <c r="E71" s="43">
        <v>46126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10"/>
        <v>✓ OK</v>
      </c>
      <c r="N71" s="43">
        <v>46196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11"/>
        <v>✓ OK</v>
      </c>
      <c r="W71" s="45">
        <v>46248</v>
      </c>
      <c r="X71" s="30" t="s">
        <v>23</v>
      </c>
      <c r="Y71" s="30" t="s">
        <v>24</v>
      </c>
      <c r="Z71" s="30" t="s">
        <v>25</v>
      </c>
      <c r="AA71" s="30" t="s">
        <v>26</v>
      </c>
      <c r="AB71" s="30" t="s">
        <v>24</v>
      </c>
      <c r="AC71" s="27"/>
      <c r="AD71" s="31" t="s">
        <v>25</v>
      </c>
      <c r="AE71" s="32" t="str">
        <f t="shared" si="12"/>
        <v>✓ OK</v>
      </c>
      <c r="AF71" s="33" t="s">
        <v>27</v>
      </c>
      <c r="AG71" s="33" t="s">
        <v>23</v>
      </c>
      <c r="AH71" s="33" t="s">
        <v>24</v>
      </c>
      <c r="AI71" s="33" t="s">
        <v>25</v>
      </c>
      <c r="AJ71" s="33" t="s">
        <v>26</v>
      </c>
      <c r="AK71" s="33" t="s">
        <v>24</v>
      </c>
      <c r="AL71" s="27"/>
      <c r="AM71" s="34" t="s">
        <v>25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8" customHeight="1" x14ac:dyDescent="0.3">
      <c r="A72" s="39">
        <v>68</v>
      </c>
      <c r="B72" s="40" t="s">
        <v>4807</v>
      </c>
      <c r="C72" s="41" t="s">
        <v>4808</v>
      </c>
      <c r="D72" s="39" t="s">
        <v>4780</v>
      </c>
      <c r="E72" s="43">
        <v>46126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10"/>
        <v>✓ OK</v>
      </c>
      <c r="N72" s="43">
        <v>46196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24</v>
      </c>
      <c r="T72" s="27"/>
      <c r="U72" s="28" t="s">
        <v>25</v>
      </c>
      <c r="V72" s="29" t="str">
        <f t="shared" si="11"/>
        <v>✓ OK</v>
      </c>
      <c r="W72" s="45">
        <v>46248</v>
      </c>
      <c r="X72" s="30" t="s">
        <v>23</v>
      </c>
      <c r="Y72" s="30" t="s">
        <v>24</v>
      </c>
      <c r="Z72" s="30" t="s">
        <v>25</v>
      </c>
      <c r="AA72" s="30" t="s">
        <v>26</v>
      </c>
      <c r="AB72" s="30" t="s">
        <v>24</v>
      </c>
      <c r="AC72" s="27"/>
      <c r="AD72" s="31" t="s">
        <v>25</v>
      </c>
      <c r="AE72" s="32" t="str">
        <f t="shared" si="12"/>
        <v>✓ OK</v>
      </c>
      <c r="AF72" s="33" t="s">
        <v>27</v>
      </c>
      <c r="AG72" s="33" t="s">
        <v>23</v>
      </c>
      <c r="AH72" s="33" t="s">
        <v>24</v>
      </c>
      <c r="AI72" s="33" t="s">
        <v>25</v>
      </c>
      <c r="AJ72" s="33" t="s">
        <v>26</v>
      </c>
      <c r="AK72" s="33" t="s">
        <v>24</v>
      </c>
      <c r="AL72" s="27"/>
      <c r="AM72" s="34" t="s">
        <v>25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8" customHeight="1" x14ac:dyDescent="0.3">
      <c r="A73" s="23">
        <v>69</v>
      </c>
      <c r="B73" s="24" t="s">
        <v>4809</v>
      </c>
      <c r="C73" s="25" t="s">
        <v>4810</v>
      </c>
      <c r="D73" s="23" t="s">
        <v>4780</v>
      </c>
      <c r="E73" s="43">
        <v>46126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10"/>
        <v>✓ OK</v>
      </c>
      <c r="N73" s="43">
        <v>46196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25</v>
      </c>
      <c r="V73" s="29" t="str">
        <f t="shared" si="11"/>
        <v>✓ OK</v>
      </c>
      <c r="W73" s="45">
        <v>46248</v>
      </c>
      <c r="X73" s="30" t="s">
        <v>23</v>
      </c>
      <c r="Y73" s="30" t="s">
        <v>24</v>
      </c>
      <c r="Z73" s="30" t="s">
        <v>25</v>
      </c>
      <c r="AA73" s="30" t="s">
        <v>26</v>
      </c>
      <c r="AB73" s="30" t="s">
        <v>24</v>
      </c>
      <c r="AC73" s="27"/>
      <c r="AD73" s="31" t="s">
        <v>25</v>
      </c>
      <c r="AE73" s="32" t="str">
        <f t="shared" si="12"/>
        <v>✓ OK</v>
      </c>
      <c r="AF73" s="33" t="s">
        <v>27</v>
      </c>
      <c r="AG73" s="33" t="s">
        <v>23</v>
      </c>
      <c r="AH73" s="33" t="s">
        <v>24</v>
      </c>
      <c r="AI73" s="33" t="s">
        <v>25</v>
      </c>
      <c r="AJ73" s="33" t="s">
        <v>26</v>
      </c>
      <c r="AK73" s="33" t="s">
        <v>24</v>
      </c>
      <c r="AL73" s="27"/>
      <c r="AM73" s="34" t="s">
        <v>25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8" customHeight="1" x14ac:dyDescent="0.3">
      <c r="A74" s="39">
        <v>70</v>
      </c>
      <c r="B74" s="40" t="s">
        <v>4811</v>
      </c>
      <c r="C74" s="41" t="s">
        <v>4812</v>
      </c>
      <c r="D74" s="39" t="s">
        <v>4780</v>
      </c>
      <c r="E74" s="43">
        <v>46126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10"/>
        <v>✓ OK</v>
      </c>
      <c r="N74" s="43">
        <v>46196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11"/>
        <v>✓ OK</v>
      </c>
      <c r="W74" s="45">
        <v>46248</v>
      </c>
      <c r="X74" s="30" t="s">
        <v>23</v>
      </c>
      <c r="Y74" s="30" t="s">
        <v>24</v>
      </c>
      <c r="Z74" s="30" t="s">
        <v>25</v>
      </c>
      <c r="AA74" s="30" t="s">
        <v>26</v>
      </c>
      <c r="AB74" s="30" t="s">
        <v>24</v>
      </c>
      <c r="AC74" s="27"/>
      <c r="AD74" s="31" t="s">
        <v>25</v>
      </c>
      <c r="AE74" s="32" t="str">
        <f t="shared" si="12"/>
        <v>✓ OK</v>
      </c>
      <c r="AF74" s="33" t="s">
        <v>27</v>
      </c>
      <c r="AG74" s="33" t="s">
        <v>23</v>
      </c>
      <c r="AH74" s="33" t="s">
        <v>24</v>
      </c>
      <c r="AI74" s="33" t="s">
        <v>25</v>
      </c>
      <c r="AJ74" s="33" t="s">
        <v>26</v>
      </c>
      <c r="AK74" s="33" t="s">
        <v>24</v>
      </c>
      <c r="AL74" s="27"/>
      <c r="AM74" s="34" t="s">
        <v>25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8" customHeight="1" x14ac:dyDescent="0.3">
      <c r="A75" s="23">
        <v>71</v>
      </c>
      <c r="B75" s="24" t="s">
        <v>4813</v>
      </c>
      <c r="C75" s="25" t="s">
        <v>4814</v>
      </c>
      <c r="D75" s="23" t="s">
        <v>4780</v>
      </c>
      <c r="E75" s="43">
        <v>46126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10"/>
        <v>✓ OK</v>
      </c>
      <c r="N75" s="43">
        <v>46196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11"/>
        <v>✓ OK</v>
      </c>
      <c r="W75" s="45">
        <v>46248</v>
      </c>
      <c r="X75" s="30" t="s">
        <v>23</v>
      </c>
      <c r="Y75" s="30" t="s">
        <v>24</v>
      </c>
      <c r="Z75" s="30" t="s">
        <v>25</v>
      </c>
      <c r="AA75" s="30" t="s">
        <v>26</v>
      </c>
      <c r="AB75" s="30" t="s">
        <v>24</v>
      </c>
      <c r="AC75" s="27"/>
      <c r="AD75" s="31" t="s">
        <v>25</v>
      </c>
      <c r="AE75" s="32" t="str">
        <f t="shared" si="12"/>
        <v>✓ OK</v>
      </c>
      <c r="AF75" s="33" t="s">
        <v>27</v>
      </c>
      <c r="AG75" s="33" t="s">
        <v>23</v>
      </c>
      <c r="AH75" s="33" t="s">
        <v>24</v>
      </c>
      <c r="AI75" s="33" t="s">
        <v>25</v>
      </c>
      <c r="AJ75" s="33" t="s">
        <v>26</v>
      </c>
      <c r="AK75" s="33" t="s">
        <v>24</v>
      </c>
      <c r="AL75" s="27"/>
      <c r="AM75" s="34" t="s">
        <v>25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8" customHeight="1" x14ac:dyDescent="0.3">
      <c r="A76" s="39">
        <v>72</v>
      </c>
      <c r="B76" s="40" t="s">
        <v>4815</v>
      </c>
      <c r="C76" s="41" t="s">
        <v>4816</v>
      </c>
      <c r="D76" s="39" t="s">
        <v>4780</v>
      </c>
      <c r="E76" s="43">
        <v>46126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10"/>
        <v>✓ OK</v>
      </c>
      <c r="N76" s="43">
        <v>46196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11"/>
        <v>✓ OK</v>
      </c>
      <c r="W76" s="45">
        <v>46248</v>
      </c>
      <c r="X76" s="30" t="s">
        <v>23</v>
      </c>
      <c r="Y76" s="30" t="s">
        <v>24</v>
      </c>
      <c r="Z76" s="30" t="s">
        <v>25</v>
      </c>
      <c r="AA76" s="30" t="s">
        <v>26</v>
      </c>
      <c r="AB76" s="30" t="s">
        <v>24</v>
      </c>
      <c r="AC76" s="27"/>
      <c r="AD76" s="31" t="s">
        <v>25</v>
      </c>
      <c r="AE76" s="32" t="str">
        <f t="shared" si="12"/>
        <v>✓ OK</v>
      </c>
      <c r="AF76" s="33" t="s">
        <v>27</v>
      </c>
      <c r="AG76" s="33" t="s">
        <v>23</v>
      </c>
      <c r="AH76" s="33" t="s">
        <v>24</v>
      </c>
      <c r="AI76" s="33" t="s">
        <v>25</v>
      </c>
      <c r="AJ76" s="33" t="s">
        <v>26</v>
      </c>
      <c r="AK76" s="33" t="s">
        <v>24</v>
      </c>
      <c r="AL76" s="27"/>
      <c r="AM76" s="34" t="s">
        <v>25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8" customHeight="1" x14ac:dyDescent="0.3">
      <c r="A77" s="23">
        <v>73</v>
      </c>
      <c r="B77" s="24" t="s">
        <v>4817</v>
      </c>
      <c r="C77" s="25" t="s">
        <v>4818</v>
      </c>
      <c r="D77" s="23" t="s">
        <v>4780</v>
      </c>
      <c r="E77" s="43">
        <v>46126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10"/>
        <v>✓ OK</v>
      </c>
      <c r="N77" s="43">
        <v>46196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11"/>
        <v>✓ OK</v>
      </c>
      <c r="W77" s="45">
        <v>46248</v>
      </c>
      <c r="X77" s="30" t="s">
        <v>23</v>
      </c>
      <c r="Y77" s="30" t="s">
        <v>24</v>
      </c>
      <c r="Z77" s="30" t="s">
        <v>25</v>
      </c>
      <c r="AA77" s="30" t="s">
        <v>26</v>
      </c>
      <c r="AB77" s="30" t="s">
        <v>24</v>
      </c>
      <c r="AC77" s="27"/>
      <c r="AD77" s="31" t="s">
        <v>25</v>
      </c>
      <c r="AE77" s="32" t="str">
        <f t="shared" si="12"/>
        <v>✓ OK</v>
      </c>
      <c r="AF77" s="33" t="s">
        <v>27</v>
      </c>
      <c r="AG77" s="33" t="s">
        <v>23</v>
      </c>
      <c r="AH77" s="33" t="s">
        <v>24</v>
      </c>
      <c r="AI77" s="33" t="s">
        <v>25</v>
      </c>
      <c r="AJ77" s="33" t="s">
        <v>26</v>
      </c>
      <c r="AK77" s="33" t="s">
        <v>24</v>
      </c>
      <c r="AL77" s="27"/>
      <c r="AM77" s="34" t="s">
        <v>25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  <row r="78" spans="1:49" x14ac:dyDescent="0.3">
      <c r="A78">
        <v>74</v>
      </c>
      <c r="B78" t="s">
        <v>4819</v>
      </c>
      <c r="C78" t="s">
        <v>4820</v>
      </c>
      <c r="D78" t="s">
        <v>4821</v>
      </c>
      <c r="E78" s="43">
        <v>46126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10"/>
        <v>✓ OK</v>
      </c>
      <c r="N78" s="43">
        <v>46196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11"/>
        <v>✓ OK</v>
      </c>
      <c r="W78" s="45">
        <v>46248</v>
      </c>
      <c r="X78" s="30" t="s">
        <v>23</v>
      </c>
      <c r="Y78" s="30" t="s">
        <v>24</v>
      </c>
      <c r="Z78" s="30" t="s">
        <v>25</v>
      </c>
      <c r="AA78" s="30" t="s">
        <v>26</v>
      </c>
      <c r="AB78" s="30" t="s">
        <v>24</v>
      </c>
      <c r="AC78" s="27"/>
      <c r="AD78" s="31" t="s">
        <v>25</v>
      </c>
      <c r="AE78" s="32" t="str">
        <f t="shared" si="12"/>
        <v>✓ OK</v>
      </c>
      <c r="AF78" s="33" t="s">
        <v>27</v>
      </c>
      <c r="AG78" s="33" t="s">
        <v>23</v>
      </c>
      <c r="AH78" s="33" t="s">
        <v>24</v>
      </c>
      <c r="AI78" s="33" t="s">
        <v>25</v>
      </c>
      <c r="AJ78" s="33" t="s">
        <v>26</v>
      </c>
      <c r="AK78" s="33" t="s">
        <v>24</v>
      </c>
      <c r="AL78" s="27"/>
      <c r="AM78" s="34" t="s">
        <v>25</v>
      </c>
      <c r="AN78" s="35" t="str">
        <f t="shared" si="13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4"/>
        <v/>
      </c>
    </row>
    <row r="79" spans="1:49" x14ac:dyDescent="0.3">
      <c r="A79">
        <v>75</v>
      </c>
      <c r="B79" t="s">
        <v>4822</v>
      </c>
      <c r="C79" t="s">
        <v>4823</v>
      </c>
      <c r="D79" t="s">
        <v>4821</v>
      </c>
      <c r="E79" s="43">
        <v>46126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10"/>
        <v>✓ OK</v>
      </c>
      <c r="N79" s="43">
        <v>46196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11"/>
        <v>✓ OK</v>
      </c>
      <c r="W79" s="45">
        <v>46248</v>
      </c>
      <c r="X79" s="30" t="s">
        <v>23</v>
      </c>
      <c r="Y79" s="30" t="s">
        <v>24</v>
      </c>
      <c r="Z79" s="30" t="s">
        <v>25</v>
      </c>
      <c r="AA79" s="30" t="s">
        <v>26</v>
      </c>
      <c r="AB79" s="30" t="s">
        <v>24</v>
      </c>
      <c r="AC79" s="27"/>
      <c r="AD79" s="31" t="s">
        <v>25</v>
      </c>
      <c r="AE79" s="32" t="str">
        <f t="shared" si="12"/>
        <v>✓ OK</v>
      </c>
      <c r="AF79" s="33" t="s">
        <v>27</v>
      </c>
      <c r="AG79" s="33" t="s">
        <v>23</v>
      </c>
      <c r="AH79" s="33" t="s">
        <v>24</v>
      </c>
      <c r="AI79" s="33" t="s">
        <v>25</v>
      </c>
      <c r="AJ79" s="33" t="s">
        <v>26</v>
      </c>
      <c r="AK79" s="33" t="s">
        <v>24</v>
      </c>
      <c r="AL79" s="27"/>
      <c r="AM79" s="34" t="s">
        <v>25</v>
      </c>
      <c r="AN79" s="35" t="str">
        <f t="shared" si="13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4"/>
        <v/>
      </c>
    </row>
    <row r="80" spans="1:49" x14ac:dyDescent="0.3">
      <c r="A80">
        <v>76</v>
      </c>
      <c r="B80" t="s">
        <v>4824</v>
      </c>
      <c r="C80" t="s">
        <v>4825</v>
      </c>
      <c r="D80" t="s">
        <v>4821</v>
      </c>
      <c r="E80" s="43">
        <v>46126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10"/>
        <v>✓ OK</v>
      </c>
      <c r="N80" s="43">
        <v>46196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11"/>
        <v>✓ OK</v>
      </c>
      <c r="W80" s="45">
        <v>46248</v>
      </c>
      <c r="X80" s="30" t="s">
        <v>23</v>
      </c>
      <c r="Y80" s="30" t="s">
        <v>24</v>
      </c>
      <c r="Z80" s="30" t="s">
        <v>25</v>
      </c>
      <c r="AA80" s="30" t="s">
        <v>26</v>
      </c>
      <c r="AB80" s="30" t="s">
        <v>24</v>
      </c>
      <c r="AC80" s="27"/>
      <c r="AD80" s="31" t="s">
        <v>25</v>
      </c>
      <c r="AE80" s="32" t="str">
        <f t="shared" si="12"/>
        <v>✓ OK</v>
      </c>
      <c r="AF80" s="33" t="s">
        <v>27</v>
      </c>
      <c r="AG80" s="33" t="s">
        <v>23</v>
      </c>
      <c r="AH80" s="33" t="s">
        <v>24</v>
      </c>
      <c r="AI80" s="33" t="s">
        <v>25</v>
      </c>
      <c r="AJ80" s="33" t="s">
        <v>26</v>
      </c>
      <c r="AK80" s="33" t="s">
        <v>24</v>
      </c>
      <c r="AL80" s="27"/>
      <c r="AM80" s="34" t="s">
        <v>25</v>
      </c>
      <c r="AN80" s="35" t="str">
        <f t="shared" si="13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4"/>
        <v/>
      </c>
    </row>
    <row r="81" spans="1:49" x14ac:dyDescent="0.3">
      <c r="A81">
        <v>77</v>
      </c>
      <c r="B81" t="s">
        <v>4826</v>
      </c>
      <c r="C81" t="s">
        <v>4827</v>
      </c>
      <c r="D81" t="s">
        <v>4821</v>
      </c>
      <c r="E81" s="43">
        <v>46126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10"/>
        <v>✓ OK</v>
      </c>
      <c r="N81" s="43">
        <v>46196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11"/>
        <v>✓ OK</v>
      </c>
      <c r="W81" s="45">
        <v>46248</v>
      </c>
      <c r="X81" s="30" t="s">
        <v>23</v>
      </c>
      <c r="Y81" s="30" t="s">
        <v>24</v>
      </c>
      <c r="Z81" s="30" t="s">
        <v>25</v>
      </c>
      <c r="AA81" s="30" t="s">
        <v>26</v>
      </c>
      <c r="AB81" s="30" t="s">
        <v>24</v>
      </c>
      <c r="AC81" s="27"/>
      <c r="AD81" s="31" t="s">
        <v>25</v>
      </c>
      <c r="AE81" s="32" t="str">
        <f t="shared" si="12"/>
        <v>✓ OK</v>
      </c>
      <c r="AF81" s="33" t="s">
        <v>27</v>
      </c>
      <c r="AG81" s="33" t="s">
        <v>23</v>
      </c>
      <c r="AH81" s="33" t="s">
        <v>24</v>
      </c>
      <c r="AI81" s="33" t="s">
        <v>25</v>
      </c>
      <c r="AJ81" s="33" t="s">
        <v>26</v>
      </c>
      <c r="AK81" s="33" t="s">
        <v>24</v>
      </c>
      <c r="AL81" s="27"/>
      <c r="AM81" s="34" t="s">
        <v>25</v>
      </c>
      <c r="AN81" s="35" t="str">
        <f t="shared" si="13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14"/>
        <v/>
      </c>
    </row>
    <row r="82" spans="1:49" x14ac:dyDescent="0.3">
      <c r="A82">
        <v>78</v>
      </c>
      <c r="B82" t="s">
        <v>4828</v>
      </c>
      <c r="C82" t="s">
        <v>4829</v>
      </c>
      <c r="D82" t="s">
        <v>4821</v>
      </c>
      <c r="E82" s="43">
        <v>46126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10"/>
        <v>✓ OK</v>
      </c>
      <c r="N82" s="43">
        <v>46196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11"/>
        <v>✓ OK</v>
      </c>
      <c r="W82" s="45">
        <v>46248</v>
      </c>
      <c r="X82" s="30" t="s">
        <v>23</v>
      </c>
      <c r="Y82" s="30" t="s">
        <v>24</v>
      </c>
      <c r="Z82" s="30" t="s">
        <v>25</v>
      </c>
      <c r="AA82" s="30" t="s">
        <v>26</v>
      </c>
      <c r="AB82" s="30" t="s">
        <v>24</v>
      </c>
      <c r="AC82" s="27"/>
      <c r="AD82" s="31" t="s">
        <v>25</v>
      </c>
      <c r="AE82" s="32" t="str">
        <f t="shared" si="12"/>
        <v>✓ OK</v>
      </c>
      <c r="AF82" s="33" t="s">
        <v>27</v>
      </c>
      <c r="AG82" s="33" t="s">
        <v>23</v>
      </c>
      <c r="AH82" s="33" t="s">
        <v>24</v>
      </c>
      <c r="AI82" s="33" t="s">
        <v>25</v>
      </c>
      <c r="AJ82" s="33" t="s">
        <v>26</v>
      </c>
      <c r="AK82" s="33" t="s">
        <v>24</v>
      </c>
      <c r="AL82" s="27"/>
      <c r="AM82" s="34" t="s">
        <v>25</v>
      </c>
      <c r="AN82" s="35" t="str">
        <f t="shared" si="13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14"/>
        <v/>
      </c>
    </row>
    <row r="83" spans="1:49" x14ac:dyDescent="0.3">
      <c r="A83">
        <v>79</v>
      </c>
      <c r="B83" t="s">
        <v>4830</v>
      </c>
      <c r="C83" t="s">
        <v>4831</v>
      </c>
      <c r="D83" t="s">
        <v>4821</v>
      </c>
      <c r="E83" s="43">
        <v>46126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10"/>
        <v>✓ OK</v>
      </c>
      <c r="N83" s="43">
        <v>46196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11"/>
        <v>✓ OK</v>
      </c>
      <c r="W83" s="45">
        <v>46248</v>
      </c>
      <c r="X83" s="30" t="s">
        <v>23</v>
      </c>
      <c r="Y83" s="30" t="s">
        <v>24</v>
      </c>
      <c r="Z83" s="30" t="s">
        <v>25</v>
      </c>
      <c r="AA83" s="30" t="s">
        <v>26</v>
      </c>
      <c r="AB83" s="30" t="s">
        <v>24</v>
      </c>
      <c r="AC83" s="27"/>
      <c r="AD83" s="31" t="s">
        <v>25</v>
      </c>
      <c r="AE83" s="32" t="str">
        <f t="shared" si="12"/>
        <v>✓ OK</v>
      </c>
      <c r="AF83" s="33" t="s">
        <v>27</v>
      </c>
      <c r="AG83" s="33" t="s">
        <v>23</v>
      </c>
      <c r="AH83" s="33" t="s">
        <v>24</v>
      </c>
      <c r="AI83" s="33" t="s">
        <v>25</v>
      </c>
      <c r="AJ83" s="33" t="s">
        <v>26</v>
      </c>
      <c r="AK83" s="33" t="s">
        <v>24</v>
      </c>
      <c r="AL83" s="27"/>
      <c r="AM83" s="34" t="s">
        <v>25</v>
      </c>
      <c r="AN83" s="35" t="str">
        <f t="shared" si="13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14"/>
        <v/>
      </c>
    </row>
    <row r="84" spans="1:49" x14ac:dyDescent="0.3">
      <c r="A84">
        <v>80</v>
      </c>
      <c r="B84" t="s">
        <v>4832</v>
      </c>
      <c r="C84" t="s">
        <v>4833</v>
      </c>
      <c r="D84" t="s">
        <v>4821</v>
      </c>
      <c r="E84" s="43">
        <v>46126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10"/>
        <v>✓ OK</v>
      </c>
      <c r="N84" s="43">
        <v>46196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11"/>
        <v>✓ OK</v>
      </c>
      <c r="W84" s="45">
        <v>46248</v>
      </c>
      <c r="X84" s="30" t="s">
        <v>23</v>
      </c>
      <c r="Y84" s="30" t="s">
        <v>24</v>
      </c>
      <c r="Z84" s="30" t="s">
        <v>25</v>
      </c>
      <c r="AA84" s="30" t="s">
        <v>26</v>
      </c>
      <c r="AB84" s="30" t="s">
        <v>24</v>
      </c>
      <c r="AC84" s="27"/>
      <c r="AD84" s="31" t="s">
        <v>25</v>
      </c>
      <c r="AE84" s="32" t="str">
        <f t="shared" si="12"/>
        <v>✓ OK</v>
      </c>
      <c r="AF84" s="33" t="s">
        <v>27</v>
      </c>
      <c r="AG84" s="33" t="s">
        <v>23</v>
      </c>
      <c r="AH84" s="33" t="s">
        <v>24</v>
      </c>
      <c r="AI84" s="33" t="s">
        <v>25</v>
      </c>
      <c r="AJ84" s="33" t="s">
        <v>26</v>
      </c>
      <c r="AK84" s="33" t="s">
        <v>24</v>
      </c>
      <c r="AL84" s="27"/>
      <c r="AM84" s="34" t="s">
        <v>25</v>
      </c>
      <c r="AN84" s="35" t="str">
        <f t="shared" si="13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14"/>
        <v/>
      </c>
    </row>
    <row r="85" spans="1:49" x14ac:dyDescent="0.3">
      <c r="A85">
        <v>81</v>
      </c>
      <c r="B85" t="s">
        <v>4834</v>
      </c>
      <c r="C85" t="s">
        <v>4835</v>
      </c>
      <c r="D85" t="s">
        <v>4821</v>
      </c>
      <c r="E85" s="43">
        <v>46126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10"/>
        <v>✓ OK</v>
      </c>
      <c r="N85" s="43">
        <v>46196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11"/>
        <v>✓ OK</v>
      </c>
      <c r="W85" s="45">
        <v>46248</v>
      </c>
      <c r="X85" s="30" t="s">
        <v>23</v>
      </c>
      <c r="Y85" s="30" t="s">
        <v>24</v>
      </c>
      <c r="Z85" s="30" t="s">
        <v>25</v>
      </c>
      <c r="AA85" s="30" t="s">
        <v>26</v>
      </c>
      <c r="AB85" s="30" t="s">
        <v>24</v>
      </c>
      <c r="AC85" s="27"/>
      <c r="AD85" s="31" t="s">
        <v>25</v>
      </c>
      <c r="AE85" s="32" t="str">
        <f t="shared" si="12"/>
        <v>✓ OK</v>
      </c>
      <c r="AF85" s="33" t="s">
        <v>27</v>
      </c>
      <c r="AG85" s="33" t="s">
        <v>23</v>
      </c>
      <c r="AH85" s="33" t="s">
        <v>24</v>
      </c>
      <c r="AI85" s="33" t="s">
        <v>25</v>
      </c>
      <c r="AJ85" s="33" t="s">
        <v>26</v>
      </c>
      <c r="AK85" s="33" t="s">
        <v>24</v>
      </c>
      <c r="AL85" s="27"/>
      <c r="AM85" s="34" t="s">
        <v>25</v>
      </c>
      <c r="AN85" s="35" t="str">
        <f t="shared" si="13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14"/>
        <v/>
      </c>
    </row>
    <row r="86" spans="1:49" x14ac:dyDescent="0.3">
      <c r="A86">
        <v>82</v>
      </c>
      <c r="B86" t="s">
        <v>4836</v>
      </c>
      <c r="C86" t="s">
        <v>4837</v>
      </c>
      <c r="D86" t="s">
        <v>4821</v>
      </c>
      <c r="E86" s="43">
        <v>46126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10"/>
        <v>✓ OK</v>
      </c>
      <c r="N86" s="43">
        <v>46196</v>
      </c>
      <c r="O86" s="26" t="s">
        <v>23</v>
      </c>
      <c r="P86" s="26" t="s">
        <v>24</v>
      </c>
      <c r="Q86" s="26" t="s">
        <v>25</v>
      </c>
      <c r="R86" s="26" t="s">
        <v>26</v>
      </c>
      <c r="S86" s="26" t="s">
        <v>24</v>
      </c>
      <c r="T86" s="27"/>
      <c r="U86" s="28" t="s">
        <v>25</v>
      </c>
      <c r="V86" s="29" t="str">
        <f t="shared" si="11"/>
        <v>✓ OK</v>
      </c>
      <c r="W86" s="45">
        <v>46248</v>
      </c>
      <c r="X86" s="30" t="s">
        <v>23</v>
      </c>
      <c r="Y86" s="30" t="s">
        <v>24</v>
      </c>
      <c r="Z86" s="30" t="s">
        <v>25</v>
      </c>
      <c r="AA86" s="30" t="s">
        <v>26</v>
      </c>
      <c r="AB86" s="30" t="s">
        <v>24</v>
      </c>
      <c r="AC86" s="27"/>
      <c r="AD86" s="31" t="s">
        <v>25</v>
      </c>
      <c r="AE86" s="32" t="str">
        <f t="shared" si="12"/>
        <v>✓ OK</v>
      </c>
      <c r="AF86" s="33" t="s">
        <v>27</v>
      </c>
      <c r="AG86" s="33" t="s">
        <v>23</v>
      </c>
      <c r="AH86" s="33" t="s">
        <v>24</v>
      </c>
      <c r="AI86" s="33" t="s">
        <v>25</v>
      </c>
      <c r="AJ86" s="33" t="s">
        <v>26</v>
      </c>
      <c r="AK86" s="33" t="s">
        <v>24</v>
      </c>
      <c r="AL86" s="27"/>
      <c r="AM86" s="34" t="s">
        <v>25</v>
      </c>
      <c r="AN86" s="35" t="str">
        <f t="shared" si="13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14"/>
        <v/>
      </c>
    </row>
    <row r="87" spans="1:49" x14ac:dyDescent="0.3">
      <c r="A87">
        <v>83</v>
      </c>
      <c r="B87" t="s">
        <v>4838</v>
      </c>
      <c r="C87" t="s">
        <v>4839</v>
      </c>
      <c r="D87" t="s">
        <v>4821</v>
      </c>
      <c r="E87" s="43">
        <v>46126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10"/>
        <v>✓ OK</v>
      </c>
      <c r="N87" s="43">
        <v>46196</v>
      </c>
      <c r="O87" s="26" t="s">
        <v>23</v>
      </c>
      <c r="P87" s="26" t="s">
        <v>24</v>
      </c>
      <c r="Q87" s="26" t="s">
        <v>25</v>
      </c>
      <c r="R87" s="26" t="s">
        <v>26</v>
      </c>
      <c r="S87" s="26" t="s">
        <v>24</v>
      </c>
      <c r="T87" s="27"/>
      <c r="U87" s="28" t="s">
        <v>25</v>
      </c>
      <c r="V87" s="29" t="str">
        <f t="shared" si="11"/>
        <v>✓ OK</v>
      </c>
      <c r="W87" s="45">
        <v>46248</v>
      </c>
      <c r="X87" s="30" t="s">
        <v>23</v>
      </c>
      <c r="Y87" s="30" t="s">
        <v>24</v>
      </c>
      <c r="Z87" s="30" t="s">
        <v>25</v>
      </c>
      <c r="AA87" s="30" t="s">
        <v>26</v>
      </c>
      <c r="AB87" s="30" t="s">
        <v>24</v>
      </c>
      <c r="AC87" s="27"/>
      <c r="AD87" s="31" t="s">
        <v>25</v>
      </c>
      <c r="AE87" s="32" t="str">
        <f t="shared" si="12"/>
        <v>✓ OK</v>
      </c>
      <c r="AF87" s="33" t="s">
        <v>27</v>
      </c>
      <c r="AG87" s="33" t="s">
        <v>23</v>
      </c>
      <c r="AH87" s="33" t="s">
        <v>24</v>
      </c>
      <c r="AI87" s="33" t="s">
        <v>25</v>
      </c>
      <c r="AJ87" s="33" t="s">
        <v>26</v>
      </c>
      <c r="AK87" s="33" t="s">
        <v>24</v>
      </c>
      <c r="AL87" s="27"/>
      <c r="AM87" s="34" t="s">
        <v>25</v>
      </c>
      <c r="AN87" s="35" t="str">
        <f t="shared" si="13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14"/>
        <v/>
      </c>
    </row>
    <row r="88" spans="1:49" x14ac:dyDescent="0.3">
      <c r="A88">
        <v>84</v>
      </c>
      <c r="B88" t="s">
        <v>4840</v>
      </c>
      <c r="C88" t="s">
        <v>4841</v>
      </c>
      <c r="D88" t="s">
        <v>4821</v>
      </c>
      <c r="E88" s="43">
        <v>46126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10"/>
        <v>✓ OK</v>
      </c>
      <c r="N88" s="43">
        <v>46196</v>
      </c>
      <c r="O88" s="26" t="s">
        <v>23</v>
      </c>
      <c r="P88" s="26" t="s">
        <v>24</v>
      </c>
      <c r="Q88" s="26" t="s">
        <v>25</v>
      </c>
      <c r="R88" s="26" t="s">
        <v>26</v>
      </c>
      <c r="S88" s="26" t="s">
        <v>24</v>
      </c>
      <c r="T88" s="27"/>
      <c r="U88" s="28" t="s">
        <v>25</v>
      </c>
      <c r="V88" s="29" t="str">
        <f t="shared" si="11"/>
        <v>✓ OK</v>
      </c>
      <c r="W88" s="45">
        <v>46248</v>
      </c>
      <c r="X88" s="30" t="s">
        <v>23</v>
      </c>
      <c r="Y88" s="30" t="s">
        <v>24</v>
      </c>
      <c r="Z88" s="30" t="s">
        <v>25</v>
      </c>
      <c r="AA88" s="30" t="s">
        <v>26</v>
      </c>
      <c r="AB88" s="30" t="s">
        <v>24</v>
      </c>
      <c r="AC88" s="27"/>
      <c r="AD88" s="31" t="s">
        <v>25</v>
      </c>
      <c r="AE88" s="32" t="str">
        <f t="shared" si="12"/>
        <v>✓ OK</v>
      </c>
      <c r="AF88" s="33" t="s">
        <v>27</v>
      </c>
      <c r="AG88" s="33" t="s">
        <v>23</v>
      </c>
      <c r="AH88" s="33" t="s">
        <v>24</v>
      </c>
      <c r="AI88" s="33" t="s">
        <v>25</v>
      </c>
      <c r="AJ88" s="33" t="s">
        <v>26</v>
      </c>
      <c r="AK88" s="33" t="s">
        <v>24</v>
      </c>
      <c r="AL88" s="27"/>
      <c r="AM88" s="34" t="s">
        <v>25</v>
      </c>
      <c r="AN88" s="35" t="str">
        <f t="shared" si="13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14"/>
        <v/>
      </c>
    </row>
    <row r="89" spans="1:49" x14ac:dyDescent="0.3">
      <c r="A89">
        <v>85</v>
      </c>
      <c r="B89" t="s">
        <v>4842</v>
      </c>
      <c r="C89" t="s">
        <v>4843</v>
      </c>
      <c r="D89" t="s">
        <v>4821</v>
      </c>
      <c r="E89" s="43">
        <v>46126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10"/>
        <v>✓ OK</v>
      </c>
      <c r="N89" s="43">
        <v>46196</v>
      </c>
      <c r="O89" s="26" t="s">
        <v>23</v>
      </c>
      <c r="P89" s="26" t="s">
        <v>24</v>
      </c>
      <c r="Q89" s="26" t="s">
        <v>25</v>
      </c>
      <c r="R89" s="26" t="s">
        <v>26</v>
      </c>
      <c r="S89" s="26" t="s">
        <v>24</v>
      </c>
      <c r="T89" s="27"/>
      <c r="U89" s="28" t="s">
        <v>25</v>
      </c>
      <c r="V89" s="29" t="str">
        <f t="shared" si="11"/>
        <v>✓ OK</v>
      </c>
      <c r="W89" s="45">
        <v>46248</v>
      </c>
      <c r="X89" s="30" t="s">
        <v>23</v>
      </c>
      <c r="Y89" s="30" t="s">
        <v>24</v>
      </c>
      <c r="Z89" s="30" t="s">
        <v>25</v>
      </c>
      <c r="AA89" s="30" t="s">
        <v>26</v>
      </c>
      <c r="AB89" s="30" t="s">
        <v>24</v>
      </c>
      <c r="AC89" s="27"/>
      <c r="AD89" s="31" t="s">
        <v>25</v>
      </c>
      <c r="AE89" s="32" t="str">
        <f t="shared" si="12"/>
        <v>✓ OK</v>
      </c>
      <c r="AF89" s="33" t="s">
        <v>27</v>
      </c>
      <c r="AG89" s="33" t="s">
        <v>23</v>
      </c>
      <c r="AH89" s="33" t="s">
        <v>24</v>
      </c>
      <c r="AI89" s="33" t="s">
        <v>25</v>
      </c>
      <c r="AJ89" s="33" t="s">
        <v>26</v>
      </c>
      <c r="AK89" s="33" t="s">
        <v>24</v>
      </c>
      <c r="AL89" s="27"/>
      <c r="AM89" s="34" t="s">
        <v>25</v>
      </c>
      <c r="AN89" s="35" t="str">
        <f t="shared" si="13"/>
        <v>✓ OK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14"/>
        <v/>
      </c>
    </row>
    <row r="90" spans="1:49" x14ac:dyDescent="0.3">
      <c r="A90">
        <v>86</v>
      </c>
      <c r="B90" t="s">
        <v>4844</v>
      </c>
      <c r="C90" t="s">
        <v>4845</v>
      </c>
      <c r="D90" t="s">
        <v>4821</v>
      </c>
      <c r="E90" s="43">
        <v>46126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10"/>
        <v>✓ OK</v>
      </c>
      <c r="N90" s="43">
        <v>46196</v>
      </c>
      <c r="O90" s="26" t="s">
        <v>23</v>
      </c>
      <c r="P90" s="26" t="s">
        <v>24</v>
      </c>
      <c r="Q90" s="26" t="s">
        <v>25</v>
      </c>
      <c r="R90" s="26" t="s">
        <v>26</v>
      </c>
      <c r="S90" s="26" t="s">
        <v>24</v>
      </c>
      <c r="T90" s="27"/>
      <c r="U90" s="28" t="s">
        <v>25</v>
      </c>
      <c r="V90" s="29" t="str">
        <f t="shared" si="11"/>
        <v>✓ OK</v>
      </c>
      <c r="W90" s="45">
        <v>46248</v>
      </c>
      <c r="X90" s="30" t="s">
        <v>23</v>
      </c>
      <c r="Y90" s="30" t="s">
        <v>24</v>
      </c>
      <c r="Z90" s="30" t="s">
        <v>25</v>
      </c>
      <c r="AA90" s="30" t="s">
        <v>26</v>
      </c>
      <c r="AB90" s="30" t="s">
        <v>24</v>
      </c>
      <c r="AC90" s="27"/>
      <c r="AD90" s="31" t="s">
        <v>25</v>
      </c>
      <c r="AE90" s="32" t="str">
        <f t="shared" si="12"/>
        <v>✓ OK</v>
      </c>
      <c r="AF90" s="33" t="s">
        <v>27</v>
      </c>
      <c r="AG90" s="33" t="s">
        <v>23</v>
      </c>
      <c r="AH90" s="33" t="s">
        <v>24</v>
      </c>
      <c r="AI90" s="33" t="s">
        <v>25</v>
      </c>
      <c r="AJ90" s="33" t="s">
        <v>26</v>
      </c>
      <c r="AK90" s="33" t="s">
        <v>24</v>
      </c>
      <c r="AL90" s="27"/>
      <c r="AM90" s="34" t="s">
        <v>25</v>
      </c>
      <c r="AN90" s="35" t="str">
        <f t="shared" si="13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14"/>
        <v/>
      </c>
    </row>
    <row r="91" spans="1:49" x14ac:dyDescent="0.3">
      <c r="A91">
        <v>87</v>
      </c>
      <c r="B91" t="s">
        <v>4846</v>
      </c>
      <c r="C91" t="s">
        <v>4847</v>
      </c>
      <c r="D91" t="s">
        <v>4821</v>
      </c>
      <c r="E91" s="43">
        <v>46126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10"/>
        <v>✓ OK</v>
      </c>
      <c r="N91" s="43">
        <v>46196</v>
      </c>
      <c r="O91" s="26" t="s">
        <v>23</v>
      </c>
      <c r="P91" s="26" t="s">
        <v>24</v>
      </c>
      <c r="Q91" s="26" t="s">
        <v>25</v>
      </c>
      <c r="R91" s="26" t="s">
        <v>26</v>
      </c>
      <c r="S91" s="26" t="s">
        <v>24</v>
      </c>
      <c r="T91" s="27"/>
      <c r="U91" s="28" t="s">
        <v>25</v>
      </c>
      <c r="V91" s="29" t="str">
        <f t="shared" si="11"/>
        <v>✓ OK</v>
      </c>
      <c r="W91" s="45">
        <v>46248</v>
      </c>
      <c r="X91" s="30" t="s">
        <v>23</v>
      </c>
      <c r="Y91" s="30" t="s">
        <v>24</v>
      </c>
      <c r="Z91" s="30" t="s">
        <v>25</v>
      </c>
      <c r="AA91" s="30" t="s">
        <v>26</v>
      </c>
      <c r="AB91" s="30" t="s">
        <v>24</v>
      </c>
      <c r="AC91" s="27"/>
      <c r="AD91" s="31" t="s">
        <v>25</v>
      </c>
      <c r="AE91" s="32" t="str">
        <f t="shared" si="12"/>
        <v>✓ OK</v>
      </c>
      <c r="AF91" s="33" t="s">
        <v>27</v>
      </c>
      <c r="AG91" s="33" t="s">
        <v>23</v>
      </c>
      <c r="AH91" s="33" t="s">
        <v>24</v>
      </c>
      <c r="AI91" s="33" t="s">
        <v>25</v>
      </c>
      <c r="AJ91" s="33" t="s">
        <v>26</v>
      </c>
      <c r="AK91" s="33" t="s">
        <v>24</v>
      </c>
      <c r="AL91" s="27"/>
      <c r="AM91" s="34" t="s">
        <v>25</v>
      </c>
      <c r="AN91" s="35" t="str">
        <f t="shared" si="13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14"/>
        <v/>
      </c>
    </row>
    <row r="92" spans="1:49" x14ac:dyDescent="0.3">
      <c r="A92">
        <v>88</v>
      </c>
      <c r="B92" t="s">
        <v>4848</v>
      </c>
      <c r="C92" t="s">
        <v>4849</v>
      </c>
      <c r="D92" t="s">
        <v>4821</v>
      </c>
      <c r="E92" s="43">
        <v>46126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/>
      <c r="L92" s="28" t="s">
        <v>25</v>
      </c>
      <c r="M92" s="29" t="str">
        <f t="shared" si="10"/>
        <v>✓ OK</v>
      </c>
      <c r="N92" s="43">
        <v>46196</v>
      </c>
      <c r="O92" s="26" t="s">
        <v>23</v>
      </c>
      <c r="P92" s="26" t="s">
        <v>24</v>
      </c>
      <c r="Q92" s="26" t="s">
        <v>25</v>
      </c>
      <c r="R92" s="26" t="s">
        <v>26</v>
      </c>
      <c r="S92" s="26" t="s">
        <v>24</v>
      </c>
      <c r="T92" s="27"/>
      <c r="U92" s="28" t="s">
        <v>25</v>
      </c>
      <c r="V92" s="29" t="str">
        <f t="shared" si="11"/>
        <v>✓ OK</v>
      </c>
      <c r="W92" s="45">
        <v>46248</v>
      </c>
      <c r="X92" s="30" t="s">
        <v>23</v>
      </c>
      <c r="Y92" s="30" t="s">
        <v>24</v>
      </c>
      <c r="Z92" s="30" t="s">
        <v>25</v>
      </c>
      <c r="AA92" s="30" t="s">
        <v>26</v>
      </c>
      <c r="AB92" s="30" t="s">
        <v>24</v>
      </c>
      <c r="AC92" s="27"/>
      <c r="AD92" s="31" t="s">
        <v>25</v>
      </c>
      <c r="AE92" s="32" t="str">
        <f t="shared" si="12"/>
        <v>✓ OK</v>
      </c>
      <c r="AF92" s="33" t="s">
        <v>27</v>
      </c>
      <c r="AG92" s="33" t="s">
        <v>23</v>
      </c>
      <c r="AH92" s="33" t="s">
        <v>24</v>
      </c>
      <c r="AI92" s="33" t="s">
        <v>25</v>
      </c>
      <c r="AJ92" s="33" t="s">
        <v>26</v>
      </c>
      <c r="AK92" s="33" t="s">
        <v>24</v>
      </c>
      <c r="AL92" s="27"/>
      <c r="AM92" s="34" t="s">
        <v>25</v>
      </c>
      <c r="AN92" s="35" t="str">
        <f t="shared" si="13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14"/>
        <v/>
      </c>
    </row>
    <row r="93" spans="1:49" x14ac:dyDescent="0.3">
      <c r="A93">
        <v>89</v>
      </c>
      <c r="B93" t="s">
        <v>4850</v>
      </c>
      <c r="C93" t="s">
        <v>4851</v>
      </c>
      <c r="D93" t="s">
        <v>4821</v>
      </c>
      <c r="E93" s="43">
        <v>46126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/>
      <c r="L93" s="28" t="s">
        <v>25</v>
      </c>
      <c r="M93" s="29" t="str">
        <f t="shared" si="10"/>
        <v>✓ OK</v>
      </c>
      <c r="N93" s="43">
        <v>46196</v>
      </c>
      <c r="O93" s="26" t="s">
        <v>23</v>
      </c>
      <c r="P93" s="26" t="s">
        <v>24</v>
      </c>
      <c r="Q93" s="26" t="s">
        <v>25</v>
      </c>
      <c r="R93" s="26" t="s">
        <v>26</v>
      </c>
      <c r="S93" s="26" t="s">
        <v>24</v>
      </c>
      <c r="T93" s="27"/>
      <c r="U93" s="28" t="s">
        <v>25</v>
      </c>
      <c r="V93" s="29" t="str">
        <f t="shared" si="11"/>
        <v>✓ OK</v>
      </c>
      <c r="W93" s="45">
        <v>46248</v>
      </c>
      <c r="X93" s="30" t="s">
        <v>23</v>
      </c>
      <c r="Y93" s="30" t="s">
        <v>24</v>
      </c>
      <c r="Z93" s="30" t="s">
        <v>25</v>
      </c>
      <c r="AA93" s="30" t="s">
        <v>26</v>
      </c>
      <c r="AB93" s="30" t="s">
        <v>24</v>
      </c>
      <c r="AC93" s="27"/>
      <c r="AD93" s="31" t="s">
        <v>25</v>
      </c>
      <c r="AE93" s="32" t="str">
        <f t="shared" si="12"/>
        <v>✓ OK</v>
      </c>
      <c r="AF93" s="33" t="s">
        <v>27</v>
      </c>
      <c r="AG93" s="33" t="s">
        <v>23</v>
      </c>
      <c r="AH93" s="33" t="s">
        <v>24</v>
      </c>
      <c r="AI93" s="33" t="s">
        <v>25</v>
      </c>
      <c r="AJ93" s="33" t="s">
        <v>26</v>
      </c>
      <c r="AK93" s="33" t="s">
        <v>24</v>
      </c>
      <c r="AL93" s="27"/>
      <c r="AM93" s="34" t="s">
        <v>25</v>
      </c>
      <c r="AN93" s="35" t="str">
        <f t="shared" si="13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14"/>
        <v/>
      </c>
    </row>
    <row r="94" spans="1:49" x14ac:dyDescent="0.3">
      <c r="A94">
        <v>90</v>
      </c>
      <c r="B94" t="s">
        <v>4852</v>
      </c>
      <c r="C94" t="s">
        <v>4853</v>
      </c>
      <c r="D94" t="s">
        <v>4821</v>
      </c>
      <c r="E94" s="43">
        <v>46126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/>
      <c r="L94" s="28" t="s">
        <v>25</v>
      </c>
      <c r="M94" s="29" t="str">
        <f t="shared" si="10"/>
        <v>✓ OK</v>
      </c>
      <c r="N94" s="43">
        <v>46196</v>
      </c>
      <c r="O94" s="26" t="s">
        <v>23</v>
      </c>
      <c r="P94" s="26" t="s">
        <v>24</v>
      </c>
      <c r="Q94" s="26" t="s">
        <v>25</v>
      </c>
      <c r="R94" s="26" t="s">
        <v>26</v>
      </c>
      <c r="S94" s="26" t="s">
        <v>24</v>
      </c>
      <c r="T94" s="27"/>
      <c r="U94" s="28" t="s">
        <v>25</v>
      </c>
      <c r="V94" s="29" t="str">
        <f t="shared" si="11"/>
        <v>✓ OK</v>
      </c>
      <c r="W94" s="45">
        <v>46248</v>
      </c>
      <c r="X94" s="30" t="s">
        <v>23</v>
      </c>
      <c r="Y94" s="30" t="s">
        <v>24</v>
      </c>
      <c r="Z94" s="30" t="s">
        <v>25</v>
      </c>
      <c r="AA94" s="30" t="s">
        <v>26</v>
      </c>
      <c r="AB94" s="30" t="s">
        <v>24</v>
      </c>
      <c r="AC94" s="27"/>
      <c r="AD94" s="31" t="s">
        <v>25</v>
      </c>
      <c r="AE94" s="32" t="str">
        <f t="shared" si="12"/>
        <v>✓ OK</v>
      </c>
      <c r="AF94" s="33" t="s">
        <v>27</v>
      </c>
      <c r="AG94" s="33" t="s">
        <v>23</v>
      </c>
      <c r="AH94" s="33" t="s">
        <v>24</v>
      </c>
      <c r="AI94" s="33" t="s">
        <v>25</v>
      </c>
      <c r="AJ94" s="33" t="s">
        <v>26</v>
      </c>
      <c r="AK94" s="33" t="s">
        <v>24</v>
      </c>
      <c r="AL94" s="27"/>
      <c r="AM94" s="34" t="s">
        <v>25</v>
      </c>
      <c r="AN94" s="35" t="str">
        <f t="shared" si="13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14"/>
        <v/>
      </c>
    </row>
    <row r="95" spans="1:49" x14ac:dyDescent="0.3">
      <c r="A95">
        <v>91</v>
      </c>
      <c r="B95" t="s">
        <v>4854</v>
      </c>
      <c r="C95" t="s">
        <v>4855</v>
      </c>
      <c r="D95" t="s">
        <v>4821</v>
      </c>
      <c r="E95" s="43">
        <v>46126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10"/>
        <v>✓ OK</v>
      </c>
      <c r="N95" s="43">
        <v>46196</v>
      </c>
      <c r="O95" s="26" t="s">
        <v>23</v>
      </c>
      <c r="P95" s="26" t="s">
        <v>24</v>
      </c>
      <c r="Q95" s="26" t="s">
        <v>25</v>
      </c>
      <c r="R95" s="26" t="s">
        <v>26</v>
      </c>
      <c r="S95" s="26" t="s">
        <v>24</v>
      </c>
      <c r="T95" s="27"/>
      <c r="U95" s="28" t="s">
        <v>25</v>
      </c>
      <c r="V95" s="29" t="str">
        <f t="shared" si="11"/>
        <v>✓ OK</v>
      </c>
      <c r="W95" s="45">
        <v>46248</v>
      </c>
      <c r="X95" s="30" t="s">
        <v>23</v>
      </c>
      <c r="Y95" s="30" t="s">
        <v>24</v>
      </c>
      <c r="Z95" s="30" t="s">
        <v>25</v>
      </c>
      <c r="AA95" s="30" t="s">
        <v>26</v>
      </c>
      <c r="AB95" s="30" t="s">
        <v>24</v>
      </c>
      <c r="AC95" s="27"/>
      <c r="AD95" s="31" t="s">
        <v>25</v>
      </c>
      <c r="AE95" s="32" t="str">
        <f t="shared" si="12"/>
        <v>✓ OK</v>
      </c>
      <c r="AF95" s="33" t="s">
        <v>27</v>
      </c>
      <c r="AG95" s="33" t="s">
        <v>23</v>
      </c>
      <c r="AH95" s="33" t="s">
        <v>24</v>
      </c>
      <c r="AI95" s="33" t="s">
        <v>25</v>
      </c>
      <c r="AJ95" s="33" t="s">
        <v>26</v>
      </c>
      <c r="AK95" s="33" t="s">
        <v>24</v>
      </c>
      <c r="AL95" s="27"/>
      <c r="AM95" s="34" t="s">
        <v>25</v>
      </c>
      <c r="AN95" s="35" t="str">
        <f t="shared" si="13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14"/>
        <v/>
      </c>
    </row>
    <row r="96" spans="1:49" x14ac:dyDescent="0.3">
      <c r="A96">
        <v>92</v>
      </c>
      <c r="B96" t="s">
        <v>4856</v>
      </c>
      <c r="C96" t="s">
        <v>4857</v>
      </c>
      <c r="D96" t="s">
        <v>4821</v>
      </c>
      <c r="E96" s="43">
        <v>46126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10"/>
        <v>✓ OK</v>
      </c>
      <c r="N96" s="43">
        <v>46196</v>
      </c>
      <c r="O96" s="26" t="s">
        <v>23</v>
      </c>
      <c r="P96" s="26" t="s">
        <v>24</v>
      </c>
      <c r="Q96" s="26" t="s">
        <v>25</v>
      </c>
      <c r="R96" s="26" t="s">
        <v>26</v>
      </c>
      <c r="S96" s="26" t="s">
        <v>24</v>
      </c>
      <c r="T96" s="27"/>
      <c r="U96" s="28" t="s">
        <v>25</v>
      </c>
      <c r="V96" s="29" t="str">
        <f t="shared" si="11"/>
        <v>✓ OK</v>
      </c>
      <c r="W96" s="45">
        <v>46248</v>
      </c>
      <c r="X96" s="30" t="s">
        <v>23</v>
      </c>
      <c r="Y96" s="30" t="s">
        <v>24</v>
      </c>
      <c r="Z96" s="30" t="s">
        <v>25</v>
      </c>
      <c r="AA96" s="30" t="s">
        <v>26</v>
      </c>
      <c r="AB96" s="30" t="s">
        <v>24</v>
      </c>
      <c r="AC96" s="27"/>
      <c r="AD96" s="31" t="s">
        <v>25</v>
      </c>
      <c r="AE96" s="32" t="str">
        <f t="shared" si="12"/>
        <v>✓ OK</v>
      </c>
      <c r="AF96" s="33" t="s">
        <v>27</v>
      </c>
      <c r="AG96" s="33" t="s">
        <v>23</v>
      </c>
      <c r="AH96" s="33" t="s">
        <v>24</v>
      </c>
      <c r="AI96" s="33" t="s">
        <v>25</v>
      </c>
      <c r="AJ96" s="33" t="s">
        <v>26</v>
      </c>
      <c r="AK96" s="33" t="s">
        <v>24</v>
      </c>
      <c r="AL96" s="27"/>
      <c r="AM96" s="34" t="s">
        <v>25</v>
      </c>
      <c r="AN96" s="35" t="str">
        <f t="shared" si="13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14"/>
        <v/>
      </c>
    </row>
    <row r="97" spans="1:49" x14ac:dyDescent="0.3">
      <c r="A97">
        <v>93</v>
      </c>
      <c r="B97" t="s">
        <v>4858</v>
      </c>
      <c r="C97" t="s">
        <v>4859</v>
      </c>
      <c r="D97" t="s">
        <v>4821</v>
      </c>
      <c r="E97" s="43">
        <v>46126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10"/>
        <v>✓ OK</v>
      </c>
      <c r="N97" s="43">
        <v>46196</v>
      </c>
      <c r="O97" s="26" t="s">
        <v>23</v>
      </c>
      <c r="P97" s="26" t="s">
        <v>24</v>
      </c>
      <c r="Q97" s="26" t="s">
        <v>25</v>
      </c>
      <c r="R97" s="26" t="s">
        <v>26</v>
      </c>
      <c r="S97" s="26" t="s">
        <v>24</v>
      </c>
      <c r="T97" s="27"/>
      <c r="U97" s="28" t="s">
        <v>25</v>
      </c>
      <c r="V97" s="29" t="str">
        <f t="shared" si="11"/>
        <v>✓ OK</v>
      </c>
      <c r="W97" s="45">
        <v>46248</v>
      </c>
      <c r="X97" s="30" t="s">
        <v>23</v>
      </c>
      <c r="Y97" s="30" t="s">
        <v>24</v>
      </c>
      <c r="Z97" s="30" t="s">
        <v>25</v>
      </c>
      <c r="AA97" s="30" t="s">
        <v>26</v>
      </c>
      <c r="AB97" s="30" t="s">
        <v>24</v>
      </c>
      <c r="AC97" s="27"/>
      <c r="AD97" s="31" t="s">
        <v>25</v>
      </c>
      <c r="AE97" s="32" t="str">
        <f t="shared" si="12"/>
        <v>✓ OK</v>
      </c>
      <c r="AF97" s="33" t="s">
        <v>27</v>
      </c>
      <c r="AG97" s="33" t="s">
        <v>23</v>
      </c>
      <c r="AH97" s="33" t="s">
        <v>24</v>
      </c>
      <c r="AI97" s="33" t="s">
        <v>25</v>
      </c>
      <c r="AJ97" s="33" t="s">
        <v>26</v>
      </c>
      <c r="AK97" s="33" t="s">
        <v>24</v>
      </c>
      <c r="AL97" s="27"/>
      <c r="AM97" s="34" t="s">
        <v>25</v>
      </c>
      <c r="AN97" s="35" t="str">
        <f t="shared" si="13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14"/>
        <v/>
      </c>
    </row>
    <row r="98" spans="1:49" x14ac:dyDescent="0.3">
      <c r="A98">
        <v>94</v>
      </c>
      <c r="B98" t="s">
        <v>4860</v>
      </c>
      <c r="C98" t="s">
        <v>4861</v>
      </c>
      <c r="D98" t="s">
        <v>4821</v>
      </c>
      <c r="E98" s="43">
        <v>46126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10"/>
        <v>✓ OK</v>
      </c>
      <c r="N98" s="43">
        <v>46196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11"/>
        <v>✓ OK</v>
      </c>
      <c r="W98" s="45">
        <v>46248</v>
      </c>
      <c r="X98" s="30" t="s">
        <v>23</v>
      </c>
      <c r="Y98" s="30" t="s">
        <v>24</v>
      </c>
      <c r="Z98" s="30" t="s">
        <v>25</v>
      </c>
      <c r="AA98" s="30" t="s">
        <v>26</v>
      </c>
      <c r="AB98" s="30" t="s">
        <v>24</v>
      </c>
      <c r="AC98" s="27"/>
      <c r="AD98" s="31" t="s">
        <v>25</v>
      </c>
      <c r="AE98" s="32" t="str">
        <f t="shared" si="12"/>
        <v>✓ OK</v>
      </c>
      <c r="AF98" s="33" t="s">
        <v>27</v>
      </c>
      <c r="AG98" s="33" t="s">
        <v>23</v>
      </c>
      <c r="AH98" s="33" t="s">
        <v>24</v>
      </c>
      <c r="AI98" s="33" t="s">
        <v>25</v>
      </c>
      <c r="AJ98" s="33" t="s">
        <v>26</v>
      </c>
      <c r="AK98" s="33" t="s">
        <v>24</v>
      </c>
      <c r="AL98" s="27"/>
      <c r="AM98" s="34" t="s">
        <v>25</v>
      </c>
      <c r="AN98" s="35" t="str">
        <f t="shared" si="13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14"/>
        <v/>
      </c>
    </row>
    <row r="99" spans="1:49" x14ac:dyDescent="0.3">
      <c r="A99">
        <v>95</v>
      </c>
      <c r="B99" t="s">
        <v>4862</v>
      </c>
      <c r="C99" t="s">
        <v>4863</v>
      </c>
      <c r="D99" t="s">
        <v>4821</v>
      </c>
      <c r="E99" s="43">
        <v>46126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10"/>
        <v>✓ OK</v>
      </c>
      <c r="N99" s="43">
        <v>46196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11"/>
        <v>✓ OK</v>
      </c>
      <c r="W99" s="45">
        <v>46248</v>
      </c>
      <c r="X99" s="30" t="s">
        <v>23</v>
      </c>
      <c r="Y99" s="30" t="s">
        <v>24</v>
      </c>
      <c r="Z99" s="30" t="s">
        <v>25</v>
      </c>
      <c r="AA99" s="30" t="s">
        <v>26</v>
      </c>
      <c r="AB99" s="30" t="s">
        <v>24</v>
      </c>
      <c r="AC99" s="27"/>
      <c r="AD99" s="31" t="s">
        <v>25</v>
      </c>
      <c r="AE99" s="32" t="str">
        <f t="shared" si="12"/>
        <v>✓ OK</v>
      </c>
      <c r="AF99" s="33" t="s">
        <v>27</v>
      </c>
      <c r="AG99" s="33" t="s">
        <v>23</v>
      </c>
      <c r="AH99" s="33" t="s">
        <v>24</v>
      </c>
      <c r="AI99" s="33" t="s">
        <v>25</v>
      </c>
      <c r="AJ99" s="33" t="s">
        <v>26</v>
      </c>
      <c r="AK99" s="33" t="s">
        <v>24</v>
      </c>
      <c r="AL99" s="27"/>
      <c r="AM99" s="34" t="s">
        <v>25</v>
      </c>
      <c r="AN99" s="35" t="str">
        <f t="shared" si="13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14"/>
        <v/>
      </c>
    </row>
    <row r="100" spans="1:49" x14ac:dyDescent="0.3">
      <c r="A100">
        <v>96</v>
      </c>
      <c r="B100" t="s">
        <v>4864</v>
      </c>
      <c r="C100" t="s">
        <v>4865</v>
      </c>
      <c r="D100" t="s">
        <v>4821</v>
      </c>
      <c r="E100" s="43">
        <v>46126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10"/>
        <v>✓ OK</v>
      </c>
      <c r="N100" s="43">
        <v>46196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11"/>
        <v>✓ OK</v>
      </c>
      <c r="W100" s="45">
        <v>46248</v>
      </c>
      <c r="X100" s="30" t="s">
        <v>23</v>
      </c>
      <c r="Y100" s="30" t="s">
        <v>24</v>
      </c>
      <c r="Z100" s="30" t="s">
        <v>25</v>
      </c>
      <c r="AA100" s="30" t="s">
        <v>26</v>
      </c>
      <c r="AB100" s="30" t="s">
        <v>24</v>
      </c>
      <c r="AC100" s="27"/>
      <c r="AD100" s="31" t="s">
        <v>25</v>
      </c>
      <c r="AE100" s="32" t="str">
        <f t="shared" si="12"/>
        <v>✓ OK</v>
      </c>
      <c r="AF100" s="33" t="s">
        <v>27</v>
      </c>
      <c r="AG100" s="33" t="s">
        <v>23</v>
      </c>
      <c r="AH100" s="33" t="s">
        <v>24</v>
      </c>
      <c r="AI100" s="33" t="s">
        <v>25</v>
      </c>
      <c r="AJ100" s="33" t="s">
        <v>26</v>
      </c>
      <c r="AK100" s="33" t="s">
        <v>24</v>
      </c>
      <c r="AL100" s="27"/>
      <c r="AM100" s="34" t="s">
        <v>25</v>
      </c>
      <c r="AN100" s="35" t="str">
        <f t="shared" si="13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14"/>
        <v/>
      </c>
    </row>
    <row r="101" spans="1:49" x14ac:dyDescent="0.3">
      <c r="A101">
        <v>97</v>
      </c>
      <c r="B101" t="s">
        <v>4866</v>
      </c>
      <c r="C101" t="s">
        <v>4867</v>
      </c>
      <c r="D101" t="s">
        <v>4821</v>
      </c>
      <c r="E101" s="43">
        <v>46126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ref="M101:M117" si="15">IF(E101="","",IF(H101="Yes","❌ Disc",IF(G101="No","⚠ Missing",IF(J101="Yes","✓ OK","⚠ Check"))))</f>
        <v>✓ OK</v>
      </c>
      <c r="N101" s="43">
        <v>46196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ref="V101:V117" si="16">IF(N101="","",IF(Q101="Yes","❌ Disc",IF(P101="No","⚠ Missing",IF(S101="Yes","✓ OK","⚠ Check"))))</f>
        <v>✓ OK</v>
      </c>
      <c r="W101" s="45">
        <v>46248</v>
      </c>
      <c r="X101" s="30" t="s">
        <v>23</v>
      </c>
      <c r="Y101" s="30" t="s">
        <v>24</v>
      </c>
      <c r="Z101" s="30" t="s">
        <v>25</v>
      </c>
      <c r="AA101" s="30" t="s">
        <v>26</v>
      </c>
      <c r="AB101" s="30" t="s">
        <v>24</v>
      </c>
      <c r="AC101" s="27"/>
      <c r="AD101" s="31" t="s">
        <v>25</v>
      </c>
      <c r="AE101" s="32" t="str">
        <f t="shared" ref="AE101:AE117" si="17">IF(W101="","",IF(Z101="Yes","❌ Disc",IF(Y101="No","⚠ Missing",IF(AB101="Yes","✓ OK","⚠ Check"))))</f>
        <v>✓ OK</v>
      </c>
      <c r="AF101" s="33" t="s">
        <v>27</v>
      </c>
      <c r="AG101" s="33" t="s">
        <v>23</v>
      </c>
      <c r="AH101" s="33" t="s">
        <v>24</v>
      </c>
      <c r="AI101" s="33" t="s">
        <v>25</v>
      </c>
      <c r="AJ101" s="33" t="s">
        <v>26</v>
      </c>
      <c r="AK101" s="33" t="s">
        <v>24</v>
      </c>
      <c r="AL101" s="27"/>
      <c r="AM101" s="34" t="s">
        <v>25</v>
      </c>
      <c r="AN101" s="35" t="str">
        <f t="shared" ref="AN101:AN117" si="18">IF(AF101="","",IF(AI101="Yes","❌ Disc",IF(AH101="No","⚠ Missing",IF(AK101="Yes","✓ OK","⚠ Check"))))</f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ref="AW101:AW117" si="19">IF(AO101="","",IF(AR101="Yes","❌ Disc",IF(AQ101="No","⚠ Missing",IF(AT101="Yes","✓ OK","⚠ Check"))))</f>
        <v/>
      </c>
    </row>
    <row r="102" spans="1:49" x14ac:dyDescent="0.3">
      <c r="A102">
        <v>98</v>
      </c>
      <c r="B102" t="s">
        <v>4868</v>
      </c>
      <c r="C102" t="s">
        <v>4869</v>
      </c>
      <c r="D102" t="s">
        <v>4821</v>
      </c>
      <c r="E102" s="43">
        <v>46126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15"/>
        <v>✓ OK</v>
      </c>
      <c r="N102" s="43">
        <v>46196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16"/>
        <v>✓ OK</v>
      </c>
      <c r="W102" s="45">
        <v>46248</v>
      </c>
      <c r="X102" s="30" t="s">
        <v>23</v>
      </c>
      <c r="Y102" s="30" t="s">
        <v>24</v>
      </c>
      <c r="Z102" s="30" t="s">
        <v>25</v>
      </c>
      <c r="AA102" s="30" t="s">
        <v>26</v>
      </c>
      <c r="AB102" s="30" t="s">
        <v>24</v>
      </c>
      <c r="AC102" s="27"/>
      <c r="AD102" s="31" t="s">
        <v>25</v>
      </c>
      <c r="AE102" s="32" t="str">
        <f t="shared" si="17"/>
        <v>✓ OK</v>
      </c>
      <c r="AF102" s="33" t="s">
        <v>27</v>
      </c>
      <c r="AG102" s="33" t="s">
        <v>23</v>
      </c>
      <c r="AH102" s="33" t="s">
        <v>24</v>
      </c>
      <c r="AI102" s="33" t="s">
        <v>25</v>
      </c>
      <c r="AJ102" s="33" t="s">
        <v>26</v>
      </c>
      <c r="AK102" s="33" t="s">
        <v>24</v>
      </c>
      <c r="AL102" s="27"/>
      <c r="AM102" s="34" t="s">
        <v>25</v>
      </c>
      <c r="AN102" s="35" t="str">
        <f t="shared" si="1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19"/>
        <v/>
      </c>
    </row>
    <row r="103" spans="1:49" x14ac:dyDescent="0.3">
      <c r="A103">
        <v>99</v>
      </c>
      <c r="B103" t="s">
        <v>4870</v>
      </c>
      <c r="C103" t="s">
        <v>4871</v>
      </c>
      <c r="D103" t="s">
        <v>4821</v>
      </c>
      <c r="E103" s="43">
        <v>46126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15"/>
        <v>✓ OK</v>
      </c>
      <c r="N103" s="43">
        <v>46196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16"/>
        <v>✓ OK</v>
      </c>
      <c r="W103" s="45">
        <v>46248</v>
      </c>
      <c r="X103" s="30" t="s">
        <v>23</v>
      </c>
      <c r="Y103" s="30" t="s">
        <v>24</v>
      </c>
      <c r="Z103" s="30" t="s">
        <v>25</v>
      </c>
      <c r="AA103" s="30" t="s">
        <v>26</v>
      </c>
      <c r="AB103" s="30" t="s">
        <v>24</v>
      </c>
      <c r="AC103" s="27"/>
      <c r="AD103" s="31" t="s">
        <v>25</v>
      </c>
      <c r="AE103" s="32" t="str">
        <f t="shared" si="17"/>
        <v>✓ OK</v>
      </c>
      <c r="AF103" s="33" t="s">
        <v>27</v>
      </c>
      <c r="AG103" s="33" t="s">
        <v>23</v>
      </c>
      <c r="AH103" s="33" t="s">
        <v>24</v>
      </c>
      <c r="AI103" s="33" t="s">
        <v>25</v>
      </c>
      <c r="AJ103" s="33" t="s">
        <v>26</v>
      </c>
      <c r="AK103" s="33" t="s">
        <v>24</v>
      </c>
      <c r="AL103" s="27"/>
      <c r="AM103" s="34" t="s">
        <v>25</v>
      </c>
      <c r="AN103" s="35" t="str">
        <f t="shared" si="1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19"/>
        <v/>
      </c>
    </row>
    <row r="104" spans="1:49" x14ac:dyDescent="0.3">
      <c r="A104">
        <v>100</v>
      </c>
      <c r="B104" t="s">
        <v>4872</v>
      </c>
      <c r="C104" t="s">
        <v>4873</v>
      </c>
      <c r="D104" t="s">
        <v>4821</v>
      </c>
      <c r="E104" s="43">
        <v>46126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15"/>
        <v>✓ OK</v>
      </c>
      <c r="N104" s="43">
        <v>46196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16"/>
        <v>✓ OK</v>
      </c>
      <c r="W104" s="45">
        <v>46248</v>
      </c>
      <c r="X104" s="30" t="s">
        <v>23</v>
      </c>
      <c r="Y104" s="30" t="s">
        <v>24</v>
      </c>
      <c r="Z104" s="30" t="s">
        <v>25</v>
      </c>
      <c r="AA104" s="30" t="s">
        <v>26</v>
      </c>
      <c r="AB104" s="30" t="s">
        <v>24</v>
      </c>
      <c r="AC104" s="27"/>
      <c r="AD104" s="31" t="s">
        <v>25</v>
      </c>
      <c r="AE104" s="32" t="str">
        <f t="shared" si="17"/>
        <v>✓ OK</v>
      </c>
      <c r="AF104" s="33" t="s">
        <v>27</v>
      </c>
      <c r="AG104" s="33" t="s">
        <v>23</v>
      </c>
      <c r="AH104" s="33" t="s">
        <v>24</v>
      </c>
      <c r="AI104" s="33" t="s">
        <v>25</v>
      </c>
      <c r="AJ104" s="33" t="s">
        <v>26</v>
      </c>
      <c r="AK104" s="33" t="s">
        <v>24</v>
      </c>
      <c r="AL104" s="27"/>
      <c r="AM104" s="34" t="s">
        <v>25</v>
      </c>
      <c r="AN104" s="35" t="str">
        <f t="shared" si="1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19"/>
        <v/>
      </c>
    </row>
    <row r="105" spans="1:49" x14ac:dyDescent="0.3">
      <c r="A105">
        <v>101</v>
      </c>
      <c r="B105" t="s">
        <v>4874</v>
      </c>
      <c r="C105" t="s">
        <v>4875</v>
      </c>
      <c r="D105" t="s">
        <v>4821</v>
      </c>
      <c r="E105" s="43">
        <v>46126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15"/>
        <v>✓ OK</v>
      </c>
      <c r="N105" s="43">
        <v>46196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16"/>
        <v>✓ OK</v>
      </c>
      <c r="W105" s="45">
        <v>46248</v>
      </c>
      <c r="X105" s="30" t="s">
        <v>23</v>
      </c>
      <c r="Y105" s="30" t="s">
        <v>24</v>
      </c>
      <c r="Z105" s="30" t="s">
        <v>25</v>
      </c>
      <c r="AA105" s="30" t="s">
        <v>26</v>
      </c>
      <c r="AB105" s="30" t="s">
        <v>24</v>
      </c>
      <c r="AC105" s="27"/>
      <c r="AD105" s="31" t="s">
        <v>25</v>
      </c>
      <c r="AE105" s="32" t="str">
        <f t="shared" si="17"/>
        <v>✓ OK</v>
      </c>
      <c r="AF105" s="33" t="s">
        <v>27</v>
      </c>
      <c r="AG105" s="33" t="s">
        <v>23</v>
      </c>
      <c r="AH105" s="33" t="s">
        <v>24</v>
      </c>
      <c r="AI105" s="33" t="s">
        <v>25</v>
      </c>
      <c r="AJ105" s="33" t="s">
        <v>26</v>
      </c>
      <c r="AK105" s="33" t="s">
        <v>24</v>
      </c>
      <c r="AL105" s="27"/>
      <c r="AM105" s="34" t="s">
        <v>25</v>
      </c>
      <c r="AN105" s="35" t="str">
        <f t="shared" si="1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19"/>
        <v/>
      </c>
    </row>
    <row r="106" spans="1:49" x14ac:dyDescent="0.3">
      <c r="A106">
        <v>102</v>
      </c>
      <c r="B106" t="s">
        <v>4876</v>
      </c>
      <c r="C106" t="s">
        <v>4877</v>
      </c>
      <c r="D106" t="s">
        <v>4821</v>
      </c>
      <c r="E106" s="43">
        <v>46126</v>
      </c>
      <c r="F106" s="26" t="s">
        <v>23</v>
      </c>
      <c r="G106" s="26" t="s">
        <v>24</v>
      </c>
      <c r="H106" s="26" t="s">
        <v>25</v>
      </c>
      <c r="I106" s="26" t="s">
        <v>26</v>
      </c>
      <c r="J106" s="26" t="s">
        <v>24</v>
      </c>
      <c r="K106" s="27"/>
      <c r="L106" s="28" t="s">
        <v>25</v>
      </c>
      <c r="M106" s="29" t="str">
        <f t="shared" si="15"/>
        <v>✓ OK</v>
      </c>
      <c r="N106" s="43">
        <v>46196</v>
      </c>
      <c r="O106" s="26" t="s">
        <v>23</v>
      </c>
      <c r="P106" s="26" t="s">
        <v>24</v>
      </c>
      <c r="Q106" s="26" t="s">
        <v>25</v>
      </c>
      <c r="R106" s="26" t="s">
        <v>26</v>
      </c>
      <c r="S106" s="26" t="s">
        <v>24</v>
      </c>
      <c r="T106" s="27"/>
      <c r="U106" s="28" t="s">
        <v>25</v>
      </c>
      <c r="V106" s="29" t="str">
        <f t="shared" si="16"/>
        <v>✓ OK</v>
      </c>
      <c r="W106" s="45">
        <v>46248</v>
      </c>
      <c r="X106" s="30" t="s">
        <v>23</v>
      </c>
      <c r="Y106" s="30" t="s">
        <v>24</v>
      </c>
      <c r="Z106" s="30" t="s">
        <v>25</v>
      </c>
      <c r="AA106" s="30" t="s">
        <v>26</v>
      </c>
      <c r="AB106" s="30" t="s">
        <v>24</v>
      </c>
      <c r="AC106" s="27"/>
      <c r="AD106" s="31" t="s">
        <v>25</v>
      </c>
      <c r="AE106" s="32" t="str">
        <f t="shared" si="17"/>
        <v>✓ OK</v>
      </c>
      <c r="AF106" s="33" t="s">
        <v>27</v>
      </c>
      <c r="AG106" s="33" t="s">
        <v>23</v>
      </c>
      <c r="AH106" s="33" t="s">
        <v>24</v>
      </c>
      <c r="AI106" s="33" t="s">
        <v>25</v>
      </c>
      <c r="AJ106" s="33" t="s">
        <v>26</v>
      </c>
      <c r="AK106" s="33" t="s">
        <v>24</v>
      </c>
      <c r="AL106" s="27"/>
      <c r="AM106" s="34" t="s">
        <v>25</v>
      </c>
      <c r="AN106" s="35" t="str">
        <f t="shared" si="1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19"/>
        <v/>
      </c>
    </row>
    <row r="107" spans="1:49" x14ac:dyDescent="0.3">
      <c r="A107">
        <v>103</v>
      </c>
      <c r="B107" t="s">
        <v>4878</v>
      </c>
      <c r="C107" t="s">
        <v>4879</v>
      </c>
      <c r="D107" t="s">
        <v>4821</v>
      </c>
      <c r="E107" s="43">
        <v>46126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15"/>
        <v>✓ OK</v>
      </c>
      <c r="N107" s="43">
        <v>46196</v>
      </c>
      <c r="O107" s="26" t="s">
        <v>23</v>
      </c>
      <c r="P107" s="26" t="s">
        <v>24</v>
      </c>
      <c r="Q107" s="26" t="s">
        <v>25</v>
      </c>
      <c r="R107" s="26" t="s">
        <v>26</v>
      </c>
      <c r="S107" s="26" t="s">
        <v>24</v>
      </c>
      <c r="T107" s="27"/>
      <c r="U107" s="28" t="s">
        <v>25</v>
      </c>
      <c r="V107" s="29" t="str">
        <f t="shared" si="16"/>
        <v>✓ OK</v>
      </c>
      <c r="W107" s="45">
        <v>46248</v>
      </c>
      <c r="X107" s="30" t="s">
        <v>23</v>
      </c>
      <c r="Y107" s="30" t="s">
        <v>24</v>
      </c>
      <c r="Z107" s="30" t="s">
        <v>25</v>
      </c>
      <c r="AA107" s="30" t="s">
        <v>26</v>
      </c>
      <c r="AB107" s="30" t="s">
        <v>24</v>
      </c>
      <c r="AC107" s="27"/>
      <c r="AD107" s="31" t="s">
        <v>25</v>
      </c>
      <c r="AE107" s="32" t="str">
        <f t="shared" si="17"/>
        <v>✓ OK</v>
      </c>
      <c r="AF107" s="33" t="s">
        <v>27</v>
      </c>
      <c r="AG107" s="33" t="s">
        <v>23</v>
      </c>
      <c r="AH107" s="33" t="s">
        <v>24</v>
      </c>
      <c r="AI107" s="33" t="s">
        <v>25</v>
      </c>
      <c r="AJ107" s="33" t="s">
        <v>26</v>
      </c>
      <c r="AK107" s="33" t="s">
        <v>24</v>
      </c>
      <c r="AL107" s="27"/>
      <c r="AM107" s="34" t="s">
        <v>25</v>
      </c>
      <c r="AN107" s="35" t="str">
        <f t="shared" si="1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19"/>
        <v/>
      </c>
    </row>
    <row r="108" spans="1:49" x14ac:dyDescent="0.3">
      <c r="A108">
        <v>104</v>
      </c>
      <c r="B108" t="s">
        <v>4880</v>
      </c>
      <c r="C108" t="s">
        <v>4881</v>
      </c>
      <c r="D108" t="s">
        <v>4821</v>
      </c>
      <c r="E108" s="43">
        <v>46126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15"/>
        <v>✓ OK</v>
      </c>
      <c r="N108" s="43">
        <v>46196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16"/>
        <v>✓ OK</v>
      </c>
      <c r="W108" s="45">
        <v>46248</v>
      </c>
      <c r="X108" s="30" t="s">
        <v>23</v>
      </c>
      <c r="Y108" s="30" t="s">
        <v>24</v>
      </c>
      <c r="Z108" s="30" t="s">
        <v>25</v>
      </c>
      <c r="AA108" s="30" t="s">
        <v>26</v>
      </c>
      <c r="AB108" s="30" t="s">
        <v>24</v>
      </c>
      <c r="AC108" s="27"/>
      <c r="AD108" s="31" t="s">
        <v>25</v>
      </c>
      <c r="AE108" s="32" t="str">
        <f t="shared" si="17"/>
        <v>✓ OK</v>
      </c>
      <c r="AF108" s="33" t="s">
        <v>27</v>
      </c>
      <c r="AG108" s="33" t="s">
        <v>23</v>
      </c>
      <c r="AH108" s="33" t="s">
        <v>24</v>
      </c>
      <c r="AI108" s="33" t="s">
        <v>25</v>
      </c>
      <c r="AJ108" s="33" t="s">
        <v>26</v>
      </c>
      <c r="AK108" s="33" t="s">
        <v>24</v>
      </c>
      <c r="AL108" s="27"/>
      <c r="AM108" s="34" t="s">
        <v>25</v>
      </c>
      <c r="AN108" s="35" t="str">
        <f t="shared" si="1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19"/>
        <v/>
      </c>
    </row>
    <row r="109" spans="1:49" x14ac:dyDescent="0.3">
      <c r="A109">
        <v>105</v>
      </c>
      <c r="B109" t="s">
        <v>4882</v>
      </c>
      <c r="C109" t="s">
        <v>4883</v>
      </c>
      <c r="D109" t="s">
        <v>4821</v>
      </c>
      <c r="E109" s="43">
        <v>46126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15"/>
        <v>✓ OK</v>
      </c>
      <c r="N109" s="43">
        <v>46196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16"/>
        <v>✓ OK</v>
      </c>
      <c r="W109" s="45">
        <v>46248</v>
      </c>
      <c r="X109" s="30" t="s">
        <v>23</v>
      </c>
      <c r="Y109" s="30" t="s">
        <v>24</v>
      </c>
      <c r="Z109" s="30" t="s">
        <v>25</v>
      </c>
      <c r="AA109" s="30" t="s">
        <v>26</v>
      </c>
      <c r="AB109" s="30" t="s">
        <v>24</v>
      </c>
      <c r="AC109" s="27"/>
      <c r="AD109" s="31" t="s">
        <v>25</v>
      </c>
      <c r="AE109" s="32" t="str">
        <f t="shared" si="17"/>
        <v>✓ OK</v>
      </c>
      <c r="AF109" s="33" t="s">
        <v>27</v>
      </c>
      <c r="AG109" s="33" t="s">
        <v>23</v>
      </c>
      <c r="AH109" s="33" t="s">
        <v>24</v>
      </c>
      <c r="AI109" s="33" t="s">
        <v>25</v>
      </c>
      <c r="AJ109" s="33" t="s">
        <v>26</v>
      </c>
      <c r="AK109" s="33" t="s">
        <v>24</v>
      </c>
      <c r="AL109" s="27"/>
      <c r="AM109" s="34" t="s">
        <v>25</v>
      </c>
      <c r="AN109" s="35" t="str">
        <f t="shared" si="1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19"/>
        <v/>
      </c>
    </row>
    <row r="110" spans="1:49" x14ac:dyDescent="0.3">
      <c r="A110">
        <v>106</v>
      </c>
      <c r="B110" t="s">
        <v>4884</v>
      </c>
      <c r="C110" t="s">
        <v>4885</v>
      </c>
      <c r="D110" t="s">
        <v>4821</v>
      </c>
      <c r="E110" s="43">
        <v>46126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15"/>
        <v>✓ OK</v>
      </c>
      <c r="N110" s="43">
        <v>46196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16"/>
        <v>✓ OK</v>
      </c>
      <c r="W110" s="45">
        <v>46248</v>
      </c>
      <c r="X110" s="30" t="s">
        <v>23</v>
      </c>
      <c r="Y110" s="30" t="s">
        <v>24</v>
      </c>
      <c r="Z110" s="30" t="s">
        <v>25</v>
      </c>
      <c r="AA110" s="30" t="s">
        <v>26</v>
      </c>
      <c r="AB110" s="30" t="s">
        <v>24</v>
      </c>
      <c r="AC110" s="27"/>
      <c r="AD110" s="31" t="s">
        <v>25</v>
      </c>
      <c r="AE110" s="32" t="str">
        <f t="shared" si="17"/>
        <v>✓ OK</v>
      </c>
      <c r="AF110" s="33" t="s">
        <v>27</v>
      </c>
      <c r="AG110" s="33" t="s">
        <v>23</v>
      </c>
      <c r="AH110" s="33" t="s">
        <v>24</v>
      </c>
      <c r="AI110" s="33" t="s">
        <v>25</v>
      </c>
      <c r="AJ110" s="33" t="s">
        <v>26</v>
      </c>
      <c r="AK110" s="33" t="s">
        <v>24</v>
      </c>
      <c r="AL110" s="27"/>
      <c r="AM110" s="34" t="s">
        <v>25</v>
      </c>
      <c r="AN110" s="35" t="str">
        <f t="shared" si="1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19"/>
        <v/>
      </c>
    </row>
    <row r="111" spans="1:49" x14ac:dyDescent="0.3">
      <c r="A111">
        <v>107</v>
      </c>
      <c r="B111" t="s">
        <v>4886</v>
      </c>
      <c r="C111" t="s">
        <v>4887</v>
      </c>
      <c r="D111" t="s">
        <v>4821</v>
      </c>
      <c r="E111" s="43">
        <v>46126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15"/>
        <v>✓ OK</v>
      </c>
      <c r="N111" s="43">
        <v>46196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16"/>
        <v>✓ OK</v>
      </c>
      <c r="W111" s="45">
        <v>46248</v>
      </c>
      <c r="X111" s="30" t="s">
        <v>23</v>
      </c>
      <c r="Y111" s="30" t="s">
        <v>24</v>
      </c>
      <c r="Z111" s="30" t="s">
        <v>25</v>
      </c>
      <c r="AA111" s="30" t="s">
        <v>26</v>
      </c>
      <c r="AB111" s="30" t="s">
        <v>24</v>
      </c>
      <c r="AC111" s="27"/>
      <c r="AD111" s="31" t="s">
        <v>25</v>
      </c>
      <c r="AE111" s="32" t="str">
        <f t="shared" si="17"/>
        <v>✓ OK</v>
      </c>
      <c r="AF111" s="33" t="s">
        <v>27</v>
      </c>
      <c r="AG111" s="33" t="s">
        <v>23</v>
      </c>
      <c r="AH111" s="33" t="s">
        <v>24</v>
      </c>
      <c r="AI111" s="33" t="s">
        <v>25</v>
      </c>
      <c r="AJ111" s="33" t="s">
        <v>26</v>
      </c>
      <c r="AK111" s="33" t="s">
        <v>24</v>
      </c>
      <c r="AL111" s="27"/>
      <c r="AM111" s="34" t="s">
        <v>25</v>
      </c>
      <c r="AN111" s="35" t="str">
        <f t="shared" si="1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19"/>
        <v/>
      </c>
    </row>
    <row r="112" spans="1:49" x14ac:dyDescent="0.3">
      <c r="A112">
        <v>108</v>
      </c>
      <c r="B112" t="s">
        <v>4888</v>
      </c>
      <c r="C112" t="s">
        <v>4889</v>
      </c>
      <c r="D112" t="s">
        <v>4821</v>
      </c>
      <c r="E112" s="43">
        <v>46126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15"/>
        <v>✓ OK</v>
      </c>
      <c r="N112" s="43">
        <v>46196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16"/>
        <v>✓ OK</v>
      </c>
      <c r="W112" s="45">
        <v>46248</v>
      </c>
      <c r="X112" s="30" t="s">
        <v>23</v>
      </c>
      <c r="Y112" s="30" t="s">
        <v>24</v>
      </c>
      <c r="Z112" s="30" t="s">
        <v>25</v>
      </c>
      <c r="AA112" s="30" t="s">
        <v>26</v>
      </c>
      <c r="AB112" s="30" t="s">
        <v>24</v>
      </c>
      <c r="AC112" s="27"/>
      <c r="AD112" s="31" t="s">
        <v>25</v>
      </c>
      <c r="AE112" s="32" t="str">
        <f t="shared" si="17"/>
        <v>✓ OK</v>
      </c>
      <c r="AF112" s="33" t="s">
        <v>27</v>
      </c>
      <c r="AG112" s="33" t="s">
        <v>23</v>
      </c>
      <c r="AH112" s="33" t="s">
        <v>24</v>
      </c>
      <c r="AI112" s="33" t="s">
        <v>25</v>
      </c>
      <c r="AJ112" s="33" t="s">
        <v>26</v>
      </c>
      <c r="AK112" s="33" t="s">
        <v>24</v>
      </c>
      <c r="AL112" s="27"/>
      <c r="AM112" s="34" t="s">
        <v>25</v>
      </c>
      <c r="AN112" s="35" t="str">
        <f t="shared" si="1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19"/>
        <v/>
      </c>
    </row>
    <row r="113" spans="1:49" x14ac:dyDescent="0.3">
      <c r="A113">
        <v>109</v>
      </c>
      <c r="B113" t="s">
        <v>4890</v>
      </c>
      <c r="C113" t="s">
        <v>4891</v>
      </c>
      <c r="D113" t="s">
        <v>4821</v>
      </c>
      <c r="E113" s="43">
        <v>46126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/>
      <c r="L113" s="28" t="s">
        <v>25</v>
      </c>
      <c r="M113" s="29" t="str">
        <f t="shared" si="15"/>
        <v>✓ OK</v>
      </c>
      <c r="N113" s="43">
        <v>46196</v>
      </c>
      <c r="O113" s="26" t="s">
        <v>23</v>
      </c>
      <c r="P113" s="26" t="s">
        <v>24</v>
      </c>
      <c r="Q113" s="26" t="s">
        <v>25</v>
      </c>
      <c r="R113" s="26" t="s">
        <v>26</v>
      </c>
      <c r="S113" s="26" t="s">
        <v>24</v>
      </c>
      <c r="T113" s="27"/>
      <c r="U113" s="28" t="s">
        <v>25</v>
      </c>
      <c r="V113" s="29" t="str">
        <f t="shared" si="16"/>
        <v>✓ OK</v>
      </c>
      <c r="W113" s="45">
        <v>46248</v>
      </c>
      <c r="X113" s="30" t="s">
        <v>23</v>
      </c>
      <c r="Y113" s="30" t="s">
        <v>24</v>
      </c>
      <c r="Z113" s="30" t="s">
        <v>25</v>
      </c>
      <c r="AA113" s="30" t="s">
        <v>26</v>
      </c>
      <c r="AB113" s="30" t="s">
        <v>24</v>
      </c>
      <c r="AC113" s="27"/>
      <c r="AD113" s="31" t="s">
        <v>25</v>
      </c>
      <c r="AE113" s="32" t="str">
        <f t="shared" si="17"/>
        <v>✓ OK</v>
      </c>
      <c r="AF113" s="33" t="s">
        <v>27</v>
      </c>
      <c r="AG113" s="33" t="s">
        <v>23</v>
      </c>
      <c r="AH113" s="33" t="s">
        <v>24</v>
      </c>
      <c r="AI113" s="33" t="s">
        <v>25</v>
      </c>
      <c r="AJ113" s="33" t="s">
        <v>26</v>
      </c>
      <c r="AK113" s="33" t="s">
        <v>24</v>
      </c>
      <c r="AL113" s="27"/>
      <c r="AM113" s="34" t="s">
        <v>25</v>
      </c>
      <c r="AN113" s="35" t="str">
        <f t="shared" si="1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19"/>
        <v/>
      </c>
    </row>
    <row r="114" spans="1:49" x14ac:dyDescent="0.3">
      <c r="A114">
        <v>110</v>
      </c>
      <c r="B114" t="s">
        <v>4892</v>
      </c>
      <c r="C114" t="s">
        <v>4893</v>
      </c>
      <c r="D114" t="s">
        <v>4821</v>
      </c>
      <c r="E114" s="43">
        <v>46126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15"/>
        <v>✓ OK</v>
      </c>
      <c r="N114" s="43">
        <v>46196</v>
      </c>
      <c r="O114" s="26" t="s">
        <v>23</v>
      </c>
      <c r="P114" s="26" t="s">
        <v>24</v>
      </c>
      <c r="Q114" s="26" t="s">
        <v>25</v>
      </c>
      <c r="R114" s="26" t="s">
        <v>26</v>
      </c>
      <c r="S114" s="26" t="s">
        <v>24</v>
      </c>
      <c r="T114" s="27"/>
      <c r="U114" s="28" t="s">
        <v>25</v>
      </c>
      <c r="V114" s="29" t="str">
        <f t="shared" si="16"/>
        <v>✓ OK</v>
      </c>
      <c r="W114" s="45">
        <v>46248</v>
      </c>
      <c r="X114" s="30" t="s">
        <v>23</v>
      </c>
      <c r="Y114" s="30" t="s">
        <v>24</v>
      </c>
      <c r="Z114" s="30" t="s">
        <v>25</v>
      </c>
      <c r="AA114" s="30" t="s">
        <v>26</v>
      </c>
      <c r="AB114" s="30" t="s">
        <v>24</v>
      </c>
      <c r="AC114" s="27"/>
      <c r="AD114" s="31" t="s">
        <v>25</v>
      </c>
      <c r="AE114" s="32" t="str">
        <f t="shared" si="17"/>
        <v>✓ OK</v>
      </c>
      <c r="AF114" s="33" t="s">
        <v>27</v>
      </c>
      <c r="AG114" s="33" t="s">
        <v>23</v>
      </c>
      <c r="AH114" s="33" t="s">
        <v>24</v>
      </c>
      <c r="AI114" s="33" t="s">
        <v>25</v>
      </c>
      <c r="AJ114" s="33" t="s">
        <v>26</v>
      </c>
      <c r="AK114" s="33" t="s">
        <v>24</v>
      </c>
      <c r="AL114" s="27"/>
      <c r="AM114" s="34" t="s">
        <v>25</v>
      </c>
      <c r="AN114" s="35" t="str">
        <f t="shared" si="1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19"/>
        <v/>
      </c>
    </row>
    <row r="115" spans="1:49" x14ac:dyDescent="0.3">
      <c r="A115">
        <v>111</v>
      </c>
      <c r="B115" t="s">
        <v>4894</v>
      </c>
      <c r="C115" t="s">
        <v>4895</v>
      </c>
      <c r="D115" t="s">
        <v>4821</v>
      </c>
      <c r="E115" s="43">
        <v>46126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15"/>
        <v>✓ OK</v>
      </c>
      <c r="N115" s="43">
        <v>46196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16"/>
        <v>✓ OK</v>
      </c>
      <c r="W115" s="45">
        <v>46248</v>
      </c>
      <c r="X115" s="30" t="s">
        <v>23</v>
      </c>
      <c r="Y115" s="30" t="s">
        <v>24</v>
      </c>
      <c r="Z115" s="30" t="s">
        <v>25</v>
      </c>
      <c r="AA115" s="30" t="s">
        <v>26</v>
      </c>
      <c r="AB115" s="30" t="s">
        <v>24</v>
      </c>
      <c r="AC115" s="27"/>
      <c r="AD115" s="31" t="s">
        <v>25</v>
      </c>
      <c r="AE115" s="32" t="str">
        <f t="shared" si="17"/>
        <v>✓ OK</v>
      </c>
      <c r="AF115" s="33" t="s">
        <v>27</v>
      </c>
      <c r="AG115" s="33" t="s">
        <v>23</v>
      </c>
      <c r="AH115" s="33" t="s">
        <v>24</v>
      </c>
      <c r="AI115" s="33" t="s">
        <v>25</v>
      </c>
      <c r="AJ115" s="33" t="s">
        <v>26</v>
      </c>
      <c r="AK115" s="33" t="s">
        <v>24</v>
      </c>
      <c r="AL115" s="27"/>
      <c r="AM115" s="34" t="s">
        <v>25</v>
      </c>
      <c r="AN115" s="35" t="str">
        <f t="shared" si="1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19"/>
        <v/>
      </c>
    </row>
    <row r="116" spans="1:49" x14ac:dyDescent="0.3">
      <c r="A116">
        <v>112</v>
      </c>
      <c r="B116" t="s">
        <v>4896</v>
      </c>
      <c r="C116" t="s">
        <v>4897</v>
      </c>
      <c r="D116" t="s">
        <v>4821</v>
      </c>
      <c r="E116" s="43">
        <v>46126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15"/>
        <v>✓ OK</v>
      </c>
      <c r="N116" s="43">
        <v>46196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16"/>
        <v>✓ OK</v>
      </c>
      <c r="W116" s="45">
        <v>46248</v>
      </c>
      <c r="X116" s="30" t="s">
        <v>23</v>
      </c>
      <c r="Y116" s="30" t="s">
        <v>24</v>
      </c>
      <c r="Z116" s="30" t="s">
        <v>25</v>
      </c>
      <c r="AA116" s="30" t="s">
        <v>26</v>
      </c>
      <c r="AB116" s="30" t="s">
        <v>24</v>
      </c>
      <c r="AC116" s="27"/>
      <c r="AD116" s="31" t="s">
        <v>25</v>
      </c>
      <c r="AE116" s="32" t="str">
        <f t="shared" si="17"/>
        <v>✓ OK</v>
      </c>
      <c r="AF116" s="33" t="s">
        <v>27</v>
      </c>
      <c r="AG116" s="33" t="s">
        <v>23</v>
      </c>
      <c r="AH116" s="33" t="s">
        <v>24</v>
      </c>
      <c r="AI116" s="33" t="s">
        <v>25</v>
      </c>
      <c r="AJ116" s="33" t="s">
        <v>26</v>
      </c>
      <c r="AK116" s="33" t="s">
        <v>24</v>
      </c>
      <c r="AL116" s="27"/>
      <c r="AM116" s="34" t="s">
        <v>25</v>
      </c>
      <c r="AN116" s="35" t="str">
        <f t="shared" si="1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19"/>
        <v/>
      </c>
    </row>
    <row r="117" spans="1:49" x14ac:dyDescent="0.3">
      <c r="A117">
        <v>113</v>
      </c>
      <c r="B117" t="s">
        <v>4898</v>
      </c>
      <c r="C117" t="s">
        <v>4899</v>
      </c>
      <c r="D117" t="s">
        <v>4821</v>
      </c>
      <c r="E117" s="43">
        <v>46126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15"/>
        <v>✓ OK</v>
      </c>
      <c r="N117" s="43">
        <v>46196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16"/>
        <v>✓ OK</v>
      </c>
      <c r="W117" s="45">
        <v>46248</v>
      </c>
      <c r="X117" s="30" t="s">
        <v>23</v>
      </c>
      <c r="Y117" s="30" t="s">
        <v>24</v>
      </c>
      <c r="Z117" s="30" t="s">
        <v>25</v>
      </c>
      <c r="AA117" s="30" t="s">
        <v>26</v>
      </c>
      <c r="AB117" s="30" t="s">
        <v>24</v>
      </c>
      <c r="AC117" s="27"/>
      <c r="AD117" s="31" t="s">
        <v>25</v>
      </c>
      <c r="AE117" s="32" t="str">
        <f t="shared" si="17"/>
        <v>✓ OK</v>
      </c>
      <c r="AF117" s="33" t="s">
        <v>27</v>
      </c>
      <c r="AG117" s="33" t="s">
        <v>23</v>
      </c>
      <c r="AH117" s="33" t="s">
        <v>24</v>
      </c>
      <c r="AI117" s="33" t="s">
        <v>25</v>
      </c>
      <c r="AJ117" s="33" t="s">
        <v>26</v>
      </c>
      <c r="AK117" s="33" t="s">
        <v>24</v>
      </c>
      <c r="AL117" s="27"/>
      <c r="AM117" s="34" t="s">
        <v>25</v>
      </c>
      <c r="AN117" s="35" t="str">
        <f t="shared" si="1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19"/>
        <v/>
      </c>
    </row>
  </sheetData>
  <autoFilter ref="A4:AW117" xr:uid="{00000000-0009-0000-0000-000006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17">
    <cfRule type="expression" dxfId="362" priority="14">
      <formula>G5="Yes"</formula>
    </cfRule>
    <cfRule type="expression" dxfId="361" priority="15">
      <formula>G5="No"</formula>
    </cfRule>
  </conditionalFormatting>
  <conditionalFormatting sqref="H5:H117">
    <cfRule type="expression" dxfId="360" priority="16">
      <formula>H5="Yes"</formula>
    </cfRule>
  </conditionalFormatting>
  <conditionalFormatting sqref="J5:J117">
    <cfRule type="expression" dxfId="359" priority="17">
      <formula>J5="Yes"</formula>
    </cfRule>
    <cfRule type="expression" dxfId="358" priority="18">
      <formula>J5="No"</formula>
    </cfRule>
  </conditionalFormatting>
  <conditionalFormatting sqref="M5:M117">
    <cfRule type="expression" dxfId="357" priority="11">
      <formula>M5="❌ Disc"</formula>
    </cfRule>
    <cfRule type="expression" dxfId="356" priority="10">
      <formula>M5="✓ OK"</formula>
    </cfRule>
    <cfRule type="expression" dxfId="355" priority="12">
      <formula>M5="⚠ Missing"</formula>
    </cfRule>
    <cfRule type="expression" dxfId="354" priority="13">
      <formula>M5="⚠ Check"</formula>
    </cfRule>
  </conditionalFormatting>
  <conditionalFormatting sqref="N5:AW117 A5:M5 E6:M117 A6:D77">
    <cfRule type="expression" dxfId="353" priority="55">
      <formula>MOD(ROW(),2)=0</formula>
    </cfRule>
  </conditionalFormatting>
  <conditionalFormatting sqref="P5:P117">
    <cfRule type="expression" dxfId="352" priority="5">
      <formula>P5="Yes"</formula>
    </cfRule>
    <cfRule type="expression" dxfId="351" priority="6">
      <formula>P5="No"</formula>
    </cfRule>
  </conditionalFormatting>
  <conditionalFormatting sqref="Q5:Q117">
    <cfRule type="expression" dxfId="350" priority="7">
      <formula>Q5="Yes"</formula>
    </cfRule>
  </conditionalFormatting>
  <conditionalFormatting sqref="S5:S117">
    <cfRule type="expression" dxfId="349" priority="8">
      <formula>S5="Yes"</formula>
    </cfRule>
    <cfRule type="expression" dxfId="348" priority="9">
      <formula>S5="No"</formula>
    </cfRule>
  </conditionalFormatting>
  <conditionalFormatting sqref="V5:V117">
    <cfRule type="expression" dxfId="347" priority="2">
      <formula>V5="❌ Disc"</formula>
    </cfRule>
    <cfRule type="expression" dxfId="346" priority="3">
      <formula>V5="⚠ Missing"</formula>
    </cfRule>
    <cfRule type="expression" dxfId="345" priority="4">
      <formula>V5="⚠ Check"</formula>
    </cfRule>
    <cfRule type="expression" dxfId="344" priority="1">
      <formula>V5="✓ OK"</formula>
    </cfRule>
  </conditionalFormatting>
  <conditionalFormatting sqref="Y5:Y117">
    <cfRule type="expression" dxfId="343" priority="33">
      <formula>Y5="No"</formula>
    </cfRule>
    <cfRule type="expression" dxfId="342" priority="32">
      <formula>Y5="Yes"</formula>
    </cfRule>
  </conditionalFormatting>
  <conditionalFormatting sqref="Z5:Z117">
    <cfRule type="expression" dxfId="341" priority="34">
      <formula>Z5="Yes"</formula>
    </cfRule>
  </conditionalFormatting>
  <conditionalFormatting sqref="AB5:AB117">
    <cfRule type="expression" dxfId="340" priority="35">
      <formula>AB5="Yes"</formula>
    </cfRule>
    <cfRule type="expression" dxfId="339" priority="36">
      <formula>AB5="No"</formula>
    </cfRule>
  </conditionalFormatting>
  <conditionalFormatting sqref="AE5:AE117">
    <cfRule type="expression" dxfId="338" priority="29">
      <formula>AE5="❌ Disc"</formula>
    </cfRule>
    <cfRule type="expression" dxfId="337" priority="30">
      <formula>AE5="⚠ Missing"</formula>
    </cfRule>
    <cfRule type="expression" dxfId="336" priority="31">
      <formula>AE5="⚠ Check"</formula>
    </cfRule>
    <cfRule type="expression" dxfId="335" priority="28">
      <formula>AE5="✓ OK"</formula>
    </cfRule>
  </conditionalFormatting>
  <conditionalFormatting sqref="AH5:AH117">
    <cfRule type="expression" dxfId="334" priority="41">
      <formula>AH5="Yes"</formula>
    </cfRule>
    <cfRule type="expression" dxfId="333" priority="42">
      <formula>AH5="No"</formula>
    </cfRule>
  </conditionalFormatting>
  <conditionalFormatting sqref="AI5:AI117">
    <cfRule type="expression" dxfId="332" priority="43">
      <formula>AI5="Yes"</formula>
    </cfRule>
  </conditionalFormatting>
  <conditionalFormatting sqref="AK5:AK117">
    <cfRule type="expression" dxfId="331" priority="44">
      <formula>AK5="Yes"</formula>
    </cfRule>
    <cfRule type="expression" dxfId="330" priority="45">
      <formula>AK5="No"</formula>
    </cfRule>
  </conditionalFormatting>
  <conditionalFormatting sqref="AN5:AN117">
    <cfRule type="expression" dxfId="329" priority="38">
      <formula>AN5="❌ Disc"</formula>
    </cfRule>
    <cfRule type="expression" dxfId="328" priority="39">
      <formula>AN5="⚠ Missing"</formula>
    </cfRule>
    <cfRule type="expression" dxfId="327" priority="40">
      <formula>AN5="⚠ Check"</formula>
    </cfRule>
    <cfRule type="expression" dxfId="326" priority="37">
      <formula>AN5="✓ OK"</formula>
    </cfRule>
  </conditionalFormatting>
  <conditionalFormatting sqref="AQ5:AQ117">
    <cfRule type="expression" dxfId="325" priority="51">
      <formula>AQ5="No"</formula>
    </cfRule>
    <cfRule type="expression" dxfId="324" priority="50">
      <formula>AQ5="Yes"</formula>
    </cfRule>
  </conditionalFormatting>
  <conditionalFormatting sqref="AR5:AR117">
    <cfRule type="expression" dxfId="323" priority="52">
      <formula>AR5="Yes"</formula>
    </cfRule>
  </conditionalFormatting>
  <conditionalFormatting sqref="AT5:AT117">
    <cfRule type="expression" dxfId="322" priority="53">
      <formula>AT5="Yes"</formula>
    </cfRule>
    <cfRule type="expression" dxfId="321" priority="54">
      <formula>AT5="No"</formula>
    </cfRule>
  </conditionalFormatting>
  <conditionalFormatting sqref="AW5:AW117">
    <cfRule type="expression" dxfId="320" priority="46">
      <formula>AW5="✓ OK"</formula>
    </cfRule>
    <cfRule type="expression" dxfId="319" priority="47">
      <formula>AW5="❌ Disc"</formula>
    </cfRule>
    <cfRule type="expression" dxfId="318" priority="48">
      <formula>AW5="⚠ Missing"</formula>
    </cfRule>
    <cfRule type="expression" dxfId="317" priority="49">
      <formula>AW5="⚠ Check"</formula>
    </cfRule>
  </conditionalFormatting>
  <dataValidations count="2">
    <dataValidation type="list" allowBlank="1" sqref="G5:H117 J5:J117 P5:Q117 S5:S117 Y5:Z117 AB5:AB117 AH5:AI117 AK5:AK117 AQ5:AR117 AT5:AT117" xr:uid="{00000000-0002-0000-0600-000000000000}">
      <formula1>"Yes,No"</formula1>
    </dataValidation>
    <dataValidation type="list" allowBlank="1" sqref="I5:I117 R5:R117 AA5:AA117 AJ5:AJ117 AS5:AS117" xr:uid="{00000000-0002-0000-06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AW16"/>
  <sheetViews>
    <sheetView workbookViewId="0">
      <pane xSplit="4" ySplit="4" topLeftCell="AF5" activePane="bottomRight" state="frozen"/>
      <selection pane="topRight" activeCell="AU16" sqref="AU16"/>
      <selection pane="bottomLeft" activeCell="AU16" sqref="AU16"/>
      <selection pane="bottomRight" activeCell="AM5" sqref="AM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4900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40" t="s">
        <v>4901</v>
      </c>
      <c r="C5" s="41" t="s">
        <v>4902</v>
      </c>
      <c r="D5" s="39" t="s">
        <v>4903</v>
      </c>
      <c r="E5" s="43">
        <v>46125</v>
      </c>
      <c r="F5" s="26" t="s">
        <v>23</v>
      </c>
      <c r="G5" s="26" t="s">
        <v>24</v>
      </c>
      <c r="H5" s="26" t="s">
        <v>25</v>
      </c>
      <c r="I5" s="26" t="s">
        <v>731</v>
      </c>
      <c r="J5" s="26" t="s">
        <v>25</v>
      </c>
      <c r="K5" s="27" t="s">
        <v>740</v>
      </c>
      <c r="L5" s="28" t="s">
        <v>24</v>
      </c>
      <c r="M5" s="29" t="str">
        <f t="shared" ref="M5:M16" si="0">IF(E5="","",IF(H5="Yes","❌ Disc",IF(G5="No","⚠ Missing",IF(J5="Yes","✓ OK","⚠ Check"))))</f>
        <v>⚠ Check</v>
      </c>
      <c r="N5" s="43">
        <v>46196</v>
      </c>
      <c r="O5" s="26" t="s">
        <v>23</v>
      </c>
      <c r="P5" s="26" t="s">
        <v>24</v>
      </c>
      <c r="Q5" s="26" t="s">
        <v>25</v>
      </c>
      <c r="R5" s="26" t="s">
        <v>731</v>
      </c>
      <c r="S5" s="26" t="s">
        <v>25</v>
      </c>
      <c r="T5" s="27" t="s">
        <v>740</v>
      </c>
      <c r="U5" s="28" t="s">
        <v>24</v>
      </c>
      <c r="V5" s="29" t="str">
        <f t="shared" ref="V5:V16" si="1">IF(N5="","",IF(Q5="Yes","❌ Disc",IF(P5="No","⚠ Missing",IF(S5="Yes","✓ OK","⚠ Check"))))</f>
        <v>⚠ Check</v>
      </c>
      <c r="W5" s="45">
        <v>46248</v>
      </c>
      <c r="X5" s="30" t="s">
        <v>23</v>
      </c>
      <c r="Y5" s="30" t="s">
        <v>24</v>
      </c>
      <c r="Z5" s="30"/>
      <c r="AA5" s="30" t="s">
        <v>731</v>
      </c>
      <c r="AB5" s="30" t="s">
        <v>24</v>
      </c>
      <c r="AC5" s="27"/>
      <c r="AD5" s="31" t="s">
        <v>25</v>
      </c>
      <c r="AE5" s="32" t="str">
        <f t="shared" ref="AE5:AE16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/>
      <c r="AJ5" s="33" t="s">
        <v>26</v>
      </c>
      <c r="AK5" s="33" t="s">
        <v>24</v>
      </c>
      <c r="AL5" s="27"/>
      <c r="AM5" s="34" t="s">
        <v>25</v>
      </c>
      <c r="AN5" s="35" t="str">
        <f t="shared" ref="AN5:AN1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1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24" t="s">
        <v>4904</v>
      </c>
      <c r="C6" s="25" t="s">
        <v>4905</v>
      </c>
      <c r="D6" s="23" t="s">
        <v>4903</v>
      </c>
      <c r="E6" s="43">
        <v>46125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46196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24</v>
      </c>
      <c r="Z6" s="30"/>
      <c r="AA6" s="30" t="s">
        <v>26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24</v>
      </c>
      <c r="AI6" s="33"/>
      <c r="AJ6" s="33" t="s">
        <v>26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40" t="s">
        <v>4906</v>
      </c>
      <c r="C7" s="41" t="s">
        <v>4907</v>
      </c>
      <c r="D7" s="39" t="s">
        <v>4903</v>
      </c>
      <c r="E7" s="43">
        <v>46125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46196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24</v>
      </c>
      <c r="Z7" s="30"/>
      <c r="AA7" s="30" t="s">
        <v>26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24</v>
      </c>
      <c r="AI7" s="33"/>
      <c r="AJ7" s="33" t="s">
        <v>26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4908</v>
      </c>
      <c r="C8" s="41" t="s">
        <v>4909</v>
      </c>
      <c r="D8" s="39" t="s">
        <v>4903</v>
      </c>
      <c r="E8" s="43">
        <v>46125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46196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/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/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4910</v>
      </c>
      <c r="C9" s="25" t="s">
        <v>4911</v>
      </c>
      <c r="D9" s="23" t="s">
        <v>4903</v>
      </c>
      <c r="E9" s="43">
        <v>46125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46196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/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/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24" t="s">
        <v>4912</v>
      </c>
      <c r="C10" s="25" t="s">
        <v>4913</v>
      </c>
      <c r="D10" s="23" t="s">
        <v>4903</v>
      </c>
      <c r="E10" s="43">
        <v>46125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46196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/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/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40" t="s">
        <v>4914</v>
      </c>
      <c r="C11" s="41" t="s">
        <v>4915</v>
      </c>
      <c r="D11" s="39" t="s">
        <v>4903</v>
      </c>
      <c r="E11" s="43">
        <v>46125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46196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/>
      <c r="AA11" s="30" t="s">
        <v>26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/>
      <c r="AJ11" s="33" t="s">
        <v>26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24" t="s">
        <v>4916</v>
      </c>
      <c r="C12" s="25" t="s">
        <v>4917</v>
      </c>
      <c r="D12" s="23" t="s">
        <v>4903</v>
      </c>
      <c r="E12" s="43">
        <v>46125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46196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/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/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40" t="s">
        <v>4918</v>
      </c>
      <c r="C13" s="41" t="s">
        <v>4919</v>
      </c>
      <c r="D13" s="39" t="s">
        <v>4903</v>
      </c>
      <c r="E13" s="43">
        <v>46125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46196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/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/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4920</v>
      </c>
      <c r="C14" s="41" t="s">
        <v>4921</v>
      </c>
      <c r="D14" s="39" t="s">
        <v>4903</v>
      </c>
      <c r="E14" s="43">
        <v>46125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46196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/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/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4922</v>
      </c>
      <c r="C15" s="25" t="s">
        <v>4923</v>
      </c>
      <c r="D15" s="23" t="s">
        <v>4903</v>
      </c>
      <c r="E15" s="43">
        <v>46125</v>
      </c>
      <c r="F15" s="26" t="s">
        <v>23</v>
      </c>
      <c r="G15" s="26" t="s">
        <v>24</v>
      </c>
      <c r="H15" s="26" t="s">
        <v>25</v>
      </c>
      <c r="I15" s="26" t="s">
        <v>731</v>
      </c>
      <c r="J15" s="26" t="s">
        <v>25</v>
      </c>
      <c r="K15" s="27" t="s">
        <v>740</v>
      </c>
      <c r="L15" s="28" t="s">
        <v>24</v>
      </c>
      <c r="M15" s="29" t="str">
        <f t="shared" si="0"/>
        <v>⚠ Check</v>
      </c>
      <c r="N15" s="43">
        <v>46196</v>
      </c>
      <c r="O15" s="26" t="s">
        <v>23</v>
      </c>
      <c r="P15" s="26" t="s">
        <v>24</v>
      </c>
      <c r="Q15" s="26" t="s">
        <v>25</v>
      </c>
      <c r="R15" s="26" t="s">
        <v>731</v>
      </c>
      <c r="S15" s="26" t="s">
        <v>25</v>
      </c>
      <c r="T15" s="27" t="s">
        <v>740</v>
      </c>
      <c r="U15" s="28" t="s">
        <v>24</v>
      </c>
      <c r="V15" s="29" t="str">
        <f t="shared" si="1"/>
        <v>⚠ Check</v>
      </c>
      <c r="W15" s="45">
        <v>46248</v>
      </c>
      <c r="X15" s="30" t="s">
        <v>23</v>
      </c>
      <c r="Y15" s="30" t="s">
        <v>24</v>
      </c>
      <c r="Z15" s="30"/>
      <c r="AA15" s="30" t="s">
        <v>731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/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x14ac:dyDescent="0.3">
      <c r="A16" s="42">
        <v>12</v>
      </c>
      <c r="B16" s="24" t="s">
        <v>4924</v>
      </c>
      <c r="C16" s="25" t="s">
        <v>4925</v>
      </c>
      <c r="D16" s="23" t="s">
        <v>4903</v>
      </c>
      <c r="E16" s="43">
        <v>46125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46196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/>
      <c r="AA16" s="30" t="s">
        <v>26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/>
      <c r="AJ16" s="33" t="s">
        <v>26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</sheetData>
  <autoFilter ref="A4:AW15" xr:uid="{00000000-0009-0000-0000-000007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6">
    <cfRule type="expression" dxfId="316" priority="15">
      <formula>G5="Yes"</formula>
    </cfRule>
    <cfRule type="expression" dxfId="315" priority="16">
      <formula>G5="No"</formula>
    </cfRule>
  </conditionalFormatting>
  <conditionalFormatting sqref="H5:H16">
    <cfRule type="expression" dxfId="314" priority="17">
      <formula>H5="Yes"</formula>
    </cfRule>
  </conditionalFormatting>
  <conditionalFormatting sqref="J5:J16">
    <cfRule type="expression" dxfId="313" priority="18">
      <formula>J5="Yes"</formula>
    </cfRule>
    <cfRule type="expression" dxfId="312" priority="19">
      <formula>J5="No"</formula>
    </cfRule>
  </conditionalFormatting>
  <conditionalFormatting sqref="M5:M16">
    <cfRule type="expression" dxfId="311" priority="13">
      <formula>M5="⚠ Missing"</formula>
    </cfRule>
    <cfRule type="expression" dxfId="310" priority="11">
      <formula>M5="✓ OK"</formula>
    </cfRule>
    <cfRule type="expression" dxfId="309" priority="12">
      <formula>M5="❌ Disc"</formula>
    </cfRule>
    <cfRule type="expression" dxfId="308" priority="14">
      <formula>M5="⚠ Check"</formula>
    </cfRule>
  </conditionalFormatting>
  <conditionalFormatting sqref="N5:N16">
    <cfRule type="expression" dxfId="307" priority="1">
      <formula>MOD(ROW(),2)=0</formula>
    </cfRule>
  </conditionalFormatting>
  <conditionalFormatting sqref="O5:AW16 A5:M16">
    <cfRule type="expression" dxfId="306" priority="56">
      <formula>MOD(ROW(),2)=0</formula>
    </cfRule>
  </conditionalFormatting>
  <conditionalFormatting sqref="P5:P16">
    <cfRule type="expression" dxfId="305" priority="6">
      <formula>P5="Yes"</formula>
    </cfRule>
    <cfRule type="expression" dxfId="304" priority="7">
      <formula>P5="No"</formula>
    </cfRule>
    <cfRule type="expression" dxfId="303" priority="24">
      <formula>P5="Yes"</formula>
    </cfRule>
    <cfRule type="expression" dxfId="302" priority="25">
      <formula>P5="No"</formula>
    </cfRule>
  </conditionalFormatting>
  <conditionalFormatting sqref="Q5:Q16">
    <cfRule type="expression" dxfId="301" priority="8">
      <formula>Q5="Yes"</formula>
    </cfRule>
  </conditionalFormatting>
  <conditionalFormatting sqref="S5:S16">
    <cfRule type="expression" dxfId="300" priority="9">
      <formula>S5="Yes"</formula>
    </cfRule>
    <cfRule type="expression" dxfId="299" priority="10">
      <formula>S5="No"</formula>
    </cfRule>
    <cfRule type="expression" dxfId="298" priority="27">
      <formula>S5="Yes"</formula>
    </cfRule>
    <cfRule type="expression" dxfId="297" priority="28">
      <formula>S5="No"</formula>
    </cfRule>
  </conditionalFormatting>
  <conditionalFormatting sqref="V5:V16">
    <cfRule type="expression" dxfId="296" priority="2">
      <formula>V5="✓ OK"</formula>
    </cfRule>
    <cfRule type="expression" dxfId="295" priority="3">
      <formula>V5="❌ Disc"</formula>
    </cfRule>
    <cfRule type="expression" dxfId="294" priority="4">
      <formula>V5="⚠ Missing"</formula>
    </cfRule>
    <cfRule type="expression" dxfId="293" priority="5">
      <formula>V5="⚠ Check"</formula>
    </cfRule>
    <cfRule type="expression" dxfId="292" priority="20">
      <formula>V5="✓ OK"</formula>
    </cfRule>
    <cfRule type="expression" dxfId="291" priority="21">
      <formula>V5="❌ Disc"</formula>
    </cfRule>
    <cfRule type="expression" dxfId="290" priority="22">
      <formula>V5="⚠ Missing"</formula>
    </cfRule>
    <cfRule type="expression" dxfId="289" priority="23">
      <formula>V5="⚠ Check"</formula>
    </cfRule>
  </conditionalFormatting>
  <conditionalFormatting sqref="Y5:Y16">
    <cfRule type="expression" dxfId="288" priority="33">
      <formula>Y5="Yes"</formula>
    </cfRule>
    <cfRule type="expression" dxfId="287" priority="34">
      <formula>Y5="No"</formula>
    </cfRule>
  </conditionalFormatting>
  <conditionalFormatting sqref="Z5:Z16">
    <cfRule type="expression" dxfId="286" priority="35">
      <formula>Z5="Yes"</formula>
    </cfRule>
  </conditionalFormatting>
  <conditionalFormatting sqref="AB5:AB16">
    <cfRule type="expression" dxfId="285" priority="36">
      <formula>AB5="Yes"</formula>
    </cfRule>
    <cfRule type="expression" dxfId="284" priority="37">
      <formula>AB5="No"</formula>
    </cfRule>
  </conditionalFormatting>
  <conditionalFormatting sqref="AE5:AE16">
    <cfRule type="expression" dxfId="283" priority="30">
      <formula>AE5="❌ Disc"</formula>
    </cfRule>
    <cfRule type="expression" dxfId="282" priority="31">
      <formula>AE5="⚠ Missing"</formula>
    </cfRule>
    <cfRule type="expression" dxfId="281" priority="29">
      <formula>AE5="✓ OK"</formula>
    </cfRule>
    <cfRule type="expression" dxfId="280" priority="32">
      <formula>AE5="⚠ Check"</formula>
    </cfRule>
  </conditionalFormatting>
  <conditionalFormatting sqref="AH5:AH16">
    <cfRule type="expression" dxfId="279" priority="42">
      <formula>AH5="Yes"</formula>
    </cfRule>
    <cfRule type="expression" dxfId="278" priority="43">
      <formula>AH5="No"</formula>
    </cfRule>
  </conditionalFormatting>
  <conditionalFormatting sqref="AI5:AI16">
    <cfRule type="expression" dxfId="277" priority="44">
      <formula>AI5="Yes"</formula>
    </cfRule>
  </conditionalFormatting>
  <conditionalFormatting sqref="AK5:AK16">
    <cfRule type="expression" dxfId="276" priority="45">
      <formula>AK5="Yes"</formula>
    </cfRule>
    <cfRule type="expression" dxfId="275" priority="46">
      <formula>AK5="No"</formula>
    </cfRule>
  </conditionalFormatting>
  <conditionalFormatting sqref="AN5:AN16">
    <cfRule type="expression" dxfId="274" priority="38">
      <formula>AN5="✓ OK"</formula>
    </cfRule>
    <cfRule type="expression" dxfId="273" priority="39">
      <formula>AN5="❌ Disc"</formula>
    </cfRule>
    <cfRule type="expression" dxfId="272" priority="40">
      <formula>AN5="⚠ Missing"</formula>
    </cfRule>
    <cfRule type="expression" dxfId="271" priority="41">
      <formula>AN5="⚠ Check"</formula>
    </cfRule>
  </conditionalFormatting>
  <conditionalFormatting sqref="AQ5:AQ16">
    <cfRule type="expression" dxfId="270" priority="51">
      <formula>AQ5="Yes"</formula>
    </cfRule>
    <cfRule type="expression" dxfId="269" priority="52">
      <formula>AQ5="No"</formula>
    </cfRule>
  </conditionalFormatting>
  <conditionalFormatting sqref="AR5:AR16">
    <cfRule type="expression" dxfId="268" priority="53">
      <formula>AR5="Yes"</formula>
    </cfRule>
  </conditionalFormatting>
  <conditionalFormatting sqref="AT5:AT16">
    <cfRule type="expression" dxfId="267" priority="54">
      <formula>AT5="Yes"</formula>
    </cfRule>
    <cfRule type="expression" dxfId="266" priority="55">
      <formula>AT5="No"</formula>
    </cfRule>
  </conditionalFormatting>
  <conditionalFormatting sqref="AW5:AW16">
    <cfRule type="expression" dxfId="265" priority="47">
      <formula>AW5="✓ OK"</formula>
    </cfRule>
    <cfRule type="expression" dxfId="264" priority="48">
      <formula>AW5="❌ Disc"</formula>
    </cfRule>
    <cfRule type="expression" dxfId="263" priority="49">
      <formula>AW5="⚠ Missing"</formula>
    </cfRule>
    <cfRule type="expression" dxfId="262" priority="50">
      <formula>AW5="⚠ Check"</formula>
    </cfRule>
  </conditionalFormatting>
  <dataValidations count="2">
    <dataValidation type="list" allowBlank="1" sqref="G5:H16 J5:J16 P5:Q16 S5:S16 Y5:Z16 AB5:AB16 AH5:AI16 AK5:AK16 AQ5:AR16 AT5:AT16" xr:uid="{00000000-0002-0000-0700-000000000000}">
      <formula1>"Yes,No"</formula1>
    </dataValidation>
    <dataValidation type="list" allowBlank="1" sqref="I5:I16 R5:R16 AA5:AA16 AJ5:AJ16 AS5:AS16" xr:uid="{00000000-0002-0000-07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W26"/>
  <sheetViews>
    <sheetView workbookViewId="0">
      <pane xSplit="4" ySplit="4" topLeftCell="AB5" activePane="bottomRight" state="frozen"/>
      <selection pane="topRight" activeCell="AU16" sqref="AU16"/>
      <selection pane="bottomLeft" activeCell="AU16" sqref="AU16"/>
      <selection pane="bottomRight" activeCell="AI5" sqref="AI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4926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4927</v>
      </c>
      <c r="C5" s="25" t="s">
        <v>4928</v>
      </c>
      <c r="D5" s="23" t="s">
        <v>4929</v>
      </c>
      <c r="E5" s="43">
        <v>46125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26" si="0">IF(E5="","",IF(H5="Yes","❌ Disc",IF(G5="No","⚠ Missing",IF(J5="Yes","✓ OK","⚠ Check"))))</f>
        <v>✓ OK</v>
      </c>
      <c r="N5" s="43">
        <v>46196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26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/>
      <c r="AD5" s="31" t="s">
        <v>25</v>
      </c>
      <c r="AE5" s="32" t="str">
        <f t="shared" ref="AE5:AE26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/>
      <c r="AM5" s="34" t="s">
        <v>25</v>
      </c>
      <c r="AN5" s="35" t="str">
        <f t="shared" ref="AN5:AN2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2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4930</v>
      </c>
      <c r="C6" s="41" t="s">
        <v>4931</v>
      </c>
      <c r="D6" s="39" t="s">
        <v>4929</v>
      </c>
      <c r="E6" s="43">
        <v>46125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46196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24</v>
      </c>
      <c r="Z6" s="30" t="s">
        <v>25</v>
      </c>
      <c r="AA6" s="30" t="s">
        <v>26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24</v>
      </c>
      <c r="AI6" s="33" t="s">
        <v>25</v>
      </c>
      <c r="AJ6" s="33" t="s">
        <v>26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4932</v>
      </c>
      <c r="C7" s="25" t="s">
        <v>4933</v>
      </c>
      <c r="D7" s="23" t="s">
        <v>4929</v>
      </c>
      <c r="E7" s="43">
        <v>46125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46196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24</v>
      </c>
      <c r="Z7" s="30" t="s">
        <v>25</v>
      </c>
      <c r="AA7" s="30" t="s">
        <v>26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24</v>
      </c>
      <c r="AI7" s="33" t="s">
        <v>25</v>
      </c>
      <c r="AJ7" s="33" t="s">
        <v>26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4934</v>
      </c>
      <c r="C8" s="41" t="s">
        <v>4935</v>
      </c>
      <c r="D8" s="39" t="s">
        <v>4929</v>
      </c>
      <c r="E8" s="43">
        <v>46125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46196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 t="s">
        <v>25</v>
      </c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 t="s">
        <v>25</v>
      </c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4936</v>
      </c>
      <c r="C9" s="25" t="s">
        <v>4937</v>
      </c>
      <c r="D9" s="23" t="s">
        <v>4929</v>
      </c>
      <c r="E9" s="43">
        <v>46125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46196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 t="s">
        <v>25</v>
      </c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 t="s">
        <v>25</v>
      </c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4938</v>
      </c>
      <c r="C10" s="41" t="s">
        <v>4939</v>
      </c>
      <c r="D10" s="39" t="s">
        <v>4929</v>
      </c>
      <c r="E10" s="43">
        <v>46125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46196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4940</v>
      </c>
      <c r="C11" s="25" t="s">
        <v>4941</v>
      </c>
      <c r="D11" s="23" t="s">
        <v>4929</v>
      </c>
      <c r="E11" s="43">
        <v>46125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46196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 t="s">
        <v>25</v>
      </c>
      <c r="AA11" s="30" t="s">
        <v>26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 t="s">
        <v>25</v>
      </c>
      <c r="AJ11" s="33" t="s">
        <v>26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4942</v>
      </c>
      <c r="C12" s="41" t="s">
        <v>4943</v>
      </c>
      <c r="D12" s="39" t="s">
        <v>4929</v>
      </c>
      <c r="E12" s="43">
        <v>46125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46196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4944</v>
      </c>
      <c r="C13" s="25" t="s">
        <v>4945</v>
      </c>
      <c r="D13" s="23" t="s">
        <v>4929</v>
      </c>
      <c r="E13" s="43">
        <v>46125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46196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 t="s">
        <v>25</v>
      </c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 t="s">
        <v>25</v>
      </c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4946</v>
      </c>
      <c r="C14" s="41" t="s">
        <v>4947</v>
      </c>
      <c r="D14" s="39" t="s">
        <v>4929</v>
      </c>
      <c r="E14" s="43">
        <v>46125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46196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4948</v>
      </c>
      <c r="C15" s="25" t="s">
        <v>4949</v>
      </c>
      <c r="D15" s="23" t="s">
        <v>4929</v>
      </c>
      <c r="E15" s="43">
        <v>46125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46196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4950</v>
      </c>
      <c r="C16" s="41" t="s">
        <v>4951</v>
      </c>
      <c r="D16" s="39" t="s">
        <v>4929</v>
      </c>
      <c r="E16" s="43">
        <v>46125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46196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 t="s">
        <v>25</v>
      </c>
      <c r="AA16" s="30" t="s">
        <v>26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 t="s">
        <v>25</v>
      </c>
      <c r="AJ16" s="33" t="s">
        <v>26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4952</v>
      </c>
      <c r="C17" s="25" t="s">
        <v>4953</v>
      </c>
      <c r="D17" s="23" t="s">
        <v>4929</v>
      </c>
      <c r="E17" s="43">
        <v>46125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46196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24</v>
      </c>
      <c r="Z17" s="30" t="s">
        <v>25</v>
      </c>
      <c r="AA17" s="30" t="s">
        <v>26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24</v>
      </c>
      <c r="AI17" s="33" t="s">
        <v>25</v>
      </c>
      <c r="AJ17" s="33" t="s">
        <v>26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4954</v>
      </c>
      <c r="C18" s="41" t="s">
        <v>4955</v>
      </c>
      <c r="D18" s="39" t="s">
        <v>4929</v>
      </c>
      <c r="E18" s="43">
        <v>46125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46196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4956</v>
      </c>
      <c r="C19" s="25" t="s">
        <v>4957</v>
      </c>
      <c r="D19" s="23" t="s">
        <v>4929</v>
      </c>
      <c r="E19" s="43">
        <v>46125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46196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4958</v>
      </c>
      <c r="C20" s="41" t="s">
        <v>4959</v>
      </c>
      <c r="D20" s="39" t="s">
        <v>4929</v>
      </c>
      <c r="E20" s="43">
        <v>46125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46196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24</v>
      </c>
      <c r="Z20" s="30" t="s">
        <v>25</v>
      </c>
      <c r="AA20" s="30" t="s">
        <v>26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24</v>
      </c>
      <c r="AI20" s="33" t="s">
        <v>25</v>
      </c>
      <c r="AJ20" s="33" t="s">
        <v>26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4960</v>
      </c>
      <c r="C21" s="25" t="s">
        <v>4961</v>
      </c>
      <c r="D21" s="23" t="s">
        <v>4929</v>
      </c>
      <c r="E21" s="43">
        <v>46125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46196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4962</v>
      </c>
      <c r="C22" s="41" t="s">
        <v>4963</v>
      </c>
      <c r="D22" s="39" t="s">
        <v>4964</v>
      </c>
      <c r="E22" s="43">
        <v>46125</v>
      </c>
      <c r="F22" s="26" t="s">
        <v>23</v>
      </c>
      <c r="G22" s="26" t="s">
        <v>25</v>
      </c>
      <c r="H22" s="26" t="s">
        <v>25</v>
      </c>
      <c r="I22" s="26" t="s">
        <v>735</v>
      </c>
      <c r="J22" s="26" t="s">
        <v>25</v>
      </c>
      <c r="K22" s="27"/>
      <c r="L22" s="28" t="s">
        <v>24</v>
      </c>
      <c r="M22" s="29" t="str">
        <f t="shared" si="0"/>
        <v>⚠ Missing</v>
      </c>
      <c r="N22" s="43">
        <v>46196</v>
      </c>
      <c r="O22" s="26" t="s">
        <v>23</v>
      </c>
      <c r="P22" s="26" t="s">
        <v>25</v>
      </c>
      <c r="Q22" s="26" t="s">
        <v>25</v>
      </c>
      <c r="R22" s="26" t="s">
        <v>735</v>
      </c>
      <c r="S22" s="26" t="s">
        <v>25</v>
      </c>
      <c r="T22" s="27"/>
      <c r="U22" s="28" t="s">
        <v>24</v>
      </c>
      <c r="V22" s="29" t="str">
        <f t="shared" si="1"/>
        <v>⚠ Missing</v>
      </c>
      <c r="W22" s="45">
        <v>46248</v>
      </c>
      <c r="X22" s="30" t="s">
        <v>23</v>
      </c>
      <c r="Y22" s="30" t="s">
        <v>25</v>
      </c>
      <c r="Z22" s="30" t="s">
        <v>25</v>
      </c>
      <c r="AA22" s="30" t="s">
        <v>735</v>
      </c>
      <c r="AB22" s="30" t="s">
        <v>25</v>
      </c>
      <c r="AC22" s="27"/>
      <c r="AD22" s="31" t="s">
        <v>24</v>
      </c>
      <c r="AE22" s="32" t="str">
        <f t="shared" si="2"/>
        <v>⚠ Missing</v>
      </c>
      <c r="AF22" s="33" t="s">
        <v>27</v>
      </c>
      <c r="AG22" s="33" t="s">
        <v>23</v>
      </c>
      <c r="AH22" s="33" t="s">
        <v>25</v>
      </c>
      <c r="AI22" s="33" t="s">
        <v>25</v>
      </c>
      <c r="AJ22" s="33" t="s">
        <v>735</v>
      </c>
      <c r="AK22" s="33" t="s">
        <v>25</v>
      </c>
      <c r="AL22" s="27"/>
      <c r="AM22" s="34" t="s">
        <v>24</v>
      </c>
      <c r="AN22" s="35" t="str">
        <f t="shared" si="3"/>
        <v>⚠ Missing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4965</v>
      </c>
      <c r="C23" s="25" t="s">
        <v>4966</v>
      </c>
      <c r="D23" s="23" t="s">
        <v>4964</v>
      </c>
      <c r="E23" s="43">
        <v>46125</v>
      </c>
      <c r="F23" s="26" t="s">
        <v>23</v>
      </c>
      <c r="G23" s="26" t="s">
        <v>25</v>
      </c>
      <c r="H23" s="26" t="s">
        <v>25</v>
      </c>
      <c r="I23" s="26" t="s">
        <v>735</v>
      </c>
      <c r="J23" s="26" t="s">
        <v>25</v>
      </c>
      <c r="K23" s="27"/>
      <c r="L23" s="28" t="s">
        <v>24</v>
      </c>
      <c r="M23" s="29" t="str">
        <f t="shared" si="0"/>
        <v>⚠ Missing</v>
      </c>
      <c r="N23" s="43">
        <v>46196</v>
      </c>
      <c r="O23" s="26" t="s">
        <v>23</v>
      </c>
      <c r="P23" s="26" t="s">
        <v>25</v>
      </c>
      <c r="Q23" s="26" t="s">
        <v>25</v>
      </c>
      <c r="R23" s="26" t="s">
        <v>735</v>
      </c>
      <c r="S23" s="26" t="s">
        <v>25</v>
      </c>
      <c r="T23" s="27"/>
      <c r="U23" s="28" t="s">
        <v>24</v>
      </c>
      <c r="V23" s="29" t="str">
        <f t="shared" si="1"/>
        <v>⚠ Missing</v>
      </c>
      <c r="W23" s="45">
        <v>46248</v>
      </c>
      <c r="X23" s="30" t="s">
        <v>23</v>
      </c>
      <c r="Y23" s="30" t="s">
        <v>25</v>
      </c>
      <c r="Z23" s="30" t="s">
        <v>25</v>
      </c>
      <c r="AA23" s="30" t="s">
        <v>735</v>
      </c>
      <c r="AB23" s="30" t="s">
        <v>25</v>
      </c>
      <c r="AC23" s="27"/>
      <c r="AD23" s="31" t="s">
        <v>24</v>
      </c>
      <c r="AE23" s="32" t="str">
        <f t="shared" si="2"/>
        <v>⚠ Missing</v>
      </c>
      <c r="AF23" s="33" t="s">
        <v>27</v>
      </c>
      <c r="AG23" s="33" t="s">
        <v>23</v>
      </c>
      <c r="AH23" s="33" t="s">
        <v>25</v>
      </c>
      <c r="AI23" s="33" t="s">
        <v>25</v>
      </c>
      <c r="AJ23" s="33" t="s">
        <v>735</v>
      </c>
      <c r="AK23" s="33" t="s">
        <v>25</v>
      </c>
      <c r="AL23" s="27"/>
      <c r="AM23" s="34" t="s">
        <v>24</v>
      </c>
      <c r="AN23" s="35" t="str">
        <f t="shared" si="3"/>
        <v>⚠ Missing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4967</v>
      </c>
      <c r="C24" s="41" t="s">
        <v>4968</v>
      </c>
      <c r="D24" s="39" t="s">
        <v>4964</v>
      </c>
      <c r="E24" s="43">
        <v>46125</v>
      </c>
      <c r="F24" s="26" t="s">
        <v>23</v>
      </c>
      <c r="G24" s="26" t="s">
        <v>25</v>
      </c>
      <c r="H24" s="26" t="s">
        <v>25</v>
      </c>
      <c r="I24" s="26" t="s">
        <v>735</v>
      </c>
      <c r="J24" s="26" t="s">
        <v>25</v>
      </c>
      <c r="K24" s="27"/>
      <c r="L24" s="28" t="s">
        <v>24</v>
      </c>
      <c r="M24" s="29" t="str">
        <f t="shared" si="0"/>
        <v>⚠ Missing</v>
      </c>
      <c r="N24" s="43">
        <v>46196</v>
      </c>
      <c r="O24" s="26" t="s">
        <v>23</v>
      </c>
      <c r="P24" s="26" t="s">
        <v>25</v>
      </c>
      <c r="Q24" s="26" t="s">
        <v>25</v>
      </c>
      <c r="R24" s="26" t="s">
        <v>735</v>
      </c>
      <c r="S24" s="26" t="s">
        <v>25</v>
      </c>
      <c r="T24" s="27"/>
      <c r="U24" s="28" t="s">
        <v>24</v>
      </c>
      <c r="V24" s="29" t="str">
        <f t="shared" si="1"/>
        <v>⚠ Missing</v>
      </c>
      <c r="W24" s="45">
        <v>46248</v>
      </c>
      <c r="X24" s="30" t="s">
        <v>23</v>
      </c>
      <c r="Y24" s="30" t="s">
        <v>25</v>
      </c>
      <c r="Z24" s="30" t="s">
        <v>25</v>
      </c>
      <c r="AA24" s="30" t="s">
        <v>735</v>
      </c>
      <c r="AB24" s="30" t="s">
        <v>25</v>
      </c>
      <c r="AC24" s="27"/>
      <c r="AD24" s="31" t="s">
        <v>24</v>
      </c>
      <c r="AE24" s="32" t="str">
        <f t="shared" si="2"/>
        <v>⚠ Missing</v>
      </c>
      <c r="AF24" s="33" t="s">
        <v>27</v>
      </c>
      <c r="AG24" s="33" t="s">
        <v>23</v>
      </c>
      <c r="AH24" s="33" t="s">
        <v>25</v>
      </c>
      <c r="AI24" s="33" t="s">
        <v>25</v>
      </c>
      <c r="AJ24" s="33" t="s">
        <v>735</v>
      </c>
      <c r="AK24" s="33" t="s">
        <v>25</v>
      </c>
      <c r="AL24" s="27"/>
      <c r="AM24" s="34" t="s">
        <v>24</v>
      </c>
      <c r="AN24" s="35" t="str">
        <f t="shared" si="3"/>
        <v>⚠ Missing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4969</v>
      </c>
      <c r="C25" s="25" t="s">
        <v>4970</v>
      </c>
      <c r="D25" s="23" t="s">
        <v>4964</v>
      </c>
      <c r="E25" s="43">
        <v>46125</v>
      </c>
      <c r="F25" s="26" t="s">
        <v>23</v>
      </c>
      <c r="G25" s="26" t="s">
        <v>25</v>
      </c>
      <c r="H25" s="26" t="s">
        <v>25</v>
      </c>
      <c r="I25" s="26" t="s">
        <v>735</v>
      </c>
      <c r="J25" s="26" t="s">
        <v>25</v>
      </c>
      <c r="K25" s="27"/>
      <c r="L25" s="28" t="s">
        <v>24</v>
      </c>
      <c r="M25" s="29" t="str">
        <f t="shared" si="0"/>
        <v>⚠ Missing</v>
      </c>
      <c r="N25" s="43">
        <v>46196</v>
      </c>
      <c r="O25" s="26" t="s">
        <v>23</v>
      </c>
      <c r="P25" s="26" t="s">
        <v>25</v>
      </c>
      <c r="Q25" s="26" t="s">
        <v>25</v>
      </c>
      <c r="R25" s="26" t="s">
        <v>735</v>
      </c>
      <c r="S25" s="26" t="s">
        <v>25</v>
      </c>
      <c r="T25" s="27"/>
      <c r="U25" s="28" t="s">
        <v>24</v>
      </c>
      <c r="V25" s="29" t="str">
        <f t="shared" si="1"/>
        <v>⚠ Missing</v>
      </c>
      <c r="W25" s="45">
        <v>46248</v>
      </c>
      <c r="X25" s="30" t="s">
        <v>23</v>
      </c>
      <c r="Y25" s="30" t="s">
        <v>25</v>
      </c>
      <c r="Z25" s="30" t="s">
        <v>25</v>
      </c>
      <c r="AA25" s="30" t="s">
        <v>735</v>
      </c>
      <c r="AB25" s="30" t="s">
        <v>25</v>
      </c>
      <c r="AC25" s="27"/>
      <c r="AD25" s="31" t="s">
        <v>24</v>
      </c>
      <c r="AE25" s="32" t="str">
        <f t="shared" si="2"/>
        <v>⚠ Missing</v>
      </c>
      <c r="AF25" s="33" t="s">
        <v>27</v>
      </c>
      <c r="AG25" s="33" t="s">
        <v>23</v>
      </c>
      <c r="AH25" s="33" t="s">
        <v>25</v>
      </c>
      <c r="AI25" s="33" t="s">
        <v>25</v>
      </c>
      <c r="AJ25" s="33" t="s">
        <v>735</v>
      </c>
      <c r="AK25" s="33" t="s">
        <v>25</v>
      </c>
      <c r="AL25" s="27"/>
      <c r="AM25" s="34" t="s">
        <v>24</v>
      </c>
      <c r="AN25" s="35" t="str">
        <f t="shared" si="3"/>
        <v>⚠ Missing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4971</v>
      </c>
      <c r="C26" s="41" t="s">
        <v>4972</v>
      </c>
      <c r="D26" s="39" t="s">
        <v>4964</v>
      </c>
      <c r="E26" s="43">
        <v>46125</v>
      </c>
      <c r="F26" s="26" t="s">
        <v>23</v>
      </c>
      <c r="G26" s="26" t="s">
        <v>25</v>
      </c>
      <c r="H26" s="26" t="s">
        <v>25</v>
      </c>
      <c r="I26" s="26" t="s">
        <v>735</v>
      </c>
      <c r="J26" s="26" t="s">
        <v>25</v>
      </c>
      <c r="K26" s="27"/>
      <c r="L26" s="28" t="s">
        <v>24</v>
      </c>
      <c r="M26" s="29" t="str">
        <f t="shared" si="0"/>
        <v>⚠ Missing</v>
      </c>
      <c r="N26" s="43">
        <v>46196</v>
      </c>
      <c r="O26" s="26" t="s">
        <v>23</v>
      </c>
      <c r="P26" s="26" t="s">
        <v>25</v>
      </c>
      <c r="Q26" s="26" t="s">
        <v>25</v>
      </c>
      <c r="R26" s="26" t="s">
        <v>735</v>
      </c>
      <c r="S26" s="26" t="s">
        <v>25</v>
      </c>
      <c r="T26" s="27"/>
      <c r="U26" s="28" t="s">
        <v>24</v>
      </c>
      <c r="V26" s="29" t="str">
        <f t="shared" si="1"/>
        <v>⚠ Missing</v>
      </c>
      <c r="W26" s="45">
        <v>46248</v>
      </c>
      <c r="X26" s="30" t="s">
        <v>23</v>
      </c>
      <c r="Y26" s="30" t="s">
        <v>25</v>
      </c>
      <c r="Z26" s="30" t="s">
        <v>25</v>
      </c>
      <c r="AA26" s="30" t="s">
        <v>735</v>
      </c>
      <c r="AB26" s="30" t="s">
        <v>25</v>
      </c>
      <c r="AC26" s="27"/>
      <c r="AD26" s="31" t="s">
        <v>24</v>
      </c>
      <c r="AE26" s="32" t="str">
        <f t="shared" si="2"/>
        <v>⚠ Missing</v>
      </c>
      <c r="AF26" s="33" t="s">
        <v>27</v>
      </c>
      <c r="AG26" s="33" t="s">
        <v>23</v>
      </c>
      <c r="AH26" s="33" t="s">
        <v>25</v>
      </c>
      <c r="AI26" s="33" t="s">
        <v>25</v>
      </c>
      <c r="AJ26" s="33" t="s">
        <v>735</v>
      </c>
      <c r="AK26" s="33" t="s">
        <v>25</v>
      </c>
      <c r="AL26" s="27"/>
      <c r="AM26" s="34" t="s">
        <v>24</v>
      </c>
      <c r="AN26" s="35" t="str">
        <f t="shared" si="3"/>
        <v>⚠ Missing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</sheetData>
  <autoFilter ref="A4:AW26" xr:uid="{00000000-0009-0000-0000-000008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26">
    <cfRule type="expression" dxfId="261" priority="15">
      <formula>G5="Yes"</formula>
    </cfRule>
    <cfRule type="expression" dxfId="260" priority="16">
      <formula>G5="No"</formula>
    </cfRule>
  </conditionalFormatting>
  <conditionalFormatting sqref="H5:H26">
    <cfRule type="expression" dxfId="259" priority="17">
      <formula>H5="Yes"</formula>
    </cfRule>
  </conditionalFormatting>
  <conditionalFormatting sqref="J5:J26">
    <cfRule type="expression" dxfId="258" priority="18">
      <formula>J5="Yes"</formula>
    </cfRule>
    <cfRule type="expression" dxfId="257" priority="19">
      <formula>J5="No"</formula>
    </cfRule>
  </conditionalFormatting>
  <conditionalFormatting sqref="M5:M26">
    <cfRule type="expression" dxfId="256" priority="13">
      <formula>M5="⚠ Missing"</formula>
    </cfRule>
    <cfRule type="expression" dxfId="255" priority="11">
      <formula>M5="✓ OK"</formula>
    </cfRule>
    <cfRule type="expression" dxfId="254" priority="12">
      <formula>M5="❌ Disc"</formula>
    </cfRule>
    <cfRule type="expression" dxfId="253" priority="14">
      <formula>M5="⚠ Check"</formula>
    </cfRule>
  </conditionalFormatting>
  <conditionalFormatting sqref="N5:N26">
    <cfRule type="expression" dxfId="252" priority="1">
      <formula>MOD(ROW(),2)=0</formula>
    </cfRule>
  </conditionalFormatting>
  <conditionalFormatting sqref="O5:AW26 A5:M26">
    <cfRule type="expression" dxfId="251" priority="56">
      <formula>MOD(ROW(),2)=0</formula>
    </cfRule>
  </conditionalFormatting>
  <conditionalFormatting sqref="P5:P26">
    <cfRule type="expression" dxfId="250" priority="6">
      <formula>P5="Yes"</formula>
    </cfRule>
    <cfRule type="expression" dxfId="249" priority="7">
      <formula>P5="No"</formula>
    </cfRule>
    <cfRule type="expression" dxfId="248" priority="24">
      <formula>P5="Yes"</formula>
    </cfRule>
    <cfRule type="expression" dxfId="247" priority="25">
      <formula>P5="No"</formula>
    </cfRule>
  </conditionalFormatting>
  <conditionalFormatting sqref="Q5:Q26">
    <cfRule type="expression" dxfId="246" priority="8">
      <formula>Q5="Yes"</formula>
    </cfRule>
  </conditionalFormatting>
  <conditionalFormatting sqref="S5:S26">
    <cfRule type="expression" dxfId="245" priority="9">
      <formula>S5="Yes"</formula>
    </cfRule>
    <cfRule type="expression" dxfId="244" priority="10">
      <formula>S5="No"</formula>
    </cfRule>
    <cfRule type="expression" dxfId="243" priority="27">
      <formula>S5="Yes"</formula>
    </cfRule>
    <cfRule type="expression" dxfId="242" priority="28">
      <formula>S5="No"</formula>
    </cfRule>
  </conditionalFormatting>
  <conditionalFormatting sqref="V5:V26">
    <cfRule type="expression" dxfId="241" priority="2">
      <formula>V5="✓ OK"</formula>
    </cfRule>
    <cfRule type="expression" dxfId="240" priority="3">
      <formula>V5="❌ Disc"</formula>
    </cfRule>
    <cfRule type="expression" dxfId="239" priority="4">
      <formula>V5="⚠ Missing"</formula>
    </cfRule>
    <cfRule type="expression" dxfId="238" priority="5">
      <formula>V5="⚠ Check"</formula>
    </cfRule>
    <cfRule type="expression" dxfId="237" priority="20">
      <formula>V5="✓ OK"</formula>
    </cfRule>
    <cfRule type="expression" dxfId="236" priority="21">
      <formula>V5="❌ Disc"</formula>
    </cfRule>
    <cfRule type="expression" dxfId="235" priority="22">
      <formula>V5="⚠ Missing"</formula>
    </cfRule>
    <cfRule type="expression" dxfId="234" priority="23">
      <formula>V5="⚠ Check"</formula>
    </cfRule>
  </conditionalFormatting>
  <conditionalFormatting sqref="Y5:Y26">
    <cfRule type="expression" dxfId="233" priority="33">
      <formula>Y5="Yes"</formula>
    </cfRule>
    <cfRule type="expression" dxfId="232" priority="34">
      <formula>Y5="No"</formula>
    </cfRule>
  </conditionalFormatting>
  <conditionalFormatting sqref="Z5:Z26">
    <cfRule type="expression" dxfId="231" priority="35">
      <formula>Z5="Yes"</formula>
    </cfRule>
  </conditionalFormatting>
  <conditionalFormatting sqref="AB5:AB26">
    <cfRule type="expression" dxfId="230" priority="36">
      <formula>AB5="Yes"</formula>
    </cfRule>
    <cfRule type="expression" dxfId="229" priority="37">
      <formula>AB5="No"</formula>
    </cfRule>
  </conditionalFormatting>
  <conditionalFormatting sqref="AE5:AE26">
    <cfRule type="expression" dxfId="228" priority="30">
      <formula>AE5="❌ Disc"</formula>
    </cfRule>
    <cfRule type="expression" dxfId="227" priority="31">
      <formula>AE5="⚠ Missing"</formula>
    </cfRule>
    <cfRule type="expression" dxfId="226" priority="29">
      <formula>AE5="✓ OK"</formula>
    </cfRule>
    <cfRule type="expression" dxfId="225" priority="32">
      <formula>AE5="⚠ Check"</formula>
    </cfRule>
  </conditionalFormatting>
  <conditionalFormatting sqref="AH5:AH26">
    <cfRule type="expression" dxfId="224" priority="42">
      <formula>AH5="Yes"</formula>
    </cfRule>
    <cfRule type="expression" dxfId="223" priority="43">
      <formula>AH5="No"</formula>
    </cfRule>
  </conditionalFormatting>
  <conditionalFormatting sqref="AI5:AI26">
    <cfRule type="expression" dxfId="222" priority="44">
      <formula>AI5="Yes"</formula>
    </cfRule>
  </conditionalFormatting>
  <conditionalFormatting sqref="AK5:AK26">
    <cfRule type="expression" dxfId="221" priority="45">
      <formula>AK5="Yes"</formula>
    </cfRule>
    <cfRule type="expression" dxfId="220" priority="46">
      <formula>AK5="No"</formula>
    </cfRule>
  </conditionalFormatting>
  <conditionalFormatting sqref="AN5:AN26">
    <cfRule type="expression" dxfId="219" priority="38">
      <formula>AN5="✓ OK"</formula>
    </cfRule>
    <cfRule type="expression" dxfId="218" priority="39">
      <formula>AN5="❌ Disc"</formula>
    </cfRule>
    <cfRule type="expression" dxfId="217" priority="40">
      <formula>AN5="⚠ Missing"</formula>
    </cfRule>
    <cfRule type="expression" dxfId="216" priority="41">
      <formula>AN5="⚠ Check"</formula>
    </cfRule>
  </conditionalFormatting>
  <conditionalFormatting sqref="AQ5:AQ26">
    <cfRule type="expression" dxfId="215" priority="51">
      <formula>AQ5="Yes"</formula>
    </cfRule>
    <cfRule type="expression" dxfId="214" priority="52">
      <formula>AQ5="No"</formula>
    </cfRule>
  </conditionalFormatting>
  <conditionalFormatting sqref="AR5:AR26">
    <cfRule type="expression" dxfId="213" priority="53">
      <formula>AR5="Yes"</formula>
    </cfRule>
  </conditionalFormatting>
  <conditionalFormatting sqref="AT5:AT26">
    <cfRule type="expression" dxfId="212" priority="54">
      <formula>AT5="Yes"</formula>
    </cfRule>
    <cfRule type="expression" dxfId="211" priority="55">
      <formula>AT5="No"</formula>
    </cfRule>
  </conditionalFormatting>
  <conditionalFormatting sqref="AW5:AW26">
    <cfRule type="expression" dxfId="210" priority="47">
      <formula>AW5="✓ OK"</formula>
    </cfRule>
    <cfRule type="expression" dxfId="209" priority="48">
      <formula>AW5="❌ Disc"</formula>
    </cfRule>
    <cfRule type="expression" dxfId="208" priority="49">
      <formula>AW5="⚠ Missing"</formula>
    </cfRule>
    <cfRule type="expression" dxfId="207" priority="50">
      <formula>AW5="⚠ Check"</formula>
    </cfRule>
  </conditionalFormatting>
  <dataValidations count="2">
    <dataValidation type="list" allowBlank="1" sqref="G5:H26 J5:J26 P5:Q26 S5:S26 Y5:Z26 AB5:AB26 AH5:AI26 AK5:AK26 AQ5:AR26 AT5:AT26" xr:uid="{00000000-0002-0000-0800-000000000000}">
      <formula1>"Yes,No"</formula1>
    </dataValidation>
    <dataValidation type="list" allowBlank="1" sqref="I5:I26 R5:R26 AA5:AA26 AJ5:AJ26 AS5:AS26" xr:uid="{00000000-0002-0000-08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AW39"/>
  <sheetViews>
    <sheetView workbookViewId="0">
      <pane xSplit="4" ySplit="4" topLeftCell="AC5" activePane="bottomRight" state="frozen"/>
      <selection pane="topRight" activeCell="AU16" sqref="AU16"/>
      <selection pane="bottomLeft" activeCell="AU16" sqref="AU16"/>
      <selection pane="bottomRight" activeCell="AF6" sqref="AF6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4973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4974</v>
      </c>
      <c r="C5" s="25" t="s">
        <v>4975</v>
      </c>
      <c r="D5" s="23" t="s">
        <v>1519</v>
      </c>
      <c r="E5" s="43">
        <v>46125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39" si="0">IF(E5="","",IF(H5="Yes","❌ Disc",IF(G5="No","⚠ Missing",IF(J5="Yes","✓ OK","⚠ Check"))))</f>
        <v>✓ OK</v>
      </c>
      <c r="N5" s="43">
        <v>46196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39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/>
      <c r="AD5" s="31" t="s">
        <v>25</v>
      </c>
      <c r="AE5" s="32" t="str">
        <f t="shared" ref="AE5:AE39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/>
      <c r="AM5" s="34" t="s">
        <v>25</v>
      </c>
      <c r="AN5" s="35" t="str">
        <f t="shared" ref="AN5:AN39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9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4976</v>
      </c>
      <c r="C6" s="41" t="s">
        <v>4977</v>
      </c>
      <c r="D6" s="39" t="s">
        <v>1519</v>
      </c>
      <c r="E6" s="43">
        <v>46125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46196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24</v>
      </c>
      <c r="Z6" s="30" t="s">
        <v>25</v>
      </c>
      <c r="AA6" s="30" t="s">
        <v>26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24</v>
      </c>
      <c r="AI6" s="33" t="s">
        <v>25</v>
      </c>
      <c r="AJ6" s="33" t="s">
        <v>26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4978</v>
      </c>
      <c r="C7" s="25" t="s">
        <v>4979</v>
      </c>
      <c r="D7" s="23" t="s">
        <v>1519</v>
      </c>
      <c r="E7" s="43">
        <v>46125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46196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24</v>
      </c>
      <c r="Z7" s="30" t="s">
        <v>25</v>
      </c>
      <c r="AA7" s="30" t="s">
        <v>26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24</v>
      </c>
      <c r="AI7" s="33" t="s">
        <v>25</v>
      </c>
      <c r="AJ7" s="33" t="s">
        <v>26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4980</v>
      </c>
      <c r="C8" s="41" t="s">
        <v>4981</v>
      </c>
      <c r="D8" s="39" t="s">
        <v>1519</v>
      </c>
      <c r="E8" s="43">
        <v>46125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46196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 t="s">
        <v>25</v>
      </c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 t="s">
        <v>25</v>
      </c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4982</v>
      </c>
      <c r="C9" s="25" t="s">
        <v>4983</v>
      </c>
      <c r="D9" s="23" t="s">
        <v>1519</v>
      </c>
      <c r="E9" s="43">
        <v>46125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46196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 t="s">
        <v>25</v>
      </c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 t="s">
        <v>25</v>
      </c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4984</v>
      </c>
      <c r="C10" s="41" t="s">
        <v>4985</v>
      </c>
      <c r="D10" s="39" t="s">
        <v>1519</v>
      </c>
      <c r="E10" s="43">
        <v>46125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46196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4986</v>
      </c>
      <c r="C11" s="25" t="s">
        <v>4987</v>
      </c>
      <c r="D11" s="23" t="s">
        <v>1519</v>
      </c>
      <c r="E11" s="43">
        <v>46125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46196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 t="s">
        <v>25</v>
      </c>
      <c r="AA11" s="30" t="s">
        <v>26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 t="s">
        <v>25</v>
      </c>
      <c r="AJ11" s="33" t="s">
        <v>26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4988</v>
      </c>
      <c r="C12" s="41" t="s">
        <v>4989</v>
      </c>
      <c r="D12" s="39" t="s">
        <v>1519</v>
      </c>
      <c r="E12" s="43">
        <v>46125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46196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4990</v>
      </c>
      <c r="C13" s="25" t="s">
        <v>4991</v>
      </c>
      <c r="D13" s="23" t="s">
        <v>4903</v>
      </c>
      <c r="E13" s="43">
        <v>46125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46196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 t="s">
        <v>25</v>
      </c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 t="s">
        <v>25</v>
      </c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4992</v>
      </c>
      <c r="C14" s="41" t="s">
        <v>4993</v>
      </c>
      <c r="D14" s="39" t="s">
        <v>4903</v>
      </c>
      <c r="E14" s="43">
        <v>46125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46196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4994</v>
      </c>
      <c r="C15" s="25" t="s">
        <v>4995</v>
      </c>
      <c r="D15" s="23" t="s">
        <v>4903</v>
      </c>
      <c r="E15" s="43">
        <v>46125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46196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4996</v>
      </c>
      <c r="C16" s="41" t="s">
        <v>4997</v>
      </c>
      <c r="D16" s="39" t="s">
        <v>4903</v>
      </c>
      <c r="E16" s="43">
        <v>46125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46196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 t="s">
        <v>25</v>
      </c>
      <c r="AA16" s="30" t="s">
        <v>26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 t="s">
        <v>25</v>
      </c>
      <c r="AJ16" s="33" t="s">
        <v>26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4998</v>
      </c>
      <c r="C17" s="25" t="s">
        <v>4999</v>
      </c>
      <c r="D17" s="23" t="s">
        <v>4903</v>
      </c>
      <c r="E17" s="43">
        <v>46125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46196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24</v>
      </c>
      <c r="Z17" s="30" t="s">
        <v>25</v>
      </c>
      <c r="AA17" s="30" t="s">
        <v>26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24</v>
      </c>
      <c r="AI17" s="33" t="s">
        <v>25</v>
      </c>
      <c r="AJ17" s="33" t="s">
        <v>26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5000</v>
      </c>
      <c r="C18" s="41" t="s">
        <v>5001</v>
      </c>
      <c r="D18" s="39" t="s">
        <v>4903</v>
      </c>
      <c r="E18" s="43">
        <v>46125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46196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5002</v>
      </c>
      <c r="C19" s="25" t="s">
        <v>5003</v>
      </c>
      <c r="D19" s="23" t="s">
        <v>4903</v>
      </c>
      <c r="E19" s="43">
        <v>46125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46196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5004</v>
      </c>
      <c r="C20" s="41" t="s">
        <v>5005</v>
      </c>
      <c r="D20" s="39" t="s">
        <v>4903</v>
      </c>
      <c r="E20" s="43">
        <v>46125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46196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24</v>
      </c>
      <c r="Z20" s="30" t="s">
        <v>25</v>
      </c>
      <c r="AA20" s="30" t="s">
        <v>26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24</v>
      </c>
      <c r="AI20" s="33" t="s">
        <v>25</v>
      </c>
      <c r="AJ20" s="33" t="s">
        <v>26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5006</v>
      </c>
      <c r="C21" s="25" t="s">
        <v>5007</v>
      </c>
      <c r="D21" s="23" t="s">
        <v>4903</v>
      </c>
      <c r="E21" s="43">
        <v>46125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46196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5008</v>
      </c>
      <c r="C22" s="41" t="s">
        <v>5009</v>
      </c>
      <c r="D22" s="39" t="s">
        <v>4903</v>
      </c>
      <c r="E22" s="43">
        <v>46125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43">
        <v>46196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24</v>
      </c>
      <c r="Z22" s="30" t="s">
        <v>25</v>
      </c>
      <c r="AA22" s="30" t="s">
        <v>26</v>
      </c>
      <c r="AB22" s="30" t="s">
        <v>24</v>
      </c>
      <c r="AC22" s="27"/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24</v>
      </c>
      <c r="AI22" s="33" t="s">
        <v>25</v>
      </c>
      <c r="AJ22" s="33" t="s">
        <v>26</v>
      </c>
      <c r="AK22" s="33" t="s">
        <v>24</v>
      </c>
      <c r="AL22" s="27"/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5010</v>
      </c>
      <c r="C23" s="25" t="s">
        <v>5011</v>
      </c>
      <c r="D23" s="23" t="s">
        <v>4903</v>
      </c>
      <c r="E23" s="43">
        <v>46125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46196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5012</v>
      </c>
      <c r="C24" s="41" t="s">
        <v>5013</v>
      </c>
      <c r="D24" s="39" t="s">
        <v>4903</v>
      </c>
      <c r="E24" s="43">
        <v>46125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46196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24</v>
      </c>
      <c r="Z24" s="30" t="s">
        <v>25</v>
      </c>
      <c r="AA24" s="30" t="s">
        <v>26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24</v>
      </c>
      <c r="AI24" s="33" t="s">
        <v>25</v>
      </c>
      <c r="AJ24" s="33" t="s">
        <v>26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5014</v>
      </c>
      <c r="C25" s="25" t="s">
        <v>5015</v>
      </c>
      <c r="D25" s="23" t="s">
        <v>4903</v>
      </c>
      <c r="E25" s="43">
        <v>46125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46196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5016</v>
      </c>
      <c r="C26" s="41" t="s">
        <v>5017</v>
      </c>
      <c r="D26" s="39" t="s">
        <v>4903</v>
      </c>
      <c r="E26" s="43">
        <v>46125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46196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24</v>
      </c>
      <c r="Z26" s="30" t="s">
        <v>25</v>
      </c>
      <c r="AA26" s="30" t="s">
        <v>26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24</v>
      </c>
      <c r="AI26" s="33" t="s">
        <v>25</v>
      </c>
      <c r="AJ26" s="33" t="s">
        <v>26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5018</v>
      </c>
      <c r="C27" s="25" t="s">
        <v>5019</v>
      </c>
      <c r="D27" s="23" t="s">
        <v>4903</v>
      </c>
      <c r="E27" s="43">
        <v>46125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46196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5020</v>
      </c>
      <c r="C28" s="41" t="s">
        <v>5021</v>
      </c>
      <c r="D28" s="39" t="s">
        <v>4903</v>
      </c>
      <c r="E28" s="43">
        <v>46125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46196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24</v>
      </c>
      <c r="AI28" s="33" t="s">
        <v>25</v>
      </c>
      <c r="AJ28" s="33" t="s">
        <v>26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5022</v>
      </c>
      <c r="C29" s="25" t="s">
        <v>5023</v>
      </c>
      <c r="D29" s="23" t="s">
        <v>4903</v>
      </c>
      <c r="E29" s="43">
        <v>46125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46196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5024</v>
      </c>
      <c r="C30" s="41" t="s">
        <v>5025</v>
      </c>
      <c r="D30" s="39" t="s">
        <v>4903</v>
      </c>
      <c r="E30" s="43">
        <v>46125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46196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24</v>
      </c>
      <c r="Z30" s="30" t="s">
        <v>25</v>
      </c>
      <c r="AA30" s="30" t="s">
        <v>26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24</v>
      </c>
      <c r="AI30" s="33" t="s">
        <v>25</v>
      </c>
      <c r="AJ30" s="33" t="s">
        <v>26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5026</v>
      </c>
      <c r="C31" s="25" t="s">
        <v>5027</v>
      </c>
      <c r="D31" s="23" t="s">
        <v>4903</v>
      </c>
      <c r="E31" s="43">
        <v>46125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46196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24</v>
      </c>
      <c r="AI31" s="33" t="s">
        <v>25</v>
      </c>
      <c r="AJ31" s="33" t="s">
        <v>26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5028</v>
      </c>
      <c r="C32" s="41" t="s">
        <v>5029</v>
      </c>
      <c r="D32" s="39" t="s">
        <v>4903</v>
      </c>
      <c r="E32" s="43">
        <v>46125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46196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24</v>
      </c>
      <c r="Z32" s="30" t="s">
        <v>25</v>
      </c>
      <c r="AA32" s="30" t="s">
        <v>26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24</v>
      </c>
      <c r="AI32" s="33" t="s">
        <v>25</v>
      </c>
      <c r="AJ32" s="33" t="s">
        <v>26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5030</v>
      </c>
      <c r="C33" s="25" t="s">
        <v>5031</v>
      </c>
      <c r="D33" s="23" t="s">
        <v>4903</v>
      </c>
      <c r="E33" s="43">
        <v>46125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46196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24</v>
      </c>
      <c r="Z33" s="30" t="s">
        <v>25</v>
      </c>
      <c r="AA33" s="30" t="s">
        <v>26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24</v>
      </c>
      <c r="AI33" s="33" t="s">
        <v>25</v>
      </c>
      <c r="AJ33" s="33" t="s">
        <v>26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5032</v>
      </c>
      <c r="C34" s="41" t="s">
        <v>5033</v>
      </c>
      <c r="D34" s="39" t="s">
        <v>4903</v>
      </c>
      <c r="E34" s="43">
        <v>46125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46196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24</v>
      </c>
      <c r="Z34" s="30" t="s">
        <v>25</v>
      </c>
      <c r="AA34" s="30" t="s">
        <v>26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24</v>
      </c>
      <c r="AI34" s="33" t="s">
        <v>25</v>
      </c>
      <c r="AJ34" s="33" t="s">
        <v>26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5034</v>
      </c>
      <c r="C35" s="25" t="s">
        <v>5035</v>
      </c>
      <c r="D35" s="23" t="s">
        <v>4903</v>
      </c>
      <c r="E35" s="43">
        <v>46125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46196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24</v>
      </c>
      <c r="Z35" s="30" t="s">
        <v>25</v>
      </c>
      <c r="AA35" s="30" t="s">
        <v>26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24</v>
      </c>
      <c r="AI35" s="33" t="s">
        <v>25</v>
      </c>
      <c r="AJ35" s="33" t="s">
        <v>26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5036</v>
      </c>
      <c r="C36" s="41" t="s">
        <v>5037</v>
      </c>
      <c r="D36" s="39" t="s">
        <v>4903</v>
      </c>
      <c r="E36" s="43">
        <v>46125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46196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24</v>
      </c>
      <c r="Z36" s="30" t="s">
        <v>25</v>
      </c>
      <c r="AA36" s="30" t="s">
        <v>26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24</v>
      </c>
      <c r="AI36" s="33" t="s">
        <v>25</v>
      </c>
      <c r="AJ36" s="33" t="s">
        <v>26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5038</v>
      </c>
      <c r="C37" s="25" t="s">
        <v>5039</v>
      </c>
      <c r="D37" s="23" t="s">
        <v>4903</v>
      </c>
      <c r="E37" s="43">
        <v>46125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si="0"/>
        <v>✓ OK</v>
      </c>
      <c r="N37" s="43">
        <v>46196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si="1"/>
        <v>✓ OK</v>
      </c>
      <c r="W37" s="45">
        <v>46248</v>
      </c>
      <c r="X37" s="30" t="s">
        <v>23</v>
      </c>
      <c r="Y37" s="30" t="s">
        <v>24</v>
      </c>
      <c r="Z37" s="30" t="s">
        <v>25</v>
      </c>
      <c r="AA37" s="30" t="s">
        <v>26</v>
      </c>
      <c r="AB37" s="30" t="s">
        <v>24</v>
      </c>
      <c r="AC37" s="27"/>
      <c r="AD37" s="31" t="s">
        <v>25</v>
      </c>
      <c r="AE37" s="32" t="str">
        <f t="shared" si="2"/>
        <v>✓ OK</v>
      </c>
      <c r="AF37" s="33" t="s">
        <v>27</v>
      </c>
      <c r="AG37" s="33" t="s">
        <v>23</v>
      </c>
      <c r="AH37" s="33" t="s">
        <v>24</v>
      </c>
      <c r="AI37" s="33" t="s">
        <v>25</v>
      </c>
      <c r="AJ37" s="33" t="s">
        <v>26</v>
      </c>
      <c r="AK37" s="33" t="s">
        <v>24</v>
      </c>
      <c r="AL37" s="27"/>
      <c r="AM37" s="34" t="s">
        <v>25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5040</v>
      </c>
      <c r="C38" s="41" t="s">
        <v>5041</v>
      </c>
      <c r="D38" s="39" t="s">
        <v>4903</v>
      </c>
      <c r="E38" s="43">
        <v>46125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0"/>
        <v>✓ OK</v>
      </c>
      <c r="N38" s="43">
        <v>46196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1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2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5042</v>
      </c>
      <c r="C39" s="25" t="s">
        <v>5043</v>
      </c>
      <c r="D39" s="23" t="s">
        <v>4903</v>
      </c>
      <c r="E39" s="43">
        <v>46125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0"/>
        <v>✓ OK</v>
      </c>
      <c r="N39" s="43">
        <v>46196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1"/>
        <v>✓ OK</v>
      </c>
      <c r="W39" s="45">
        <v>46248</v>
      </c>
      <c r="X39" s="30" t="s">
        <v>23</v>
      </c>
      <c r="Y39" s="30" t="s">
        <v>24</v>
      </c>
      <c r="Z39" s="30" t="s">
        <v>25</v>
      </c>
      <c r="AA39" s="30" t="s">
        <v>26</v>
      </c>
      <c r="AB39" s="30" t="s">
        <v>24</v>
      </c>
      <c r="AC39" s="27"/>
      <c r="AD39" s="31" t="s">
        <v>25</v>
      </c>
      <c r="AE39" s="32" t="str">
        <f t="shared" si="2"/>
        <v>✓ OK</v>
      </c>
      <c r="AF39" s="33" t="s">
        <v>27</v>
      </c>
      <c r="AG39" s="33" t="s">
        <v>23</v>
      </c>
      <c r="AH39" s="33" t="s">
        <v>24</v>
      </c>
      <c r="AI39" s="33" t="s">
        <v>25</v>
      </c>
      <c r="AJ39" s="33" t="s">
        <v>26</v>
      </c>
      <c r="AK39" s="33" t="s">
        <v>24</v>
      </c>
      <c r="AL39" s="27"/>
      <c r="AM39" s="34" t="s">
        <v>25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</sheetData>
  <autoFilter ref="A4:AW39" xr:uid="{00000000-0009-0000-0000-000009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39">
    <cfRule type="expression" dxfId="206" priority="15">
      <formula>G5="Yes"</formula>
    </cfRule>
    <cfRule type="expression" dxfId="205" priority="16">
      <formula>G5="No"</formula>
    </cfRule>
  </conditionalFormatting>
  <conditionalFormatting sqref="H5:H39">
    <cfRule type="expression" dxfId="204" priority="17">
      <formula>H5="Yes"</formula>
    </cfRule>
  </conditionalFormatting>
  <conditionalFormatting sqref="J5:J39">
    <cfRule type="expression" dxfId="203" priority="18">
      <formula>J5="Yes"</formula>
    </cfRule>
    <cfRule type="expression" dxfId="202" priority="19">
      <formula>J5="No"</formula>
    </cfRule>
  </conditionalFormatting>
  <conditionalFormatting sqref="M5:M39">
    <cfRule type="expression" dxfId="201" priority="13">
      <formula>M5="⚠ Missing"</formula>
    </cfRule>
    <cfRule type="expression" dxfId="200" priority="11">
      <formula>M5="✓ OK"</formula>
    </cfRule>
    <cfRule type="expression" dxfId="199" priority="12">
      <formula>M5="❌ Disc"</formula>
    </cfRule>
    <cfRule type="expression" dxfId="198" priority="14">
      <formula>M5="⚠ Check"</formula>
    </cfRule>
  </conditionalFormatting>
  <conditionalFormatting sqref="N5:N39">
    <cfRule type="expression" dxfId="197" priority="1">
      <formula>MOD(ROW(),2)=0</formula>
    </cfRule>
  </conditionalFormatting>
  <conditionalFormatting sqref="O5:AW39 A5:M39">
    <cfRule type="expression" dxfId="196" priority="56">
      <formula>MOD(ROW(),2)=0</formula>
    </cfRule>
  </conditionalFormatting>
  <conditionalFormatting sqref="P5:P39">
    <cfRule type="expression" dxfId="195" priority="6">
      <formula>P5="Yes"</formula>
    </cfRule>
    <cfRule type="expression" dxfId="194" priority="7">
      <formula>P5="No"</formula>
    </cfRule>
    <cfRule type="expression" dxfId="193" priority="24">
      <formula>P5="Yes"</formula>
    </cfRule>
    <cfRule type="expression" dxfId="192" priority="25">
      <formula>P5="No"</formula>
    </cfRule>
  </conditionalFormatting>
  <conditionalFormatting sqref="Q5:Q39">
    <cfRule type="expression" dxfId="191" priority="8">
      <formula>Q5="Yes"</formula>
    </cfRule>
  </conditionalFormatting>
  <conditionalFormatting sqref="S5:S39">
    <cfRule type="expression" dxfId="190" priority="9">
      <formula>S5="Yes"</formula>
    </cfRule>
    <cfRule type="expression" dxfId="189" priority="10">
      <formula>S5="No"</formula>
    </cfRule>
    <cfRule type="expression" dxfId="188" priority="27">
      <formula>S5="Yes"</formula>
    </cfRule>
    <cfRule type="expression" dxfId="187" priority="28">
      <formula>S5="No"</formula>
    </cfRule>
  </conditionalFormatting>
  <conditionalFormatting sqref="V5:V39">
    <cfRule type="expression" dxfId="186" priority="2">
      <formula>V5="✓ OK"</formula>
    </cfRule>
    <cfRule type="expression" dxfId="185" priority="3">
      <formula>V5="❌ Disc"</formula>
    </cfRule>
    <cfRule type="expression" dxfId="184" priority="4">
      <formula>V5="⚠ Missing"</formula>
    </cfRule>
    <cfRule type="expression" dxfId="183" priority="5">
      <formula>V5="⚠ Check"</formula>
    </cfRule>
    <cfRule type="expression" dxfId="182" priority="20">
      <formula>V5="✓ OK"</formula>
    </cfRule>
    <cfRule type="expression" dxfId="181" priority="21">
      <formula>V5="❌ Disc"</formula>
    </cfRule>
    <cfRule type="expression" dxfId="180" priority="22">
      <formula>V5="⚠ Missing"</formula>
    </cfRule>
    <cfRule type="expression" dxfId="179" priority="23">
      <formula>V5="⚠ Check"</formula>
    </cfRule>
  </conditionalFormatting>
  <conditionalFormatting sqref="Y5:Y39">
    <cfRule type="expression" dxfId="178" priority="33">
      <formula>Y5="Yes"</formula>
    </cfRule>
    <cfRule type="expression" dxfId="177" priority="34">
      <formula>Y5="No"</formula>
    </cfRule>
  </conditionalFormatting>
  <conditionalFormatting sqref="Z5:Z39">
    <cfRule type="expression" dxfId="176" priority="35">
      <formula>Z5="Yes"</formula>
    </cfRule>
  </conditionalFormatting>
  <conditionalFormatting sqref="AB5:AB39">
    <cfRule type="expression" dxfId="175" priority="36">
      <formula>AB5="Yes"</formula>
    </cfRule>
    <cfRule type="expression" dxfId="174" priority="37">
      <formula>AB5="No"</formula>
    </cfRule>
  </conditionalFormatting>
  <conditionalFormatting sqref="AE5:AE39">
    <cfRule type="expression" dxfId="173" priority="30">
      <formula>AE5="❌ Disc"</formula>
    </cfRule>
    <cfRule type="expression" dxfId="172" priority="31">
      <formula>AE5="⚠ Missing"</formula>
    </cfRule>
    <cfRule type="expression" dxfId="171" priority="29">
      <formula>AE5="✓ OK"</formula>
    </cfRule>
    <cfRule type="expression" dxfId="170" priority="32">
      <formula>AE5="⚠ Check"</formula>
    </cfRule>
  </conditionalFormatting>
  <conditionalFormatting sqref="AH5:AH39">
    <cfRule type="expression" dxfId="169" priority="42">
      <formula>AH5="Yes"</formula>
    </cfRule>
    <cfRule type="expression" dxfId="168" priority="43">
      <formula>AH5="No"</formula>
    </cfRule>
  </conditionalFormatting>
  <conditionalFormatting sqref="AI5:AI39">
    <cfRule type="expression" dxfId="167" priority="44">
      <formula>AI5="Yes"</formula>
    </cfRule>
  </conditionalFormatting>
  <conditionalFormatting sqref="AK5:AK39">
    <cfRule type="expression" dxfId="166" priority="45">
      <formula>AK5="Yes"</formula>
    </cfRule>
    <cfRule type="expression" dxfId="165" priority="46">
      <formula>AK5="No"</formula>
    </cfRule>
  </conditionalFormatting>
  <conditionalFormatting sqref="AN5:AN39">
    <cfRule type="expression" dxfId="164" priority="38">
      <formula>AN5="✓ OK"</formula>
    </cfRule>
    <cfRule type="expression" dxfId="163" priority="39">
      <formula>AN5="❌ Disc"</formula>
    </cfRule>
    <cfRule type="expression" dxfId="162" priority="40">
      <formula>AN5="⚠ Missing"</formula>
    </cfRule>
    <cfRule type="expression" dxfId="161" priority="41">
      <formula>AN5="⚠ Check"</formula>
    </cfRule>
  </conditionalFormatting>
  <conditionalFormatting sqref="AQ5:AQ39">
    <cfRule type="expression" dxfId="160" priority="51">
      <formula>AQ5="Yes"</formula>
    </cfRule>
    <cfRule type="expression" dxfId="159" priority="52">
      <formula>AQ5="No"</formula>
    </cfRule>
  </conditionalFormatting>
  <conditionalFormatting sqref="AR5:AR39">
    <cfRule type="expression" dxfId="158" priority="53">
      <formula>AR5="Yes"</formula>
    </cfRule>
  </conditionalFormatting>
  <conditionalFormatting sqref="AT5:AT39">
    <cfRule type="expression" dxfId="157" priority="54">
      <formula>AT5="Yes"</formula>
    </cfRule>
    <cfRule type="expression" dxfId="156" priority="55">
      <formula>AT5="No"</formula>
    </cfRule>
  </conditionalFormatting>
  <conditionalFormatting sqref="AW5:AW39">
    <cfRule type="expression" dxfId="155" priority="47">
      <formula>AW5="✓ OK"</formula>
    </cfRule>
    <cfRule type="expression" dxfId="154" priority="48">
      <formula>AW5="❌ Disc"</formula>
    </cfRule>
    <cfRule type="expression" dxfId="153" priority="49">
      <formula>AW5="⚠ Missing"</formula>
    </cfRule>
    <cfRule type="expression" dxfId="152" priority="50">
      <formula>AW5="⚠ Check"</formula>
    </cfRule>
  </conditionalFormatting>
  <dataValidations count="2">
    <dataValidation type="list" allowBlank="1" sqref="G5:H39 J5:J39 P5:Q39 S5:S39 Y5:Z39 AB5:AB39 AH5:AI39 AK5:AK39 AQ5:AR39 AT5:AT39" xr:uid="{00000000-0002-0000-0900-000000000000}">
      <formula1>"Yes,No"</formula1>
    </dataValidation>
    <dataValidation type="list" allowBlank="1" sqref="I5:I39 R5:R39 AA5:AA39 AJ5:AJ39 AS5:AS39" xr:uid="{00000000-0002-0000-09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AW80"/>
  <sheetViews>
    <sheetView workbookViewId="0">
      <pane xSplit="4" ySplit="4" topLeftCell="AF5" activePane="bottomRight" state="frozen"/>
      <selection pane="topRight" activeCell="AU16" sqref="AU16"/>
      <selection pane="bottomLeft" activeCell="AU16" sqref="AU16"/>
      <selection pane="bottomRight" activeCell="AF6" sqref="AF6"/>
    </sheetView>
  </sheetViews>
  <sheetFormatPr defaultRowHeight="14.4" x14ac:dyDescent="0.3"/>
  <cols>
    <col min="1" max="1" width="4" customWidth="1"/>
    <col min="2" max="2" width="16" customWidth="1"/>
    <col min="3" max="3" width="40.6640625" bestFit="1" customWidth="1"/>
    <col min="4" max="4" width="14" customWidth="1"/>
    <col min="5" max="6" width="13" customWidth="1"/>
    <col min="7" max="7" width="16.33203125" bestFit="1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5044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5045</v>
      </c>
      <c r="C5" s="25" t="s">
        <v>5046</v>
      </c>
      <c r="D5" s="23" t="s">
        <v>626</v>
      </c>
      <c r="E5" s="43">
        <v>46125</v>
      </c>
      <c r="F5" s="26" t="s">
        <v>23</v>
      </c>
      <c r="G5" s="44" t="s">
        <v>1352</v>
      </c>
      <c r="H5" s="26" t="s">
        <v>25</v>
      </c>
      <c r="I5" s="44" t="s">
        <v>1352</v>
      </c>
      <c r="J5" s="26" t="s">
        <v>24</v>
      </c>
      <c r="K5" s="27"/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43">
        <v>46196</v>
      </c>
      <c r="O5" s="26" t="s">
        <v>23</v>
      </c>
      <c r="P5" s="44" t="s">
        <v>1352</v>
      </c>
      <c r="Q5" s="26" t="s">
        <v>25</v>
      </c>
      <c r="R5" s="44" t="s">
        <v>1352</v>
      </c>
      <c r="S5" s="26" t="s">
        <v>24</v>
      </c>
      <c r="T5" s="27"/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1352</v>
      </c>
      <c r="Z5" s="30" t="s">
        <v>25</v>
      </c>
      <c r="AA5" s="30" t="s">
        <v>1352</v>
      </c>
      <c r="AB5" s="30" t="s">
        <v>24</v>
      </c>
      <c r="AC5" s="27"/>
      <c r="AD5" s="31" t="s">
        <v>25</v>
      </c>
      <c r="AE5" s="32" t="str">
        <f t="shared" ref="AE5:AE36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1352</v>
      </c>
      <c r="AI5" s="33" t="s">
        <v>25</v>
      </c>
      <c r="AJ5" s="33" t="s">
        <v>1352</v>
      </c>
      <c r="AK5" s="33" t="s">
        <v>24</v>
      </c>
      <c r="AL5" s="27"/>
      <c r="AM5" s="34" t="s">
        <v>25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5047</v>
      </c>
      <c r="C6" s="41" t="s">
        <v>5048</v>
      </c>
      <c r="D6" s="39" t="s">
        <v>626</v>
      </c>
      <c r="E6" s="43">
        <v>46125</v>
      </c>
      <c r="F6" s="26" t="s">
        <v>23</v>
      </c>
      <c r="G6" s="44" t="s">
        <v>1352</v>
      </c>
      <c r="H6" s="26" t="s">
        <v>25</v>
      </c>
      <c r="I6" s="44" t="s">
        <v>1352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46196</v>
      </c>
      <c r="O6" s="26" t="s">
        <v>23</v>
      </c>
      <c r="P6" s="44" t="s">
        <v>1352</v>
      </c>
      <c r="Q6" s="26" t="s">
        <v>25</v>
      </c>
      <c r="R6" s="44" t="s">
        <v>1352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1352</v>
      </c>
      <c r="Z6" s="30" t="s">
        <v>25</v>
      </c>
      <c r="AA6" s="30" t="s">
        <v>1352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1352</v>
      </c>
      <c r="AI6" s="33" t="s">
        <v>25</v>
      </c>
      <c r="AJ6" s="33" t="s">
        <v>1352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5049</v>
      </c>
      <c r="C7" s="25" t="s">
        <v>5050</v>
      </c>
      <c r="D7" s="23" t="s">
        <v>626</v>
      </c>
      <c r="E7" s="43">
        <v>46125</v>
      </c>
      <c r="F7" s="26" t="s">
        <v>23</v>
      </c>
      <c r="G7" s="44" t="s">
        <v>1352</v>
      </c>
      <c r="H7" s="26" t="s">
        <v>25</v>
      </c>
      <c r="I7" s="44" t="s">
        <v>1352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46196</v>
      </c>
      <c r="O7" s="26" t="s">
        <v>23</v>
      </c>
      <c r="P7" s="44" t="s">
        <v>1352</v>
      </c>
      <c r="Q7" s="26" t="s">
        <v>25</v>
      </c>
      <c r="R7" s="44" t="s">
        <v>1352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1352</v>
      </c>
      <c r="Z7" s="30" t="s">
        <v>25</v>
      </c>
      <c r="AA7" s="30" t="s">
        <v>1352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1352</v>
      </c>
      <c r="AI7" s="33" t="s">
        <v>25</v>
      </c>
      <c r="AJ7" s="33" t="s">
        <v>1352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5051</v>
      </c>
      <c r="C8" s="41" t="s">
        <v>5052</v>
      </c>
      <c r="D8" s="39" t="s">
        <v>626</v>
      </c>
      <c r="E8" s="43">
        <v>46125</v>
      </c>
      <c r="F8" s="26" t="s">
        <v>23</v>
      </c>
      <c r="G8" s="44" t="s">
        <v>1352</v>
      </c>
      <c r="H8" s="26" t="s">
        <v>25</v>
      </c>
      <c r="I8" s="44" t="s">
        <v>1352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46196</v>
      </c>
      <c r="O8" s="26" t="s">
        <v>23</v>
      </c>
      <c r="P8" s="44" t="s">
        <v>1352</v>
      </c>
      <c r="Q8" s="26" t="s">
        <v>25</v>
      </c>
      <c r="R8" s="44" t="s">
        <v>1352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1352</v>
      </c>
      <c r="Z8" s="30" t="s">
        <v>25</v>
      </c>
      <c r="AA8" s="30" t="s">
        <v>1352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1352</v>
      </c>
      <c r="AI8" s="33" t="s">
        <v>25</v>
      </c>
      <c r="AJ8" s="33" t="s">
        <v>1352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5053</v>
      </c>
      <c r="C9" s="25" t="s">
        <v>5054</v>
      </c>
      <c r="D9" s="23" t="s">
        <v>626</v>
      </c>
      <c r="E9" s="43">
        <v>46125</v>
      </c>
      <c r="F9" s="26" t="s">
        <v>23</v>
      </c>
      <c r="G9" s="44" t="s">
        <v>1352</v>
      </c>
      <c r="H9" s="26" t="s">
        <v>25</v>
      </c>
      <c r="I9" s="44" t="s">
        <v>1352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46196</v>
      </c>
      <c r="O9" s="26" t="s">
        <v>23</v>
      </c>
      <c r="P9" s="44" t="s">
        <v>1352</v>
      </c>
      <c r="Q9" s="26" t="s">
        <v>25</v>
      </c>
      <c r="R9" s="44" t="s">
        <v>1352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1352</v>
      </c>
      <c r="Z9" s="30" t="s">
        <v>25</v>
      </c>
      <c r="AA9" s="30" t="s">
        <v>1352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1352</v>
      </c>
      <c r="AI9" s="33" t="s">
        <v>25</v>
      </c>
      <c r="AJ9" s="33" t="s">
        <v>1352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5055</v>
      </c>
      <c r="C10" s="41" t="s">
        <v>5056</v>
      </c>
      <c r="D10" s="39" t="s">
        <v>626</v>
      </c>
      <c r="E10" s="43">
        <v>46125</v>
      </c>
      <c r="F10" s="26" t="s">
        <v>23</v>
      </c>
      <c r="G10" s="44" t="s">
        <v>1352</v>
      </c>
      <c r="H10" s="26" t="s">
        <v>25</v>
      </c>
      <c r="I10" s="44" t="s">
        <v>1352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46196</v>
      </c>
      <c r="O10" s="26" t="s">
        <v>23</v>
      </c>
      <c r="P10" s="44" t="s">
        <v>1352</v>
      </c>
      <c r="Q10" s="26" t="s">
        <v>25</v>
      </c>
      <c r="R10" s="44" t="s">
        <v>1352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1352</v>
      </c>
      <c r="Z10" s="30" t="s">
        <v>25</v>
      </c>
      <c r="AA10" s="30" t="s">
        <v>1352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1352</v>
      </c>
      <c r="AI10" s="33" t="s">
        <v>25</v>
      </c>
      <c r="AJ10" s="33" t="s">
        <v>1352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5057</v>
      </c>
      <c r="C11" s="25" t="s">
        <v>5058</v>
      </c>
      <c r="D11" s="23" t="s">
        <v>626</v>
      </c>
      <c r="E11" s="43">
        <v>46125</v>
      </c>
      <c r="F11" s="26" t="s">
        <v>23</v>
      </c>
      <c r="G11" s="44" t="s">
        <v>1352</v>
      </c>
      <c r="H11" s="26" t="s">
        <v>25</v>
      </c>
      <c r="I11" s="44" t="s">
        <v>1352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46196</v>
      </c>
      <c r="O11" s="26" t="s">
        <v>23</v>
      </c>
      <c r="P11" s="44" t="s">
        <v>1352</v>
      </c>
      <c r="Q11" s="26" t="s">
        <v>25</v>
      </c>
      <c r="R11" s="44" t="s">
        <v>1352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1352</v>
      </c>
      <c r="Z11" s="30" t="s">
        <v>25</v>
      </c>
      <c r="AA11" s="30" t="s">
        <v>1352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1352</v>
      </c>
      <c r="AI11" s="33" t="s">
        <v>25</v>
      </c>
      <c r="AJ11" s="33" t="s">
        <v>1352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5059</v>
      </c>
      <c r="C12" s="41" t="s">
        <v>5060</v>
      </c>
      <c r="D12" s="39" t="s">
        <v>626</v>
      </c>
      <c r="E12" s="43">
        <v>46125</v>
      </c>
      <c r="F12" s="26" t="s">
        <v>23</v>
      </c>
      <c r="G12" s="44" t="s">
        <v>1352</v>
      </c>
      <c r="H12" s="26" t="s">
        <v>25</v>
      </c>
      <c r="I12" s="44" t="s">
        <v>1352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46196</v>
      </c>
      <c r="O12" s="26" t="s">
        <v>23</v>
      </c>
      <c r="P12" s="44" t="s">
        <v>1352</v>
      </c>
      <c r="Q12" s="26" t="s">
        <v>25</v>
      </c>
      <c r="R12" s="44" t="s">
        <v>1352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1352</v>
      </c>
      <c r="Z12" s="30" t="s">
        <v>25</v>
      </c>
      <c r="AA12" s="30" t="s">
        <v>1352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1352</v>
      </c>
      <c r="AI12" s="33" t="s">
        <v>25</v>
      </c>
      <c r="AJ12" s="33" t="s">
        <v>1352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5061</v>
      </c>
      <c r="C13" s="25" t="s">
        <v>5062</v>
      </c>
      <c r="D13" s="23" t="s">
        <v>626</v>
      </c>
      <c r="E13" s="43">
        <v>46125</v>
      </c>
      <c r="F13" s="26" t="s">
        <v>23</v>
      </c>
      <c r="G13" s="44" t="s">
        <v>1352</v>
      </c>
      <c r="H13" s="26" t="s">
        <v>25</v>
      </c>
      <c r="I13" s="44" t="s">
        <v>1352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46196</v>
      </c>
      <c r="O13" s="26" t="s">
        <v>23</v>
      </c>
      <c r="P13" s="44" t="s">
        <v>1352</v>
      </c>
      <c r="Q13" s="26" t="s">
        <v>25</v>
      </c>
      <c r="R13" s="44" t="s">
        <v>1352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1352</v>
      </c>
      <c r="Z13" s="30" t="s">
        <v>25</v>
      </c>
      <c r="AA13" s="30" t="s">
        <v>1352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1352</v>
      </c>
      <c r="AI13" s="33" t="s">
        <v>25</v>
      </c>
      <c r="AJ13" s="33" t="s">
        <v>1352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5063</v>
      </c>
      <c r="C14" s="41" t="s">
        <v>5064</v>
      </c>
      <c r="D14" s="39" t="s">
        <v>626</v>
      </c>
      <c r="E14" s="43">
        <v>46125</v>
      </c>
      <c r="F14" s="26" t="s">
        <v>23</v>
      </c>
      <c r="G14" s="44" t="s">
        <v>1352</v>
      </c>
      <c r="H14" s="26" t="s">
        <v>25</v>
      </c>
      <c r="I14" s="44" t="s">
        <v>1352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46196</v>
      </c>
      <c r="O14" s="26" t="s">
        <v>23</v>
      </c>
      <c r="P14" s="44" t="s">
        <v>1352</v>
      </c>
      <c r="Q14" s="26" t="s">
        <v>25</v>
      </c>
      <c r="R14" s="44" t="s">
        <v>1352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1352</v>
      </c>
      <c r="Z14" s="30" t="s">
        <v>25</v>
      </c>
      <c r="AA14" s="30" t="s">
        <v>1352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1352</v>
      </c>
      <c r="AI14" s="33" t="s">
        <v>25</v>
      </c>
      <c r="AJ14" s="33" t="s">
        <v>1352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5065</v>
      </c>
      <c r="C15" s="25" t="s">
        <v>5066</v>
      </c>
      <c r="D15" s="23" t="s">
        <v>626</v>
      </c>
      <c r="E15" s="43">
        <v>46125</v>
      </c>
      <c r="F15" s="26" t="s">
        <v>23</v>
      </c>
      <c r="G15" s="44" t="s">
        <v>24</v>
      </c>
      <c r="H15" s="26" t="s">
        <v>25</v>
      </c>
      <c r="I15" s="44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46196</v>
      </c>
      <c r="O15" s="26" t="s">
        <v>23</v>
      </c>
      <c r="P15" s="44" t="s">
        <v>24</v>
      </c>
      <c r="Q15" s="26" t="s">
        <v>25</v>
      </c>
      <c r="R15" s="44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5067</v>
      </c>
      <c r="C16" s="41" t="s">
        <v>5068</v>
      </c>
      <c r="D16" s="39" t="s">
        <v>626</v>
      </c>
      <c r="E16" s="43">
        <v>46125</v>
      </c>
      <c r="F16" s="26" t="s">
        <v>23</v>
      </c>
      <c r="G16" s="44" t="s">
        <v>1352</v>
      </c>
      <c r="H16" s="26" t="s">
        <v>25</v>
      </c>
      <c r="I16" s="44" t="s">
        <v>1352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46196</v>
      </c>
      <c r="O16" s="26" t="s">
        <v>23</v>
      </c>
      <c r="P16" s="44" t="s">
        <v>1352</v>
      </c>
      <c r="Q16" s="26" t="s">
        <v>25</v>
      </c>
      <c r="R16" s="44" t="s">
        <v>1352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1352</v>
      </c>
      <c r="Z16" s="30" t="s">
        <v>25</v>
      </c>
      <c r="AA16" s="30" t="s">
        <v>1352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1352</v>
      </c>
      <c r="AI16" s="33" t="s">
        <v>25</v>
      </c>
      <c r="AJ16" s="33" t="s">
        <v>1352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5069</v>
      </c>
      <c r="C17" s="25" t="s">
        <v>5070</v>
      </c>
      <c r="D17" s="23" t="s">
        <v>626</v>
      </c>
      <c r="E17" s="43">
        <v>46125</v>
      </c>
      <c r="F17" s="26" t="s">
        <v>23</v>
      </c>
      <c r="G17" s="44" t="s">
        <v>1352</v>
      </c>
      <c r="H17" s="26" t="s">
        <v>25</v>
      </c>
      <c r="I17" s="44" t="s">
        <v>1352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46196</v>
      </c>
      <c r="O17" s="26" t="s">
        <v>23</v>
      </c>
      <c r="P17" s="44" t="s">
        <v>1352</v>
      </c>
      <c r="Q17" s="26" t="s">
        <v>25</v>
      </c>
      <c r="R17" s="44" t="s">
        <v>1352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1352</v>
      </c>
      <c r="Z17" s="30" t="s">
        <v>25</v>
      </c>
      <c r="AA17" s="30" t="s">
        <v>1352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1352</v>
      </c>
      <c r="AI17" s="33" t="s">
        <v>25</v>
      </c>
      <c r="AJ17" s="33" t="s">
        <v>1352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5071</v>
      </c>
      <c r="C18" s="41" t="s">
        <v>5072</v>
      </c>
      <c r="D18" s="39" t="s">
        <v>626</v>
      </c>
      <c r="E18" s="43">
        <v>46125</v>
      </c>
      <c r="F18" s="26" t="s">
        <v>23</v>
      </c>
      <c r="G18" s="44" t="s">
        <v>24</v>
      </c>
      <c r="H18" s="26" t="s">
        <v>25</v>
      </c>
      <c r="I18" s="44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46196</v>
      </c>
      <c r="O18" s="26" t="s">
        <v>23</v>
      </c>
      <c r="P18" s="44" t="s">
        <v>24</v>
      </c>
      <c r="Q18" s="26" t="s">
        <v>25</v>
      </c>
      <c r="R18" s="44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5073</v>
      </c>
      <c r="C19" s="25" t="s">
        <v>5074</v>
      </c>
      <c r="D19" s="23" t="s">
        <v>626</v>
      </c>
      <c r="E19" s="43">
        <v>46125</v>
      </c>
      <c r="F19" s="26" t="s">
        <v>23</v>
      </c>
      <c r="G19" s="44" t="s">
        <v>1352</v>
      </c>
      <c r="H19" s="26" t="s">
        <v>25</v>
      </c>
      <c r="I19" s="44" t="s">
        <v>1352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46196</v>
      </c>
      <c r="O19" s="26" t="s">
        <v>23</v>
      </c>
      <c r="P19" s="44" t="s">
        <v>1352</v>
      </c>
      <c r="Q19" s="26" t="s">
        <v>25</v>
      </c>
      <c r="R19" s="44" t="s">
        <v>1352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1352</v>
      </c>
      <c r="Z19" s="30" t="s">
        <v>25</v>
      </c>
      <c r="AA19" s="30" t="s">
        <v>1352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1352</v>
      </c>
      <c r="AI19" s="33" t="s">
        <v>25</v>
      </c>
      <c r="AJ19" s="33" t="s">
        <v>1352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5075</v>
      </c>
      <c r="C20" s="41" t="s">
        <v>5076</v>
      </c>
      <c r="D20" s="39" t="s">
        <v>626</v>
      </c>
      <c r="E20" s="43">
        <v>46125</v>
      </c>
      <c r="F20" s="26" t="s">
        <v>23</v>
      </c>
      <c r="G20" s="44" t="s">
        <v>1352</v>
      </c>
      <c r="H20" s="26" t="s">
        <v>25</v>
      </c>
      <c r="I20" s="44" t="s">
        <v>1352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46196</v>
      </c>
      <c r="O20" s="26" t="s">
        <v>23</v>
      </c>
      <c r="P20" s="44" t="s">
        <v>1352</v>
      </c>
      <c r="Q20" s="26" t="s">
        <v>25</v>
      </c>
      <c r="R20" s="44" t="s">
        <v>1352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1352</v>
      </c>
      <c r="Z20" s="30" t="s">
        <v>25</v>
      </c>
      <c r="AA20" s="30" t="s">
        <v>1352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1352</v>
      </c>
      <c r="AI20" s="33" t="s">
        <v>25</v>
      </c>
      <c r="AJ20" s="33" t="s">
        <v>1352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5077</v>
      </c>
      <c r="C21" s="25" t="s">
        <v>5078</v>
      </c>
      <c r="D21" s="23" t="s">
        <v>626</v>
      </c>
      <c r="E21" s="43">
        <v>46125</v>
      </c>
      <c r="F21" s="26" t="s">
        <v>23</v>
      </c>
      <c r="G21" s="44" t="s">
        <v>24</v>
      </c>
      <c r="H21" s="26" t="s">
        <v>25</v>
      </c>
      <c r="I21" s="44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46196</v>
      </c>
      <c r="O21" s="26" t="s">
        <v>23</v>
      </c>
      <c r="P21" s="44" t="s">
        <v>24</v>
      </c>
      <c r="Q21" s="26" t="s">
        <v>25</v>
      </c>
      <c r="R21" s="44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5079</v>
      </c>
      <c r="C22" s="41" t="s">
        <v>5080</v>
      </c>
      <c r="D22" s="39" t="s">
        <v>626</v>
      </c>
      <c r="E22" s="43">
        <v>46125</v>
      </c>
      <c r="F22" s="26" t="s">
        <v>23</v>
      </c>
      <c r="G22" s="44" t="s">
        <v>1352</v>
      </c>
      <c r="H22" s="26" t="s">
        <v>25</v>
      </c>
      <c r="I22" s="44" t="s">
        <v>1352</v>
      </c>
      <c r="J22" s="26" t="s">
        <v>24</v>
      </c>
      <c r="K22" s="27"/>
      <c r="L22" s="28" t="s">
        <v>25</v>
      </c>
      <c r="M22" s="29" t="str">
        <f t="shared" si="0"/>
        <v>✓ OK</v>
      </c>
      <c r="N22" s="43">
        <v>46196</v>
      </c>
      <c r="O22" s="26" t="s">
        <v>23</v>
      </c>
      <c r="P22" s="44" t="s">
        <v>1352</v>
      </c>
      <c r="Q22" s="26" t="s">
        <v>25</v>
      </c>
      <c r="R22" s="44" t="s">
        <v>1352</v>
      </c>
      <c r="S22" s="26" t="s">
        <v>24</v>
      </c>
      <c r="T22" s="27"/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1352</v>
      </c>
      <c r="Z22" s="30" t="s">
        <v>25</v>
      </c>
      <c r="AA22" s="30" t="s">
        <v>1352</v>
      </c>
      <c r="AB22" s="30" t="s">
        <v>24</v>
      </c>
      <c r="AC22" s="27"/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1352</v>
      </c>
      <c r="AI22" s="33" t="s">
        <v>25</v>
      </c>
      <c r="AJ22" s="33" t="s">
        <v>1352</v>
      </c>
      <c r="AK22" s="33" t="s">
        <v>24</v>
      </c>
      <c r="AL22" s="27"/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5081</v>
      </c>
      <c r="C23" s="25" t="s">
        <v>5082</v>
      </c>
      <c r="D23" s="23" t="s">
        <v>626</v>
      </c>
      <c r="E23" s="43">
        <v>46125</v>
      </c>
      <c r="F23" s="26" t="s">
        <v>23</v>
      </c>
      <c r="G23" s="44" t="s">
        <v>24</v>
      </c>
      <c r="H23" s="26" t="s">
        <v>25</v>
      </c>
      <c r="I23" s="44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46196</v>
      </c>
      <c r="O23" s="26" t="s">
        <v>23</v>
      </c>
      <c r="P23" s="44" t="s">
        <v>24</v>
      </c>
      <c r="Q23" s="26" t="s">
        <v>25</v>
      </c>
      <c r="R23" s="44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5083</v>
      </c>
      <c r="C24" s="41" t="s">
        <v>5084</v>
      </c>
      <c r="D24" s="39" t="s">
        <v>626</v>
      </c>
      <c r="E24" s="43">
        <v>46125</v>
      </c>
      <c r="F24" s="26" t="s">
        <v>23</v>
      </c>
      <c r="G24" s="44" t="s">
        <v>1352</v>
      </c>
      <c r="H24" s="26" t="s">
        <v>25</v>
      </c>
      <c r="I24" s="44" t="s">
        <v>1352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46196</v>
      </c>
      <c r="O24" s="26" t="s">
        <v>23</v>
      </c>
      <c r="P24" s="44" t="s">
        <v>1352</v>
      </c>
      <c r="Q24" s="26" t="s">
        <v>25</v>
      </c>
      <c r="R24" s="44" t="s">
        <v>1352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1352</v>
      </c>
      <c r="Z24" s="30" t="s">
        <v>25</v>
      </c>
      <c r="AA24" s="30" t="s">
        <v>1352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1352</v>
      </c>
      <c r="AI24" s="33" t="s">
        <v>25</v>
      </c>
      <c r="AJ24" s="33" t="s">
        <v>1352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5085</v>
      </c>
      <c r="C25" s="25" t="s">
        <v>5086</v>
      </c>
      <c r="D25" s="23" t="s">
        <v>626</v>
      </c>
      <c r="E25" s="43">
        <v>46125</v>
      </c>
      <c r="F25" s="26" t="s">
        <v>23</v>
      </c>
      <c r="G25" s="44" t="s">
        <v>24</v>
      </c>
      <c r="H25" s="26" t="s">
        <v>25</v>
      </c>
      <c r="I25" s="44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46196</v>
      </c>
      <c r="O25" s="26" t="s">
        <v>23</v>
      </c>
      <c r="P25" s="44" t="s">
        <v>24</v>
      </c>
      <c r="Q25" s="26" t="s">
        <v>25</v>
      </c>
      <c r="R25" s="44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5087</v>
      </c>
      <c r="C26" s="41" t="s">
        <v>5088</v>
      </c>
      <c r="D26" s="39" t="s">
        <v>626</v>
      </c>
      <c r="E26" s="43">
        <v>46125</v>
      </c>
      <c r="F26" s="26" t="s">
        <v>23</v>
      </c>
      <c r="G26" s="44" t="s">
        <v>1352</v>
      </c>
      <c r="H26" s="26" t="s">
        <v>25</v>
      </c>
      <c r="I26" s="44" t="s">
        <v>1352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46196</v>
      </c>
      <c r="O26" s="26" t="s">
        <v>23</v>
      </c>
      <c r="P26" s="44" t="s">
        <v>1352</v>
      </c>
      <c r="Q26" s="26" t="s">
        <v>25</v>
      </c>
      <c r="R26" s="44" t="s">
        <v>1352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1352</v>
      </c>
      <c r="Z26" s="30" t="s">
        <v>25</v>
      </c>
      <c r="AA26" s="30" t="s">
        <v>1352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1352</v>
      </c>
      <c r="AI26" s="33" t="s">
        <v>25</v>
      </c>
      <c r="AJ26" s="33" t="s">
        <v>1352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5089</v>
      </c>
      <c r="C27" s="25" t="s">
        <v>5090</v>
      </c>
      <c r="D27" s="23" t="s">
        <v>626</v>
      </c>
      <c r="E27" s="43">
        <v>46125</v>
      </c>
      <c r="F27" s="26" t="s">
        <v>23</v>
      </c>
      <c r="G27" s="44" t="s">
        <v>24</v>
      </c>
      <c r="H27" s="26" t="s">
        <v>25</v>
      </c>
      <c r="I27" s="44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46196</v>
      </c>
      <c r="O27" s="26" t="s">
        <v>23</v>
      </c>
      <c r="P27" s="44" t="s">
        <v>24</v>
      </c>
      <c r="Q27" s="26" t="s">
        <v>25</v>
      </c>
      <c r="R27" s="44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5091</v>
      </c>
      <c r="C28" s="41" t="s">
        <v>5092</v>
      </c>
      <c r="D28" s="39" t="s">
        <v>626</v>
      </c>
      <c r="E28" s="43">
        <v>46125</v>
      </c>
      <c r="F28" s="26" t="s">
        <v>23</v>
      </c>
      <c r="G28" s="44" t="s">
        <v>24</v>
      </c>
      <c r="H28" s="26" t="s">
        <v>25</v>
      </c>
      <c r="I28" s="44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46196</v>
      </c>
      <c r="O28" s="26" t="s">
        <v>23</v>
      </c>
      <c r="P28" s="44" t="s">
        <v>24</v>
      </c>
      <c r="Q28" s="26" t="s">
        <v>25</v>
      </c>
      <c r="R28" s="44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24</v>
      </c>
      <c r="AI28" s="33" t="s">
        <v>25</v>
      </c>
      <c r="AJ28" s="33" t="s">
        <v>26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5093</v>
      </c>
      <c r="C29" s="25" t="s">
        <v>5094</v>
      </c>
      <c r="D29" s="23" t="s">
        <v>626</v>
      </c>
      <c r="E29" s="43">
        <v>46125</v>
      </c>
      <c r="F29" s="26" t="s">
        <v>23</v>
      </c>
      <c r="G29" s="44" t="s">
        <v>24</v>
      </c>
      <c r="H29" s="26" t="s">
        <v>25</v>
      </c>
      <c r="I29" s="44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46196</v>
      </c>
      <c r="O29" s="26" t="s">
        <v>23</v>
      </c>
      <c r="P29" s="44" t="s">
        <v>24</v>
      </c>
      <c r="Q29" s="26" t="s">
        <v>25</v>
      </c>
      <c r="R29" s="44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5095</v>
      </c>
      <c r="C30" s="41" t="s">
        <v>5096</v>
      </c>
      <c r="D30" s="39" t="s">
        <v>626</v>
      </c>
      <c r="E30" s="43">
        <v>46125</v>
      </c>
      <c r="F30" s="26" t="s">
        <v>23</v>
      </c>
      <c r="G30" s="44" t="s">
        <v>1352</v>
      </c>
      <c r="H30" s="26" t="s">
        <v>25</v>
      </c>
      <c r="I30" s="44" t="s">
        <v>1352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46196</v>
      </c>
      <c r="O30" s="26" t="s">
        <v>23</v>
      </c>
      <c r="P30" s="44" t="s">
        <v>1352</v>
      </c>
      <c r="Q30" s="26" t="s">
        <v>25</v>
      </c>
      <c r="R30" s="44" t="s">
        <v>1352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1352</v>
      </c>
      <c r="Z30" s="30" t="s">
        <v>25</v>
      </c>
      <c r="AA30" s="30" t="s">
        <v>1352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1352</v>
      </c>
      <c r="AI30" s="33" t="s">
        <v>25</v>
      </c>
      <c r="AJ30" s="33" t="s">
        <v>1352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5097</v>
      </c>
      <c r="C31" s="25" t="s">
        <v>5098</v>
      </c>
      <c r="D31" s="23" t="s">
        <v>626</v>
      </c>
      <c r="E31" s="43">
        <v>46125</v>
      </c>
      <c r="F31" s="26" t="s">
        <v>23</v>
      </c>
      <c r="G31" s="44" t="s">
        <v>1352</v>
      </c>
      <c r="H31" s="26" t="s">
        <v>25</v>
      </c>
      <c r="I31" s="44" t="s">
        <v>1352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46196</v>
      </c>
      <c r="O31" s="26" t="s">
        <v>23</v>
      </c>
      <c r="P31" s="44" t="s">
        <v>1352</v>
      </c>
      <c r="Q31" s="26" t="s">
        <v>25</v>
      </c>
      <c r="R31" s="44" t="s">
        <v>1352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1352</v>
      </c>
      <c r="Z31" s="30" t="s">
        <v>25</v>
      </c>
      <c r="AA31" s="30" t="s">
        <v>1352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1352</v>
      </c>
      <c r="AI31" s="33" t="s">
        <v>25</v>
      </c>
      <c r="AJ31" s="33" t="s">
        <v>1352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5099</v>
      </c>
      <c r="C32" s="41" t="s">
        <v>5100</v>
      </c>
      <c r="D32" s="39" t="s">
        <v>626</v>
      </c>
      <c r="E32" s="43">
        <v>46125</v>
      </c>
      <c r="F32" s="26" t="s">
        <v>23</v>
      </c>
      <c r="G32" s="44" t="s">
        <v>1352</v>
      </c>
      <c r="H32" s="26" t="s">
        <v>25</v>
      </c>
      <c r="I32" s="44" t="s">
        <v>1352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46196</v>
      </c>
      <c r="O32" s="26" t="s">
        <v>23</v>
      </c>
      <c r="P32" s="44" t="s">
        <v>1352</v>
      </c>
      <c r="Q32" s="26" t="s">
        <v>25</v>
      </c>
      <c r="R32" s="44" t="s">
        <v>1352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1352</v>
      </c>
      <c r="Z32" s="30" t="s">
        <v>25</v>
      </c>
      <c r="AA32" s="30" t="s">
        <v>1352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1352</v>
      </c>
      <c r="AI32" s="33" t="s">
        <v>25</v>
      </c>
      <c r="AJ32" s="33" t="s">
        <v>1352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5101</v>
      </c>
      <c r="C33" s="25" t="s">
        <v>5102</v>
      </c>
      <c r="D33" s="23" t="s">
        <v>626</v>
      </c>
      <c r="E33" s="43">
        <v>46125</v>
      </c>
      <c r="F33" s="26" t="s">
        <v>23</v>
      </c>
      <c r="G33" s="44" t="s">
        <v>1352</v>
      </c>
      <c r="H33" s="26" t="s">
        <v>25</v>
      </c>
      <c r="I33" s="44" t="s">
        <v>1352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46196</v>
      </c>
      <c r="O33" s="26" t="s">
        <v>23</v>
      </c>
      <c r="P33" s="44" t="s">
        <v>1352</v>
      </c>
      <c r="Q33" s="26" t="s">
        <v>25</v>
      </c>
      <c r="R33" s="44" t="s">
        <v>1352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1352</v>
      </c>
      <c r="Z33" s="30" t="s">
        <v>25</v>
      </c>
      <c r="AA33" s="30" t="s">
        <v>1352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1352</v>
      </c>
      <c r="AI33" s="33" t="s">
        <v>25</v>
      </c>
      <c r="AJ33" s="33" t="s">
        <v>1352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5103</v>
      </c>
      <c r="C34" s="41" t="s">
        <v>5104</v>
      </c>
      <c r="D34" s="39" t="s">
        <v>626</v>
      </c>
      <c r="E34" s="43">
        <v>46125</v>
      </c>
      <c r="F34" s="26" t="s">
        <v>23</v>
      </c>
      <c r="G34" s="44" t="s">
        <v>1352</v>
      </c>
      <c r="H34" s="26" t="s">
        <v>25</v>
      </c>
      <c r="I34" s="44" t="s">
        <v>1352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46196</v>
      </c>
      <c r="O34" s="26" t="s">
        <v>23</v>
      </c>
      <c r="P34" s="44" t="s">
        <v>1352</v>
      </c>
      <c r="Q34" s="26" t="s">
        <v>25</v>
      </c>
      <c r="R34" s="44" t="s">
        <v>1352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1352</v>
      </c>
      <c r="Z34" s="30" t="s">
        <v>25</v>
      </c>
      <c r="AA34" s="30" t="s">
        <v>1352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1352</v>
      </c>
      <c r="AI34" s="33" t="s">
        <v>25</v>
      </c>
      <c r="AJ34" s="33" t="s">
        <v>1352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5105</v>
      </c>
      <c r="C35" s="25" t="s">
        <v>5106</v>
      </c>
      <c r="D35" s="23" t="s">
        <v>626</v>
      </c>
      <c r="E35" s="43">
        <v>46125</v>
      </c>
      <c r="F35" s="26" t="s">
        <v>23</v>
      </c>
      <c r="G35" s="44" t="s">
        <v>1352</v>
      </c>
      <c r="H35" s="26" t="s">
        <v>25</v>
      </c>
      <c r="I35" s="44" t="s">
        <v>1352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46196</v>
      </c>
      <c r="O35" s="26" t="s">
        <v>23</v>
      </c>
      <c r="P35" s="44" t="s">
        <v>1352</v>
      </c>
      <c r="Q35" s="26" t="s">
        <v>25</v>
      </c>
      <c r="R35" s="44" t="s">
        <v>1352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1352</v>
      </c>
      <c r="Z35" s="30" t="s">
        <v>25</v>
      </c>
      <c r="AA35" s="30" t="s">
        <v>1352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1352</v>
      </c>
      <c r="AI35" s="33" t="s">
        <v>25</v>
      </c>
      <c r="AJ35" s="33" t="s">
        <v>1352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5107</v>
      </c>
      <c r="C36" s="41" t="s">
        <v>5108</v>
      </c>
      <c r="D36" s="39" t="s">
        <v>626</v>
      </c>
      <c r="E36" s="43">
        <v>46125</v>
      </c>
      <c r="F36" s="26" t="s">
        <v>23</v>
      </c>
      <c r="G36" s="44" t="s">
        <v>1352</v>
      </c>
      <c r="H36" s="26" t="s">
        <v>25</v>
      </c>
      <c r="I36" s="44" t="s">
        <v>1352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46196</v>
      </c>
      <c r="O36" s="26" t="s">
        <v>23</v>
      </c>
      <c r="P36" s="44" t="s">
        <v>1352</v>
      </c>
      <c r="Q36" s="26" t="s">
        <v>25</v>
      </c>
      <c r="R36" s="44" t="s">
        <v>1352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1352</v>
      </c>
      <c r="Z36" s="30" t="s">
        <v>25</v>
      </c>
      <c r="AA36" s="30" t="s">
        <v>1352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1352</v>
      </c>
      <c r="AI36" s="33" t="s">
        <v>25</v>
      </c>
      <c r="AJ36" s="33" t="s">
        <v>1352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5109</v>
      </c>
      <c r="C37" s="25" t="s">
        <v>5110</v>
      </c>
      <c r="D37" s="23" t="s">
        <v>626</v>
      </c>
      <c r="E37" s="43">
        <v>46125</v>
      </c>
      <c r="F37" s="26" t="s">
        <v>23</v>
      </c>
      <c r="G37" s="44" t="s">
        <v>1352</v>
      </c>
      <c r="H37" s="26" t="s">
        <v>25</v>
      </c>
      <c r="I37" s="44" t="s">
        <v>1352</v>
      </c>
      <c r="J37" s="26" t="s">
        <v>24</v>
      </c>
      <c r="K37" s="27"/>
      <c r="L37" s="28" t="s">
        <v>25</v>
      </c>
      <c r="M37" s="29" t="str">
        <f t="shared" ref="M37:M68" si="5">IF(E37="","",IF(H37="Yes","❌ Disc",IF(G37="No","⚠ Missing",IF(J37="Yes","✓ OK","⚠ Check"))))</f>
        <v>✓ OK</v>
      </c>
      <c r="N37" s="43">
        <v>46196</v>
      </c>
      <c r="O37" s="26" t="s">
        <v>23</v>
      </c>
      <c r="P37" s="44" t="s">
        <v>1352</v>
      </c>
      <c r="Q37" s="26" t="s">
        <v>25</v>
      </c>
      <c r="R37" s="44" t="s">
        <v>1352</v>
      </c>
      <c r="S37" s="26" t="s">
        <v>24</v>
      </c>
      <c r="T37" s="27"/>
      <c r="U37" s="28" t="s">
        <v>25</v>
      </c>
      <c r="V37" s="29" t="str">
        <f t="shared" ref="V37:V68" si="6">IF(N37="","",IF(Q37="Yes","❌ Disc",IF(P37="No","⚠ Missing",IF(S37="Yes","✓ OK","⚠ Check"))))</f>
        <v>✓ OK</v>
      </c>
      <c r="W37" s="45">
        <v>46248</v>
      </c>
      <c r="X37" s="30" t="s">
        <v>23</v>
      </c>
      <c r="Y37" s="30" t="s">
        <v>1352</v>
      </c>
      <c r="Z37" s="30" t="s">
        <v>25</v>
      </c>
      <c r="AA37" s="30" t="s">
        <v>1352</v>
      </c>
      <c r="AB37" s="30" t="s">
        <v>24</v>
      </c>
      <c r="AC37" s="27"/>
      <c r="AD37" s="31" t="s">
        <v>25</v>
      </c>
      <c r="AE37" s="32" t="str">
        <f t="shared" ref="AE37:AE68" si="7">IF(W37="","",IF(Z37="Yes","❌ Disc",IF(Y37="No","⚠ Missing",IF(AB37="Yes","✓ OK","⚠ Check"))))</f>
        <v>✓ OK</v>
      </c>
      <c r="AF37" s="33" t="s">
        <v>27</v>
      </c>
      <c r="AG37" s="33" t="s">
        <v>23</v>
      </c>
      <c r="AH37" s="33" t="s">
        <v>1352</v>
      </c>
      <c r="AI37" s="33" t="s">
        <v>25</v>
      </c>
      <c r="AJ37" s="33" t="s">
        <v>1352</v>
      </c>
      <c r="AK37" s="33" t="s">
        <v>24</v>
      </c>
      <c r="AL37" s="27"/>
      <c r="AM37" s="34" t="s">
        <v>25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5111</v>
      </c>
      <c r="C38" s="41" t="s">
        <v>5112</v>
      </c>
      <c r="D38" s="39" t="s">
        <v>626</v>
      </c>
      <c r="E38" s="43">
        <v>46125</v>
      </c>
      <c r="F38" s="26" t="s">
        <v>23</v>
      </c>
      <c r="G38" s="44" t="s">
        <v>24</v>
      </c>
      <c r="H38" s="26" t="s">
        <v>25</v>
      </c>
      <c r="I38" s="44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43">
        <v>46196</v>
      </c>
      <c r="O38" s="26" t="s">
        <v>23</v>
      </c>
      <c r="P38" s="44" t="s">
        <v>24</v>
      </c>
      <c r="Q38" s="26" t="s">
        <v>25</v>
      </c>
      <c r="R38" s="44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7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5113</v>
      </c>
      <c r="C39" s="25" t="s">
        <v>5114</v>
      </c>
      <c r="D39" s="23" t="s">
        <v>626</v>
      </c>
      <c r="E39" s="43">
        <v>46125</v>
      </c>
      <c r="F39" s="26" t="s">
        <v>23</v>
      </c>
      <c r="G39" s="44" t="s">
        <v>1352</v>
      </c>
      <c r="H39" s="26" t="s">
        <v>25</v>
      </c>
      <c r="I39" s="44" t="s">
        <v>1352</v>
      </c>
      <c r="J39" s="26" t="s">
        <v>24</v>
      </c>
      <c r="K39" s="27"/>
      <c r="L39" s="28" t="s">
        <v>25</v>
      </c>
      <c r="M39" s="29" t="str">
        <f t="shared" si="5"/>
        <v>✓ OK</v>
      </c>
      <c r="N39" s="43">
        <v>46196</v>
      </c>
      <c r="O39" s="26" t="s">
        <v>23</v>
      </c>
      <c r="P39" s="44" t="s">
        <v>1352</v>
      </c>
      <c r="Q39" s="26" t="s">
        <v>25</v>
      </c>
      <c r="R39" s="44" t="s">
        <v>1352</v>
      </c>
      <c r="S39" s="26" t="s">
        <v>24</v>
      </c>
      <c r="T39" s="27"/>
      <c r="U39" s="28" t="s">
        <v>25</v>
      </c>
      <c r="V39" s="29" t="str">
        <f t="shared" si="6"/>
        <v>✓ OK</v>
      </c>
      <c r="W39" s="45">
        <v>46248</v>
      </c>
      <c r="X39" s="30" t="s">
        <v>23</v>
      </c>
      <c r="Y39" s="30" t="s">
        <v>1352</v>
      </c>
      <c r="Z39" s="30" t="s">
        <v>25</v>
      </c>
      <c r="AA39" s="30" t="s">
        <v>1352</v>
      </c>
      <c r="AB39" s="30" t="s">
        <v>24</v>
      </c>
      <c r="AC39" s="27"/>
      <c r="AD39" s="31" t="s">
        <v>25</v>
      </c>
      <c r="AE39" s="32" t="str">
        <f t="shared" si="7"/>
        <v>✓ OK</v>
      </c>
      <c r="AF39" s="33" t="s">
        <v>27</v>
      </c>
      <c r="AG39" s="33" t="s">
        <v>23</v>
      </c>
      <c r="AH39" s="33" t="s">
        <v>1352</v>
      </c>
      <c r="AI39" s="33" t="s">
        <v>25</v>
      </c>
      <c r="AJ39" s="33" t="s">
        <v>1352</v>
      </c>
      <c r="AK39" s="33" t="s">
        <v>24</v>
      </c>
      <c r="AL39" s="27"/>
      <c r="AM39" s="34" t="s">
        <v>25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5115</v>
      </c>
      <c r="C40" s="41" t="s">
        <v>5116</v>
      </c>
      <c r="D40" s="39" t="s">
        <v>626</v>
      </c>
      <c r="E40" s="43">
        <v>46125</v>
      </c>
      <c r="F40" s="26" t="s">
        <v>23</v>
      </c>
      <c r="G40" s="44" t="s">
        <v>1352</v>
      </c>
      <c r="H40" s="26" t="s">
        <v>25</v>
      </c>
      <c r="I40" s="44" t="s">
        <v>1352</v>
      </c>
      <c r="J40" s="26" t="s">
        <v>24</v>
      </c>
      <c r="K40" s="27"/>
      <c r="L40" s="28" t="s">
        <v>25</v>
      </c>
      <c r="M40" s="29" t="str">
        <f t="shared" si="5"/>
        <v>✓ OK</v>
      </c>
      <c r="N40" s="43">
        <v>46196</v>
      </c>
      <c r="O40" s="26" t="s">
        <v>23</v>
      </c>
      <c r="P40" s="44" t="s">
        <v>1352</v>
      </c>
      <c r="Q40" s="26" t="s">
        <v>25</v>
      </c>
      <c r="R40" s="44" t="s">
        <v>1352</v>
      </c>
      <c r="S40" s="26" t="s">
        <v>24</v>
      </c>
      <c r="T40" s="27"/>
      <c r="U40" s="28" t="s">
        <v>25</v>
      </c>
      <c r="V40" s="29" t="str">
        <f t="shared" si="6"/>
        <v>✓ OK</v>
      </c>
      <c r="W40" s="45">
        <v>46248</v>
      </c>
      <c r="X40" s="30" t="s">
        <v>23</v>
      </c>
      <c r="Y40" s="30" t="s">
        <v>1352</v>
      </c>
      <c r="Z40" s="30" t="s">
        <v>25</v>
      </c>
      <c r="AA40" s="30" t="s">
        <v>1352</v>
      </c>
      <c r="AB40" s="30" t="s">
        <v>24</v>
      </c>
      <c r="AC40" s="27"/>
      <c r="AD40" s="31" t="s">
        <v>25</v>
      </c>
      <c r="AE40" s="32" t="str">
        <f t="shared" si="7"/>
        <v>✓ OK</v>
      </c>
      <c r="AF40" s="33" t="s">
        <v>27</v>
      </c>
      <c r="AG40" s="33" t="s">
        <v>23</v>
      </c>
      <c r="AH40" s="33" t="s">
        <v>1352</v>
      </c>
      <c r="AI40" s="33" t="s">
        <v>25</v>
      </c>
      <c r="AJ40" s="33" t="s">
        <v>1352</v>
      </c>
      <c r="AK40" s="33" t="s">
        <v>24</v>
      </c>
      <c r="AL40" s="27"/>
      <c r="AM40" s="34" t="s">
        <v>25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5117</v>
      </c>
      <c r="C41" s="25" t="s">
        <v>5118</v>
      </c>
      <c r="D41" s="23" t="s">
        <v>626</v>
      </c>
      <c r="E41" s="43">
        <v>46125</v>
      </c>
      <c r="F41" s="26" t="s">
        <v>23</v>
      </c>
      <c r="G41" s="44" t="s">
        <v>1352</v>
      </c>
      <c r="H41" s="26" t="s">
        <v>25</v>
      </c>
      <c r="I41" s="44" t="s">
        <v>1352</v>
      </c>
      <c r="J41" s="26" t="s">
        <v>24</v>
      </c>
      <c r="K41" s="27"/>
      <c r="L41" s="28" t="s">
        <v>25</v>
      </c>
      <c r="M41" s="29" t="str">
        <f t="shared" si="5"/>
        <v>✓ OK</v>
      </c>
      <c r="N41" s="43">
        <v>46196</v>
      </c>
      <c r="O41" s="26" t="s">
        <v>23</v>
      </c>
      <c r="P41" s="44" t="s">
        <v>1352</v>
      </c>
      <c r="Q41" s="26" t="s">
        <v>25</v>
      </c>
      <c r="R41" s="44" t="s">
        <v>1352</v>
      </c>
      <c r="S41" s="26" t="s">
        <v>24</v>
      </c>
      <c r="T41" s="27"/>
      <c r="U41" s="28" t="s">
        <v>25</v>
      </c>
      <c r="V41" s="29" t="str">
        <f t="shared" si="6"/>
        <v>✓ OK</v>
      </c>
      <c r="W41" s="45">
        <v>46248</v>
      </c>
      <c r="X41" s="30" t="s">
        <v>23</v>
      </c>
      <c r="Y41" s="30" t="s">
        <v>1352</v>
      </c>
      <c r="Z41" s="30" t="s">
        <v>25</v>
      </c>
      <c r="AA41" s="30" t="s">
        <v>1352</v>
      </c>
      <c r="AB41" s="30" t="s">
        <v>24</v>
      </c>
      <c r="AC41" s="27"/>
      <c r="AD41" s="31" t="s">
        <v>25</v>
      </c>
      <c r="AE41" s="32" t="str">
        <f t="shared" si="7"/>
        <v>✓ OK</v>
      </c>
      <c r="AF41" s="33" t="s">
        <v>27</v>
      </c>
      <c r="AG41" s="33" t="s">
        <v>23</v>
      </c>
      <c r="AH41" s="33" t="s">
        <v>1352</v>
      </c>
      <c r="AI41" s="33" t="s">
        <v>25</v>
      </c>
      <c r="AJ41" s="33" t="s">
        <v>1352</v>
      </c>
      <c r="AK41" s="33" t="s">
        <v>24</v>
      </c>
      <c r="AL41" s="27"/>
      <c r="AM41" s="34" t="s">
        <v>25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5119</v>
      </c>
      <c r="C42" s="41" t="s">
        <v>5120</v>
      </c>
      <c r="D42" s="39" t="s">
        <v>626</v>
      </c>
      <c r="E42" s="43">
        <v>46125</v>
      </c>
      <c r="F42" s="26" t="s">
        <v>23</v>
      </c>
      <c r="G42" s="44" t="s">
        <v>1352</v>
      </c>
      <c r="H42" s="26" t="s">
        <v>25</v>
      </c>
      <c r="I42" s="44" t="s">
        <v>1352</v>
      </c>
      <c r="J42" s="26" t="s">
        <v>24</v>
      </c>
      <c r="K42" s="27"/>
      <c r="L42" s="28" t="s">
        <v>25</v>
      </c>
      <c r="M42" s="29" t="str">
        <f t="shared" si="5"/>
        <v>✓ OK</v>
      </c>
      <c r="N42" s="43">
        <v>46196</v>
      </c>
      <c r="O42" s="26" t="s">
        <v>23</v>
      </c>
      <c r="P42" s="44" t="s">
        <v>1352</v>
      </c>
      <c r="Q42" s="26" t="s">
        <v>25</v>
      </c>
      <c r="R42" s="44" t="s">
        <v>1352</v>
      </c>
      <c r="S42" s="26" t="s">
        <v>24</v>
      </c>
      <c r="T42" s="27"/>
      <c r="U42" s="28" t="s">
        <v>25</v>
      </c>
      <c r="V42" s="29" t="str">
        <f t="shared" si="6"/>
        <v>✓ OK</v>
      </c>
      <c r="W42" s="45">
        <v>46248</v>
      </c>
      <c r="X42" s="30" t="s">
        <v>23</v>
      </c>
      <c r="Y42" s="30" t="s">
        <v>1352</v>
      </c>
      <c r="Z42" s="30" t="s">
        <v>25</v>
      </c>
      <c r="AA42" s="30" t="s">
        <v>1352</v>
      </c>
      <c r="AB42" s="30" t="s">
        <v>24</v>
      </c>
      <c r="AC42" s="27"/>
      <c r="AD42" s="31" t="s">
        <v>25</v>
      </c>
      <c r="AE42" s="32" t="str">
        <f t="shared" si="7"/>
        <v>✓ OK</v>
      </c>
      <c r="AF42" s="33" t="s">
        <v>27</v>
      </c>
      <c r="AG42" s="33" t="s">
        <v>23</v>
      </c>
      <c r="AH42" s="33" t="s">
        <v>1352</v>
      </c>
      <c r="AI42" s="33" t="s">
        <v>25</v>
      </c>
      <c r="AJ42" s="33" t="s">
        <v>1352</v>
      </c>
      <c r="AK42" s="33" t="s">
        <v>24</v>
      </c>
      <c r="AL42" s="27"/>
      <c r="AM42" s="34" t="s">
        <v>25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5121</v>
      </c>
      <c r="C43" s="25" t="s">
        <v>5122</v>
      </c>
      <c r="D43" s="23" t="s">
        <v>626</v>
      </c>
      <c r="E43" s="43">
        <v>46125</v>
      </c>
      <c r="F43" s="26" t="s">
        <v>23</v>
      </c>
      <c r="G43" s="44" t="s">
        <v>24</v>
      </c>
      <c r="H43" s="26" t="s">
        <v>25</v>
      </c>
      <c r="I43" s="44" t="s">
        <v>26</v>
      </c>
      <c r="J43" s="26" t="s">
        <v>24</v>
      </c>
      <c r="K43" s="27"/>
      <c r="L43" s="28" t="s">
        <v>25</v>
      </c>
      <c r="M43" s="29" t="str">
        <f t="shared" si="5"/>
        <v>✓ OK</v>
      </c>
      <c r="N43" s="43">
        <v>46196</v>
      </c>
      <c r="O43" s="26" t="s">
        <v>23</v>
      </c>
      <c r="P43" s="44" t="s">
        <v>24</v>
      </c>
      <c r="Q43" s="26" t="s">
        <v>25</v>
      </c>
      <c r="R43" s="44" t="s">
        <v>26</v>
      </c>
      <c r="S43" s="26" t="s">
        <v>24</v>
      </c>
      <c r="T43" s="27"/>
      <c r="U43" s="28" t="s">
        <v>25</v>
      </c>
      <c r="V43" s="29" t="str">
        <f t="shared" si="6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7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5123</v>
      </c>
      <c r="C44" s="41" t="s">
        <v>5124</v>
      </c>
      <c r="D44" s="39" t="s">
        <v>626</v>
      </c>
      <c r="E44" s="43">
        <v>46125</v>
      </c>
      <c r="F44" s="26" t="s">
        <v>23</v>
      </c>
      <c r="G44" s="44" t="s">
        <v>1352</v>
      </c>
      <c r="H44" s="26" t="s">
        <v>25</v>
      </c>
      <c r="I44" s="44" t="s">
        <v>1352</v>
      </c>
      <c r="J44" s="26" t="s">
        <v>24</v>
      </c>
      <c r="K44" s="27"/>
      <c r="L44" s="28" t="s">
        <v>25</v>
      </c>
      <c r="M44" s="29" t="str">
        <f t="shared" si="5"/>
        <v>✓ OK</v>
      </c>
      <c r="N44" s="43">
        <v>46196</v>
      </c>
      <c r="O44" s="26" t="s">
        <v>23</v>
      </c>
      <c r="P44" s="44" t="s">
        <v>1352</v>
      </c>
      <c r="Q44" s="26" t="s">
        <v>25</v>
      </c>
      <c r="R44" s="44" t="s">
        <v>1352</v>
      </c>
      <c r="S44" s="26" t="s">
        <v>24</v>
      </c>
      <c r="T44" s="27"/>
      <c r="U44" s="28" t="s">
        <v>25</v>
      </c>
      <c r="V44" s="29" t="str">
        <f t="shared" si="6"/>
        <v>✓ OK</v>
      </c>
      <c r="W44" s="45">
        <v>46248</v>
      </c>
      <c r="X44" s="30" t="s">
        <v>23</v>
      </c>
      <c r="Y44" s="30" t="s">
        <v>1352</v>
      </c>
      <c r="Z44" s="30" t="s">
        <v>25</v>
      </c>
      <c r="AA44" s="30" t="s">
        <v>1352</v>
      </c>
      <c r="AB44" s="30" t="s">
        <v>24</v>
      </c>
      <c r="AC44" s="27"/>
      <c r="AD44" s="31" t="s">
        <v>25</v>
      </c>
      <c r="AE44" s="32" t="str">
        <f t="shared" si="7"/>
        <v>✓ OK</v>
      </c>
      <c r="AF44" s="33" t="s">
        <v>27</v>
      </c>
      <c r="AG44" s="33" t="s">
        <v>23</v>
      </c>
      <c r="AH44" s="33" t="s">
        <v>1352</v>
      </c>
      <c r="AI44" s="33" t="s">
        <v>25</v>
      </c>
      <c r="AJ44" s="33" t="s">
        <v>1352</v>
      </c>
      <c r="AK44" s="33" t="s">
        <v>24</v>
      </c>
      <c r="AL44" s="27"/>
      <c r="AM44" s="34" t="s">
        <v>25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5125</v>
      </c>
      <c r="C45" s="25" t="s">
        <v>5126</v>
      </c>
      <c r="D45" s="23" t="s">
        <v>626</v>
      </c>
      <c r="E45" s="43">
        <v>46125</v>
      </c>
      <c r="F45" s="26" t="s">
        <v>23</v>
      </c>
      <c r="G45" s="44" t="s">
        <v>1352</v>
      </c>
      <c r="H45" s="26" t="s">
        <v>25</v>
      </c>
      <c r="I45" s="44" t="s">
        <v>1352</v>
      </c>
      <c r="J45" s="26" t="s">
        <v>24</v>
      </c>
      <c r="K45" s="27"/>
      <c r="L45" s="28" t="s">
        <v>25</v>
      </c>
      <c r="M45" s="29" t="str">
        <f t="shared" si="5"/>
        <v>✓ OK</v>
      </c>
      <c r="N45" s="43">
        <v>46196</v>
      </c>
      <c r="O45" s="26" t="s">
        <v>23</v>
      </c>
      <c r="P45" s="44" t="s">
        <v>1352</v>
      </c>
      <c r="Q45" s="26" t="s">
        <v>25</v>
      </c>
      <c r="R45" s="44" t="s">
        <v>1352</v>
      </c>
      <c r="S45" s="26" t="s">
        <v>24</v>
      </c>
      <c r="T45" s="27"/>
      <c r="U45" s="28" t="s">
        <v>25</v>
      </c>
      <c r="V45" s="29" t="str">
        <f t="shared" si="6"/>
        <v>✓ OK</v>
      </c>
      <c r="W45" s="45">
        <v>46248</v>
      </c>
      <c r="X45" s="30" t="s">
        <v>23</v>
      </c>
      <c r="Y45" s="30" t="s">
        <v>1352</v>
      </c>
      <c r="Z45" s="30" t="s">
        <v>25</v>
      </c>
      <c r="AA45" s="30" t="s">
        <v>1352</v>
      </c>
      <c r="AB45" s="30" t="s">
        <v>24</v>
      </c>
      <c r="AC45" s="27"/>
      <c r="AD45" s="31" t="s">
        <v>25</v>
      </c>
      <c r="AE45" s="32" t="str">
        <f t="shared" si="7"/>
        <v>✓ OK</v>
      </c>
      <c r="AF45" s="33" t="s">
        <v>27</v>
      </c>
      <c r="AG45" s="33" t="s">
        <v>23</v>
      </c>
      <c r="AH45" s="33" t="s">
        <v>1352</v>
      </c>
      <c r="AI45" s="33" t="s">
        <v>25</v>
      </c>
      <c r="AJ45" s="33" t="s">
        <v>1352</v>
      </c>
      <c r="AK45" s="33" t="s">
        <v>24</v>
      </c>
      <c r="AL45" s="27"/>
      <c r="AM45" s="34" t="s">
        <v>25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5127</v>
      </c>
      <c r="C46" s="41" t="s">
        <v>5128</v>
      </c>
      <c r="D46" s="39" t="s">
        <v>626</v>
      </c>
      <c r="E46" s="43">
        <v>46125</v>
      </c>
      <c r="F46" s="26" t="s">
        <v>23</v>
      </c>
      <c r="G46" s="44" t="s">
        <v>1352</v>
      </c>
      <c r="H46" s="26" t="s">
        <v>25</v>
      </c>
      <c r="I46" s="44" t="s">
        <v>1352</v>
      </c>
      <c r="J46" s="26" t="s">
        <v>24</v>
      </c>
      <c r="K46" s="27"/>
      <c r="L46" s="28" t="s">
        <v>25</v>
      </c>
      <c r="M46" s="29" t="str">
        <f t="shared" si="5"/>
        <v>✓ OK</v>
      </c>
      <c r="N46" s="43">
        <v>46196</v>
      </c>
      <c r="O46" s="26" t="s">
        <v>23</v>
      </c>
      <c r="P46" s="44" t="s">
        <v>1352</v>
      </c>
      <c r="Q46" s="26" t="s">
        <v>25</v>
      </c>
      <c r="R46" s="44" t="s">
        <v>1352</v>
      </c>
      <c r="S46" s="26" t="s">
        <v>24</v>
      </c>
      <c r="T46" s="27"/>
      <c r="U46" s="28" t="s">
        <v>25</v>
      </c>
      <c r="V46" s="29" t="str">
        <f t="shared" si="6"/>
        <v>✓ OK</v>
      </c>
      <c r="W46" s="45">
        <v>46248</v>
      </c>
      <c r="X46" s="30" t="s">
        <v>23</v>
      </c>
      <c r="Y46" s="30" t="s">
        <v>1352</v>
      </c>
      <c r="Z46" s="30" t="s">
        <v>25</v>
      </c>
      <c r="AA46" s="30" t="s">
        <v>1352</v>
      </c>
      <c r="AB46" s="30" t="s">
        <v>24</v>
      </c>
      <c r="AC46" s="27"/>
      <c r="AD46" s="31" t="s">
        <v>25</v>
      </c>
      <c r="AE46" s="32" t="str">
        <f t="shared" si="7"/>
        <v>✓ OK</v>
      </c>
      <c r="AF46" s="33" t="s">
        <v>27</v>
      </c>
      <c r="AG46" s="33" t="s">
        <v>23</v>
      </c>
      <c r="AH46" s="33" t="s">
        <v>1352</v>
      </c>
      <c r="AI46" s="33" t="s">
        <v>25</v>
      </c>
      <c r="AJ46" s="33" t="s">
        <v>1352</v>
      </c>
      <c r="AK46" s="33" t="s">
        <v>24</v>
      </c>
      <c r="AL46" s="27"/>
      <c r="AM46" s="34" t="s">
        <v>25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5129</v>
      </c>
      <c r="C47" s="25" t="s">
        <v>5130</v>
      </c>
      <c r="D47" s="23" t="s">
        <v>626</v>
      </c>
      <c r="E47" s="43">
        <v>46125</v>
      </c>
      <c r="F47" s="26" t="s">
        <v>23</v>
      </c>
      <c r="G47" s="44" t="s">
        <v>24</v>
      </c>
      <c r="H47" s="26" t="s">
        <v>25</v>
      </c>
      <c r="I47" s="44" t="s">
        <v>26</v>
      </c>
      <c r="J47" s="26" t="s">
        <v>24</v>
      </c>
      <c r="K47" s="27"/>
      <c r="L47" s="28" t="s">
        <v>25</v>
      </c>
      <c r="M47" s="29" t="str">
        <f t="shared" si="5"/>
        <v>✓ OK</v>
      </c>
      <c r="N47" s="43">
        <v>46196</v>
      </c>
      <c r="O47" s="26" t="s">
        <v>23</v>
      </c>
      <c r="P47" s="44" t="s">
        <v>24</v>
      </c>
      <c r="Q47" s="26" t="s">
        <v>25</v>
      </c>
      <c r="R47" s="44" t="s">
        <v>26</v>
      </c>
      <c r="S47" s="26" t="s">
        <v>24</v>
      </c>
      <c r="T47" s="27"/>
      <c r="U47" s="28" t="s">
        <v>25</v>
      </c>
      <c r="V47" s="29" t="str">
        <f t="shared" si="6"/>
        <v>✓ OK</v>
      </c>
      <c r="W47" s="45">
        <v>46248</v>
      </c>
      <c r="X47" s="30" t="s">
        <v>23</v>
      </c>
      <c r="Y47" s="30" t="s">
        <v>24</v>
      </c>
      <c r="Z47" s="30" t="s">
        <v>25</v>
      </c>
      <c r="AA47" s="30" t="s">
        <v>26</v>
      </c>
      <c r="AB47" s="30" t="s">
        <v>24</v>
      </c>
      <c r="AC47" s="27"/>
      <c r="AD47" s="31" t="s">
        <v>25</v>
      </c>
      <c r="AE47" s="32" t="str">
        <f t="shared" si="7"/>
        <v>✓ OK</v>
      </c>
      <c r="AF47" s="33" t="s">
        <v>27</v>
      </c>
      <c r="AG47" s="33" t="s">
        <v>23</v>
      </c>
      <c r="AH47" s="33" t="s">
        <v>24</v>
      </c>
      <c r="AI47" s="33" t="s">
        <v>25</v>
      </c>
      <c r="AJ47" s="33" t="s">
        <v>26</v>
      </c>
      <c r="AK47" s="33" t="s">
        <v>24</v>
      </c>
      <c r="AL47" s="27"/>
      <c r="AM47" s="34" t="s">
        <v>25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5131</v>
      </c>
      <c r="C48" s="41" t="s">
        <v>5132</v>
      </c>
      <c r="D48" s="39" t="s">
        <v>626</v>
      </c>
      <c r="E48" s="43">
        <v>46125</v>
      </c>
      <c r="F48" s="26" t="s">
        <v>23</v>
      </c>
      <c r="G48" s="44" t="s">
        <v>24</v>
      </c>
      <c r="H48" s="26" t="s">
        <v>25</v>
      </c>
      <c r="I48" s="44" t="s">
        <v>26</v>
      </c>
      <c r="J48" s="26" t="s">
        <v>24</v>
      </c>
      <c r="K48" s="27"/>
      <c r="L48" s="28" t="s">
        <v>25</v>
      </c>
      <c r="M48" s="29" t="str">
        <f t="shared" si="5"/>
        <v>✓ OK</v>
      </c>
      <c r="N48" s="43">
        <v>46196</v>
      </c>
      <c r="O48" s="26" t="s">
        <v>23</v>
      </c>
      <c r="P48" s="44" t="s">
        <v>24</v>
      </c>
      <c r="Q48" s="26" t="s">
        <v>25</v>
      </c>
      <c r="R48" s="44" t="s">
        <v>26</v>
      </c>
      <c r="S48" s="26" t="s">
        <v>24</v>
      </c>
      <c r="T48" s="27"/>
      <c r="U48" s="28" t="s">
        <v>25</v>
      </c>
      <c r="V48" s="29" t="str">
        <f t="shared" si="6"/>
        <v>✓ OK</v>
      </c>
      <c r="W48" s="45">
        <v>46248</v>
      </c>
      <c r="X48" s="30" t="s">
        <v>23</v>
      </c>
      <c r="Y48" s="30" t="s">
        <v>24</v>
      </c>
      <c r="Z48" s="30" t="s">
        <v>25</v>
      </c>
      <c r="AA48" s="30" t="s">
        <v>26</v>
      </c>
      <c r="AB48" s="30" t="s">
        <v>24</v>
      </c>
      <c r="AC48" s="27"/>
      <c r="AD48" s="31" t="s">
        <v>25</v>
      </c>
      <c r="AE48" s="32" t="str">
        <f t="shared" si="7"/>
        <v>✓ OK</v>
      </c>
      <c r="AF48" s="33" t="s">
        <v>27</v>
      </c>
      <c r="AG48" s="33" t="s">
        <v>23</v>
      </c>
      <c r="AH48" s="33" t="s">
        <v>24</v>
      </c>
      <c r="AI48" s="33" t="s">
        <v>25</v>
      </c>
      <c r="AJ48" s="33" t="s">
        <v>26</v>
      </c>
      <c r="AK48" s="33" t="s">
        <v>24</v>
      </c>
      <c r="AL48" s="27"/>
      <c r="AM48" s="34" t="s">
        <v>25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5133</v>
      </c>
      <c r="C49" s="25" t="s">
        <v>5134</v>
      </c>
      <c r="D49" s="23" t="s">
        <v>626</v>
      </c>
      <c r="E49" s="43">
        <v>46125</v>
      </c>
      <c r="F49" s="26" t="s">
        <v>23</v>
      </c>
      <c r="G49" s="44" t="s">
        <v>1352</v>
      </c>
      <c r="H49" s="26" t="s">
        <v>25</v>
      </c>
      <c r="I49" s="44" t="s">
        <v>1352</v>
      </c>
      <c r="J49" s="26" t="s">
        <v>24</v>
      </c>
      <c r="K49" s="27"/>
      <c r="L49" s="28" t="s">
        <v>25</v>
      </c>
      <c r="M49" s="29" t="str">
        <f t="shared" si="5"/>
        <v>✓ OK</v>
      </c>
      <c r="N49" s="43">
        <v>46196</v>
      </c>
      <c r="O49" s="26" t="s">
        <v>23</v>
      </c>
      <c r="P49" s="44" t="s">
        <v>1352</v>
      </c>
      <c r="Q49" s="26" t="s">
        <v>25</v>
      </c>
      <c r="R49" s="44" t="s">
        <v>1352</v>
      </c>
      <c r="S49" s="26" t="s">
        <v>24</v>
      </c>
      <c r="T49" s="27"/>
      <c r="U49" s="28" t="s">
        <v>25</v>
      </c>
      <c r="V49" s="29" t="str">
        <f t="shared" si="6"/>
        <v>✓ OK</v>
      </c>
      <c r="W49" s="45">
        <v>46248</v>
      </c>
      <c r="X49" s="30" t="s">
        <v>23</v>
      </c>
      <c r="Y49" s="30" t="s">
        <v>1352</v>
      </c>
      <c r="Z49" s="30" t="s">
        <v>25</v>
      </c>
      <c r="AA49" s="30" t="s">
        <v>1352</v>
      </c>
      <c r="AB49" s="30" t="s">
        <v>24</v>
      </c>
      <c r="AC49" s="27"/>
      <c r="AD49" s="31" t="s">
        <v>25</v>
      </c>
      <c r="AE49" s="32" t="str">
        <f t="shared" si="7"/>
        <v>✓ OK</v>
      </c>
      <c r="AF49" s="33" t="s">
        <v>27</v>
      </c>
      <c r="AG49" s="33" t="s">
        <v>23</v>
      </c>
      <c r="AH49" s="33" t="s">
        <v>1352</v>
      </c>
      <c r="AI49" s="33" t="s">
        <v>25</v>
      </c>
      <c r="AJ49" s="33" t="s">
        <v>1352</v>
      </c>
      <c r="AK49" s="33" t="s">
        <v>24</v>
      </c>
      <c r="AL49" s="27"/>
      <c r="AM49" s="34" t="s">
        <v>25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5135</v>
      </c>
      <c r="C50" s="41" t="s">
        <v>5136</v>
      </c>
      <c r="D50" s="39" t="s">
        <v>626</v>
      </c>
      <c r="E50" s="43">
        <v>46125</v>
      </c>
      <c r="F50" s="26" t="s">
        <v>23</v>
      </c>
      <c r="G50" s="44" t="s">
        <v>1352</v>
      </c>
      <c r="H50" s="26" t="s">
        <v>25</v>
      </c>
      <c r="I50" s="44" t="s">
        <v>1352</v>
      </c>
      <c r="J50" s="26" t="s">
        <v>24</v>
      </c>
      <c r="K50" s="27"/>
      <c r="L50" s="28" t="s">
        <v>25</v>
      </c>
      <c r="M50" s="29" t="str">
        <f t="shared" si="5"/>
        <v>✓ OK</v>
      </c>
      <c r="N50" s="43">
        <v>46196</v>
      </c>
      <c r="O50" s="26" t="s">
        <v>23</v>
      </c>
      <c r="P50" s="44" t="s">
        <v>1352</v>
      </c>
      <c r="Q50" s="26" t="s">
        <v>25</v>
      </c>
      <c r="R50" s="44" t="s">
        <v>1352</v>
      </c>
      <c r="S50" s="26" t="s">
        <v>24</v>
      </c>
      <c r="T50" s="27"/>
      <c r="U50" s="28" t="s">
        <v>25</v>
      </c>
      <c r="V50" s="29" t="str">
        <f t="shared" si="6"/>
        <v>✓ OK</v>
      </c>
      <c r="W50" s="45">
        <v>46248</v>
      </c>
      <c r="X50" s="30" t="s">
        <v>23</v>
      </c>
      <c r="Y50" s="30" t="s">
        <v>1352</v>
      </c>
      <c r="Z50" s="30" t="s">
        <v>25</v>
      </c>
      <c r="AA50" s="30" t="s">
        <v>1352</v>
      </c>
      <c r="AB50" s="30" t="s">
        <v>24</v>
      </c>
      <c r="AC50" s="27"/>
      <c r="AD50" s="31" t="s">
        <v>25</v>
      </c>
      <c r="AE50" s="32" t="str">
        <f t="shared" si="7"/>
        <v>✓ OK</v>
      </c>
      <c r="AF50" s="33" t="s">
        <v>27</v>
      </c>
      <c r="AG50" s="33" t="s">
        <v>23</v>
      </c>
      <c r="AH50" s="33" t="s">
        <v>1352</v>
      </c>
      <c r="AI50" s="33" t="s">
        <v>25</v>
      </c>
      <c r="AJ50" s="33" t="s">
        <v>1352</v>
      </c>
      <c r="AK50" s="33" t="s">
        <v>24</v>
      </c>
      <c r="AL50" s="27"/>
      <c r="AM50" s="34" t="s">
        <v>25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5137</v>
      </c>
      <c r="C51" s="25" t="s">
        <v>5138</v>
      </c>
      <c r="D51" s="23" t="s">
        <v>626</v>
      </c>
      <c r="E51" s="43">
        <v>46125</v>
      </c>
      <c r="F51" s="26" t="s">
        <v>23</v>
      </c>
      <c r="G51" s="44" t="s">
        <v>24</v>
      </c>
      <c r="H51" s="26" t="s">
        <v>25</v>
      </c>
      <c r="I51" s="44" t="s">
        <v>26</v>
      </c>
      <c r="J51" s="26" t="s">
        <v>24</v>
      </c>
      <c r="K51" s="27"/>
      <c r="L51" s="28" t="s">
        <v>25</v>
      </c>
      <c r="M51" s="29" t="str">
        <f t="shared" si="5"/>
        <v>✓ OK</v>
      </c>
      <c r="N51" s="43">
        <v>46196</v>
      </c>
      <c r="O51" s="26" t="s">
        <v>23</v>
      </c>
      <c r="P51" s="44" t="s">
        <v>24</v>
      </c>
      <c r="Q51" s="26" t="s">
        <v>25</v>
      </c>
      <c r="R51" s="44" t="s">
        <v>26</v>
      </c>
      <c r="S51" s="26" t="s">
        <v>24</v>
      </c>
      <c r="T51" s="27"/>
      <c r="U51" s="28" t="s">
        <v>25</v>
      </c>
      <c r="V51" s="29" t="str">
        <f t="shared" si="6"/>
        <v>✓ OK</v>
      </c>
      <c r="W51" s="45">
        <v>46248</v>
      </c>
      <c r="X51" s="30" t="s">
        <v>23</v>
      </c>
      <c r="Y51" s="30" t="s">
        <v>24</v>
      </c>
      <c r="Z51" s="30" t="s">
        <v>25</v>
      </c>
      <c r="AA51" s="30" t="s">
        <v>26</v>
      </c>
      <c r="AB51" s="30" t="s">
        <v>24</v>
      </c>
      <c r="AC51" s="27"/>
      <c r="AD51" s="31" t="s">
        <v>25</v>
      </c>
      <c r="AE51" s="32" t="str">
        <f t="shared" si="7"/>
        <v>✓ OK</v>
      </c>
      <c r="AF51" s="33" t="s">
        <v>27</v>
      </c>
      <c r="AG51" s="33" t="s">
        <v>23</v>
      </c>
      <c r="AH51" s="33" t="s">
        <v>24</v>
      </c>
      <c r="AI51" s="33" t="s">
        <v>25</v>
      </c>
      <c r="AJ51" s="33" t="s">
        <v>26</v>
      </c>
      <c r="AK51" s="33" t="s">
        <v>24</v>
      </c>
      <c r="AL51" s="27"/>
      <c r="AM51" s="34" t="s">
        <v>25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5139</v>
      </c>
      <c r="C52" s="41" t="s">
        <v>5140</v>
      </c>
      <c r="D52" s="39" t="s">
        <v>626</v>
      </c>
      <c r="E52" s="43">
        <v>46125</v>
      </c>
      <c r="F52" s="26" t="s">
        <v>23</v>
      </c>
      <c r="G52" s="44" t="s">
        <v>24</v>
      </c>
      <c r="H52" s="26" t="s">
        <v>25</v>
      </c>
      <c r="I52" s="44" t="s">
        <v>26</v>
      </c>
      <c r="J52" s="26" t="s">
        <v>24</v>
      </c>
      <c r="K52" s="27"/>
      <c r="L52" s="28" t="s">
        <v>25</v>
      </c>
      <c r="M52" s="29" t="str">
        <f t="shared" si="5"/>
        <v>✓ OK</v>
      </c>
      <c r="N52" s="43">
        <v>46196</v>
      </c>
      <c r="O52" s="26" t="s">
        <v>23</v>
      </c>
      <c r="P52" s="44" t="s">
        <v>24</v>
      </c>
      <c r="Q52" s="26" t="s">
        <v>25</v>
      </c>
      <c r="R52" s="44" t="s">
        <v>26</v>
      </c>
      <c r="S52" s="26" t="s">
        <v>24</v>
      </c>
      <c r="T52" s="27"/>
      <c r="U52" s="28" t="s">
        <v>25</v>
      </c>
      <c r="V52" s="29" t="str">
        <f t="shared" si="6"/>
        <v>✓ OK</v>
      </c>
      <c r="W52" s="45">
        <v>46248</v>
      </c>
      <c r="X52" s="30" t="s">
        <v>23</v>
      </c>
      <c r="Y52" s="30" t="s">
        <v>24</v>
      </c>
      <c r="Z52" s="30" t="s">
        <v>25</v>
      </c>
      <c r="AA52" s="30" t="s">
        <v>26</v>
      </c>
      <c r="AB52" s="30" t="s">
        <v>24</v>
      </c>
      <c r="AC52" s="27"/>
      <c r="AD52" s="31" t="s">
        <v>25</v>
      </c>
      <c r="AE52" s="32" t="str">
        <f t="shared" si="7"/>
        <v>✓ OK</v>
      </c>
      <c r="AF52" s="33" t="s">
        <v>27</v>
      </c>
      <c r="AG52" s="33" t="s">
        <v>23</v>
      </c>
      <c r="AH52" s="33" t="s">
        <v>24</v>
      </c>
      <c r="AI52" s="33" t="s">
        <v>25</v>
      </c>
      <c r="AJ52" s="33" t="s">
        <v>26</v>
      </c>
      <c r="AK52" s="33" t="s">
        <v>24</v>
      </c>
      <c r="AL52" s="27"/>
      <c r="AM52" s="34" t="s">
        <v>25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5141</v>
      </c>
      <c r="C53" s="25" t="s">
        <v>5142</v>
      </c>
      <c r="D53" s="23" t="s">
        <v>626</v>
      </c>
      <c r="E53" s="43">
        <v>46125</v>
      </c>
      <c r="F53" s="26" t="s">
        <v>23</v>
      </c>
      <c r="G53" s="44" t="s">
        <v>24</v>
      </c>
      <c r="H53" s="26" t="s">
        <v>25</v>
      </c>
      <c r="I53" s="44" t="s">
        <v>26</v>
      </c>
      <c r="J53" s="26" t="s">
        <v>24</v>
      </c>
      <c r="K53" s="27"/>
      <c r="L53" s="28" t="s">
        <v>25</v>
      </c>
      <c r="M53" s="29" t="str">
        <f t="shared" si="5"/>
        <v>✓ OK</v>
      </c>
      <c r="N53" s="43">
        <v>46196</v>
      </c>
      <c r="O53" s="26" t="s">
        <v>23</v>
      </c>
      <c r="P53" s="44" t="s">
        <v>24</v>
      </c>
      <c r="Q53" s="26" t="s">
        <v>25</v>
      </c>
      <c r="R53" s="44" t="s">
        <v>26</v>
      </c>
      <c r="S53" s="26" t="s">
        <v>24</v>
      </c>
      <c r="T53" s="27"/>
      <c r="U53" s="28" t="s">
        <v>25</v>
      </c>
      <c r="V53" s="29" t="str">
        <f t="shared" si="6"/>
        <v>✓ OK</v>
      </c>
      <c r="W53" s="45">
        <v>46248</v>
      </c>
      <c r="X53" s="30" t="s">
        <v>23</v>
      </c>
      <c r="Y53" s="30" t="s">
        <v>24</v>
      </c>
      <c r="Z53" s="30" t="s">
        <v>25</v>
      </c>
      <c r="AA53" s="30" t="s">
        <v>26</v>
      </c>
      <c r="AB53" s="30" t="s">
        <v>24</v>
      </c>
      <c r="AC53" s="27"/>
      <c r="AD53" s="31" t="s">
        <v>25</v>
      </c>
      <c r="AE53" s="32" t="str">
        <f t="shared" si="7"/>
        <v>✓ OK</v>
      </c>
      <c r="AF53" s="33" t="s">
        <v>27</v>
      </c>
      <c r="AG53" s="33" t="s">
        <v>23</v>
      </c>
      <c r="AH53" s="33" t="s">
        <v>24</v>
      </c>
      <c r="AI53" s="33" t="s">
        <v>25</v>
      </c>
      <c r="AJ53" s="33" t="s">
        <v>26</v>
      </c>
      <c r="AK53" s="33" t="s">
        <v>24</v>
      </c>
      <c r="AL53" s="27"/>
      <c r="AM53" s="34" t="s">
        <v>25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5143</v>
      </c>
      <c r="C54" s="41" t="s">
        <v>5144</v>
      </c>
      <c r="D54" s="39" t="s">
        <v>626</v>
      </c>
      <c r="E54" s="43">
        <v>46125</v>
      </c>
      <c r="F54" s="26" t="s">
        <v>23</v>
      </c>
      <c r="G54" s="44" t="s">
        <v>1352</v>
      </c>
      <c r="H54" s="26" t="s">
        <v>25</v>
      </c>
      <c r="I54" s="44" t="s">
        <v>1352</v>
      </c>
      <c r="J54" s="26" t="s">
        <v>24</v>
      </c>
      <c r="K54" s="27"/>
      <c r="L54" s="28" t="s">
        <v>25</v>
      </c>
      <c r="M54" s="29" t="str">
        <f t="shared" si="5"/>
        <v>✓ OK</v>
      </c>
      <c r="N54" s="43">
        <v>46196</v>
      </c>
      <c r="O54" s="26" t="s">
        <v>23</v>
      </c>
      <c r="P54" s="44" t="s">
        <v>1352</v>
      </c>
      <c r="Q54" s="26" t="s">
        <v>25</v>
      </c>
      <c r="R54" s="44" t="s">
        <v>1352</v>
      </c>
      <c r="S54" s="26" t="s">
        <v>24</v>
      </c>
      <c r="T54" s="27"/>
      <c r="U54" s="28" t="s">
        <v>25</v>
      </c>
      <c r="V54" s="29" t="str">
        <f t="shared" si="6"/>
        <v>✓ OK</v>
      </c>
      <c r="W54" s="45">
        <v>46248</v>
      </c>
      <c r="X54" s="30" t="s">
        <v>23</v>
      </c>
      <c r="Y54" s="30" t="s">
        <v>1352</v>
      </c>
      <c r="Z54" s="30" t="s">
        <v>25</v>
      </c>
      <c r="AA54" s="30" t="s">
        <v>1352</v>
      </c>
      <c r="AB54" s="30" t="s">
        <v>24</v>
      </c>
      <c r="AC54" s="27"/>
      <c r="AD54" s="31" t="s">
        <v>25</v>
      </c>
      <c r="AE54" s="32" t="str">
        <f t="shared" si="7"/>
        <v>✓ OK</v>
      </c>
      <c r="AF54" s="33" t="s">
        <v>27</v>
      </c>
      <c r="AG54" s="33" t="s">
        <v>23</v>
      </c>
      <c r="AH54" s="33" t="s">
        <v>1352</v>
      </c>
      <c r="AI54" s="33" t="s">
        <v>25</v>
      </c>
      <c r="AJ54" s="33" t="s">
        <v>1352</v>
      </c>
      <c r="AK54" s="33" t="s">
        <v>24</v>
      </c>
      <c r="AL54" s="27"/>
      <c r="AM54" s="34" t="s">
        <v>25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5145</v>
      </c>
      <c r="C55" s="25" t="s">
        <v>5146</v>
      </c>
      <c r="D55" s="23" t="s">
        <v>626</v>
      </c>
      <c r="E55" s="43">
        <v>46125</v>
      </c>
      <c r="F55" s="26" t="s">
        <v>23</v>
      </c>
      <c r="G55" s="44" t="s">
        <v>1352</v>
      </c>
      <c r="H55" s="26" t="s">
        <v>25</v>
      </c>
      <c r="I55" s="44" t="s">
        <v>1352</v>
      </c>
      <c r="J55" s="26" t="s">
        <v>24</v>
      </c>
      <c r="K55" s="27"/>
      <c r="L55" s="28" t="s">
        <v>25</v>
      </c>
      <c r="M55" s="29" t="str">
        <f t="shared" si="5"/>
        <v>✓ OK</v>
      </c>
      <c r="N55" s="43">
        <v>46196</v>
      </c>
      <c r="O55" s="26" t="s">
        <v>23</v>
      </c>
      <c r="P55" s="44" t="s">
        <v>1352</v>
      </c>
      <c r="Q55" s="26" t="s">
        <v>25</v>
      </c>
      <c r="R55" s="44" t="s">
        <v>1352</v>
      </c>
      <c r="S55" s="26" t="s">
        <v>24</v>
      </c>
      <c r="T55" s="27"/>
      <c r="U55" s="28" t="s">
        <v>25</v>
      </c>
      <c r="V55" s="29" t="str">
        <f t="shared" si="6"/>
        <v>✓ OK</v>
      </c>
      <c r="W55" s="45">
        <v>46248</v>
      </c>
      <c r="X55" s="30" t="s">
        <v>23</v>
      </c>
      <c r="Y55" s="30" t="s">
        <v>1352</v>
      </c>
      <c r="Z55" s="30" t="s">
        <v>25</v>
      </c>
      <c r="AA55" s="30" t="s">
        <v>1352</v>
      </c>
      <c r="AB55" s="30" t="s">
        <v>24</v>
      </c>
      <c r="AC55" s="27"/>
      <c r="AD55" s="31" t="s">
        <v>25</v>
      </c>
      <c r="AE55" s="32" t="str">
        <f t="shared" si="7"/>
        <v>✓ OK</v>
      </c>
      <c r="AF55" s="33" t="s">
        <v>27</v>
      </c>
      <c r="AG55" s="33" t="s">
        <v>23</v>
      </c>
      <c r="AH55" s="33" t="s">
        <v>1352</v>
      </c>
      <c r="AI55" s="33" t="s">
        <v>25</v>
      </c>
      <c r="AJ55" s="33" t="s">
        <v>1352</v>
      </c>
      <c r="AK55" s="33" t="s">
        <v>24</v>
      </c>
      <c r="AL55" s="27"/>
      <c r="AM55" s="34" t="s">
        <v>25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5147</v>
      </c>
      <c r="C56" s="41" t="s">
        <v>5148</v>
      </c>
      <c r="D56" s="39" t="s">
        <v>626</v>
      </c>
      <c r="E56" s="43">
        <v>46125</v>
      </c>
      <c r="F56" s="26" t="s">
        <v>23</v>
      </c>
      <c r="G56" s="44" t="s">
        <v>1352</v>
      </c>
      <c r="H56" s="26" t="s">
        <v>25</v>
      </c>
      <c r="I56" s="44" t="s">
        <v>1352</v>
      </c>
      <c r="J56" s="26" t="s">
        <v>24</v>
      </c>
      <c r="K56" s="27"/>
      <c r="L56" s="28" t="s">
        <v>25</v>
      </c>
      <c r="M56" s="29" t="str">
        <f t="shared" si="5"/>
        <v>✓ OK</v>
      </c>
      <c r="N56" s="43">
        <v>46196</v>
      </c>
      <c r="O56" s="26" t="s">
        <v>23</v>
      </c>
      <c r="P56" s="44" t="s">
        <v>1352</v>
      </c>
      <c r="Q56" s="26" t="s">
        <v>25</v>
      </c>
      <c r="R56" s="44" t="s">
        <v>1352</v>
      </c>
      <c r="S56" s="26" t="s">
        <v>24</v>
      </c>
      <c r="T56" s="27"/>
      <c r="U56" s="28" t="s">
        <v>25</v>
      </c>
      <c r="V56" s="29" t="str">
        <f t="shared" si="6"/>
        <v>✓ OK</v>
      </c>
      <c r="W56" s="45">
        <v>46248</v>
      </c>
      <c r="X56" s="30" t="s">
        <v>23</v>
      </c>
      <c r="Y56" s="30" t="s">
        <v>1352</v>
      </c>
      <c r="Z56" s="30" t="s">
        <v>25</v>
      </c>
      <c r="AA56" s="30" t="s">
        <v>1352</v>
      </c>
      <c r="AB56" s="30" t="s">
        <v>24</v>
      </c>
      <c r="AC56" s="27"/>
      <c r="AD56" s="31" t="s">
        <v>25</v>
      </c>
      <c r="AE56" s="32" t="str">
        <f t="shared" si="7"/>
        <v>✓ OK</v>
      </c>
      <c r="AF56" s="33" t="s">
        <v>27</v>
      </c>
      <c r="AG56" s="33" t="s">
        <v>23</v>
      </c>
      <c r="AH56" s="33" t="s">
        <v>1352</v>
      </c>
      <c r="AI56" s="33" t="s">
        <v>25</v>
      </c>
      <c r="AJ56" s="33" t="s">
        <v>1352</v>
      </c>
      <c r="AK56" s="33" t="s">
        <v>24</v>
      </c>
      <c r="AL56" s="27"/>
      <c r="AM56" s="34" t="s">
        <v>25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5149</v>
      </c>
      <c r="C57" s="25" t="s">
        <v>5150</v>
      </c>
      <c r="D57" s="23" t="s">
        <v>626</v>
      </c>
      <c r="E57" s="43">
        <v>46125</v>
      </c>
      <c r="F57" s="26" t="s">
        <v>23</v>
      </c>
      <c r="G57" s="44" t="s">
        <v>1352</v>
      </c>
      <c r="H57" s="26" t="s">
        <v>25</v>
      </c>
      <c r="I57" s="44" t="s">
        <v>1352</v>
      </c>
      <c r="J57" s="26" t="s">
        <v>24</v>
      </c>
      <c r="K57" s="27"/>
      <c r="L57" s="28" t="s">
        <v>25</v>
      </c>
      <c r="M57" s="29" t="str">
        <f t="shared" si="5"/>
        <v>✓ OK</v>
      </c>
      <c r="N57" s="43">
        <v>46196</v>
      </c>
      <c r="O57" s="26" t="s">
        <v>23</v>
      </c>
      <c r="P57" s="44" t="s">
        <v>1352</v>
      </c>
      <c r="Q57" s="26" t="s">
        <v>25</v>
      </c>
      <c r="R57" s="44" t="s">
        <v>1352</v>
      </c>
      <c r="S57" s="26" t="s">
        <v>24</v>
      </c>
      <c r="T57" s="27"/>
      <c r="U57" s="28" t="s">
        <v>25</v>
      </c>
      <c r="V57" s="29" t="str">
        <f t="shared" si="6"/>
        <v>✓ OK</v>
      </c>
      <c r="W57" s="45">
        <v>46248</v>
      </c>
      <c r="X57" s="30" t="s">
        <v>23</v>
      </c>
      <c r="Y57" s="30" t="s">
        <v>1352</v>
      </c>
      <c r="Z57" s="30" t="s">
        <v>25</v>
      </c>
      <c r="AA57" s="30" t="s">
        <v>1352</v>
      </c>
      <c r="AB57" s="30" t="s">
        <v>24</v>
      </c>
      <c r="AC57" s="27"/>
      <c r="AD57" s="31" t="s">
        <v>25</v>
      </c>
      <c r="AE57" s="32" t="str">
        <f t="shared" si="7"/>
        <v>✓ OK</v>
      </c>
      <c r="AF57" s="33" t="s">
        <v>27</v>
      </c>
      <c r="AG57" s="33" t="s">
        <v>23</v>
      </c>
      <c r="AH57" s="33" t="s">
        <v>1352</v>
      </c>
      <c r="AI57" s="33" t="s">
        <v>25</v>
      </c>
      <c r="AJ57" s="33" t="s">
        <v>1352</v>
      </c>
      <c r="AK57" s="33" t="s">
        <v>24</v>
      </c>
      <c r="AL57" s="27"/>
      <c r="AM57" s="34" t="s">
        <v>25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5151</v>
      </c>
      <c r="C58" s="41" t="s">
        <v>5152</v>
      </c>
      <c r="D58" s="39" t="s">
        <v>626</v>
      </c>
      <c r="E58" s="43">
        <v>46125</v>
      </c>
      <c r="F58" s="26" t="s">
        <v>23</v>
      </c>
      <c r="G58" s="44" t="s">
        <v>1352</v>
      </c>
      <c r="H58" s="26" t="s">
        <v>25</v>
      </c>
      <c r="I58" s="44" t="s">
        <v>1352</v>
      </c>
      <c r="J58" s="26" t="s">
        <v>24</v>
      </c>
      <c r="K58" s="27"/>
      <c r="L58" s="28" t="s">
        <v>25</v>
      </c>
      <c r="M58" s="29" t="str">
        <f t="shared" si="5"/>
        <v>✓ OK</v>
      </c>
      <c r="N58" s="43">
        <v>46196</v>
      </c>
      <c r="O58" s="26" t="s">
        <v>23</v>
      </c>
      <c r="P58" s="44" t="s">
        <v>1352</v>
      </c>
      <c r="Q58" s="26" t="s">
        <v>25</v>
      </c>
      <c r="R58" s="44" t="s">
        <v>1352</v>
      </c>
      <c r="S58" s="26" t="s">
        <v>24</v>
      </c>
      <c r="T58" s="27"/>
      <c r="U58" s="28" t="s">
        <v>25</v>
      </c>
      <c r="V58" s="29" t="str">
        <f t="shared" si="6"/>
        <v>✓ OK</v>
      </c>
      <c r="W58" s="45">
        <v>46248</v>
      </c>
      <c r="X58" s="30" t="s">
        <v>23</v>
      </c>
      <c r="Y58" s="30" t="s">
        <v>1352</v>
      </c>
      <c r="Z58" s="30" t="s">
        <v>25</v>
      </c>
      <c r="AA58" s="30" t="s">
        <v>1352</v>
      </c>
      <c r="AB58" s="30" t="s">
        <v>24</v>
      </c>
      <c r="AC58" s="27"/>
      <c r="AD58" s="31" t="s">
        <v>25</v>
      </c>
      <c r="AE58" s="32" t="str">
        <f t="shared" si="7"/>
        <v>✓ OK</v>
      </c>
      <c r="AF58" s="33" t="s">
        <v>27</v>
      </c>
      <c r="AG58" s="33" t="s">
        <v>23</v>
      </c>
      <c r="AH58" s="33" t="s">
        <v>1352</v>
      </c>
      <c r="AI58" s="33" t="s">
        <v>25</v>
      </c>
      <c r="AJ58" s="33" t="s">
        <v>1352</v>
      </c>
      <c r="AK58" s="33" t="s">
        <v>24</v>
      </c>
      <c r="AL58" s="27"/>
      <c r="AM58" s="34" t="s">
        <v>25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5153</v>
      </c>
      <c r="C59" s="25" t="s">
        <v>5154</v>
      </c>
      <c r="D59" s="23" t="s">
        <v>626</v>
      </c>
      <c r="E59" s="43">
        <v>46125</v>
      </c>
      <c r="F59" s="26" t="s">
        <v>23</v>
      </c>
      <c r="G59" s="44" t="s">
        <v>24</v>
      </c>
      <c r="H59" s="26" t="s">
        <v>25</v>
      </c>
      <c r="I59" s="44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43">
        <v>46196</v>
      </c>
      <c r="O59" s="26" t="s">
        <v>23</v>
      </c>
      <c r="P59" s="44" t="s">
        <v>24</v>
      </c>
      <c r="Q59" s="26" t="s">
        <v>25</v>
      </c>
      <c r="R59" s="44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45">
        <v>46248</v>
      </c>
      <c r="X59" s="30" t="s">
        <v>23</v>
      </c>
      <c r="Y59" s="30" t="s">
        <v>24</v>
      </c>
      <c r="Z59" s="30" t="s">
        <v>25</v>
      </c>
      <c r="AA59" s="30" t="s">
        <v>26</v>
      </c>
      <c r="AB59" s="30" t="s">
        <v>24</v>
      </c>
      <c r="AC59" s="27"/>
      <c r="AD59" s="31" t="s">
        <v>25</v>
      </c>
      <c r="AE59" s="32" t="str">
        <f t="shared" si="7"/>
        <v>✓ OK</v>
      </c>
      <c r="AF59" s="33" t="s">
        <v>27</v>
      </c>
      <c r="AG59" s="33" t="s">
        <v>23</v>
      </c>
      <c r="AH59" s="33" t="s">
        <v>24</v>
      </c>
      <c r="AI59" s="33" t="s">
        <v>25</v>
      </c>
      <c r="AJ59" s="33" t="s">
        <v>26</v>
      </c>
      <c r="AK59" s="33" t="s">
        <v>24</v>
      </c>
      <c r="AL59" s="27"/>
      <c r="AM59" s="34" t="s">
        <v>25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5155</v>
      </c>
      <c r="C60" s="41" t="s">
        <v>5156</v>
      </c>
      <c r="D60" s="39" t="s">
        <v>626</v>
      </c>
      <c r="E60" s="43">
        <v>46125</v>
      </c>
      <c r="F60" s="26" t="s">
        <v>23</v>
      </c>
      <c r="G60" s="44" t="s">
        <v>1352</v>
      </c>
      <c r="H60" s="26" t="s">
        <v>25</v>
      </c>
      <c r="I60" s="44" t="s">
        <v>1352</v>
      </c>
      <c r="J60" s="26" t="s">
        <v>24</v>
      </c>
      <c r="K60" s="27"/>
      <c r="L60" s="28" t="s">
        <v>25</v>
      </c>
      <c r="M60" s="29" t="str">
        <f t="shared" si="5"/>
        <v>✓ OK</v>
      </c>
      <c r="N60" s="43">
        <v>46196</v>
      </c>
      <c r="O60" s="26" t="s">
        <v>23</v>
      </c>
      <c r="P60" s="44" t="s">
        <v>1352</v>
      </c>
      <c r="Q60" s="26" t="s">
        <v>25</v>
      </c>
      <c r="R60" s="44" t="s">
        <v>1352</v>
      </c>
      <c r="S60" s="26" t="s">
        <v>24</v>
      </c>
      <c r="T60" s="27"/>
      <c r="U60" s="28" t="s">
        <v>25</v>
      </c>
      <c r="V60" s="29" t="str">
        <f t="shared" si="6"/>
        <v>✓ OK</v>
      </c>
      <c r="W60" s="45">
        <v>46248</v>
      </c>
      <c r="X60" s="30" t="s">
        <v>23</v>
      </c>
      <c r="Y60" s="30" t="s">
        <v>1352</v>
      </c>
      <c r="Z60" s="30" t="s">
        <v>25</v>
      </c>
      <c r="AA60" s="30" t="s">
        <v>1352</v>
      </c>
      <c r="AB60" s="30" t="s">
        <v>24</v>
      </c>
      <c r="AC60" s="27"/>
      <c r="AD60" s="31" t="s">
        <v>25</v>
      </c>
      <c r="AE60" s="32" t="str">
        <f t="shared" si="7"/>
        <v>✓ OK</v>
      </c>
      <c r="AF60" s="33" t="s">
        <v>27</v>
      </c>
      <c r="AG60" s="33" t="s">
        <v>23</v>
      </c>
      <c r="AH60" s="33" t="s">
        <v>1352</v>
      </c>
      <c r="AI60" s="33" t="s">
        <v>25</v>
      </c>
      <c r="AJ60" s="33" t="s">
        <v>1352</v>
      </c>
      <c r="AK60" s="33" t="s">
        <v>24</v>
      </c>
      <c r="AL60" s="27"/>
      <c r="AM60" s="34" t="s">
        <v>25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5157</v>
      </c>
      <c r="C61" s="25" t="s">
        <v>5158</v>
      </c>
      <c r="D61" s="23" t="s">
        <v>626</v>
      </c>
      <c r="E61" s="43">
        <v>46125</v>
      </c>
      <c r="F61" s="26" t="s">
        <v>23</v>
      </c>
      <c r="G61" s="44" t="s">
        <v>1352</v>
      </c>
      <c r="H61" s="26" t="s">
        <v>25</v>
      </c>
      <c r="I61" s="44" t="s">
        <v>1352</v>
      </c>
      <c r="J61" s="26" t="s">
        <v>24</v>
      </c>
      <c r="K61" s="27"/>
      <c r="L61" s="28" t="s">
        <v>25</v>
      </c>
      <c r="M61" s="29" t="str">
        <f t="shared" si="5"/>
        <v>✓ OK</v>
      </c>
      <c r="N61" s="43">
        <v>46196</v>
      </c>
      <c r="O61" s="26" t="s">
        <v>23</v>
      </c>
      <c r="P61" s="44" t="s">
        <v>1352</v>
      </c>
      <c r="Q61" s="26" t="s">
        <v>25</v>
      </c>
      <c r="R61" s="44" t="s">
        <v>1352</v>
      </c>
      <c r="S61" s="26" t="s">
        <v>24</v>
      </c>
      <c r="T61" s="27"/>
      <c r="U61" s="28" t="s">
        <v>25</v>
      </c>
      <c r="V61" s="29" t="str">
        <f t="shared" si="6"/>
        <v>✓ OK</v>
      </c>
      <c r="W61" s="45">
        <v>46248</v>
      </c>
      <c r="X61" s="30" t="s">
        <v>23</v>
      </c>
      <c r="Y61" s="30" t="s">
        <v>1352</v>
      </c>
      <c r="Z61" s="30" t="s">
        <v>25</v>
      </c>
      <c r="AA61" s="30" t="s">
        <v>1352</v>
      </c>
      <c r="AB61" s="30" t="s">
        <v>24</v>
      </c>
      <c r="AC61" s="27"/>
      <c r="AD61" s="31" t="s">
        <v>25</v>
      </c>
      <c r="AE61" s="32" t="str">
        <f t="shared" si="7"/>
        <v>✓ OK</v>
      </c>
      <c r="AF61" s="33" t="s">
        <v>27</v>
      </c>
      <c r="AG61" s="33" t="s">
        <v>23</v>
      </c>
      <c r="AH61" s="33" t="s">
        <v>1352</v>
      </c>
      <c r="AI61" s="33" t="s">
        <v>25</v>
      </c>
      <c r="AJ61" s="33" t="s">
        <v>1352</v>
      </c>
      <c r="AK61" s="33" t="s">
        <v>24</v>
      </c>
      <c r="AL61" s="27"/>
      <c r="AM61" s="34" t="s">
        <v>25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5159</v>
      </c>
      <c r="C62" s="41" t="s">
        <v>5160</v>
      </c>
      <c r="D62" s="39" t="s">
        <v>626</v>
      </c>
      <c r="E62" s="43">
        <v>46125</v>
      </c>
      <c r="F62" s="26" t="s">
        <v>23</v>
      </c>
      <c r="G62" s="44" t="s">
        <v>1352</v>
      </c>
      <c r="H62" s="26" t="s">
        <v>25</v>
      </c>
      <c r="I62" s="44" t="s">
        <v>1352</v>
      </c>
      <c r="J62" s="26" t="s">
        <v>24</v>
      </c>
      <c r="K62" s="27"/>
      <c r="L62" s="28" t="s">
        <v>25</v>
      </c>
      <c r="M62" s="29" t="str">
        <f t="shared" si="5"/>
        <v>✓ OK</v>
      </c>
      <c r="N62" s="43">
        <v>46196</v>
      </c>
      <c r="O62" s="26" t="s">
        <v>23</v>
      </c>
      <c r="P62" s="44" t="s">
        <v>1352</v>
      </c>
      <c r="Q62" s="26" t="s">
        <v>25</v>
      </c>
      <c r="R62" s="44" t="s">
        <v>1352</v>
      </c>
      <c r="S62" s="26" t="s">
        <v>24</v>
      </c>
      <c r="T62" s="27"/>
      <c r="U62" s="28" t="s">
        <v>25</v>
      </c>
      <c r="V62" s="29" t="str">
        <f t="shared" si="6"/>
        <v>✓ OK</v>
      </c>
      <c r="W62" s="45">
        <v>46248</v>
      </c>
      <c r="X62" s="30" t="s">
        <v>23</v>
      </c>
      <c r="Y62" s="30" t="s">
        <v>1352</v>
      </c>
      <c r="Z62" s="30" t="s">
        <v>25</v>
      </c>
      <c r="AA62" s="30" t="s">
        <v>1352</v>
      </c>
      <c r="AB62" s="30" t="s">
        <v>24</v>
      </c>
      <c r="AC62" s="27"/>
      <c r="AD62" s="31" t="s">
        <v>25</v>
      </c>
      <c r="AE62" s="32" t="str">
        <f t="shared" si="7"/>
        <v>✓ OK</v>
      </c>
      <c r="AF62" s="33" t="s">
        <v>27</v>
      </c>
      <c r="AG62" s="33" t="s">
        <v>23</v>
      </c>
      <c r="AH62" s="33" t="s">
        <v>1352</v>
      </c>
      <c r="AI62" s="33" t="s">
        <v>25</v>
      </c>
      <c r="AJ62" s="33" t="s">
        <v>1352</v>
      </c>
      <c r="AK62" s="33" t="s">
        <v>24</v>
      </c>
      <c r="AL62" s="27"/>
      <c r="AM62" s="34" t="s">
        <v>25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5161</v>
      </c>
      <c r="C63" s="25" t="s">
        <v>5162</v>
      </c>
      <c r="D63" s="23" t="s">
        <v>626</v>
      </c>
      <c r="E63" s="43">
        <v>46125</v>
      </c>
      <c r="F63" s="26" t="s">
        <v>23</v>
      </c>
      <c r="G63" s="44" t="s">
        <v>1352</v>
      </c>
      <c r="H63" s="26" t="s">
        <v>25</v>
      </c>
      <c r="I63" s="44" t="s">
        <v>1352</v>
      </c>
      <c r="J63" s="26" t="s">
        <v>24</v>
      </c>
      <c r="K63" s="27"/>
      <c r="L63" s="28" t="s">
        <v>25</v>
      </c>
      <c r="M63" s="29" t="str">
        <f t="shared" si="5"/>
        <v>✓ OK</v>
      </c>
      <c r="N63" s="43">
        <v>46196</v>
      </c>
      <c r="O63" s="26" t="s">
        <v>23</v>
      </c>
      <c r="P63" s="44" t="s">
        <v>1352</v>
      </c>
      <c r="Q63" s="26" t="s">
        <v>25</v>
      </c>
      <c r="R63" s="44" t="s">
        <v>1352</v>
      </c>
      <c r="S63" s="26" t="s">
        <v>24</v>
      </c>
      <c r="T63" s="27"/>
      <c r="U63" s="28" t="s">
        <v>25</v>
      </c>
      <c r="V63" s="29" t="str">
        <f t="shared" si="6"/>
        <v>✓ OK</v>
      </c>
      <c r="W63" s="45">
        <v>46248</v>
      </c>
      <c r="X63" s="30" t="s">
        <v>23</v>
      </c>
      <c r="Y63" s="30" t="s">
        <v>1352</v>
      </c>
      <c r="Z63" s="30" t="s">
        <v>25</v>
      </c>
      <c r="AA63" s="30" t="s">
        <v>1352</v>
      </c>
      <c r="AB63" s="30" t="s">
        <v>24</v>
      </c>
      <c r="AC63" s="27"/>
      <c r="AD63" s="31" t="s">
        <v>25</v>
      </c>
      <c r="AE63" s="32" t="str">
        <f t="shared" si="7"/>
        <v>✓ OK</v>
      </c>
      <c r="AF63" s="33" t="s">
        <v>27</v>
      </c>
      <c r="AG63" s="33" t="s">
        <v>23</v>
      </c>
      <c r="AH63" s="33" t="s">
        <v>1352</v>
      </c>
      <c r="AI63" s="33" t="s">
        <v>25</v>
      </c>
      <c r="AJ63" s="33" t="s">
        <v>1352</v>
      </c>
      <c r="AK63" s="33" t="s">
        <v>24</v>
      </c>
      <c r="AL63" s="27"/>
      <c r="AM63" s="34" t="s">
        <v>25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5163</v>
      </c>
      <c r="C64" s="41" t="s">
        <v>5164</v>
      </c>
      <c r="D64" s="39" t="s">
        <v>626</v>
      </c>
      <c r="E64" s="43">
        <v>46125</v>
      </c>
      <c r="F64" s="26" t="s">
        <v>23</v>
      </c>
      <c r="G64" s="44" t="s">
        <v>1352</v>
      </c>
      <c r="H64" s="26" t="s">
        <v>25</v>
      </c>
      <c r="I64" s="44" t="s">
        <v>1352</v>
      </c>
      <c r="J64" s="26" t="s">
        <v>24</v>
      </c>
      <c r="K64" s="27"/>
      <c r="L64" s="28" t="s">
        <v>25</v>
      </c>
      <c r="M64" s="29" t="str">
        <f t="shared" si="5"/>
        <v>✓ OK</v>
      </c>
      <c r="N64" s="43">
        <v>46196</v>
      </c>
      <c r="O64" s="26" t="s">
        <v>23</v>
      </c>
      <c r="P64" s="44" t="s">
        <v>1352</v>
      </c>
      <c r="Q64" s="26" t="s">
        <v>25</v>
      </c>
      <c r="R64" s="44" t="s">
        <v>1352</v>
      </c>
      <c r="S64" s="26" t="s">
        <v>24</v>
      </c>
      <c r="T64" s="27"/>
      <c r="U64" s="28" t="s">
        <v>25</v>
      </c>
      <c r="V64" s="29" t="str">
        <f t="shared" si="6"/>
        <v>✓ OK</v>
      </c>
      <c r="W64" s="45">
        <v>46248</v>
      </c>
      <c r="X64" s="30" t="s">
        <v>23</v>
      </c>
      <c r="Y64" s="30" t="s">
        <v>1352</v>
      </c>
      <c r="Z64" s="30" t="s">
        <v>25</v>
      </c>
      <c r="AA64" s="30" t="s">
        <v>1352</v>
      </c>
      <c r="AB64" s="30" t="s">
        <v>24</v>
      </c>
      <c r="AC64" s="27"/>
      <c r="AD64" s="31" t="s">
        <v>25</v>
      </c>
      <c r="AE64" s="32" t="str">
        <f t="shared" si="7"/>
        <v>✓ OK</v>
      </c>
      <c r="AF64" s="33" t="s">
        <v>27</v>
      </c>
      <c r="AG64" s="33" t="s">
        <v>23</v>
      </c>
      <c r="AH64" s="33" t="s">
        <v>1352</v>
      </c>
      <c r="AI64" s="33" t="s">
        <v>25</v>
      </c>
      <c r="AJ64" s="33" t="s">
        <v>1352</v>
      </c>
      <c r="AK64" s="33" t="s">
        <v>24</v>
      </c>
      <c r="AL64" s="27"/>
      <c r="AM64" s="34" t="s">
        <v>25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5165</v>
      </c>
      <c r="C65" s="25" t="s">
        <v>5166</v>
      </c>
      <c r="D65" s="23" t="s">
        <v>626</v>
      </c>
      <c r="E65" s="43">
        <v>46125</v>
      </c>
      <c r="F65" s="26" t="s">
        <v>23</v>
      </c>
      <c r="G65" s="44" t="s">
        <v>1352</v>
      </c>
      <c r="H65" s="26" t="s">
        <v>25</v>
      </c>
      <c r="I65" s="44" t="s">
        <v>1352</v>
      </c>
      <c r="J65" s="26" t="s">
        <v>24</v>
      </c>
      <c r="K65" s="27"/>
      <c r="L65" s="28" t="s">
        <v>25</v>
      </c>
      <c r="M65" s="29" t="str">
        <f t="shared" si="5"/>
        <v>✓ OK</v>
      </c>
      <c r="N65" s="43">
        <v>46196</v>
      </c>
      <c r="O65" s="26" t="s">
        <v>23</v>
      </c>
      <c r="P65" s="44" t="s">
        <v>1352</v>
      </c>
      <c r="Q65" s="26" t="s">
        <v>25</v>
      </c>
      <c r="R65" s="44" t="s">
        <v>1352</v>
      </c>
      <c r="S65" s="26" t="s">
        <v>24</v>
      </c>
      <c r="T65" s="27"/>
      <c r="U65" s="28" t="s">
        <v>25</v>
      </c>
      <c r="V65" s="29" t="str">
        <f t="shared" si="6"/>
        <v>✓ OK</v>
      </c>
      <c r="W65" s="45">
        <v>46248</v>
      </c>
      <c r="X65" s="30" t="s">
        <v>23</v>
      </c>
      <c r="Y65" s="30" t="s">
        <v>1352</v>
      </c>
      <c r="Z65" s="30" t="s">
        <v>25</v>
      </c>
      <c r="AA65" s="30" t="s">
        <v>1352</v>
      </c>
      <c r="AB65" s="30" t="s">
        <v>24</v>
      </c>
      <c r="AC65" s="27"/>
      <c r="AD65" s="31" t="s">
        <v>25</v>
      </c>
      <c r="AE65" s="32" t="str">
        <f t="shared" si="7"/>
        <v>✓ OK</v>
      </c>
      <c r="AF65" s="33" t="s">
        <v>27</v>
      </c>
      <c r="AG65" s="33" t="s">
        <v>23</v>
      </c>
      <c r="AH65" s="33" t="s">
        <v>1352</v>
      </c>
      <c r="AI65" s="33" t="s">
        <v>25</v>
      </c>
      <c r="AJ65" s="33" t="s">
        <v>1352</v>
      </c>
      <c r="AK65" s="33" t="s">
        <v>24</v>
      </c>
      <c r="AL65" s="27"/>
      <c r="AM65" s="34" t="s">
        <v>25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5167</v>
      </c>
      <c r="C66" s="41" t="s">
        <v>5168</v>
      </c>
      <c r="D66" s="39" t="s">
        <v>626</v>
      </c>
      <c r="E66" s="43">
        <v>46125</v>
      </c>
      <c r="F66" s="26" t="s">
        <v>23</v>
      </c>
      <c r="G66" s="44" t="s">
        <v>1352</v>
      </c>
      <c r="H66" s="26" t="s">
        <v>25</v>
      </c>
      <c r="I66" s="44" t="s">
        <v>1352</v>
      </c>
      <c r="J66" s="26" t="s">
        <v>24</v>
      </c>
      <c r="K66" s="27"/>
      <c r="L66" s="28" t="s">
        <v>25</v>
      </c>
      <c r="M66" s="29" t="str">
        <f t="shared" si="5"/>
        <v>✓ OK</v>
      </c>
      <c r="N66" s="43">
        <v>46196</v>
      </c>
      <c r="O66" s="26" t="s">
        <v>23</v>
      </c>
      <c r="P66" s="44" t="s">
        <v>1352</v>
      </c>
      <c r="Q66" s="26" t="s">
        <v>25</v>
      </c>
      <c r="R66" s="44" t="s">
        <v>1352</v>
      </c>
      <c r="S66" s="26" t="s">
        <v>24</v>
      </c>
      <c r="T66" s="27"/>
      <c r="U66" s="28" t="s">
        <v>25</v>
      </c>
      <c r="V66" s="29" t="str">
        <f t="shared" si="6"/>
        <v>✓ OK</v>
      </c>
      <c r="W66" s="45">
        <v>46248</v>
      </c>
      <c r="X66" s="30" t="s">
        <v>23</v>
      </c>
      <c r="Y66" s="30" t="s">
        <v>1352</v>
      </c>
      <c r="Z66" s="30" t="s">
        <v>25</v>
      </c>
      <c r="AA66" s="30" t="s">
        <v>1352</v>
      </c>
      <c r="AB66" s="30" t="s">
        <v>24</v>
      </c>
      <c r="AC66" s="27"/>
      <c r="AD66" s="31" t="s">
        <v>25</v>
      </c>
      <c r="AE66" s="32" t="str">
        <f t="shared" si="7"/>
        <v>✓ OK</v>
      </c>
      <c r="AF66" s="33" t="s">
        <v>27</v>
      </c>
      <c r="AG66" s="33" t="s">
        <v>23</v>
      </c>
      <c r="AH66" s="33" t="s">
        <v>1352</v>
      </c>
      <c r="AI66" s="33" t="s">
        <v>25</v>
      </c>
      <c r="AJ66" s="33" t="s">
        <v>1352</v>
      </c>
      <c r="AK66" s="33" t="s">
        <v>24</v>
      </c>
      <c r="AL66" s="27"/>
      <c r="AM66" s="34" t="s">
        <v>25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5169</v>
      </c>
      <c r="C67" s="25" t="s">
        <v>5170</v>
      </c>
      <c r="D67" s="23" t="s">
        <v>626</v>
      </c>
      <c r="E67" s="43">
        <v>46125</v>
      </c>
      <c r="F67" s="26" t="s">
        <v>23</v>
      </c>
      <c r="G67" s="44" t="s">
        <v>1352</v>
      </c>
      <c r="H67" s="26" t="s">
        <v>25</v>
      </c>
      <c r="I67" s="44" t="s">
        <v>1352</v>
      </c>
      <c r="J67" s="26" t="s">
        <v>24</v>
      </c>
      <c r="K67" s="27"/>
      <c r="L67" s="28" t="s">
        <v>25</v>
      </c>
      <c r="M67" s="29" t="str">
        <f t="shared" si="5"/>
        <v>✓ OK</v>
      </c>
      <c r="N67" s="43">
        <v>46196</v>
      </c>
      <c r="O67" s="26" t="s">
        <v>23</v>
      </c>
      <c r="P67" s="44" t="s">
        <v>1352</v>
      </c>
      <c r="Q67" s="26" t="s">
        <v>25</v>
      </c>
      <c r="R67" s="44" t="s">
        <v>1352</v>
      </c>
      <c r="S67" s="26" t="s">
        <v>24</v>
      </c>
      <c r="T67" s="27"/>
      <c r="U67" s="28" t="s">
        <v>25</v>
      </c>
      <c r="V67" s="29" t="str">
        <f t="shared" si="6"/>
        <v>✓ OK</v>
      </c>
      <c r="W67" s="45">
        <v>46248</v>
      </c>
      <c r="X67" s="30" t="s">
        <v>23</v>
      </c>
      <c r="Y67" s="30" t="s">
        <v>1352</v>
      </c>
      <c r="Z67" s="30" t="s">
        <v>25</v>
      </c>
      <c r="AA67" s="30" t="s">
        <v>1352</v>
      </c>
      <c r="AB67" s="30" t="s">
        <v>24</v>
      </c>
      <c r="AC67" s="27"/>
      <c r="AD67" s="31" t="s">
        <v>25</v>
      </c>
      <c r="AE67" s="32" t="str">
        <f t="shared" si="7"/>
        <v>✓ OK</v>
      </c>
      <c r="AF67" s="33" t="s">
        <v>27</v>
      </c>
      <c r="AG67" s="33" t="s">
        <v>23</v>
      </c>
      <c r="AH67" s="33" t="s">
        <v>1352</v>
      </c>
      <c r="AI67" s="33" t="s">
        <v>25</v>
      </c>
      <c r="AJ67" s="33" t="s">
        <v>1352</v>
      </c>
      <c r="AK67" s="33" t="s">
        <v>24</v>
      </c>
      <c r="AL67" s="27"/>
      <c r="AM67" s="34" t="s">
        <v>25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8" customHeight="1" x14ac:dyDescent="0.3">
      <c r="A68" s="39">
        <v>64</v>
      </c>
      <c r="B68" s="40" t="s">
        <v>5171</v>
      </c>
      <c r="C68" s="41" t="s">
        <v>5172</v>
      </c>
      <c r="D68" s="39" t="s">
        <v>626</v>
      </c>
      <c r="E68" s="43">
        <v>46125</v>
      </c>
      <c r="F68" s="26" t="s">
        <v>23</v>
      </c>
      <c r="G68" s="44" t="s">
        <v>1352</v>
      </c>
      <c r="H68" s="26" t="s">
        <v>25</v>
      </c>
      <c r="I68" s="44" t="s">
        <v>1352</v>
      </c>
      <c r="J68" s="26" t="s">
        <v>24</v>
      </c>
      <c r="K68" s="27"/>
      <c r="L68" s="28" t="s">
        <v>25</v>
      </c>
      <c r="M68" s="29" t="str">
        <f t="shared" si="5"/>
        <v>✓ OK</v>
      </c>
      <c r="N68" s="43">
        <v>46196</v>
      </c>
      <c r="O68" s="26" t="s">
        <v>23</v>
      </c>
      <c r="P68" s="44" t="s">
        <v>1352</v>
      </c>
      <c r="Q68" s="26" t="s">
        <v>25</v>
      </c>
      <c r="R68" s="44" t="s">
        <v>1352</v>
      </c>
      <c r="S68" s="26" t="s">
        <v>24</v>
      </c>
      <c r="T68" s="27"/>
      <c r="U68" s="28" t="s">
        <v>25</v>
      </c>
      <c r="V68" s="29" t="str">
        <f t="shared" si="6"/>
        <v>✓ OK</v>
      </c>
      <c r="W68" s="45">
        <v>46248</v>
      </c>
      <c r="X68" s="30" t="s">
        <v>23</v>
      </c>
      <c r="Y68" s="30" t="s">
        <v>1352</v>
      </c>
      <c r="Z68" s="30" t="s">
        <v>25</v>
      </c>
      <c r="AA68" s="30" t="s">
        <v>1352</v>
      </c>
      <c r="AB68" s="30" t="s">
        <v>24</v>
      </c>
      <c r="AC68" s="27"/>
      <c r="AD68" s="31" t="s">
        <v>25</v>
      </c>
      <c r="AE68" s="32" t="str">
        <f t="shared" si="7"/>
        <v>✓ OK</v>
      </c>
      <c r="AF68" s="33" t="s">
        <v>27</v>
      </c>
      <c r="AG68" s="33" t="s">
        <v>23</v>
      </c>
      <c r="AH68" s="33" t="s">
        <v>1352</v>
      </c>
      <c r="AI68" s="33" t="s">
        <v>25</v>
      </c>
      <c r="AJ68" s="33" t="s">
        <v>1352</v>
      </c>
      <c r="AK68" s="33" t="s">
        <v>24</v>
      </c>
      <c r="AL68" s="27"/>
      <c r="AM68" s="34" t="s">
        <v>25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8" customHeight="1" x14ac:dyDescent="0.3">
      <c r="A69" s="23">
        <v>65</v>
      </c>
      <c r="B69" s="24" t="s">
        <v>5173</v>
      </c>
      <c r="C69" s="25" t="s">
        <v>5174</v>
      </c>
      <c r="D69" s="23" t="s">
        <v>626</v>
      </c>
      <c r="E69" s="43">
        <v>46125</v>
      </c>
      <c r="F69" s="26" t="s">
        <v>23</v>
      </c>
      <c r="G69" s="44" t="s">
        <v>1352</v>
      </c>
      <c r="H69" s="26" t="s">
        <v>25</v>
      </c>
      <c r="I69" s="44" t="s">
        <v>1352</v>
      </c>
      <c r="J69" s="26" t="s">
        <v>24</v>
      </c>
      <c r="K69" s="27"/>
      <c r="L69" s="28" t="s">
        <v>25</v>
      </c>
      <c r="M69" s="29" t="str">
        <f t="shared" ref="M69:M80" si="10">IF(E69="","",IF(H69="Yes","❌ Disc",IF(G69="No","⚠ Missing",IF(J69="Yes","✓ OK","⚠ Check"))))</f>
        <v>✓ OK</v>
      </c>
      <c r="N69" s="43">
        <v>46196</v>
      </c>
      <c r="O69" s="26" t="s">
        <v>23</v>
      </c>
      <c r="P69" s="44" t="s">
        <v>1352</v>
      </c>
      <c r="Q69" s="26" t="s">
        <v>25</v>
      </c>
      <c r="R69" s="44" t="s">
        <v>1352</v>
      </c>
      <c r="S69" s="26" t="s">
        <v>24</v>
      </c>
      <c r="T69" s="27"/>
      <c r="U69" s="28" t="s">
        <v>25</v>
      </c>
      <c r="V69" s="29" t="str">
        <f t="shared" ref="V69:V80" si="11">IF(N69="","",IF(Q69="Yes","❌ Disc",IF(P69="No","⚠ Missing",IF(S69="Yes","✓ OK","⚠ Check"))))</f>
        <v>✓ OK</v>
      </c>
      <c r="W69" s="45">
        <v>46248</v>
      </c>
      <c r="X69" s="30" t="s">
        <v>23</v>
      </c>
      <c r="Y69" s="30" t="s">
        <v>1352</v>
      </c>
      <c r="Z69" s="30" t="s">
        <v>25</v>
      </c>
      <c r="AA69" s="30" t="s">
        <v>1352</v>
      </c>
      <c r="AB69" s="30" t="s">
        <v>24</v>
      </c>
      <c r="AC69" s="27"/>
      <c r="AD69" s="31" t="s">
        <v>25</v>
      </c>
      <c r="AE69" s="32" t="str">
        <f t="shared" ref="AE69:AE80" si="12">IF(W69="","",IF(Z69="Yes","❌ Disc",IF(Y69="No","⚠ Missing",IF(AB69="Yes","✓ OK","⚠ Check"))))</f>
        <v>✓ OK</v>
      </c>
      <c r="AF69" s="33" t="s">
        <v>27</v>
      </c>
      <c r="AG69" s="33" t="s">
        <v>23</v>
      </c>
      <c r="AH69" s="33" t="s">
        <v>1352</v>
      </c>
      <c r="AI69" s="33" t="s">
        <v>25</v>
      </c>
      <c r="AJ69" s="33" t="s">
        <v>1352</v>
      </c>
      <c r="AK69" s="33" t="s">
        <v>24</v>
      </c>
      <c r="AL69" s="27"/>
      <c r="AM69" s="34" t="s">
        <v>25</v>
      </c>
      <c r="AN69" s="35" t="str">
        <f t="shared" ref="AN69:AN80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80" si="14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5175</v>
      </c>
      <c r="C70" s="41" t="s">
        <v>5176</v>
      </c>
      <c r="D70" s="39" t="s">
        <v>626</v>
      </c>
      <c r="E70" s="43">
        <v>46125</v>
      </c>
      <c r="F70" s="26" t="s">
        <v>23</v>
      </c>
      <c r="G70" s="44" t="s">
        <v>1352</v>
      </c>
      <c r="H70" s="26" t="s">
        <v>25</v>
      </c>
      <c r="I70" s="44" t="s">
        <v>1352</v>
      </c>
      <c r="J70" s="26" t="s">
        <v>24</v>
      </c>
      <c r="K70" s="27"/>
      <c r="L70" s="28" t="s">
        <v>25</v>
      </c>
      <c r="M70" s="29" t="str">
        <f t="shared" si="10"/>
        <v>✓ OK</v>
      </c>
      <c r="N70" s="43">
        <v>46196</v>
      </c>
      <c r="O70" s="26" t="s">
        <v>23</v>
      </c>
      <c r="P70" s="44" t="s">
        <v>1352</v>
      </c>
      <c r="Q70" s="26" t="s">
        <v>25</v>
      </c>
      <c r="R70" s="44" t="s">
        <v>1352</v>
      </c>
      <c r="S70" s="26" t="s">
        <v>24</v>
      </c>
      <c r="T70" s="27"/>
      <c r="U70" s="28" t="s">
        <v>25</v>
      </c>
      <c r="V70" s="29" t="str">
        <f t="shared" si="11"/>
        <v>✓ OK</v>
      </c>
      <c r="W70" s="45">
        <v>46248</v>
      </c>
      <c r="X70" s="30" t="s">
        <v>23</v>
      </c>
      <c r="Y70" s="30" t="s">
        <v>1352</v>
      </c>
      <c r="Z70" s="30" t="s">
        <v>25</v>
      </c>
      <c r="AA70" s="30" t="s">
        <v>1352</v>
      </c>
      <c r="AB70" s="30" t="s">
        <v>24</v>
      </c>
      <c r="AC70" s="27"/>
      <c r="AD70" s="31" t="s">
        <v>25</v>
      </c>
      <c r="AE70" s="32" t="str">
        <f t="shared" si="12"/>
        <v>✓ OK</v>
      </c>
      <c r="AF70" s="33" t="s">
        <v>27</v>
      </c>
      <c r="AG70" s="33" t="s">
        <v>23</v>
      </c>
      <c r="AH70" s="33" t="s">
        <v>1352</v>
      </c>
      <c r="AI70" s="33" t="s">
        <v>25</v>
      </c>
      <c r="AJ70" s="33" t="s">
        <v>1352</v>
      </c>
      <c r="AK70" s="33" t="s">
        <v>24</v>
      </c>
      <c r="AL70" s="27"/>
      <c r="AM70" s="34" t="s">
        <v>25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8" customHeight="1" x14ac:dyDescent="0.3">
      <c r="A71" s="23">
        <v>67</v>
      </c>
      <c r="B71" s="24" t="s">
        <v>5177</v>
      </c>
      <c r="C71" s="25" t="s">
        <v>5178</v>
      </c>
      <c r="D71" s="23" t="s">
        <v>626</v>
      </c>
      <c r="E71" s="43">
        <v>46125</v>
      </c>
      <c r="F71" s="26" t="s">
        <v>23</v>
      </c>
      <c r="G71" s="44" t="s">
        <v>1352</v>
      </c>
      <c r="H71" s="26" t="s">
        <v>25</v>
      </c>
      <c r="I71" s="44" t="s">
        <v>1352</v>
      </c>
      <c r="J71" s="26" t="s">
        <v>24</v>
      </c>
      <c r="K71" s="27"/>
      <c r="L71" s="28" t="s">
        <v>25</v>
      </c>
      <c r="M71" s="29" t="str">
        <f t="shared" si="10"/>
        <v>✓ OK</v>
      </c>
      <c r="N71" s="43">
        <v>46196</v>
      </c>
      <c r="O71" s="26" t="s">
        <v>23</v>
      </c>
      <c r="P71" s="44" t="s">
        <v>1352</v>
      </c>
      <c r="Q71" s="26" t="s">
        <v>25</v>
      </c>
      <c r="R71" s="44" t="s">
        <v>1352</v>
      </c>
      <c r="S71" s="26" t="s">
        <v>24</v>
      </c>
      <c r="T71" s="27"/>
      <c r="U71" s="28" t="s">
        <v>25</v>
      </c>
      <c r="V71" s="29" t="str">
        <f t="shared" si="11"/>
        <v>✓ OK</v>
      </c>
      <c r="W71" s="45">
        <v>46248</v>
      </c>
      <c r="X71" s="30" t="s">
        <v>23</v>
      </c>
      <c r="Y71" s="30" t="s">
        <v>1352</v>
      </c>
      <c r="Z71" s="30" t="s">
        <v>25</v>
      </c>
      <c r="AA71" s="30" t="s">
        <v>1352</v>
      </c>
      <c r="AB71" s="30" t="s">
        <v>24</v>
      </c>
      <c r="AC71" s="27"/>
      <c r="AD71" s="31" t="s">
        <v>25</v>
      </c>
      <c r="AE71" s="32" t="str">
        <f t="shared" si="12"/>
        <v>✓ OK</v>
      </c>
      <c r="AF71" s="33" t="s">
        <v>27</v>
      </c>
      <c r="AG71" s="33" t="s">
        <v>23</v>
      </c>
      <c r="AH71" s="33" t="s">
        <v>1352</v>
      </c>
      <c r="AI71" s="33" t="s">
        <v>25</v>
      </c>
      <c r="AJ71" s="33" t="s">
        <v>1352</v>
      </c>
      <c r="AK71" s="33" t="s">
        <v>24</v>
      </c>
      <c r="AL71" s="27"/>
      <c r="AM71" s="34" t="s">
        <v>25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8" customHeight="1" x14ac:dyDescent="0.3">
      <c r="A72" s="39">
        <v>68</v>
      </c>
      <c r="B72" s="40" t="s">
        <v>5179</v>
      </c>
      <c r="C72" s="41" t="s">
        <v>5180</v>
      </c>
      <c r="D72" s="39" t="s">
        <v>626</v>
      </c>
      <c r="E72" s="43">
        <v>46125</v>
      </c>
      <c r="F72" s="26" t="s">
        <v>23</v>
      </c>
      <c r="G72" s="44" t="s">
        <v>24</v>
      </c>
      <c r="H72" s="26" t="s">
        <v>25</v>
      </c>
      <c r="I72" s="44" t="s">
        <v>26</v>
      </c>
      <c r="J72" s="26" t="s">
        <v>24</v>
      </c>
      <c r="K72" s="27"/>
      <c r="L72" s="28" t="s">
        <v>25</v>
      </c>
      <c r="M72" s="29" t="str">
        <f t="shared" si="10"/>
        <v>✓ OK</v>
      </c>
      <c r="N72" s="43">
        <v>46196</v>
      </c>
      <c r="O72" s="26" t="s">
        <v>23</v>
      </c>
      <c r="P72" s="44" t="s">
        <v>24</v>
      </c>
      <c r="Q72" s="26" t="s">
        <v>25</v>
      </c>
      <c r="R72" s="44" t="s">
        <v>26</v>
      </c>
      <c r="S72" s="26" t="s">
        <v>24</v>
      </c>
      <c r="T72" s="27"/>
      <c r="U72" s="28" t="s">
        <v>25</v>
      </c>
      <c r="V72" s="29" t="str">
        <f t="shared" si="11"/>
        <v>✓ OK</v>
      </c>
      <c r="W72" s="45">
        <v>46248</v>
      </c>
      <c r="X72" s="30" t="s">
        <v>23</v>
      </c>
      <c r="Y72" s="30" t="s">
        <v>24</v>
      </c>
      <c r="Z72" s="30" t="s">
        <v>25</v>
      </c>
      <c r="AA72" s="30" t="s">
        <v>26</v>
      </c>
      <c r="AB72" s="30" t="s">
        <v>24</v>
      </c>
      <c r="AC72" s="27"/>
      <c r="AD72" s="31" t="s">
        <v>25</v>
      </c>
      <c r="AE72" s="32" t="str">
        <f t="shared" si="12"/>
        <v>✓ OK</v>
      </c>
      <c r="AF72" s="33" t="s">
        <v>27</v>
      </c>
      <c r="AG72" s="33" t="s">
        <v>23</v>
      </c>
      <c r="AH72" s="33" t="s">
        <v>24</v>
      </c>
      <c r="AI72" s="33" t="s">
        <v>25</v>
      </c>
      <c r="AJ72" s="33" t="s">
        <v>26</v>
      </c>
      <c r="AK72" s="33" t="s">
        <v>24</v>
      </c>
      <c r="AL72" s="27"/>
      <c r="AM72" s="34" t="s">
        <v>25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8" customHeight="1" x14ac:dyDescent="0.3">
      <c r="A73" s="23">
        <v>69</v>
      </c>
      <c r="B73" s="24" t="s">
        <v>5181</v>
      </c>
      <c r="C73" s="25" t="s">
        <v>5182</v>
      </c>
      <c r="D73" s="23" t="s">
        <v>626</v>
      </c>
      <c r="E73" s="43">
        <v>46125</v>
      </c>
      <c r="F73" s="26" t="s">
        <v>23</v>
      </c>
      <c r="G73" s="44" t="s">
        <v>1352</v>
      </c>
      <c r="H73" s="26" t="s">
        <v>25</v>
      </c>
      <c r="I73" s="44" t="s">
        <v>1352</v>
      </c>
      <c r="J73" s="26" t="s">
        <v>24</v>
      </c>
      <c r="K73" s="27"/>
      <c r="L73" s="28" t="s">
        <v>25</v>
      </c>
      <c r="M73" s="29" t="str">
        <f t="shared" si="10"/>
        <v>✓ OK</v>
      </c>
      <c r="N73" s="43">
        <v>46196</v>
      </c>
      <c r="O73" s="26" t="s">
        <v>23</v>
      </c>
      <c r="P73" s="44" t="s">
        <v>1352</v>
      </c>
      <c r="Q73" s="26" t="s">
        <v>25</v>
      </c>
      <c r="R73" s="44" t="s">
        <v>1352</v>
      </c>
      <c r="S73" s="26" t="s">
        <v>24</v>
      </c>
      <c r="T73" s="27"/>
      <c r="U73" s="28" t="s">
        <v>25</v>
      </c>
      <c r="V73" s="29" t="str">
        <f t="shared" si="11"/>
        <v>✓ OK</v>
      </c>
      <c r="W73" s="45">
        <v>46248</v>
      </c>
      <c r="X73" s="30" t="s">
        <v>23</v>
      </c>
      <c r="Y73" s="30" t="s">
        <v>1352</v>
      </c>
      <c r="Z73" s="30" t="s">
        <v>25</v>
      </c>
      <c r="AA73" s="30" t="s">
        <v>1352</v>
      </c>
      <c r="AB73" s="30" t="s">
        <v>24</v>
      </c>
      <c r="AC73" s="27"/>
      <c r="AD73" s="31" t="s">
        <v>25</v>
      </c>
      <c r="AE73" s="32" t="str">
        <f t="shared" si="12"/>
        <v>✓ OK</v>
      </c>
      <c r="AF73" s="33" t="s">
        <v>27</v>
      </c>
      <c r="AG73" s="33" t="s">
        <v>23</v>
      </c>
      <c r="AH73" s="33" t="s">
        <v>1352</v>
      </c>
      <c r="AI73" s="33" t="s">
        <v>25</v>
      </c>
      <c r="AJ73" s="33" t="s">
        <v>1352</v>
      </c>
      <c r="AK73" s="33" t="s">
        <v>24</v>
      </c>
      <c r="AL73" s="27"/>
      <c r="AM73" s="34" t="s">
        <v>25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8" customHeight="1" x14ac:dyDescent="0.3">
      <c r="A74" s="39">
        <v>70</v>
      </c>
      <c r="B74" s="40" t="s">
        <v>5183</v>
      </c>
      <c r="C74" s="41" t="s">
        <v>5184</v>
      </c>
      <c r="D74" s="39" t="s">
        <v>626</v>
      </c>
      <c r="E74" s="43">
        <v>46125</v>
      </c>
      <c r="F74" s="26" t="s">
        <v>23</v>
      </c>
      <c r="G74" s="44" t="s">
        <v>1352</v>
      </c>
      <c r="H74" s="26" t="s">
        <v>25</v>
      </c>
      <c r="I74" s="44" t="s">
        <v>1352</v>
      </c>
      <c r="J74" s="26" t="s">
        <v>24</v>
      </c>
      <c r="K74" s="27"/>
      <c r="L74" s="28" t="s">
        <v>25</v>
      </c>
      <c r="M74" s="29" t="str">
        <f t="shared" si="10"/>
        <v>✓ OK</v>
      </c>
      <c r="N74" s="43">
        <v>46196</v>
      </c>
      <c r="O74" s="26" t="s">
        <v>23</v>
      </c>
      <c r="P74" s="44" t="s">
        <v>1352</v>
      </c>
      <c r="Q74" s="26" t="s">
        <v>25</v>
      </c>
      <c r="R74" s="44" t="s">
        <v>1352</v>
      </c>
      <c r="S74" s="26" t="s">
        <v>24</v>
      </c>
      <c r="T74" s="27"/>
      <c r="U74" s="28" t="s">
        <v>25</v>
      </c>
      <c r="V74" s="29" t="str">
        <f t="shared" si="11"/>
        <v>✓ OK</v>
      </c>
      <c r="W74" s="45">
        <v>46248</v>
      </c>
      <c r="X74" s="30" t="s">
        <v>23</v>
      </c>
      <c r="Y74" s="30" t="s">
        <v>1352</v>
      </c>
      <c r="Z74" s="30" t="s">
        <v>25</v>
      </c>
      <c r="AA74" s="30" t="s">
        <v>1352</v>
      </c>
      <c r="AB74" s="30" t="s">
        <v>24</v>
      </c>
      <c r="AC74" s="27"/>
      <c r="AD74" s="31" t="s">
        <v>25</v>
      </c>
      <c r="AE74" s="32" t="str">
        <f t="shared" si="12"/>
        <v>✓ OK</v>
      </c>
      <c r="AF74" s="33" t="s">
        <v>27</v>
      </c>
      <c r="AG74" s="33" t="s">
        <v>23</v>
      </c>
      <c r="AH74" s="33" t="s">
        <v>1352</v>
      </c>
      <c r="AI74" s="33" t="s">
        <v>25</v>
      </c>
      <c r="AJ74" s="33" t="s">
        <v>1352</v>
      </c>
      <c r="AK74" s="33" t="s">
        <v>24</v>
      </c>
      <c r="AL74" s="27"/>
      <c r="AM74" s="34" t="s">
        <v>25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8" customHeight="1" x14ac:dyDescent="0.3">
      <c r="A75" s="23">
        <v>71</v>
      </c>
      <c r="B75" s="24" t="s">
        <v>5185</v>
      </c>
      <c r="C75" s="25" t="s">
        <v>5186</v>
      </c>
      <c r="D75" s="23" t="s">
        <v>626</v>
      </c>
      <c r="E75" s="43">
        <v>46125</v>
      </c>
      <c r="F75" s="26" t="s">
        <v>23</v>
      </c>
      <c r="G75" s="44" t="s">
        <v>1352</v>
      </c>
      <c r="H75" s="26" t="s">
        <v>25</v>
      </c>
      <c r="I75" s="44" t="s">
        <v>1352</v>
      </c>
      <c r="J75" s="26" t="s">
        <v>24</v>
      </c>
      <c r="K75" s="27"/>
      <c r="L75" s="28" t="s">
        <v>25</v>
      </c>
      <c r="M75" s="29" t="str">
        <f t="shared" si="10"/>
        <v>✓ OK</v>
      </c>
      <c r="N75" s="43">
        <v>46196</v>
      </c>
      <c r="O75" s="26" t="s">
        <v>23</v>
      </c>
      <c r="P75" s="44" t="s">
        <v>1352</v>
      </c>
      <c r="Q75" s="26" t="s">
        <v>25</v>
      </c>
      <c r="R75" s="44" t="s">
        <v>1352</v>
      </c>
      <c r="S75" s="26" t="s">
        <v>24</v>
      </c>
      <c r="T75" s="27"/>
      <c r="U75" s="28" t="s">
        <v>25</v>
      </c>
      <c r="V75" s="29" t="str">
        <f t="shared" si="11"/>
        <v>✓ OK</v>
      </c>
      <c r="W75" s="45">
        <v>46248</v>
      </c>
      <c r="X75" s="30" t="s">
        <v>23</v>
      </c>
      <c r="Y75" s="30" t="s">
        <v>1352</v>
      </c>
      <c r="Z75" s="30" t="s">
        <v>25</v>
      </c>
      <c r="AA75" s="30" t="s">
        <v>1352</v>
      </c>
      <c r="AB75" s="30" t="s">
        <v>24</v>
      </c>
      <c r="AC75" s="27"/>
      <c r="AD75" s="31" t="s">
        <v>25</v>
      </c>
      <c r="AE75" s="32" t="str">
        <f t="shared" si="12"/>
        <v>✓ OK</v>
      </c>
      <c r="AF75" s="33" t="s">
        <v>27</v>
      </c>
      <c r="AG75" s="33" t="s">
        <v>23</v>
      </c>
      <c r="AH75" s="33" t="s">
        <v>1352</v>
      </c>
      <c r="AI75" s="33" t="s">
        <v>25</v>
      </c>
      <c r="AJ75" s="33" t="s">
        <v>1352</v>
      </c>
      <c r="AK75" s="33" t="s">
        <v>24</v>
      </c>
      <c r="AL75" s="27"/>
      <c r="AM75" s="34" t="s">
        <v>25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8" customHeight="1" x14ac:dyDescent="0.3">
      <c r="A76" s="39">
        <v>72</v>
      </c>
      <c r="B76" s="40" t="s">
        <v>5187</v>
      </c>
      <c r="C76" s="41" t="s">
        <v>5188</v>
      </c>
      <c r="D76" s="39" t="s">
        <v>626</v>
      </c>
      <c r="E76" s="43">
        <v>46125</v>
      </c>
      <c r="F76" s="26" t="s">
        <v>23</v>
      </c>
      <c r="G76" s="44" t="s">
        <v>1352</v>
      </c>
      <c r="H76" s="26" t="s">
        <v>25</v>
      </c>
      <c r="I76" s="44" t="s">
        <v>1352</v>
      </c>
      <c r="J76" s="26" t="s">
        <v>24</v>
      </c>
      <c r="K76" s="27"/>
      <c r="L76" s="28" t="s">
        <v>25</v>
      </c>
      <c r="M76" s="29" t="str">
        <f t="shared" si="10"/>
        <v>✓ OK</v>
      </c>
      <c r="N76" s="43">
        <v>46196</v>
      </c>
      <c r="O76" s="26" t="s">
        <v>23</v>
      </c>
      <c r="P76" s="44" t="s">
        <v>1352</v>
      </c>
      <c r="Q76" s="26" t="s">
        <v>25</v>
      </c>
      <c r="R76" s="44" t="s">
        <v>1352</v>
      </c>
      <c r="S76" s="26" t="s">
        <v>24</v>
      </c>
      <c r="T76" s="27"/>
      <c r="U76" s="28" t="s">
        <v>25</v>
      </c>
      <c r="V76" s="29" t="str">
        <f t="shared" si="11"/>
        <v>✓ OK</v>
      </c>
      <c r="W76" s="45">
        <v>46248</v>
      </c>
      <c r="X76" s="30" t="s">
        <v>23</v>
      </c>
      <c r="Y76" s="30" t="s">
        <v>1352</v>
      </c>
      <c r="Z76" s="30" t="s">
        <v>25</v>
      </c>
      <c r="AA76" s="30" t="s">
        <v>1352</v>
      </c>
      <c r="AB76" s="30" t="s">
        <v>24</v>
      </c>
      <c r="AC76" s="27"/>
      <c r="AD76" s="31" t="s">
        <v>25</v>
      </c>
      <c r="AE76" s="32" t="str">
        <f t="shared" si="12"/>
        <v>✓ OK</v>
      </c>
      <c r="AF76" s="33" t="s">
        <v>27</v>
      </c>
      <c r="AG76" s="33" t="s">
        <v>23</v>
      </c>
      <c r="AH76" s="33" t="s">
        <v>1352</v>
      </c>
      <c r="AI76" s="33" t="s">
        <v>25</v>
      </c>
      <c r="AJ76" s="33" t="s">
        <v>1352</v>
      </c>
      <c r="AK76" s="33" t="s">
        <v>24</v>
      </c>
      <c r="AL76" s="27"/>
      <c r="AM76" s="34" t="s">
        <v>25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8" customHeight="1" x14ac:dyDescent="0.3">
      <c r="A77" s="23">
        <v>73</v>
      </c>
      <c r="B77" s="24" t="s">
        <v>5189</v>
      </c>
      <c r="C77" s="25" t="s">
        <v>5190</v>
      </c>
      <c r="D77" s="23" t="s">
        <v>626</v>
      </c>
      <c r="E77" s="43">
        <v>46125</v>
      </c>
      <c r="F77" s="26" t="s">
        <v>23</v>
      </c>
      <c r="G77" s="44" t="s">
        <v>1352</v>
      </c>
      <c r="H77" s="26" t="s">
        <v>25</v>
      </c>
      <c r="I77" s="44" t="s">
        <v>1352</v>
      </c>
      <c r="J77" s="26" t="s">
        <v>24</v>
      </c>
      <c r="K77" s="27"/>
      <c r="L77" s="28" t="s">
        <v>25</v>
      </c>
      <c r="M77" s="29" t="str">
        <f t="shared" si="10"/>
        <v>✓ OK</v>
      </c>
      <c r="N77" s="43">
        <v>46196</v>
      </c>
      <c r="O77" s="26" t="s">
        <v>23</v>
      </c>
      <c r="P77" s="44" t="s">
        <v>1352</v>
      </c>
      <c r="Q77" s="26" t="s">
        <v>25</v>
      </c>
      <c r="R77" s="44" t="s">
        <v>1352</v>
      </c>
      <c r="S77" s="26" t="s">
        <v>24</v>
      </c>
      <c r="T77" s="27"/>
      <c r="U77" s="28" t="s">
        <v>25</v>
      </c>
      <c r="V77" s="29" t="str">
        <f t="shared" si="11"/>
        <v>✓ OK</v>
      </c>
      <c r="W77" s="45">
        <v>46248</v>
      </c>
      <c r="X77" s="30" t="s">
        <v>23</v>
      </c>
      <c r="Y77" s="30" t="s">
        <v>1352</v>
      </c>
      <c r="Z77" s="30" t="s">
        <v>25</v>
      </c>
      <c r="AA77" s="30" t="s">
        <v>1352</v>
      </c>
      <c r="AB77" s="30" t="s">
        <v>24</v>
      </c>
      <c r="AC77" s="27"/>
      <c r="AD77" s="31" t="s">
        <v>25</v>
      </c>
      <c r="AE77" s="32" t="str">
        <f t="shared" si="12"/>
        <v>✓ OK</v>
      </c>
      <c r="AF77" s="33" t="s">
        <v>27</v>
      </c>
      <c r="AG77" s="33" t="s">
        <v>23</v>
      </c>
      <c r="AH77" s="33" t="s">
        <v>1352</v>
      </c>
      <c r="AI77" s="33" t="s">
        <v>25</v>
      </c>
      <c r="AJ77" s="33" t="s">
        <v>1352</v>
      </c>
      <c r="AK77" s="33" t="s">
        <v>24</v>
      </c>
      <c r="AL77" s="27"/>
      <c r="AM77" s="34" t="s">
        <v>25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  <row r="78" spans="1:49" ht="18" customHeight="1" x14ac:dyDescent="0.3">
      <c r="A78" s="39">
        <v>74</v>
      </c>
      <c r="B78" s="40" t="s">
        <v>5191</v>
      </c>
      <c r="C78" s="41" t="s">
        <v>5192</v>
      </c>
      <c r="D78" s="39" t="s">
        <v>626</v>
      </c>
      <c r="E78" s="43">
        <v>46125</v>
      </c>
      <c r="F78" s="26" t="s">
        <v>23</v>
      </c>
      <c r="G78" s="44" t="s">
        <v>1352</v>
      </c>
      <c r="H78" s="26" t="s">
        <v>25</v>
      </c>
      <c r="I78" s="44" t="s">
        <v>1352</v>
      </c>
      <c r="J78" s="26" t="s">
        <v>24</v>
      </c>
      <c r="K78" s="27"/>
      <c r="L78" s="28" t="s">
        <v>25</v>
      </c>
      <c r="M78" s="29" t="str">
        <f t="shared" si="10"/>
        <v>✓ OK</v>
      </c>
      <c r="N78" s="43">
        <v>46196</v>
      </c>
      <c r="O78" s="26" t="s">
        <v>23</v>
      </c>
      <c r="P78" s="44" t="s">
        <v>1352</v>
      </c>
      <c r="Q78" s="26" t="s">
        <v>25</v>
      </c>
      <c r="R78" s="44" t="s">
        <v>1352</v>
      </c>
      <c r="S78" s="26" t="s">
        <v>24</v>
      </c>
      <c r="T78" s="27"/>
      <c r="U78" s="28" t="s">
        <v>25</v>
      </c>
      <c r="V78" s="29" t="str">
        <f t="shared" si="11"/>
        <v>✓ OK</v>
      </c>
      <c r="W78" s="45">
        <v>46248</v>
      </c>
      <c r="X78" s="30" t="s">
        <v>23</v>
      </c>
      <c r="Y78" s="30" t="s">
        <v>1352</v>
      </c>
      <c r="Z78" s="30" t="s">
        <v>25</v>
      </c>
      <c r="AA78" s="30" t="s">
        <v>1352</v>
      </c>
      <c r="AB78" s="30" t="s">
        <v>24</v>
      </c>
      <c r="AC78" s="27"/>
      <c r="AD78" s="31" t="s">
        <v>25</v>
      </c>
      <c r="AE78" s="32" t="str">
        <f t="shared" si="12"/>
        <v>✓ OK</v>
      </c>
      <c r="AF78" s="33" t="s">
        <v>27</v>
      </c>
      <c r="AG78" s="33" t="s">
        <v>23</v>
      </c>
      <c r="AH78" s="33" t="s">
        <v>1352</v>
      </c>
      <c r="AI78" s="33" t="s">
        <v>25</v>
      </c>
      <c r="AJ78" s="33" t="s">
        <v>1352</v>
      </c>
      <c r="AK78" s="33" t="s">
        <v>24</v>
      </c>
      <c r="AL78" s="27"/>
      <c r="AM78" s="34" t="s">
        <v>25</v>
      </c>
      <c r="AN78" s="35" t="str">
        <f t="shared" si="13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4"/>
        <v/>
      </c>
    </row>
    <row r="79" spans="1:49" ht="18" customHeight="1" x14ac:dyDescent="0.3">
      <c r="A79" s="23">
        <v>75</v>
      </c>
      <c r="B79" s="24" t="s">
        <v>5193</v>
      </c>
      <c r="C79" s="25" t="s">
        <v>5194</v>
      </c>
      <c r="D79" s="23" t="s">
        <v>626</v>
      </c>
      <c r="E79" s="43">
        <v>46125</v>
      </c>
      <c r="F79" s="26" t="s">
        <v>23</v>
      </c>
      <c r="G79" s="44" t="s">
        <v>1352</v>
      </c>
      <c r="H79" s="26" t="s">
        <v>25</v>
      </c>
      <c r="I79" s="44" t="s">
        <v>1352</v>
      </c>
      <c r="J79" s="26" t="s">
        <v>24</v>
      </c>
      <c r="K79" s="27"/>
      <c r="L79" s="28" t="s">
        <v>25</v>
      </c>
      <c r="M79" s="29" t="str">
        <f t="shared" si="10"/>
        <v>✓ OK</v>
      </c>
      <c r="N79" s="43">
        <v>46196</v>
      </c>
      <c r="O79" s="26" t="s">
        <v>23</v>
      </c>
      <c r="P79" s="44" t="s">
        <v>1352</v>
      </c>
      <c r="Q79" s="26" t="s">
        <v>25</v>
      </c>
      <c r="R79" s="44" t="s">
        <v>1352</v>
      </c>
      <c r="S79" s="26" t="s">
        <v>24</v>
      </c>
      <c r="T79" s="27"/>
      <c r="U79" s="28" t="s">
        <v>25</v>
      </c>
      <c r="V79" s="29" t="str">
        <f t="shared" si="11"/>
        <v>✓ OK</v>
      </c>
      <c r="W79" s="45">
        <v>46248</v>
      </c>
      <c r="X79" s="30" t="s">
        <v>23</v>
      </c>
      <c r="Y79" s="30" t="s">
        <v>1352</v>
      </c>
      <c r="Z79" s="30" t="s">
        <v>25</v>
      </c>
      <c r="AA79" s="30" t="s">
        <v>1352</v>
      </c>
      <c r="AB79" s="30" t="s">
        <v>24</v>
      </c>
      <c r="AC79" s="27"/>
      <c r="AD79" s="31" t="s">
        <v>25</v>
      </c>
      <c r="AE79" s="32" t="str">
        <f t="shared" si="12"/>
        <v>✓ OK</v>
      </c>
      <c r="AF79" s="33" t="s">
        <v>27</v>
      </c>
      <c r="AG79" s="33" t="s">
        <v>23</v>
      </c>
      <c r="AH79" s="33" t="s">
        <v>1352</v>
      </c>
      <c r="AI79" s="33" t="s">
        <v>25</v>
      </c>
      <c r="AJ79" s="33" t="s">
        <v>1352</v>
      </c>
      <c r="AK79" s="33" t="s">
        <v>24</v>
      </c>
      <c r="AL79" s="27"/>
      <c r="AM79" s="34" t="s">
        <v>25</v>
      </c>
      <c r="AN79" s="35" t="str">
        <f t="shared" si="13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4"/>
        <v/>
      </c>
    </row>
    <row r="80" spans="1:49" ht="18" customHeight="1" x14ac:dyDescent="0.3">
      <c r="A80" s="39">
        <v>76</v>
      </c>
      <c r="B80" s="40" t="s">
        <v>5195</v>
      </c>
      <c r="C80" s="41" t="s">
        <v>5196</v>
      </c>
      <c r="D80" s="39" t="s">
        <v>626</v>
      </c>
      <c r="E80" s="43">
        <v>46125</v>
      </c>
      <c r="F80" s="26" t="s">
        <v>23</v>
      </c>
      <c r="G80" s="44" t="s">
        <v>1352</v>
      </c>
      <c r="H80" s="26" t="s">
        <v>25</v>
      </c>
      <c r="I80" s="44" t="s">
        <v>1352</v>
      </c>
      <c r="J80" s="26" t="s">
        <v>24</v>
      </c>
      <c r="K80" s="27"/>
      <c r="L80" s="28" t="s">
        <v>25</v>
      </c>
      <c r="M80" s="29" t="str">
        <f t="shared" si="10"/>
        <v>✓ OK</v>
      </c>
      <c r="N80" s="43">
        <v>46196</v>
      </c>
      <c r="O80" s="26" t="s">
        <v>23</v>
      </c>
      <c r="P80" s="44" t="s">
        <v>1352</v>
      </c>
      <c r="Q80" s="26" t="s">
        <v>25</v>
      </c>
      <c r="R80" s="44" t="s">
        <v>1352</v>
      </c>
      <c r="S80" s="26" t="s">
        <v>24</v>
      </c>
      <c r="T80" s="27"/>
      <c r="U80" s="28" t="s">
        <v>25</v>
      </c>
      <c r="V80" s="29" t="str">
        <f t="shared" si="11"/>
        <v>✓ OK</v>
      </c>
      <c r="W80" s="45">
        <v>46248</v>
      </c>
      <c r="X80" s="30" t="s">
        <v>23</v>
      </c>
      <c r="Y80" s="30" t="s">
        <v>1352</v>
      </c>
      <c r="Z80" s="30" t="s">
        <v>25</v>
      </c>
      <c r="AA80" s="30" t="s">
        <v>1352</v>
      </c>
      <c r="AB80" s="30" t="s">
        <v>24</v>
      </c>
      <c r="AC80" s="27"/>
      <c r="AD80" s="31" t="s">
        <v>25</v>
      </c>
      <c r="AE80" s="32" t="str">
        <f t="shared" si="12"/>
        <v>✓ OK</v>
      </c>
      <c r="AF80" s="33" t="s">
        <v>27</v>
      </c>
      <c r="AG80" s="33" t="s">
        <v>23</v>
      </c>
      <c r="AH80" s="33" t="s">
        <v>1352</v>
      </c>
      <c r="AI80" s="33" t="s">
        <v>25</v>
      </c>
      <c r="AJ80" s="33" t="s">
        <v>1352</v>
      </c>
      <c r="AK80" s="33" t="s">
        <v>24</v>
      </c>
      <c r="AL80" s="27"/>
      <c r="AM80" s="34" t="s">
        <v>25</v>
      </c>
      <c r="AN80" s="35" t="str">
        <f t="shared" si="13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4"/>
        <v/>
      </c>
    </row>
  </sheetData>
  <autoFilter ref="A4:AW80" xr:uid="{00000000-0009-0000-0000-00000A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80">
    <cfRule type="expression" dxfId="151" priority="14">
      <formula>G5="Yes"</formula>
    </cfRule>
    <cfRule type="expression" dxfId="150" priority="15">
      <formula>G5="No"</formula>
    </cfRule>
    <cfRule type="expression" dxfId="149" priority="16">
      <formula>MOD(ROW(),2)=0</formula>
    </cfRule>
  </conditionalFormatting>
  <conditionalFormatting sqref="H5:H80">
    <cfRule type="expression" dxfId="148" priority="23">
      <formula>H5="Yes"</formula>
    </cfRule>
  </conditionalFormatting>
  <conditionalFormatting sqref="I5:I80">
    <cfRule type="expression" dxfId="147" priority="13">
      <formula>MOD(ROW(),2)=0</formula>
    </cfRule>
  </conditionalFormatting>
  <conditionalFormatting sqref="J5:J80">
    <cfRule type="expression" dxfId="146" priority="24">
      <formula>J5="Yes"</formula>
    </cfRule>
    <cfRule type="expression" dxfId="145" priority="25">
      <formula>J5="No"</formula>
    </cfRule>
  </conditionalFormatting>
  <conditionalFormatting sqref="M5:M80">
    <cfRule type="expression" dxfId="144" priority="17">
      <formula>M5="✓ OK"</formula>
    </cfRule>
    <cfRule type="expression" dxfId="143" priority="18">
      <formula>M5="❌ Disc"</formula>
    </cfRule>
    <cfRule type="expression" dxfId="142" priority="19">
      <formula>M5="⚠ Missing"</formula>
    </cfRule>
    <cfRule type="expression" dxfId="141" priority="20">
      <formula>M5="⚠ Check"</formula>
    </cfRule>
  </conditionalFormatting>
  <conditionalFormatting sqref="N5:O80">
    <cfRule type="expression" dxfId="140" priority="1">
      <formula>MOD(ROW(),2)=0</formula>
    </cfRule>
  </conditionalFormatting>
  <conditionalFormatting sqref="P5:P80">
    <cfRule type="expression" dxfId="139" priority="3">
      <formula>P5="Yes"</formula>
    </cfRule>
    <cfRule type="expression" dxfId="138" priority="4">
      <formula>P5="No"</formula>
    </cfRule>
    <cfRule type="expression" dxfId="137" priority="5">
      <formula>MOD(ROW(),2)=0</formula>
    </cfRule>
  </conditionalFormatting>
  <conditionalFormatting sqref="Q5:Q80">
    <cfRule type="expression" dxfId="136" priority="10">
      <formula>Q5="Yes"</formula>
    </cfRule>
  </conditionalFormatting>
  <conditionalFormatting sqref="R5:R80">
    <cfRule type="expression" dxfId="135" priority="2">
      <formula>MOD(ROW(),2)=0</formula>
    </cfRule>
  </conditionalFormatting>
  <conditionalFormatting sqref="S5:S80">
    <cfRule type="expression" dxfId="134" priority="11">
      <formula>S5="Yes"</formula>
    </cfRule>
    <cfRule type="expression" dxfId="133" priority="12">
      <formula>S5="No"</formula>
    </cfRule>
  </conditionalFormatting>
  <conditionalFormatting sqref="S5:AW80 J5:M80 H5:H80 Q5:Q80 A5:F80">
    <cfRule type="expression" dxfId="132" priority="62">
      <formula>MOD(ROW(),2)=0</formula>
    </cfRule>
  </conditionalFormatting>
  <conditionalFormatting sqref="V5:V80">
    <cfRule type="expression" dxfId="131" priority="6">
      <formula>V5="✓ OK"</formula>
    </cfRule>
    <cfRule type="expression" dxfId="130" priority="8">
      <formula>V5="⚠ Missing"</formula>
    </cfRule>
    <cfRule type="expression" dxfId="129" priority="9">
      <formula>V5="⚠ Check"</formula>
    </cfRule>
    <cfRule type="expression" dxfId="128" priority="7">
      <formula>V5="❌ Disc"</formula>
    </cfRule>
  </conditionalFormatting>
  <conditionalFormatting sqref="Y5:Y80">
    <cfRule type="expression" dxfId="127" priority="40">
      <formula>Y5="No"</formula>
    </cfRule>
    <cfRule type="expression" dxfId="126" priority="39">
      <formula>Y5="Yes"</formula>
    </cfRule>
  </conditionalFormatting>
  <conditionalFormatting sqref="Z5:Z80">
    <cfRule type="expression" dxfId="125" priority="41">
      <formula>Z5="Yes"</formula>
    </cfRule>
  </conditionalFormatting>
  <conditionalFormatting sqref="AB5:AB80">
    <cfRule type="expression" dxfId="124" priority="42">
      <formula>AB5="Yes"</formula>
    </cfRule>
    <cfRule type="expression" dxfId="123" priority="43">
      <formula>AB5="No"</formula>
    </cfRule>
  </conditionalFormatting>
  <conditionalFormatting sqref="AE5:AE80">
    <cfRule type="expression" dxfId="122" priority="38">
      <formula>AE5="⚠ Check"</formula>
    </cfRule>
    <cfRule type="expression" dxfId="121" priority="36">
      <formula>AE5="❌ Disc"</formula>
    </cfRule>
    <cfRule type="expression" dxfId="120" priority="37">
      <formula>AE5="⚠ Missing"</formula>
    </cfRule>
    <cfRule type="expression" dxfId="119" priority="35">
      <formula>AE5="✓ OK"</formula>
    </cfRule>
  </conditionalFormatting>
  <conditionalFormatting sqref="AH5:AH80">
    <cfRule type="expression" dxfId="118" priority="48">
      <formula>AH5="Yes"</formula>
    </cfRule>
    <cfRule type="expression" dxfId="117" priority="49">
      <formula>AH5="No"</formula>
    </cfRule>
  </conditionalFormatting>
  <conditionalFormatting sqref="AI5:AI80">
    <cfRule type="expression" dxfId="116" priority="50">
      <formula>AI5="Yes"</formula>
    </cfRule>
  </conditionalFormatting>
  <conditionalFormatting sqref="AK5:AK80">
    <cfRule type="expression" dxfId="115" priority="51">
      <formula>AK5="Yes"</formula>
    </cfRule>
    <cfRule type="expression" dxfId="114" priority="52">
      <formula>AK5="No"</formula>
    </cfRule>
  </conditionalFormatting>
  <conditionalFormatting sqref="AN5:AN80">
    <cfRule type="expression" dxfId="113" priority="44">
      <formula>AN5="✓ OK"</formula>
    </cfRule>
    <cfRule type="expression" dxfId="112" priority="45">
      <formula>AN5="❌ Disc"</formula>
    </cfRule>
    <cfRule type="expression" dxfId="111" priority="46">
      <formula>AN5="⚠ Missing"</formula>
    </cfRule>
    <cfRule type="expression" dxfId="110" priority="47">
      <formula>AN5="⚠ Check"</formula>
    </cfRule>
  </conditionalFormatting>
  <conditionalFormatting sqref="AQ5:AQ80">
    <cfRule type="expression" dxfId="109" priority="57">
      <formula>AQ5="Yes"</formula>
    </cfRule>
    <cfRule type="expression" dxfId="108" priority="58">
      <formula>AQ5="No"</formula>
    </cfRule>
  </conditionalFormatting>
  <conditionalFormatting sqref="AR5:AR80">
    <cfRule type="expression" dxfId="107" priority="59">
      <formula>AR5="Yes"</formula>
    </cfRule>
  </conditionalFormatting>
  <conditionalFormatting sqref="AT5:AT80">
    <cfRule type="expression" dxfId="106" priority="60">
      <formula>AT5="Yes"</formula>
    </cfRule>
    <cfRule type="expression" dxfId="105" priority="61">
      <formula>AT5="No"</formula>
    </cfRule>
  </conditionalFormatting>
  <conditionalFormatting sqref="AW5:AW80">
    <cfRule type="expression" dxfId="104" priority="53">
      <formula>AW5="✓ OK"</formula>
    </cfRule>
    <cfRule type="expression" dxfId="103" priority="54">
      <formula>AW5="❌ Disc"</formula>
    </cfRule>
    <cfRule type="expression" dxfId="102" priority="55">
      <formula>AW5="⚠ Missing"</formula>
    </cfRule>
    <cfRule type="expression" dxfId="101" priority="56">
      <formula>AW5="⚠ Check"</formula>
    </cfRule>
  </conditionalFormatting>
  <dataValidations count="4">
    <dataValidation type="list" allowBlank="1" sqref="H5:H80 J5:J80 Q5:Q80 S5:S80 Y5:Z80 AB5:AB80 AH5:AI80 AK5:AK80 AQ5:AR80 AT5:AT80" xr:uid="{00000000-0002-0000-0A00-000000000000}">
      <formula1>"Yes,No"</formula1>
    </dataValidation>
    <dataValidation type="list" allowBlank="1" sqref="AA5:AA80 AJ5:AJ80 AS5:AS80" xr:uid="{00000000-0002-0000-0A00-000001000000}">
      <formula1>"Good finish,Minor defect,Major defect,Discontinued,Not Available"</formula1>
    </dataValidation>
    <dataValidation type="list" allowBlank="1" sqref="G5:G80 P5:P80" xr:uid="{00000000-0002-0000-0A00-000002000000}">
      <formula1>"Yes,No,Represented by Sample"</formula1>
    </dataValidation>
    <dataValidation type="list" allowBlank="1" sqref="I5:I80 R5:R80" xr:uid="{00000000-0002-0000-0A00-000003000000}">
      <formula1>"Represented by Sample,Good finish,Minor defect,Major defect,Discontinued,Not Available"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AW516"/>
  <sheetViews>
    <sheetView workbookViewId="0">
      <pane xSplit="4" ySplit="4" topLeftCell="AG5" activePane="bottomRight" state="frozen"/>
      <selection pane="topRight" activeCell="AU16" sqref="AU16"/>
      <selection pane="bottomLeft" activeCell="AU16" sqref="AU16"/>
      <selection pane="bottomRight" activeCell="AJ5" sqref="AJ5"/>
    </sheetView>
  </sheetViews>
  <sheetFormatPr defaultRowHeight="14.4" x14ac:dyDescent="0.3"/>
  <cols>
    <col min="1" max="1" width="4" customWidth="1"/>
    <col min="2" max="2" width="16" customWidth="1"/>
    <col min="3" max="3" width="56.5546875" bestFit="1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5197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5198</v>
      </c>
      <c r="C5" s="25" t="s">
        <v>5199</v>
      </c>
      <c r="D5" s="23" t="s">
        <v>5200</v>
      </c>
      <c r="E5" s="43">
        <v>46125</v>
      </c>
      <c r="F5" s="26" t="s">
        <v>23</v>
      </c>
      <c r="G5" s="44" t="s">
        <v>24</v>
      </c>
      <c r="H5" s="26" t="s">
        <v>25</v>
      </c>
      <c r="I5" s="44" t="s">
        <v>26</v>
      </c>
      <c r="J5" s="26" t="s">
        <v>24</v>
      </c>
      <c r="K5" s="27"/>
      <c r="L5" s="28" t="s">
        <v>25</v>
      </c>
      <c r="M5" s="29" t="str">
        <f t="shared" ref="M5:M68" si="0">IF(E5="","",IF(H5="Yes","❌ Disc",IF(G5="No","⚠ Missing",IF(J5="Yes","✓ OK","⚠ Check"))))</f>
        <v>✓ OK</v>
      </c>
      <c r="N5" s="43">
        <v>46196</v>
      </c>
      <c r="O5" s="26" t="s">
        <v>23</v>
      </c>
      <c r="P5" s="44" t="s">
        <v>24</v>
      </c>
      <c r="Q5" s="26" t="s">
        <v>25</v>
      </c>
      <c r="R5" s="44" t="s">
        <v>26</v>
      </c>
      <c r="S5" s="26" t="s">
        <v>24</v>
      </c>
      <c r="T5" s="27"/>
      <c r="U5" s="28" t="s">
        <v>25</v>
      </c>
      <c r="V5" s="29" t="str">
        <f t="shared" ref="V5:V68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/>
      <c r="AD5" s="31" t="s">
        <v>25</v>
      </c>
      <c r="AE5" s="32" t="str">
        <f t="shared" ref="AE5:AE68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/>
      <c r="AM5" s="34" t="s">
        <v>25</v>
      </c>
      <c r="AN5" s="35" t="str">
        <f t="shared" ref="AN5:AN68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5201</v>
      </c>
      <c r="C6" s="41" t="s">
        <v>5202</v>
      </c>
      <c r="D6" s="39" t="s">
        <v>5200</v>
      </c>
      <c r="E6" s="43">
        <v>46125</v>
      </c>
      <c r="F6" s="26" t="s">
        <v>23</v>
      </c>
      <c r="G6" s="44" t="s">
        <v>1352</v>
      </c>
      <c r="H6" s="26" t="s">
        <v>25</v>
      </c>
      <c r="I6" s="44" t="s">
        <v>1352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46196</v>
      </c>
      <c r="O6" s="26" t="s">
        <v>23</v>
      </c>
      <c r="P6" s="44" t="s">
        <v>1352</v>
      </c>
      <c r="Q6" s="26" t="s">
        <v>25</v>
      </c>
      <c r="R6" s="44" t="s">
        <v>1352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1352</v>
      </c>
      <c r="Z6" s="30" t="s">
        <v>25</v>
      </c>
      <c r="AA6" s="30" t="s">
        <v>1352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1352</v>
      </c>
      <c r="AI6" s="33" t="s">
        <v>25</v>
      </c>
      <c r="AJ6" s="33" t="s">
        <v>1352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5203</v>
      </c>
      <c r="C7" s="25" t="s">
        <v>5204</v>
      </c>
      <c r="D7" s="23" t="s">
        <v>5200</v>
      </c>
      <c r="E7" s="43">
        <v>46125</v>
      </c>
      <c r="F7" s="26" t="s">
        <v>23</v>
      </c>
      <c r="G7" s="44" t="s">
        <v>1352</v>
      </c>
      <c r="H7" s="26" t="s">
        <v>25</v>
      </c>
      <c r="I7" s="44" t="s">
        <v>1352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46196</v>
      </c>
      <c r="O7" s="26" t="s">
        <v>23</v>
      </c>
      <c r="P7" s="44" t="s">
        <v>1352</v>
      </c>
      <c r="Q7" s="26" t="s">
        <v>25</v>
      </c>
      <c r="R7" s="44" t="s">
        <v>1352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1352</v>
      </c>
      <c r="Z7" s="30" t="s">
        <v>25</v>
      </c>
      <c r="AA7" s="30" t="s">
        <v>1352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1352</v>
      </c>
      <c r="AI7" s="33" t="s">
        <v>25</v>
      </c>
      <c r="AJ7" s="33" t="s">
        <v>1352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5205</v>
      </c>
      <c r="C8" s="41" t="s">
        <v>5206</v>
      </c>
      <c r="D8" s="39" t="s">
        <v>5200</v>
      </c>
      <c r="E8" s="43">
        <v>46125</v>
      </c>
      <c r="F8" s="26" t="s">
        <v>23</v>
      </c>
      <c r="G8" s="44" t="s">
        <v>24</v>
      </c>
      <c r="H8" s="26" t="s">
        <v>25</v>
      </c>
      <c r="I8" s="44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46196</v>
      </c>
      <c r="O8" s="26" t="s">
        <v>23</v>
      </c>
      <c r="P8" s="44" t="s">
        <v>24</v>
      </c>
      <c r="Q8" s="26" t="s">
        <v>25</v>
      </c>
      <c r="R8" s="44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 t="s">
        <v>25</v>
      </c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 t="s">
        <v>25</v>
      </c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5207</v>
      </c>
      <c r="C9" s="25" t="s">
        <v>5208</v>
      </c>
      <c r="D9" s="23" t="s">
        <v>5200</v>
      </c>
      <c r="E9" s="43">
        <v>46125</v>
      </c>
      <c r="F9" s="26" t="s">
        <v>23</v>
      </c>
      <c r="G9" s="44" t="s">
        <v>24</v>
      </c>
      <c r="H9" s="26" t="s">
        <v>25</v>
      </c>
      <c r="I9" s="44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46196</v>
      </c>
      <c r="O9" s="26" t="s">
        <v>23</v>
      </c>
      <c r="P9" s="44" t="s">
        <v>24</v>
      </c>
      <c r="Q9" s="26" t="s">
        <v>25</v>
      </c>
      <c r="R9" s="44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 t="s">
        <v>25</v>
      </c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 t="s">
        <v>25</v>
      </c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5209</v>
      </c>
      <c r="C10" s="41" t="s">
        <v>5210</v>
      </c>
      <c r="D10" s="39" t="s">
        <v>5200</v>
      </c>
      <c r="E10" s="43">
        <v>46125</v>
      </c>
      <c r="F10" s="26" t="s">
        <v>23</v>
      </c>
      <c r="G10" s="44" t="s">
        <v>1352</v>
      </c>
      <c r="H10" s="26" t="s">
        <v>25</v>
      </c>
      <c r="I10" s="44" t="s">
        <v>1352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46196</v>
      </c>
      <c r="O10" s="26" t="s">
        <v>23</v>
      </c>
      <c r="P10" s="44" t="s">
        <v>1352</v>
      </c>
      <c r="Q10" s="26" t="s">
        <v>25</v>
      </c>
      <c r="R10" s="44" t="s">
        <v>1352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1352</v>
      </c>
      <c r="Z10" s="30" t="s">
        <v>25</v>
      </c>
      <c r="AA10" s="30" t="s">
        <v>1352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1352</v>
      </c>
      <c r="AI10" s="33" t="s">
        <v>25</v>
      </c>
      <c r="AJ10" s="33" t="s">
        <v>1352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5211</v>
      </c>
      <c r="C11" s="25" t="s">
        <v>5212</v>
      </c>
      <c r="D11" s="23" t="s">
        <v>5200</v>
      </c>
      <c r="E11" s="43">
        <v>46125</v>
      </c>
      <c r="F11" s="26" t="s">
        <v>23</v>
      </c>
      <c r="G11" s="44" t="s">
        <v>1352</v>
      </c>
      <c r="H11" s="26" t="s">
        <v>25</v>
      </c>
      <c r="I11" s="44" t="s">
        <v>1352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46196</v>
      </c>
      <c r="O11" s="26" t="s">
        <v>23</v>
      </c>
      <c r="P11" s="44" t="s">
        <v>1352</v>
      </c>
      <c r="Q11" s="26" t="s">
        <v>25</v>
      </c>
      <c r="R11" s="44" t="s">
        <v>1352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1352</v>
      </c>
      <c r="Z11" s="30" t="s">
        <v>25</v>
      </c>
      <c r="AA11" s="30" t="s">
        <v>1352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1352</v>
      </c>
      <c r="AI11" s="33" t="s">
        <v>25</v>
      </c>
      <c r="AJ11" s="33" t="s">
        <v>1352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5213</v>
      </c>
      <c r="C12" s="41" t="s">
        <v>5214</v>
      </c>
      <c r="D12" s="39" t="s">
        <v>5200</v>
      </c>
      <c r="E12" s="43">
        <v>46125</v>
      </c>
      <c r="F12" s="26" t="s">
        <v>23</v>
      </c>
      <c r="G12" s="44" t="s">
        <v>1352</v>
      </c>
      <c r="H12" s="26" t="s">
        <v>25</v>
      </c>
      <c r="I12" s="44" t="s">
        <v>1352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46196</v>
      </c>
      <c r="O12" s="26" t="s">
        <v>23</v>
      </c>
      <c r="P12" s="44" t="s">
        <v>1352</v>
      </c>
      <c r="Q12" s="26" t="s">
        <v>25</v>
      </c>
      <c r="R12" s="44" t="s">
        <v>1352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1352</v>
      </c>
      <c r="Z12" s="30" t="s">
        <v>25</v>
      </c>
      <c r="AA12" s="30" t="s">
        <v>1352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1352</v>
      </c>
      <c r="AI12" s="33" t="s">
        <v>25</v>
      </c>
      <c r="AJ12" s="33" t="s">
        <v>1352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5215</v>
      </c>
      <c r="C13" s="25" t="s">
        <v>5216</v>
      </c>
      <c r="D13" s="23" t="s">
        <v>5200</v>
      </c>
      <c r="E13" s="43">
        <v>46125</v>
      </c>
      <c r="F13" s="26" t="s">
        <v>23</v>
      </c>
      <c r="G13" s="44" t="s">
        <v>1352</v>
      </c>
      <c r="H13" s="26" t="s">
        <v>25</v>
      </c>
      <c r="I13" s="44" t="s">
        <v>1352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46196</v>
      </c>
      <c r="O13" s="26" t="s">
        <v>23</v>
      </c>
      <c r="P13" s="44" t="s">
        <v>1352</v>
      </c>
      <c r="Q13" s="26" t="s">
        <v>25</v>
      </c>
      <c r="R13" s="44" t="s">
        <v>1352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1352</v>
      </c>
      <c r="Z13" s="30" t="s">
        <v>25</v>
      </c>
      <c r="AA13" s="30" t="s">
        <v>1352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1352</v>
      </c>
      <c r="AI13" s="33" t="s">
        <v>25</v>
      </c>
      <c r="AJ13" s="33" t="s">
        <v>1352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5217</v>
      </c>
      <c r="C14" s="41" t="s">
        <v>5218</v>
      </c>
      <c r="D14" s="39" t="s">
        <v>5200</v>
      </c>
      <c r="E14" s="43">
        <v>46125</v>
      </c>
      <c r="F14" s="26" t="s">
        <v>23</v>
      </c>
      <c r="G14" s="44" t="s">
        <v>1352</v>
      </c>
      <c r="H14" s="26" t="s">
        <v>25</v>
      </c>
      <c r="I14" s="44" t="s">
        <v>1352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46196</v>
      </c>
      <c r="O14" s="26" t="s">
        <v>23</v>
      </c>
      <c r="P14" s="44" t="s">
        <v>1352</v>
      </c>
      <c r="Q14" s="26" t="s">
        <v>25</v>
      </c>
      <c r="R14" s="44" t="s">
        <v>1352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1352</v>
      </c>
      <c r="Z14" s="30" t="s">
        <v>25</v>
      </c>
      <c r="AA14" s="30" t="s">
        <v>1352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1352</v>
      </c>
      <c r="AI14" s="33" t="s">
        <v>25</v>
      </c>
      <c r="AJ14" s="33" t="s">
        <v>1352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5219</v>
      </c>
      <c r="C15" s="25" t="s">
        <v>5220</v>
      </c>
      <c r="D15" s="23" t="s">
        <v>5200</v>
      </c>
      <c r="E15" s="43">
        <v>46125</v>
      </c>
      <c r="F15" s="26" t="s">
        <v>23</v>
      </c>
      <c r="G15" s="44" t="s">
        <v>1352</v>
      </c>
      <c r="H15" s="26" t="s">
        <v>25</v>
      </c>
      <c r="I15" s="44" t="s">
        <v>1352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46196</v>
      </c>
      <c r="O15" s="26" t="s">
        <v>23</v>
      </c>
      <c r="P15" s="44" t="s">
        <v>1352</v>
      </c>
      <c r="Q15" s="26" t="s">
        <v>25</v>
      </c>
      <c r="R15" s="44" t="s">
        <v>1352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1352</v>
      </c>
      <c r="Z15" s="30" t="s">
        <v>25</v>
      </c>
      <c r="AA15" s="30" t="s">
        <v>1352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1352</v>
      </c>
      <c r="AI15" s="33" t="s">
        <v>25</v>
      </c>
      <c r="AJ15" s="33" t="s">
        <v>1352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5221</v>
      </c>
      <c r="C16" s="41" t="s">
        <v>5222</v>
      </c>
      <c r="D16" s="39" t="s">
        <v>5200</v>
      </c>
      <c r="E16" s="43">
        <v>46125</v>
      </c>
      <c r="F16" s="26" t="s">
        <v>23</v>
      </c>
      <c r="G16" s="44" t="s">
        <v>1352</v>
      </c>
      <c r="H16" s="26" t="s">
        <v>25</v>
      </c>
      <c r="I16" s="44" t="s">
        <v>1352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46196</v>
      </c>
      <c r="O16" s="26" t="s">
        <v>23</v>
      </c>
      <c r="P16" s="44" t="s">
        <v>1352</v>
      </c>
      <c r="Q16" s="26" t="s">
        <v>25</v>
      </c>
      <c r="R16" s="44" t="s">
        <v>1352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1352</v>
      </c>
      <c r="Z16" s="30" t="s">
        <v>25</v>
      </c>
      <c r="AA16" s="30" t="s">
        <v>1352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1352</v>
      </c>
      <c r="AI16" s="33" t="s">
        <v>25</v>
      </c>
      <c r="AJ16" s="33" t="s">
        <v>1352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5223</v>
      </c>
      <c r="C17" s="25" t="s">
        <v>5224</v>
      </c>
      <c r="D17" s="23" t="s">
        <v>5200</v>
      </c>
      <c r="E17" s="43">
        <v>46125</v>
      </c>
      <c r="F17" s="26" t="s">
        <v>23</v>
      </c>
      <c r="G17" s="44" t="s">
        <v>1352</v>
      </c>
      <c r="H17" s="26" t="s">
        <v>25</v>
      </c>
      <c r="I17" s="44" t="s">
        <v>1352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46196</v>
      </c>
      <c r="O17" s="26" t="s">
        <v>23</v>
      </c>
      <c r="P17" s="44" t="s">
        <v>1352</v>
      </c>
      <c r="Q17" s="26" t="s">
        <v>25</v>
      </c>
      <c r="R17" s="44" t="s">
        <v>1352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1352</v>
      </c>
      <c r="Z17" s="30" t="s">
        <v>25</v>
      </c>
      <c r="AA17" s="30" t="s">
        <v>1352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1352</v>
      </c>
      <c r="AI17" s="33" t="s">
        <v>25</v>
      </c>
      <c r="AJ17" s="33" t="s">
        <v>1352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5225</v>
      </c>
      <c r="C18" s="41" t="s">
        <v>5226</v>
      </c>
      <c r="D18" s="39" t="s">
        <v>5200</v>
      </c>
      <c r="E18" s="43">
        <v>46125</v>
      </c>
      <c r="F18" s="26" t="s">
        <v>23</v>
      </c>
      <c r="G18" s="44" t="s">
        <v>1352</v>
      </c>
      <c r="H18" s="26" t="s">
        <v>25</v>
      </c>
      <c r="I18" s="44" t="s">
        <v>1352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46196</v>
      </c>
      <c r="O18" s="26" t="s">
        <v>23</v>
      </c>
      <c r="P18" s="44" t="s">
        <v>1352</v>
      </c>
      <c r="Q18" s="26" t="s">
        <v>25</v>
      </c>
      <c r="R18" s="44" t="s">
        <v>1352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1352</v>
      </c>
      <c r="Z18" s="30" t="s">
        <v>25</v>
      </c>
      <c r="AA18" s="30" t="s">
        <v>1352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1352</v>
      </c>
      <c r="AI18" s="33" t="s">
        <v>25</v>
      </c>
      <c r="AJ18" s="33" t="s">
        <v>1352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5227</v>
      </c>
      <c r="C19" s="25" t="s">
        <v>5228</v>
      </c>
      <c r="D19" s="23" t="s">
        <v>5200</v>
      </c>
      <c r="E19" s="43">
        <v>46125</v>
      </c>
      <c r="F19" s="26" t="s">
        <v>23</v>
      </c>
      <c r="G19" s="44" t="s">
        <v>24</v>
      </c>
      <c r="H19" s="26" t="s">
        <v>25</v>
      </c>
      <c r="I19" s="44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46196</v>
      </c>
      <c r="O19" s="26" t="s">
        <v>23</v>
      </c>
      <c r="P19" s="44" t="s">
        <v>24</v>
      </c>
      <c r="Q19" s="26" t="s">
        <v>25</v>
      </c>
      <c r="R19" s="44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5229</v>
      </c>
      <c r="C20" s="41" t="s">
        <v>5230</v>
      </c>
      <c r="D20" s="39" t="s">
        <v>5200</v>
      </c>
      <c r="E20" s="43">
        <v>46125</v>
      </c>
      <c r="F20" s="26" t="s">
        <v>23</v>
      </c>
      <c r="G20" s="44" t="s">
        <v>1352</v>
      </c>
      <c r="H20" s="26" t="s">
        <v>25</v>
      </c>
      <c r="I20" s="44" t="s">
        <v>1352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46196</v>
      </c>
      <c r="O20" s="26" t="s">
        <v>23</v>
      </c>
      <c r="P20" s="44" t="s">
        <v>1352</v>
      </c>
      <c r="Q20" s="26" t="s">
        <v>25</v>
      </c>
      <c r="R20" s="44" t="s">
        <v>1352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1352</v>
      </c>
      <c r="Z20" s="30" t="s">
        <v>25</v>
      </c>
      <c r="AA20" s="30" t="s">
        <v>1352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1352</v>
      </c>
      <c r="AI20" s="33" t="s">
        <v>25</v>
      </c>
      <c r="AJ20" s="33" t="s">
        <v>1352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5231</v>
      </c>
      <c r="C21" s="25" t="s">
        <v>5232</v>
      </c>
      <c r="D21" s="23" t="s">
        <v>5200</v>
      </c>
      <c r="E21" s="43">
        <v>46125</v>
      </c>
      <c r="F21" s="26" t="s">
        <v>23</v>
      </c>
      <c r="G21" s="44" t="s">
        <v>1352</v>
      </c>
      <c r="H21" s="26" t="s">
        <v>25</v>
      </c>
      <c r="I21" s="44" t="s">
        <v>1352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46196</v>
      </c>
      <c r="O21" s="26" t="s">
        <v>23</v>
      </c>
      <c r="P21" s="44" t="s">
        <v>1352</v>
      </c>
      <c r="Q21" s="26" t="s">
        <v>25</v>
      </c>
      <c r="R21" s="44" t="s">
        <v>1352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1352</v>
      </c>
      <c r="Z21" s="30" t="s">
        <v>25</v>
      </c>
      <c r="AA21" s="30" t="s">
        <v>1352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1352</v>
      </c>
      <c r="AI21" s="33" t="s">
        <v>25</v>
      </c>
      <c r="AJ21" s="33" t="s">
        <v>1352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5233</v>
      </c>
      <c r="C22" s="41" t="s">
        <v>5234</v>
      </c>
      <c r="D22" s="39" t="s">
        <v>5200</v>
      </c>
      <c r="E22" s="43">
        <v>46125</v>
      </c>
      <c r="F22" s="26" t="s">
        <v>23</v>
      </c>
      <c r="G22" s="44" t="s">
        <v>1352</v>
      </c>
      <c r="H22" s="26" t="s">
        <v>25</v>
      </c>
      <c r="I22" s="44" t="s">
        <v>1352</v>
      </c>
      <c r="J22" s="26" t="s">
        <v>24</v>
      </c>
      <c r="K22" s="27"/>
      <c r="L22" s="28" t="s">
        <v>25</v>
      </c>
      <c r="M22" s="29" t="str">
        <f t="shared" si="0"/>
        <v>✓ OK</v>
      </c>
      <c r="N22" s="43">
        <v>46196</v>
      </c>
      <c r="O22" s="26" t="s">
        <v>23</v>
      </c>
      <c r="P22" s="44" t="s">
        <v>1352</v>
      </c>
      <c r="Q22" s="26" t="s">
        <v>25</v>
      </c>
      <c r="R22" s="44" t="s">
        <v>1352</v>
      </c>
      <c r="S22" s="26" t="s">
        <v>24</v>
      </c>
      <c r="T22" s="27"/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1352</v>
      </c>
      <c r="Z22" s="30" t="s">
        <v>25</v>
      </c>
      <c r="AA22" s="30" t="s">
        <v>1352</v>
      </c>
      <c r="AB22" s="30" t="s">
        <v>24</v>
      </c>
      <c r="AC22" s="27"/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1352</v>
      </c>
      <c r="AI22" s="33" t="s">
        <v>25</v>
      </c>
      <c r="AJ22" s="33" t="s">
        <v>1352</v>
      </c>
      <c r="AK22" s="33" t="s">
        <v>24</v>
      </c>
      <c r="AL22" s="27"/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5235</v>
      </c>
      <c r="C23" s="25" t="s">
        <v>5236</v>
      </c>
      <c r="D23" s="23" t="s">
        <v>5200</v>
      </c>
      <c r="E23" s="43">
        <v>46125</v>
      </c>
      <c r="F23" s="26" t="s">
        <v>23</v>
      </c>
      <c r="G23" s="44" t="s">
        <v>1352</v>
      </c>
      <c r="H23" s="26" t="s">
        <v>25</v>
      </c>
      <c r="I23" s="44" t="s">
        <v>1352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46196</v>
      </c>
      <c r="O23" s="26" t="s">
        <v>23</v>
      </c>
      <c r="P23" s="44" t="s">
        <v>1352</v>
      </c>
      <c r="Q23" s="26" t="s">
        <v>25</v>
      </c>
      <c r="R23" s="44" t="s">
        <v>1352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1352</v>
      </c>
      <c r="Z23" s="30" t="s">
        <v>25</v>
      </c>
      <c r="AA23" s="30" t="s">
        <v>1352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1352</v>
      </c>
      <c r="AI23" s="33" t="s">
        <v>25</v>
      </c>
      <c r="AJ23" s="33" t="s">
        <v>1352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5237</v>
      </c>
      <c r="C24" s="41" t="s">
        <v>5238</v>
      </c>
      <c r="D24" s="39" t="s">
        <v>5200</v>
      </c>
      <c r="E24" s="43">
        <v>46125</v>
      </c>
      <c r="F24" s="26" t="s">
        <v>23</v>
      </c>
      <c r="G24" s="44" t="s">
        <v>1352</v>
      </c>
      <c r="H24" s="26" t="s">
        <v>25</v>
      </c>
      <c r="I24" s="44" t="s">
        <v>1352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46196</v>
      </c>
      <c r="O24" s="26" t="s">
        <v>23</v>
      </c>
      <c r="P24" s="44" t="s">
        <v>1352</v>
      </c>
      <c r="Q24" s="26" t="s">
        <v>25</v>
      </c>
      <c r="R24" s="44" t="s">
        <v>1352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1352</v>
      </c>
      <c r="Z24" s="30" t="s">
        <v>25</v>
      </c>
      <c r="AA24" s="30" t="s">
        <v>1352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1352</v>
      </c>
      <c r="AI24" s="33" t="s">
        <v>25</v>
      </c>
      <c r="AJ24" s="33" t="s">
        <v>1352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5239</v>
      </c>
      <c r="C25" s="25" t="s">
        <v>5240</v>
      </c>
      <c r="D25" s="23" t="s">
        <v>5200</v>
      </c>
      <c r="E25" s="43">
        <v>46125</v>
      </c>
      <c r="F25" s="26" t="s">
        <v>23</v>
      </c>
      <c r="G25" s="44" t="s">
        <v>1352</v>
      </c>
      <c r="H25" s="26" t="s">
        <v>25</v>
      </c>
      <c r="I25" s="44" t="s">
        <v>1352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46196</v>
      </c>
      <c r="O25" s="26" t="s">
        <v>23</v>
      </c>
      <c r="P25" s="44" t="s">
        <v>1352</v>
      </c>
      <c r="Q25" s="26" t="s">
        <v>25</v>
      </c>
      <c r="R25" s="44" t="s">
        <v>1352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1352</v>
      </c>
      <c r="Z25" s="30" t="s">
        <v>25</v>
      </c>
      <c r="AA25" s="30" t="s">
        <v>1352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1352</v>
      </c>
      <c r="AI25" s="33" t="s">
        <v>25</v>
      </c>
      <c r="AJ25" s="33" t="s">
        <v>1352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5241</v>
      </c>
      <c r="C26" s="41" t="s">
        <v>5242</v>
      </c>
      <c r="D26" s="39" t="s">
        <v>5200</v>
      </c>
      <c r="E26" s="43">
        <v>46125</v>
      </c>
      <c r="F26" s="26" t="s">
        <v>23</v>
      </c>
      <c r="G26" s="44" t="s">
        <v>1352</v>
      </c>
      <c r="H26" s="26" t="s">
        <v>25</v>
      </c>
      <c r="I26" s="44" t="s">
        <v>1352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46196</v>
      </c>
      <c r="O26" s="26" t="s">
        <v>23</v>
      </c>
      <c r="P26" s="44" t="s">
        <v>1352</v>
      </c>
      <c r="Q26" s="26" t="s">
        <v>25</v>
      </c>
      <c r="R26" s="44" t="s">
        <v>1352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1352</v>
      </c>
      <c r="Z26" s="30" t="s">
        <v>25</v>
      </c>
      <c r="AA26" s="30" t="s">
        <v>1352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1352</v>
      </c>
      <c r="AI26" s="33" t="s">
        <v>25</v>
      </c>
      <c r="AJ26" s="33" t="s">
        <v>1352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5243</v>
      </c>
      <c r="C27" s="25" t="s">
        <v>5244</v>
      </c>
      <c r="D27" s="23" t="s">
        <v>5200</v>
      </c>
      <c r="E27" s="43">
        <v>46125</v>
      </c>
      <c r="F27" s="26" t="s">
        <v>23</v>
      </c>
      <c r="G27" s="44" t="s">
        <v>1352</v>
      </c>
      <c r="H27" s="26" t="s">
        <v>25</v>
      </c>
      <c r="I27" s="44" t="s">
        <v>1352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46196</v>
      </c>
      <c r="O27" s="26" t="s">
        <v>23</v>
      </c>
      <c r="P27" s="44" t="s">
        <v>1352</v>
      </c>
      <c r="Q27" s="26" t="s">
        <v>25</v>
      </c>
      <c r="R27" s="44" t="s">
        <v>1352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1352</v>
      </c>
      <c r="Z27" s="30" t="s">
        <v>25</v>
      </c>
      <c r="AA27" s="30" t="s">
        <v>1352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1352</v>
      </c>
      <c r="AI27" s="33" t="s">
        <v>25</v>
      </c>
      <c r="AJ27" s="33" t="s">
        <v>1352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5245</v>
      </c>
      <c r="C28" s="41" t="s">
        <v>5246</v>
      </c>
      <c r="D28" s="39" t="s">
        <v>5200</v>
      </c>
      <c r="E28" s="43">
        <v>46125</v>
      </c>
      <c r="F28" s="26" t="s">
        <v>23</v>
      </c>
      <c r="G28" s="44" t="s">
        <v>1352</v>
      </c>
      <c r="H28" s="26" t="s">
        <v>25</v>
      </c>
      <c r="I28" s="44" t="s">
        <v>1352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46196</v>
      </c>
      <c r="O28" s="26" t="s">
        <v>23</v>
      </c>
      <c r="P28" s="44" t="s">
        <v>1352</v>
      </c>
      <c r="Q28" s="26" t="s">
        <v>25</v>
      </c>
      <c r="R28" s="44" t="s">
        <v>1352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1352</v>
      </c>
      <c r="Z28" s="30" t="s">
        <v>25</v>
      </c>
      <c r="AA28" s="30" t="s">
        <v>1352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1352</v>
      </c>
      <c r="AI28" s="33" t="s">
        <v>25</v>
      </c>
      <c r="AJ28" s="33" t="s">
        <v>1352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5247</v>
      </c>
      <c r="C29" s="25" t="s">
        <v>5248</v>
      </c>
      <c r="D29" s="23" t="s">
        <v>5200</v>
      </c>
      <c r="E29" s="43">
        <v>46125</v>
      </c>
      <c r="F29" s="26" t="s">
        <v>23</v>
      </c>
      <c r="G29" s="44" t="s">
        <v>1352</v>
      </c>
      <c r="H29" s="26" t="s">
        <v>25</v>
      </c>
      <c r="I29" s="44" t="s">
        <v>1352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46196</v>
      </c>
      <c r="O29" s="26" t="s">
        <v>23</v>
      </c>
      <c r="P29" s="44" t="s">
        <v>1352</v>
      </c>
      <c r="Q29" s="26" t="s">
        <v>25</v>
      </c>
      <c r="R29" s="44" t="s">
        <v>1352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1352</v>
      </c>
      <c r="Z29" s="30" t="s">
        <v>25</v>
      </c>
      <c r="AA29" s="30" t="s">
        <v>1352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1352</v>
      </c>
      <c r="AI29" s="33" t="s">
        <v>25</v>
      </c>
      <c r="AJ29" s="33" t="s">
        <v>1352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5249</v>
      </c>
      <c r="C30" s="41" t="s">
        <v>5250</v>
      </c>
      <c r="D30" s="39" t="s">
        <v>5200</v>
      </c>
      <c r="E30" s="43">
        <v>46125</v>
      </c>
      <c r="F30" s="26" t="s">
        <v>23</v>
      </c>
      <c r="G30" s="44" t="s">
        <v>24</v>
      </c>
      <c r="H30" s="26" t="s">
        <v>25</v>
      </c>
      <c r="I30" s="44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46196</v>
      </c>
      <c r="O30" s="26" t="s">
        <v>23</v>
      </c>
      <c r="P30" s="44" t="s">
        <v>24</v>
      </c>
      <c r="Q30" s="26" t="s">
        <v>25</v>
      </c>
      <c r="R30" s="44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24</v>
      </c>
      <c r="Z30" s="30" t="s">
        <v>25</v>
      </c>
      <c r="AA30" s="30" t="s">
        <v>26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24</v>
      </c>
      <c r="AI30" s="33" t="s">
        <v>25</v>
      </c>
      <c r="AJ30" s="33" t="s">
        <v>26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5251</v>
      </c>
      <c r="C31" s="25" t="s">
        <v>5252</v>
      </c>
      <c r="D31" s="23" t="s">
        <v>5200</v>
      </c>
      <c r="E31" s="43">
        <v>46125</v>
      </c>
      <c r="F31" s="26" t="s">
        <v>23</v>
      </c>
      <c r="G31" s="44" t="s">
        <v>1352</v>
      </c>
      <c r="H31" s="26" t="s">
        <v>25</v>
      </c>
      <c r="I31" s="44" t="s">
        <v>1352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46196</v>
      </c>
      <c r="O31" s="26" t="s">
        <v>23</v>
      </c>
      <c r="P31" s="44" t="s">
        <v>1352</v>
      </c>
      <c r="Q31" s="26" t="s">
        <v>25</v>
      </c>
      <c r="R31" s="44" t="s">
        <v>1352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1352</v>
      </c>
      <c r="Z31" s="30" t="s">
        <v>25</v>
      </c>
      <c r="AA31" s="30" t="s">
        <v>1352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1352</v>
      </c>
      <c r="AI31" s="33" t="s">
        <v>25</v>
      </c>
      <c r="AJ31" s="33" t="s">
        <v>1352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5253</v>
      </c>
      <c r="C32" s="41" t="s">
        <v>5254</v>
      </c>
      <c r="D32" s="39" t="s">
        <v>5200</v>
      </c>
      <c r="E32" s="43">
        <v>46125</v>
      </c>
      <c r="F32" s="26" t="s">
        <v>23</v>
      </c>
      <c r="G32" s="44" t="s">
        <v>1352</v>
      </c>
      <c r="H32" s="26" t="s">
        <v>25</v>
      </c>
      <c r="I32" s="44" t="s">
        <v>1352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46196</v>
      </c>
      <c r="O32" s="26" t="s">
        <v>23</v>
      </c>
      <c r="P32" s="44" t="s">
        <v>1352</v>
      </c>
      <c r="Q32" s="26" t="s">
        <v>25</v>
      </c>
      <c r="R32" s="44" t="s">
        <v>1352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1352</v>
      </c>
      <c r="Z32" s="30" t="s">
        <v>25</v>
      </c>
      <c r="AA32" s="30" t="s">
        <v>1352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1352</v>
      </c>
      <c r="AI32" s="33" t="s">
        <v>25</v>
      </c>
      <c r="AJ32" s="33" t="s">
        <v>1352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5255</v>
      </c>
      <c r="C33" s="25" t="s">
        <v>5256</v>
      </c>
      <c r="D33" s="23" t="s">
        <v>5200</v>
      </c>
      <c r="E33" s="43">
        <v>46125</v>
      </c>
      <c r="F33" s="26" t="s">
        <v>23</v>
      </c>
      <c r="G33" s="44" t="s">
        <v>1352</v>
      </c>
      <c r="H33" s="26" t="s">
        <v>25</v>
      </c>
      <c r="I33" s="44" t="s">
        <v>1352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46196</v>
      </c>
      <c r="O33" s="26" t="s">
        <v>23</v>
      </c>
      <c r="P33" s="44" t="s">
        <v>1352</v>
      </c>
      <c r="Q33" s="26" t="s">
        <v>25</v>
      </c>
      <c r="R33" s="44" t="s">
        <v>1352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1352</v>
      </c>
      <c r="Z33" s="30" t="s">
        <v>25</v>
      </c>
      <c r="AA33" s="30" t="s">
        <v>1352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1352</v>
      </c>
      <c r="AI33" s="33" t="s">
        <v>25</v>
      </c>
      <c r="AJ33" s="33" t="s">
        <v>1352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5257</v>
      </c>
      <c r="C34" s="41" t="s">
        <v>5258</v>
      </c>
      <c r="D34" s="39" t="s">
        <v>5200</v>
      </c>
      <c r="E34" s="43">
        <v>46125</v>
      </c>
      <c r="F34" s="26" t="s">
        <v>23</v>
      </c>
      <c r="G34" s="44" t="s">
        <v>1352</v>
      </c>
      <c r="H34" s="26" t="s">
        <v>25</v>
      </c>
      <c r="I34" s="44" t="s">
        <v>1352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46196</v>
      </c>
      <c r="O34" s="26" t="s">
        <v>23</v>
      </c>
      <c r="P34" s="44" t="s">
        <v>1352</v>
      </c>
      <c r="Q34" s="26" t="s">
        <v>25</v>
      </c>
      <c r="R34" s="44" t="s">
        <v>1352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1352</v>
      </c>
      <c r="Z34" s="30" t="s">
        <v>25</v>
      </c>
      <c r="AA34" s="30" t="s">
        <v>1352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1352</v>
      </c>
      <c r="AI34" s="33" t="s">
        <v>25</v>
      </c>
      <c r="AJ34" s="33" t="s">
        <v>1352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5259</v>
      </c>
      <c r="C35" s="25" t="s">
        <v>5260</v>
      </c>
      <c r="D35" s="23" t="s">
        <v>5200</v>
      </c>
      <c r="E35" s="43">
        <v>46125</v>
      </c>
      <c r="F35" s="26" t="s">
        <v>23</v>
      </c>
      <c r="G35" s="44" t="s">
        <v>1352</v>
      </c>
      <c r="H35" s="26" t="s">
        <v>25</v>
      </c>
      <c r="I35" s="44" t="s">
        <v>1352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46196</v>
      </c>
      <c r="O35" s="26" t="s">
        <v>23</v>
      </c>
      <c r="P35" s="44" t="s">
        <v>1352</v>
      </c>
      <c r="Q35" s="26" t="s">
        <v>25</v>
      </c>
      <c r="R35" s="44" t="s">
        <v>1352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1352</v>
      </c>
      <c r="Z35" s="30" t="s">
        <v>25</v>
      </c>
      <c r="AA35" s="30" t="s">
        <v>1352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1352</v>
      </c>
      <c r="AI35" s="33" t="s">
        <v>25</v>
      </c>
      <c r="AJ35" s="33" t="s">
        <v>1352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5261</v>
      </c>
      <c r="C36" s="41" t="s">
        <v>5262</v>
      </c>
      <c r="D36" s="39" t="s">
        <v>5200</v>
      </c>
      <c r="E36" s="43">
        <v>46125</v>
      </c>
      <c r="F36" s="26" t="s">
        <v>23</v>
      </c>
      <c r="G36" s="44" t="s">
        <v>1352</v>
      </c>
      <c r="H36" s="26" t="s">
        <v>25</v>
      </c>
      <c r="I36" s="44" t="s">
        <v>1352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46196</v>
      </c>
      <c r="O36" s="26" t="s">
        <v>23</v>
      </c>
      <c r="P36" s="44" t="s">
        <v>1352</v>
      </c>
      <c r="Q36" s="26" t="s">
        <v>25</v>
      </c>
      <c r="R36" s="44" t="s">
        <v>1352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1352</v>
      </c>
      <c r="Z36" s="30" t="s">
        <v>25</v>
      </c>
      <c r="AA36" s="30" t="s">
        <v>1352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1352</v>
      </c>
      <c r="AI36" s="33" t="s">
        <v>25</v>
      </c>
      <c r="AJ36" s="33" t="s">
        <v>1352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5263</v>
      </c>
      <c r="C37" s="25" t="s">
        <v>5264</v>
      </c>
      <c r="D37" s="23" t="s">
        <v>5200</v>
      </c>
      <c r="E37" s="43">
        <v>46125</v>
      </c>
      <c r="F37" s="26" t="s">
        <v>23</v>
      </c>
      <c r="G37" s="44" t="s">
        <v>1352</v>
      </c>
      <c r="H37" s="26" t="s">
        <v>25</v>
      </c>
      <c r="I37" s="44" t="s">
        <v>1352</v>
      </c>
      <c r="J37" s="26" t="s">
        <v>24</v>
      </c>
      <c r="K37" s="27"/>
      <c r="L37" s="28" t="s">
        <v>25</v>
      </c>
      <c r="M37" s="29" t="str">
        <f t="shared" si="0"/>
        <v>✓ OK</v>
      </c>
      <c r="N37" s="43">
        <v>46196</v>
      </c>
      <c r="O37" s="26" t="s">
        <v>23</v>
      </c>
      <c r="P37" s="44" t="s">
        <v>1352</v>
      </c>
      <c r="Q37" s="26" t="s">
        <v>25</v>
      </c>
      <c r="R37" s="44" t="s">
        <v>1352</v>
      </c>
      <c r="S37" s="26" t="s">
        <v>24</v>
      </c>
      <c r="T37" s="27"/>
      <c r="U37" s="28" t="s">
        <v>25</v>
      </c>
      <c r="V37" s="29" t="str">
        <f t="shared" si="1"/>
        <v>✓ OK</v>
      </c>
      <c r="W37" s="45">
        <v>46248</v>
      </c>
      <c r="X37" s="30" t="s">
        <v>23</v>
      </c>
      <c r="Y37" s="30" t="s">
        <v>1352</v>
      </c>
      <c r="Z37" s="30" t="s">
        <v>25</v>
      </c>
      <c r="AA37" s="30" t="s">
        <v>1352</v>
      </c>
      <c r="AB37" s="30" t="s">
        <v>24</v>
      </c>
      <c r="AC37" s="27"/>
      <c r="AD37" s="31" t="s">
        <v>25</v>
      </c>
      <c r="AE37" s="32" t="str">
        <f t="shared" si="2"/>
        <v>✓ OK</v>
      </c>
      <c r="AF37" s="33" t="s">
        <v>27</v>
      </c>
      <c r="AG37" s="33" t="s">
        <v>23</v>
      </c>
      <c r="AH37" s="33" t="s">
        <v>1352</v>
      </c>
      <c r="AI37" s="33" t="s">
        <v>25</v>
      </c>
      <c r="AJ37" s="33" t="s">
        <v>1352</v>
      </c>
      <c r="AK37" s="33" t="s">
        <v>24</v>
      </c>
      <c r="AL37" s="27"/>
      <c r="AM37" s="34" t="s">
        <v>25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5265</v>
      </c>
      <c r="C38" s="41" t="s">
        <v>5266</v>
      </c>
      <c r="D38" s="39" t="s">
        <v>5200</v>
      </c>
      <c r="E38" s="43">
        <v>46125</v>
      </c>
      <c r="F38" s="26" t="s">
        <v>23</v>
      </c>
      <c r="G38" s="44" t="s">
        <v>1352</v>
      </c>
      <c r="H38" s="26" t="s">
        <v>25</v>
      </c>
      <c r="I38" s="44" t="s">
        <v>1352</v>
      </c>
      <c r="J38" s="26" t="s">
        <v>24</v>
      </c>
      <c r="K38" s="27"/>
      <c r="L38" s="28" t="s">
        <v>25</v>
      </c>
      <c r="M38" s="29" t="str">
        <f t="shared" si="0"/>
        <v>✓ OK</v>
      </c>
      <c r="N38" s="43">
        <v>46196</v>
      </c>
      <c r="O38" s="26" t="s">
        <v>23</v>
      </c>
      <c r="P38" s="44" t="s">
        <v>1352</v>
      </c>
      <c r="Q38" s="26" t="s">
        <v>25</v>
      </c>
      <c r="R38" s="44" t="s">
        <v>1352</v>
      </c>
      <c r="S38" s="26" t="s">
        <v>24</v>
      </c>
      <c r="T38" s="27"/>
      <c r="U38" s="28" t="s">
        <v>25</v>
      </c>
      <c r="V38" s="29" t="str">
        <f t="shared" si="1"/>
        <v>✓ OK</v>
      </c>
      <c r="W38" s="45">
        <v>46248</v>
      </c>
      <c r="X38" s="30" t="s">
        <v>23</v>
      </c>
      <c r="Y38" s="30" t="s">
        <v>1352</v>
      </c>
      <c r="Z38" s="30" t="s">
        <v>25</v>
      </c>
      <c r="AA38" s="30" t="s">
        <v>1352</v>
      </c>
      <c r="AB38" s="30" t="s">
        <v>24</v>
      </c>
      <c r="AC38" s="27"/>
      <c r="AD38" s="31" t="s">
        <v>25</v>
      </c>
      <c r="AE38" s="32" t="str">
        <f t="shared" si="2"/>
        <v>✓ OK</v>
      </c>
      <c r="AF38" s="33" t="s">
        <v>27</v>
      </c>
      <c r="AG38" s="33" t="s">
        <v>23</v>
      </c>
      <c r="AH38" s="33" t="s">
        <v>1352</v>
      </c>
      <c r="AI38" s="33" t="s">
        <v>25</v>
      </c>
      <c r="AJ38" s="33" t="s">
        <v>1352</v>
      </c>
      <c r="AK38" s="33" t="s">
        <v>24</v>
      </c>
      <c r="AL38" s="27"/>
      <c r="AM38" s="34" t="s">
        <v>25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5267</v>
      </c>
      <c r="C39" s="25" t="s">
        <v>5268</v>
      </c>
      <c r="D39" s="23" t="s">
        <v>5200</v>
      </c>
      <c r="E39" s="43">
        <v>46125</v>
      </c>
      <c r="F39" s="26" t="s">
        <v>23</v>
      </c>
      <c r="G39" s="44" t="s">
        <v>1352</v>
      </c>
      <c r="H39" s="26" t="s">
        <v>25</v>
      </c>
      <c r="I39" s="44" t="s">
        <v>1352</v>
      </c>
      <c r="J39" s="26" t="s">
        <v>24</v>
      </c>
      <c r="K39" s="27"/>
      <c r="L39" s="28" t="s">
        <v>25</v>
      </c>
      <c r="M39" s="29" t="str">
        <f t="shared" si="0"/>
        <v>✓ OK</v>
      </c>
      <c r="N39" s="43">
        <v>46196</v>
      </c>
      <c r="O39" s="26" t="s">
        <v>23</v>
      </c>
      <c r="P39" s="44" t="s">
        <v>1352</v>
      </c>
      <c r="Q39" s="26" t="s">
        <v>25</v>
      </c>
      <c r="R39" s="44" t="s">
        <v>1352</v>
      </c>
      <c r="S39" s="26" t="s">
        <v>24</v>
      </c>
      <c r="T39" s="27"/>
      <c r="U39" s="28" t="s">
        <v>25</v>
      </c>
      <c r="V39" s="29" t="str">
        <f t="shared" si="1"/>
        <v>✓ OK</v>
      </c>
      <c r="W39" s="45">
        <v>46248</v>
      </c>
      <c r="X39" s="30" t="s">
        <v>23</v>
      </c>
      <c r="Y39" s="30" t="s">
        <v>1352</v>
      </c>
      <c r="Z39" s="30" t="s">
        <v>25</v>
      </c>
      <c r="AA39" s="30" t="s">
        <v>1352</v>
      </c>
      <c r="AB39" s="30" t="s">
        <v>24</v>
      </c>
      <c r="AC39" s="27"/>
      <c r="AD39" s="31" t="s">
        <v>25</v>
      </c>
      <c r="AE39" s="32" t="str">
        <f t="shared" si="2"/>
        <v>✓ OK</v>
      </c>
      <c r="AF39" s="33" t="s">
        <v>27</v>
      </c>
      <c r="AG39" s="33" t="s">
        <v>23</v>
      </c>
      <c r="AH39" s="33" t="s">
        <v>1352</v>
      </c>
      <c r="AI39" s="33" t="s">
        <v>25</v>
      </c>
      <c r="AJ39" s="33" t="s">
        <v>1352</v>
      </c>
      <c r="AK39" s="33" t="s">
        <v>24</v>
      </c>
      <c r="AL39" s="27"/>
      <c r="AM39" s="34" t="s">
        <v>25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5269</v>
      </c>
      <c r="C40" s="41" t="s">
        <v>5270</v>
      </c>
      <c r="D40" s="39" t="s">
        <v>5200</v>
      </c>
      <c r="E40" s="43">
        <v>46125</v>
      </c>
      <c r="F40" s="26" t="s">
        <v>23</v>
      </c>
      <c r="G40" s="44" t="s">
        <v>1352</v>
      </c>
      <c r="H40" s="26" t="s">
        <v>25</v>
      </c>
      <c r="I40" s="44" t="s">
        <v>1352</v>
      </c>
      <c r="J40" s="26" t="s">
        <v>24</v>
      </c>
      <c r="K40" s="27"/>
      <c r="L40" s="28" t="s">
        <v>25</v>
      </c>
      <c r="M40" s="29" t="str">
        <f t="shared" si="0"/>
        <v>✓ OK</v>
      </c>
      <c r="N40" s="43">
        <v>46196</v>
      </c>
      <c r="O40" s="26" t="s">
        <v>23</v>
      </c>
      <c r="P40" s="44" t="s">
        <v>1352</v>
      </c>
      <c r="Q40" s="26" t="s">
        <v>25</v>
      </c>
      <c r="R40" s="44" t="s">
        <v>1352</v>
      </c>
      <c r="S40" s="26" t="s">
        <v>24</v>
      </c>
      <c r="T40" s="27"/>
      <c r="U40" s="28" t="s">
        <v>25</v>
      </c>
      <c r="V40" s="29" t="str">
        <f t="shared" si="1"/>
        <v>✓ OK</v>
      </c>
      <c r="W40" s="45">
        <v>46248</v>
      </c>
      <c r="X40" s="30" t="s">
        <v>23</v>
      </c>
      <c r="Y40" s="30" t="s">
        <v>1352</v>
      </c>
      <c r="Z40" s="30" t="s">
        <v>25</v>
      </c>
      <c r="AA40" s="30" t="s">
        <v>1352</v>
      </c>
      <c r="AB40" s="30" t="s">
        <v>24</v>
      </c>
      <c r="AC40" s="27"/>
      <c r="AD40" s="31" t="s">
        <v>25</v>
      </c>
      <c r="AE40" s="32" t="str">
        <f t="shared" si="2"/>
        <v>✓ OK</v>
      </c>
      <c r="AF40" s="33" t="s">
        <v>27</v>
      </c>
      <c r="AG40" s="33" t="s">
        <v>23</v>
      </c>
      <c r="AH40" s="33" t="s">
        <v>1352</v>
      </c>
      <c r="AI40" s="33" t="s">
        <v>25</v>
      </c>
      <c r="AJ40" s="33" t="s">
        <v>1352</v>
      </c>
      <c r="AK40" s="33" t="s">
        <v>24</v>
      </c>
      <c r="AL40" s="27"/>
      <c r="AM40" s="34" t="s">
        <v>25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5271</v>
      </c>
      <c r="C41" s="25" t="s">
        <v>5272</v>
      </c>
      <c r="D41" s="23" t="s">
        <v>5200</v>
      </c>
      <c r="E41" s="43">
        <v>46125</v>
      </c>
      <c r="F41" s="26" t="s">
        <v>23</v>
      </c>
      <c r="G41" s="44" t="s">
        <v>1352</v>
      </c>
      <c r="H41" s="26" t="s">
        <v>25</v>
      </c>
      <c r="I41" s="44" t="s">
        <v>1352</v>
      </c>
      <c r="J41" s="26" t="s">
        <v>24</v>
      </c>
      <c r="K41" s="27"/>
      <c r="L41" s="28" t="s">
        <v>25</v>
      </c>
      <c r="M41" s="29" t="str">
        <f t="shared" si="0"/>
        <v>✓ OK</v>
      </c>
      <c r="N41" s="43">
        <v>46196</v>
      </c>
      <c r="O41" s="26" t="s">
        <v>23</v>
      </c>
      <c r="P41" s="44" t="s">
        <v>1352</v>
      </c>
      <c r="Q41" s="26" t="s">
        <v>25</v>
      </c>
      <c r="R41" s="44" t="s">
        <v>1352</v>
      </c>
      <c r="S41" s="26" t="s">
        <v>24</v>
      </c>
      <c r="T41" s="27"/>
      <c r="U41" s="28" t="s">
        <v>25</v>
      </c>
      <c r="V41" s="29" t="str">
        <f t="shared" si="1"/>
        <v>✓ OK</v>
      </c>
      <c r="W41" s="45">
        <v>46248</v>
      </c>
      <c r="X41" s="30" t="s">
        <v>23</v>
      </c>
      <c r="Y41" s="30" t="s">
        <v>1352</v>
      </c>
      <c r="Z41" s="30" t="s">
        <v>25</v>
      </c>
      <c r="AA41" s="30" t="s">
        <v>1352</v>
      </c>
      <c r="AB41" s="30" t="s">
        <v>24</v>
      </c>
      <c r="AC41" s="27"/>
      <c r="AD41" s="31" t="s">
        <v>25</v>
      </c>
      <c r="AE41" s="32" t="str">
        <f t="shared" si="2"/>
        <v>✓ OK</v>
      </c>
      <c r="AF41" s="33" t="s">
        <v>27</v>
      </c>
      <c r="AG41" s="33" t="s">
        <v>23</v>
      </c>
      <c r="AH41" s="33" t="s">
        <v>1352</v>
      </c>
      <c r="AI41" s="33" t="s">
        <v>25</v>
      </c>
      <c r="AJ41" s="33" t="s">
        <v>1352</v>
      </c>
      <c r="AK41" s="33" t="s">
        <v>24</v>
      </c>
      <c r="AL41" s="27"/>
      <c r="AM41" s="34" t="s">
        <v>25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5273</v>
      </c>
      <c r="C42" s="41" t="s">
        <v>5274</v>
      </c>
      <c r="D42" s="39" t="s">
        <v>5200</v>
      </c>
      <c r="E42" s="43">
        <v>46125</v>
      </c>
      <c r="F42" s="26" t="s">
        <v>23</v>
      </c>
      <c r="G42" s="44" t="s">
        <v>1352</v>
      </c>
      <c r="H42" s="26" t="s">
        <v>25</v>
      </c>
      <c r="I42" s="44" t="s">
        <v>1352</v>
      </c>
      <c r="J42" s="26" t="s">
        <v>24</v>
      </c>
      <c r="K42" s="27"/>
      <c r="L42" s="28" t="s">
        <v>25</v>
      </c>
      <c r="M42" s="29" t="str">
        <f t="shared" si="0"/>
        <v>✓ OK</v>
      </c>
      <c r="N42" s="43">
        <v>46196</v>
      </c>
      <c r="O42" s="26" t="s">
        <v>23</v>
      </c>
      <c r="P42" s="44" t="s">
        <v>1352</v>
      </c>
      <c r="Q42" s="26" t="s">
        <v>25</v>
      </c>
      <c r="R42" s="44" t="s">
        <v>1352</v>
      </c>
      <c r="S42" s="26" t="s">
        <v>24</v>
      </c>
      <c r="T42" s="27"/>
      <c r="U42" s="28" t="s">
        <v>25</v>
      </c>
      <c r="V42" s="29" t="str">
        <f t="shared" si="1"/>
        <v>✓ OK</v>
      </c>
      <c r="W42" s="45">
        <v>46248</v>
      </c>
      <c r="X42" s="30" t="s">
        <v>23</v>
      </c>
      <c r="Y42" s="30" t="s">
        <v>1352</v>
      </c>
      <c r="Z42" s="30" t="s">
        <v>25</v>
      </c>
      <c r="AA42" s="30" t="s">
        <v>1352</v>
      </c>
      <c r="AB42" s="30" t="s">
        <v>24</v>
      </c>
      <c r="AC42" s="27"/>
      <c r="AD42" s="31" t="s">
        <v>25</v>
      </c>
      <c r="AE42" s="32" t="str">
        <f t="shared" si="2"/>
        <v>✓ OK</v>
      </c>
      <c r="AF42" s="33" t="s">
        <v>27</v>
      </c>
      <c r="AG42" s="33" t="s">
        <v>23</v>
      </c>
      <c r="AH42" s="33" t="s">
        <v>1352</v>
      </c>
      <c r="AI42" s="33" t="s">
        <v>25</v>
      </c>
      <c r="AJ42" s="33" t="s">
        <v>1352</v>
      </c>
      <c r="AK42" s="33" t="s">
        <v>24</v>
      </c>
      <c r="AL42" s="27"/>
      <c r="AM42" s="34" t="s">
        <v>25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5275</v>
      </c>
      <c r="C43" s="25" t="s">
        <v>5276</v>
      </c>
      <c r="D43" s="23" t="s">
        <v>5200</v>
      </c>
      <c r="E43" s="43">
        <v>46125</v>
      </c>
      <c r="F43" s="26" t="s">
        <v>23</v>
      </c>
      <c r="G43" s="44" t="s">
        <v>24</v>
      </c>
      <c r="H43" s="26" t="s">
        <v>25</v>
      </c>
      <c r="I43" s="44" t="s">
        <v>26</v>
      </c>
      <c r="J43" s="26" t="s">
        <v>24</v>
      </c>
      <c r="K43" s="27"/>
      <c r="L43" s="28" t="s">
        <v>25</v>
      </c>
      <c r="M43" s="29" t="str">
        <f t="shared" si="0"/>
        <v>✓ OK</v>
      </c>
      <c r="N43" s="43">
        <v>46196</v>
      </c>
      <c r="O43" s="26" t="s">
        <v>23</v>
      </c>
      <c r="P43" s="44" t="s">
        <v>24</v>
      </c>
      <c r="Q43" s="26" t="s">
        <v>25</v>
      </c>
      <c r="R43" s="44" t="s">
        <v>26</v>
      </c>
      <c r="S43" s="26" t="s">
        <v>24</v>
      </c>
      <c r="T43" s="27"/>
      <c r="U43" s="28" t="s">
        <v>25</v>
      </c>
      <c r="V43" s="29" t="str">
        <f t="shared" si="1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2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5277</v>
      </c>
      <c r="C44" s="41" t="s">
        <v>5278</v>
      </c>
      <c r="D44" s="39" t="s">
        <v>5200</v>
      </c>
      <c r="E44" s="43">
        <v>46125</v>
      </c>
      <c r="F44" s="26" t="s">
        <v>23</v>
      </c>
      <c r="G44" s="44" t="s">
        <v>1352</v>
      </c>
      <c r="H44" s="26" t="s">
        <v>25</v>
      </c>
      <c r="I44" s="44" t="s">
        <v>1352</v>
      </c>
      <c r="J44" s="26" t="s">
        <v>24</v>
      </c>
      <c r="K44" s="27"/>
      <c r="L44" s="28" t="s">
        <v>25</v>
      </c>
      <c r="M44" s="29" t="str">
        <f t="shared" si="0"/>
        <v>✓ OK</v>
      </c>
      <c r="N44" s="43">
        <v>46196</v>
      </c>
      <c r="O44" s="26" t="s">
        <v>23</v>
      </c>
      <c r="P44" s="44" t="s">
        <v>1352</v>
      </c>
      <c r="Q44" s="26" t="s">
        <v>25</v>
      </c>
      <c r="R44" s="44" t="s">
        <v>1352</v>
      </c>
      <c r="S44" s="26" t="s">
        <v>24</v>
      </c>
      <c r="T44" s="27"/>
      <c r="U44" s="28" t="s">
        <v>25</v>
      </c>
      <c r="V44" s="29" t="str">
        <f t="shared" si="1"/>
        <v>✓ OK</v>
      </c>
      <c r="W44" s="45">
        <v>46248</v>
      </c>
      <c r="X44" s="30" t="s">
        <v>23</v>
      </c>
      <c r="Y44" s="30" t="s">
        <v>1352</v>
      </c>
      <c r="Z44" s="30" t="s">
        <v>25</v>
      </c>
      <c r="AA44" s="30" t="s">
        <v>1352</v>
      </c>
      <c r="AB44" s="30" t="s">
        <v>24</v>
      </c>
      <c r="AC44" s="27"/>
      <c r="AD44" s="31" t="s">
        <v>25</v>
      </c>
      <c r="AE44" s="32" t="str">
        <f t="shared" si="2"/>
        <v>✓ OK</v>
      </c>
      <c r="AF44" s="33" t="s">
        <v>27</v>
      </c>
      <c r="AG44" s="33" t="s">
        <v>23</v>
      </c>
      <c r="AH44" s="33" t="s">
        <v>1352</v>
      </c>
      <c r="AI44" s="33" t="s">
        <v>25</v>
      </c>
      <c r="AJ44" s="33" t="s">
        <v>1352</v>
      </c>
      <c r="AK44" s="33" t="s">
        <v>24</v>
      </c>
      <c r="AL44" s="27"/>
      <c r="AM44" s="34" t="s">
        <v>25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5279</v>
      </c>
      <c r="C45" s="25" t="s">
        <v>5280</v>
      </c>
      <c r="D45" s="23" t="s">
        <v>5200</v>
      </c>
      <c r="E45" s="43">
        <v>46125</v>
      </c>
      <c r="F45" s="26" t="s">
        <v>23</v>
      </c>
      <c r="G45" s="44" t="s">
        <v>1352</v>
      </c>
      <c r="H45" s="26" t="s">
        <v>25</v>
      </c>
      <c r="I45" s="44" t="s">
        <v>1352</v>
      </c>
      <c r="J45" s="26" t="s">
        <v>24</v>
      </c>
      <c r="K45" s="27"/>
      <c r="L45" s="28" t="s">
        <v>25</v>
      </c>
      <c r="M45" s="29" t="str">
        <f t="shared" si="0"/>
        <v>✓ OK</v>
      </c>
      <c r="N45" s="43">
        <v>46196</v>
      </c>
      <c r="O45" s="26" t="s">
        <v>23</v>
      </c>
      <c r="P45" s="44" t="s">
        <v>1352</v>
      </c>
      <c r="Q45" s="26" t="s">
        <v>25</v>
      </c>
      <c r="R45" s="44" t="s">
        <v>1352</v>
      </c>
      <c r="S45" s="26" t="s">
        <v>24</v>
      </c>
      <c r="T45" s="27"/>
      <c r="U45" s="28" t="s">
        <v>25</v>
      </c>
      <c r="V45" s="29" t="str">
        <f t="shared" si="1"/>
        <v>✓ OK</v>
      </c>
      <c r="W45" s="45">
        <v>46248</v>
      </c>
      <c r="X45" s="30" t="s">
        <v>23</v>
      </c>
      <c r="Y45" s="30" t="s">
        <v>1352</v>
      </c>
      <c r="Z45" s="30" t="s">
        <v>25</v>
      </c>
      <c r="AA45" s="30" t="s">
        <v>1352</v>
      </c>
      <c r="AB45" s="30" t="s">
        <v>24</v>
      </c>
      <c r="AC45" s="27"/>
      <c r="AD45" s="31" t="s">
        <v>25</v>
      </c>
      <c r="AE45" s="32" t="str">
        <f t="shared" si="2"/>
        <v>✓ OK</v>
      </c>
      <c r="AF45" s="33" t="s">
        <v>27</v>
      </c>
      <c r="AG45" s="33" t="s">
        <v>23</v>
      </c>
      <c r="AH45" s="33" t="s">
        <v>1352</v>
      </c>
      <c r="AI45" s="33" t="s">
        <v>25</v>
      </c>
      <c r="AJ45" s="33" t="s">
        <v>1352</v>
      </c>
      <c r="AK45" s="33" t="s">
        <v>24</v>
      </c>
      <c r="AL45" s="27"/>
      <c r="AM45" s="34" t="s">
        <v>25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5281</v>
      </c>
      <c r="C46" s="41" t="s">
        <v>5282</v>
      </c>
      <c r="D46" s="39" t="s">
        <v>5200</v>
      </c>
      <c r="E46" s="43">
        <v>46125</v>
      </c>
      <c r="F46" s="26" t="s">
        <v>23</v>
      </c>
      <c r="G46" s="44" t="s">
        <v>1352</v>
      </c>
      <c r="H46" s="26" t="s">
        <v>25</v>
      </c>
      <c r="I46" s="44" t="s">
        <v>1352</v>
      </c>
      <c r="J46" s="26" t="s">
        <v>24</v>
      </c>
      <c r="K46" s="27"/>
      <c r="L46" s="28" t="s">
        <v>25</v>
      </c>
      <c r="M46" s="29" t="str">
        <f t="shared" si="0"/>
        <v>✓ OK</v>
      </c>
      <c r="N46" s="43">
        <v>46196</v>
      </c>
      <c r="O46" s="26" t="s">
        <v>23</v>
      </c>
      <c r="P46" s="44" t="s">
        <v>1352</v>
      </c>
      <c r="Q46" s="26" t="s">
        <v>25</v>
      </c>
      <c r="R46" s="44" t="s">
        <v>1352</v>
      </c>
      <c r="S46" s="26" t="s">
        <v>24</v>
      </c>
      <c r="T46" s="27"/>
      <c r="U46" s="28" t="s">
        <v>25</v>
      </c>
      <c r="V46" s="29" t="str">
        <f t="shared" si="1"/>
        <v>✓ OK</v>
      </c>
      <c r="W46" s="45">
        <v>46248</v>
      </c>
      <c r="X46" s="30" t="s">
        <v>23</v>
      </c>
      <c r="Y46" s="30" t="s">
        <v>1352</v>
      </c>
      <c r="Z46" s="30" t="s">
        <v>25</v>
      </c>
      <c r="AA46" s="30" t="s">
        <v>1352</v>
      </c>
      <c r="AB46" s="30" t="s">
        <v>24</v>
      </c>
      <c r="AC46" s="27"/>
      <c r="AD46" s="31" t="s">
        <v>25</v>
      </c>
      <c r="AE46" s="32" t="str">
        <f t="shared" si="2"/>
        <v>✓ OK</v>
      </c>
      <c r="AF46" s="33" t="s">
        <v>27</v>
      </c>
      <c r="AG46" s="33" t="s">
        <v>23</v>
      </c>
      <c r="AH46" s="33" t="s">
        <v>1352</v>
      </c>
      <c r="AI46" s="33" t="s">
        <v>25</v>
      </c>
      <c r="AJ46" s="33" t="s">
        <v>1352</v>
      </c>
      <c r="AK46" s="33" t="s">
        <v>24</v>
      </c>
      <c r="AL46" s="27"/>
      <c r="AM46" s="34" t="s">
        <v>25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5283</v>
      </c>
      <c r="C47" s="25" t="s">
        <v>5284</v>
      </c>
      <c r="D47" s="23" t="s">
        <v>5200</v>
      </c>
      <c r="E47" s="43">
        <v>46125</v>
      </c>
      <c r="F47" s="26" t="s">
        <v>23</v>
      </c>
      <c r="G47" s="44" t="s">
        <v>1352</v>
      </c>
      <c r="H47" s="26" t="s">
        <v>25</v>
      </c>
      <c r="I47" s="44" t="s">
        <v>1352</v>
      </c>
      <c r="J47" s="26" t="s">
        <v>24</v>
      </c>
      <c r="K47" s="27"/>
      <c r="L47" s="28" t="s">
        <v>25</v>
      </c>
      <c r="M47" s="29" t="str">
        <f t="shared" si="0"/>
        <v>✓ OK</v>
      </c>
      <c r="N47" s="43">
        <v>46196</v>
      </c>
      <c r="O47" s="26" t="s">
        <v>23</v>
      </c>
      <c r="P47" s="44" t="s">
        <v>1352</v>
      </c>
      <c r="Q47" s="26" t="s">
        <v>25</v>
      </c>
      <c r="R47" s="44" t="s">
        <v>1352</v>
      </c>
      <c r="S47" s="26" t="s">
        <v>24</v>
      </c>
      <c r="T47" s="27"/>
      <c r="U47" s="28" t="s">
        <v>25</v>
      </c>
      <c r="V47" s="29" t="str">
        <f t="shared" si="1"/>
        <v>✓ OK</v>
      </c>
      <c r="W47" s="45">
        <v>46248</v>
      </c>
      <c r="X47" s="30" t="s">
        <v>23</v>
      </c>
      <c r="Y47" s="30" t="s">
        <v>1352</v>
      </c>
      <c r="Z47" s="30" t="s">
        <v>25</v>
      </c>
      <c r="AA47" s="30" t="s">
        <v>1352</v>
      </c>
      <c r="AB47" s="30" t="s">
        <v>24</v>
      </c>
      <c r="AC47" s="27"/>
      <c r="AD47" s="31" t="s">
        <v>25</v>
      </c>
      <c r="AE47" s="32" t="str">
        <f t="shared" si="2"/>
        <v>✓ OK</v>
      </c>
      <c r="AF47" s="33" t="s">
        <v>27</v>
      </c>
      <c r="AG47" s="33" t="s">
        <v>23</v>
      </c>
      <c r="AH47" s="33" t="s">
        <v>1352</v>
      </c>
      <c r="AI47" s="33" t="s">
        <v>25</v>
      </c>
      <c r="AJ47" s="33" t="s">
        <v>1352</v>
      </c>
      <c r="AK47" s="33" t="s">
        <v>24</v>
      </c>
      <c r="AL47" s="27"/>
      <c r="AM47" s="34" t="s">
        <v>25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5285</v>
      </c>
      <c r="C48" s="41" t="s">
        <v>5286</v>
      </c>
      <c r="D48" s="39" t="s">
        <v>5200</v>
      </c>
      <c r="E48" s="43">
        <v>46125</v>
      </c>
      <c r="F48" s="26" t="s">
        <v>23</v>
      </c>
      <c r="G48" s="44" t="s">
        <v>1352</v>
      </c>
      <c r="H48" s="26" t="s">
        <v>25</v>
      </c>
      <c r="I48" s="44" t="s">
        <v>1352</v>
      </c>
      <c r="J48" s="26" t="s">
        <v>24</v>
      </c>
      <c r="K48" s="27"/>
      <c r="L48" s="28" t="s">
        <v>25</v>
      </c>
      <c r="M48" s="29" t="str">
        <f t="shared" si="0"/>
        <v>✓ OK</v>
      </c>
      <c r="N48" s="43">
        <v>46196</v>
      </c>
      <c r="O48" s="26" t="s">
        <v>23</v>
      </c>
      <c r="P48" s="44" t="s">
        <v>1352</v>
      </c>
      <c r="Q48" s="26" t="s">
        <v>25</v>
      </c>
      <c r="R48" s="44" t="s">
        <v>1352</v>
      </c>
      <c r="S48" s="26" t="s">
        <v>24</v>
      </c>
      <c r="T48" s="27"/>
      <c r="U48" s="28" t="s">
        <v>25</v>
      </c>
      <c r="V48" s="29" t="str">
        <f t="shared" si="1"/>
        <v>✓ OK</v>
      </c>
      <c r="W48" s="45">
        <v>46248</v>
      </c>
      <c r="X48" s="30" t="s">
        <v>23</v>
      </c>
      <c r="Y48" s="30" t="s">
        <v>1352</v>
      </c>
      <c r="Z48" s="30" t="s">
        <v>25</v>
      </c>
      <c r="AA48" s="30" t="s">
        <v>1352</v>
      </c>
      <c r="AB48" s="30" t="s">
        <v>24</v>
      </c>
      <c r="AC48" s="27"/>
      <c r="AD48" s="31" t="s">
        <v>25</v>
      </c>
      <c r="AE48" s="32" t="str">
        <f t="shared" si="2"/>
        <v>✓ OK</v>
      </c>
      <c r="AF48" s="33" t="s">
        <v>27</v>
      </c>
      <c r="AG48" s="33" t="s">
        <v>23</v>
      </c>
      <c r="AH48" s="33" t="s">
        <v>1352</v>
      </c>
      <c r="AI48" s="33" t="s">
        <v>25</v>
      </c>
      <c r="AJ48" s="33" t="s">
        <v>1352</v>
      </c>
      <c r="AK48" s="33" t="s">
        <v>24</v>
      </c>
      <c r="AL48" s="27"/>
      <c r="AM48" s="34" t="s">
        <v>25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45</v>
      </c>
      <c r="B49" s="24" t="s">
        <v>5287</v>
      </c>
      <c r="C49" s="25" t="s">
        <v>5288</v>
      </c>
      <c r="D49" s="23" t="s">
        <v>5200</v>
      </c>
      <c r="E49" s="43">
        <v>46125</v>
      </c>
      <c r="F49" s="26" t="s">
        <v>23</v>
      </c>
      <c r="G49" s="44" t="s">
        <v>1352</v>
      </c>
      <c r="H49" s="26" t="s">
        <v>25</v>
      </c>
      <c r="I49" s="44" t="s">
        <v>1352</v>
      </c>
      <c r="J49" s="26" t="s">
        <v>24</v>
      </c>
      <c r="K49" s="27"/>
      <c r="L49" s="28" t="s">
        <v>25</v>
      </c>
      <c r="M49" s="29" t="str">
        <f t="shared" si="0"/>
        <v>✓ OK</v>
      </c>
      <c r="N49" s="43">
        <v>46196</v>
      </c>
      <c r="O49" s="26" t="s">
        <v>23</v>
      </c>
      <c r="P49" s="44" t="s">
        <v>1352</v>
      </c>
      <c r="Q49" s="26" t="s">
        <v>25</v>
      </c>
      <c r="R49" s="44" t="s">
        <v>1352</v>
      </c>
      <c r="S49" s="26" t="s">
        <v>24</v>
      </c>
      <c r="T49" s="27"/>
      <c r="U49" s="28" t="s">
        <v>25</v>
      </c>
      <c r="V49" s="29" t="str">
        <f t="shared" si="1"/>
        <v>✓ OK</v>
      </c>
      <c r="W49" s="45">
        <v>46248</v>
      </c>
      <c r="X49" s="30" t="s">
        <v>23</v>
      </c>
      <c r="Y49" s="30" t="s">
        <v>1352</v>
      </c>
      <c r="Z49" s="30" t="s">
        <v>25</v>
      </c>
      <c r="AA49" s="30" t="s">
        <v>1352</v>
      </c>
      <c r="AB49" s="30" t="s">
        <v>24</v>
      </c>
      <c r="AC49" s="27"/>
      <c r="AD49" s="31" t="s">
        <v>25</v>
      </c>
      <c r="AE49" s="32" t="str">
        <f t="shared" si="2"/>
        <v>✓ OK</v>
      </c>
      <c r="AF49" s="33" t="s">
        <v>27</v>
      </c>
      <c r="AG49" s="33" t="s">
        <v>23</v>
      </c>
      <c r="AH49" s="33" t="s">
        <v>1352</v>
      </c>
      <c r="AI49" s="33" t="s">
        <v>25</v>
      </c>
      <c r="AJ49" s="33" t="s">
        <v>1352</v>
      </c>
      <c r="AK49" s="33" t="s">
        <v>24</v>
      </c>
      <c r="AL49" s="27"/>
      <c r="AM49" s="34" t="s">
        <v>25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46</v>
      </c>
      <c r="B50" s="40" t="s">
        <v>5289</v>
      </c>
      <c r="C50" s="41" t="s">
        <v>5290</v>
      </c>
      <c r="D50" s="39" t="s">
        <v>5200</v>
      </c>
      <c r="E50" s="43">
        <v>46125</v>
      </c>
      <c r="F50" s="26" t="s">
        <v>23</v>
      </c>
      <c r="G50" s="44" t="s">
        <v>1352</v>
      </c>
      <c r="H50" s="26" t="s">
        <v>25</v>
      </c>
      <c r="I50" s="44" t="s">
        <v>1352</v>
      </c>
      <c r="J50" s="26" t="s">
        <v>24</v>
      </c>
      <c r="K50" s="27"/>
      <c r="L50" s="28" t="s">
        <v>25</v>
      </c>
      <c r="M50" s="29" t="str">
        <f t="shared" si="0"/>
        <v>✓ OK</v>
      </c>
      <c r="N50" s="43">
        <v>46196</v>
      </c>
      <c r="O50" s="26" t="s">
        <v>23</v>
      </c>
      <c r="P50" s="44" t="s">
        <v>1352</v>
      </c>
      <c r="Q50" s="26" t="s">
        <v>25</v>
      </c>
      <c r="R50" s="44" t="s">
        <v>1352</v>
      </c>
      <c r="S50" s="26" t="s">
        <v>24</v>
      </c>
      <c r="T50" s="27"/>
      <c r="U50" s="28" t="s">
        <v>25</v>
      </c>
      <c r="V50" s="29" t="str">
        <f t="shared" si="1"/>
        <v>✓ OK</v>
      </c>
      <c r="W50" s="45">
        <v>46248</v>
      </c>
      <c r="X50" s="30" t="s">
        <v>23</v>
      </c>
      <c r="Y50" s="30" t="s">
        <v>1352</v>
      </c>
      <c r="Z50" s="30" t="s">
        <v>25</v>
      </c>
      <c r="AA50" s="30" t="s">
        <v>1352</v>
      </c>
      <c r="AB50" s="30" t="s">
        <v>24</v>
      </c>
      <c r="AC50" s="27"/>
      <c r="AD50" s="31" t="s">
        <v>25</v>
      </c>
      <c r="AE50" s="32" t="str">
        <f t="shared" si="2"/>
        <v>✓ OK</v>
      </c>
      <c r="AF50" s="33" t="s">
        <v>27</v>
      </c>
      <c r="AG50" s="33" t="s">
        <v>23</v>
      </c>
      <c r="AH50" s="33" t="s">
        <v>1352</v>
      </c>
      <c r="AI50" s="33" t="s">
        <v>25</v>
      </c>
      <c r="AJ50" s="33" t="s">
        <v>1352</v>
      </c>
      <c r="AK50" s="33" t="s">
        <v>24</v>
      </c>
      <c r="AL50" s="27"/>
      <c r="AM50" s="34" t="s">
        <v>25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47</v>
      </c>
      <c r="B51" s="24" t="s">
        <v>5291</v>
      </c>
      <c r="C51" s="25" t="s">
        <v>5292</v>
      </c>
      <c r="D51" s="23" t="s">
        <v>5200</v>
      </c>
      <c r="E51" s="43">
        <v>46125</v>
      </c>
      <c r="F51" s="26" t="s">
        <v>23</v>
      </c>
      <c r="G51" s="44" t="s">
        <v>24</v>
      </c>
      <c r="H51" s="26" t="s">
        <v>25</v>
      </c>
      <c r="I51" s="44" t="s">
        <v>26</v>
      </c>
      <c r="J51" s="26" t="s">
        <v>24</v>
      </c>
      <c r="K51" s="27"/>
      <c r="L51" s="28" t="s">
        <v>25</v>
      </c>
      <c r="M51" s="29" t="str">
        <f t="shared" si="0"/>
        <v>✓ OK</v>
      </c>
      <c r="N51" s="43">
        <v>46196</v>
      </c>
      <c r="O51" s="26" t="s">
        <v>23</v>
      </c>
      <c r="P51" s="44" t="s">
        <v>24</v>
      </c>
      <c r="Q51" s="26" t="s">
        <v>25</v>
      </c>
      <c r="R51" s="44" t="s">
        <v>26</v>
      </c>
      <c r="S51" s="26" t="s">
        <v>24</v>
      </c>
      <c r="T51" s="27"/>
      <c r="U51" s="28" t="s">
        <v>25</v>
      </c>
      <c r="V51" s="29" t="str">
        <f t="shared" si="1"/>
        <v>✓ OK</v>
      </c>
      <c r="W51" s="45">
        <v>46248</v>
      </c>
      <c r="X51" s="30" t="s">
        <v>23</v>
      </c>
      <c r="Y51" s="30" t="s">
        <v>24</v>
      </c>
      <c r="Z51" s="30" t="s">
        <v>25</v>
      </c>
      <c r="AA51" s="30" t="s">
        <v>26</v>
      </c>
      <c r="AB51" s="30" t="s">
        <v>24</v>
      </c>
      <c r="AC51" s="27"/>
      <c r="AD51" s="31" t="s">
        <v>25</v>
      </c>
      <c r="AE51" s="32" t="str">
        <f t="shared" si="2"/>
        <v>✓ OK</v>
      </c>
      <c r="AF51" s="33" t="s">
        <v>27</v>
      </c>
      <c r="AG51" s="33" t="s">
        <v>23</v>
      </c>
      <c r="AH51" s="33" t="s">
        <v>24</v>
      </c>
      <c r="AI51" s="33" t="s">
        <v>25</v>
      </c>
      <c r="AJ51" s="33" t="s">
        <v>26</v>
      </c>
      <c r="AK51" s="33" t="s">
        <v>24</v>
      </c>
      <c r="AL51" s="27"/>
      <c r="AM51" s="34" t="s">
        <v>25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48</v>
      </c>
      <c r="B52" s="40" t="s">
        <v>5293</v>
      </c>
      <c r="C52" s="41" t="s">
        <v>5294</v>
      </c>
      <c r="D52" s="39" t="s">
        <v>5200</v>
      </c>
      <c r="E52" s="43">
        <v>46125</v>
      </c>
      <c r="F52" s="26" t="s">
        <v>23</v>
      </c>
      <c r="G52" s="44" t="s">
        <v>1352</v>
      </c>
      <c r="H52" s="26" t="s">
        <v>25</v>
      </c>
      <c r="I52" s="44" t="s">
        <v>1352</v>
      </c>
      <c r="J52" s="26" t="s">
        <v>24</v>
      </c>
      <c r="K52" s="27"/>
      <c r="L52" s="28" t="s">
        <v>25</v>
      </c>
      <c r="M52" s="29" t="str">
        <f t="shared" si="0"/>
        <v>✓ OK</v>
      </c>
      <c r="N52" s="43">
        <v>46196</v>
      </c>
      <c r="O52" s="26" t="s">
        <v>23</v>
      </c>
      <c r="P52" s="44" t="s">
        <v>1352</v>
      </c>
      <c r="Q52" s="26" t="s">
        <v>25</v>
      </c>
      <c r="R52" s="44" t="s">
        <v>1352</v>
      </c>
      <c r="S52" s="26" t="s">
        <v>24</v>
      </c>
      <c r="T52" s="27"/>
      <c r="U52" s="28" t="s">
        <v>25</v>
      </c>
      <c r="V52" s="29" t="str">
        <f t="shared" si="1"/>
        <v>✓ OK</v>
      </c>
      <c r="W52" s="45">
        <v>46248</v>
      </c>
      <c r="X52" s="30" t="s">
        <v>23</v>
      </c>
      <c r="Y52" s="30" t="s">
        <v>1352</v>
      </c>
      <c r="Z52" s="30" t="s">
        <v>25</v>
      </c>
      <c r="AA52" s="30" t="s">
        <v>1352</v>
      </c>
      <c r="AB52" s="30" t="s">
        <v>24</v>
      </c>
      <c r="AC52" s="27"/>
      <c r="AD52" s="31" t="s">
        <v>25</v>
      </c>
      <c r="AE52" s="32" t="str">
        <f t="shared" si="2"/>
        <v>✓ OK</v>
      </c>
      <c r="AF52" s="33" t="s">
        <v>27</v>
      </c>
      <c r="AG52" s="33" t="s">
        <v>23</v>
      </c>
      <c r="AH52" s="33" t="s">
        <v>1352</v>
      </c>
      <c r="AI52" s="33" t="s">
        <v>25</v>
      </c>
      <c r="AJ52" s="33" t="s">
        <v>1352</v>
      </c>
      <c r="AK52" s="33" t="s">
        <v>24</v>
      </c>
      <c r="AL52" s="27"/>
      <c r="AM52" s="34" t="s">
        <v>25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49</v>
      </c>
      <c r="B53" s="24" t="s">
        <v>5295</v>
      </c>
      <c r="C53" s="25" t="s">
        <v>5296</v>
      </c>
      <c r="D53" s="23" t="s">
        <v>5200</v>
      </c>
      <c r="E53" s="43">
        <v>46125</v>
      </c>
      <c r="F53" s="26" t="s">
        <v>23</v>
      </c>
      <c r="G53" s="44" t="s">
        <v>25</v>
      </c>
      <c r="H53" s="26" t="s">
        <v>25</v>
      </c>
      <c r="I53" s="44" t="s">
        <v>735</v>
      </c>
      <c r="J53" s="26" t="s">
        <v>25</v>
      </c>
      <c r="K53" s="27"/>
      <c r="L53" s="28" t="s">
        <v>24</v>
      </c>
      <c r="M53" s="29" t="str">
        <f t="shared" si="0"/>
        <v>⚠ Missing</v>
      </c>
      <c r="N53" s="43">
        <v>46196</v>
      </c>
      <c r="O53" s="26" t="s">
        <v>23</v>
      </c>
      <c r="P53" s="44" t="s">
        <v>25</v>
      </c>
      <c r="Q53" s="26" t="s">
        <v>25</v>
      </c>
      <c r="R53" s="44" t="s">
        <v>735</v>
      </c>
      <c r="S53" s="26" t="s">
        <v>25</v>
      </c>
      <c r="T53" s="27"/>
      <c r="U53" s="28" t="s">
        <v>24</v>
      </c>
      <c r="V53" s="29" t="str">
        <f t="shared" si="1"/>
        <v>⚠ Missing</v>
      </c>
      <c r="W53" s="45">
        <v>46248</v>
      </c>
      <c r="X53" s="30" t="s">
        <v>23</v>
      </c>
      <c r="Y53" s="30" t="s">
        <v>25</v>
      </c>
      <c r="Z53" s="30" t="s">
        <v>25</v>
      </c>
      <c r="AA53" s="30" t="s">
        <v>735</v>
      </c>
      <c r="AB53" s="30" t="s">
        <v>25</v>
      </c>
      <c r="AC53" s="27"/>
      <c r="AD53" s="31" t="s">
        <v>24</v>
      </c>
      <c r="AE53" s="32" t="str">
        <f t="shared" si="2"/>
        <v>⚠ Missing</v>
      </c>
      <c r="AF53" s="33" t="s">
        <v>27</v>
      </c>
      <c r="AG53" s="33" t="s">
        <v>23</v>
      </c>
      <c r="AH53" s="33" t="s">
        <v>25</v>
      </c>
      <c r="AI53" s="33" t="s">
        <v>24</v>
      </c>
      <c r="AJ53" s="33" t="s">
        <v>135</v>
      </c>
      <c r="AK53" s="33" t="s">
        <v>25</v>
      </c>
      <c r="AL53" s="27"/>
      <c r="AM53" s="34" t="s">
        <v>25</v>
      </c>
      <c r="AN53" s="35" t="str">
        <f t="shared" si="3"/>
        <v>❌ Disc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50</v>
      </c>
      <c r="B54" s="40" t="s">
        <v>5297</v>
      </c>
      <c r="C54" s="41" t="s">
        <v>5298</v>
      </c>
      <c r="D54" s="39" t="s">
        <v>5200</v>
      </c>
      <c r="E54" s="43">
        <v>46125</v>
      </c>
      <c r="F54" s="26" t="s">
        <v>23</v>
      </c>
      <c r="G54" s="44" t="s">
        <v>25</v>
      </c>
      <c r="H54" s="26" t="s">
        <v>25</v>
      </c>
      <c r="I54" s="44" t="s">
        <v>735</v>
      </c>
      <c r="J54" s="26" t="s">
        <v>25</v>
      </c>
      <c r="K54" s="27"/>
      <c r="L54" s="28" t="s">
        <v>24</v>
      </c>
      <c r="M54" s="29" t="str">
        <f t="shared" si="0"/>
        <v>⚠ Missing</v>
      </c>
      <c r="N54" s="43">
        <v>46196</v>
      </c>
      <c r="O54" s="26" t="s">
        <v>23</v>
      </c>
      <c r="P54" s="44" t="s">
        <v>25</v>
      </c>
      <c r="Q54" s="26" t="s">
        <v>25</v>
      </c>
      <c r="R54" s="44" t="s">
        <v>735</v>
      </c>
      <c r="S54" s="26" t="s">
        <v>25</v>
      </c>
      <c r="T54" s="27"/>
      <c r="U54" s="28" t="s">
        <v>24</v>
      </c>
      <c r="V54" s="29" t="str">
        <f t="shared" si="1"/>
        <v>⚠ Missing</v>
      </c>
      <c r="W54" s="45">
        <v>46248</v>
      </c>
      <c r="X54" s="30" t="s">
        <v>23</v>
      </c>
      <c r="Y54" s="30" t="s">
        <v>25</v>
      </c>
      <c r="Z54" s="30" t="s">
        <v>25</v>
      </c>
      <c r="AA54" s="30" t="s">
        <v>735</v>
      </c>
      <c r="AB54" s="30" t="s">
        <v>25</v>
      </c>
      <c r="AC54" s="27"/>
      <c r="AD54" s="31" t="s">
        <v>24</v>
      </c>
      <c r="AE54" s="32" t="str">
        <f t="shared" si="2"/>
        <v>⚠ Missing</v>
      </c>
      <c r="AF54" s="33" t="s">
        <v>27</v>
      </c>
      <c r="AG54" s="33" t="s">
        <v>23</v>
      </c>
      <c r="AH54" s="33" t="s">
        <v>25</v>
      </c>
      <c r="AI54" s="33" t="s">
        <v>24</v>
      </c>
      <c r="AJ54" s="33" t="s">
        <v>135</v>
      </c>
      <c r="AK54" s="33" t="s">
        <v>25</v>
      </c>
      <c r="AL54" s="27"/>
      <c r="AM54" s="34" t="s">
        <v>25</v>
      </c>
      <c r="AN54" s="35" t="str">
        <f t="shared" si="3"/>
        <v>❌ Disc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51</v>
      </c>
      <c r="B55" s="24" t="s">
        <v>5299</v>
      </c>
      <c r="C55" s="25" t="s">
        <v>5300</v>
      </c>
      <c r="D55" s="23" t="s">
        <v>5200</v>
      </c>
      <c r="E55" s="43">
        <v>46125</v>
      </c>
      <c r="F55" s="26" t="s">
        <v>23</v>
      </c>
      <c r="G55" s="44" t="s">
        <v>25</v>
      </c>
      <c r="H55" s="26" t="s">
        <v>25</v>
      </c>
      <c r="I55" s="44" t="s">
        <v>735</v>
      </c>
      <c r="J55" s="26" t="s">
        <v>25</v>
      </c>
      <c r="K55" s="27"/>
      <c r="L55" s="28" t="s">
        <v>24</v>
      </c>
      <c r="M55" s="29" t="str">
        <f t="shared" si="0"/>
        <v>⚠ Missing</v>
      </c>
      <c r="N55" s="43">
        <v>46196</v>
      </c>
      <c r="O55" s="26" t="s">
        <v>23</v>
      </c>
      <c r="P55" s="44" t="s">
        <v>25</v>
      </c>
      <c r="Q55" s="26" t="s">
        <v>25</v>
      </c>
      <c r="R55" s="44" t="s">
        <v>735</v>
      </c>
      <c r="S55" s="26" t="s">
        <v>25</v>
      </c>
      <c r="T55" s="27"/>
      <c r="U55" s="28" t="s">
        <v>24</v>
      </c>
      <c r="V55" s="29" t="str">
        <f t="shared" si="1"/>
        <v>⚠ Missing</v>
      </c>
      <c r="W55" s="45">
        <v>46248</v>
      </c>
      <c r="X55" s="30" t="s">
        <v>23</v>
      </c>
      <c r="Y55" s="30" t="s">
        <v>25</v>
      </c>
      <c r="Z55" s="30" t="s">
        <v>25</v>
      </c>
      <c r="AA55" s="30" t="s">
        <v>735</v>
      </c>
      <c r="AB55" s="30" t="s">
        <v>25</v>
      </c>
      <c r="AC55" s="27"/>
      <c r="AD55" s="31" t="s">
        <v>24</v>
      </c>
      <c r="AE55" s="32" t="str">
        <f t="shared" si="2"/>
        <v>⚠ Missing</v>
      </c>
      <c r="AF55" s="33" t="s">
        <v>27</v>
      </c>
      <c r="AG55" s="33" t="s">
        <v>23</v>
      </c>
      <c r="AH55" s="33" t="s">
        <v>25</v>
      </c>
      <c r="AI55" s="33" t="s">
        <v>25</v>
      </c>
      <c r="AJ55" s="33" t="s">
        <v>735</v>
      </c>
      <c r="AK55" s="33" t="s">
        <v>25</v>
      </c>
      <c r="AL55" s="27"/>
      <c r="AM55" s="34" t="s">
        <v>24</v>
      </c>
      <c r="AN55" s="35" t="str">
        <f t="shared" si="3"/>
        <v>⚠ Missing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52</v>
      </c>
      <c r="B56" s="40" t="s">
        <v>5301</v>
      </c>
      <c r="C56" s="41" t="s">
        <v>5302</v>
      </c>
      <c r="D56" s="39" t="s">
        <v>5200</v>
      </c>
      <c r="E56" s="43">
        <v>46125</v>
      </c>
      <c r="F56" s="26" t="s">
        <v>23</v>
      </c>
      <c r="G56" s="44" t="s">
        <v>25</v>
      </c>
      <c r="H56" s="26" t="s">
        <v>25</v>
      </c>
      <c r="I56" s="44" t="s">
        <v>735</v>
      </c>
      <c r="J56" s="26" t="s">
        <v>25</v>
      </c>
      <c r="K56" s="27"/>
      <c r="L56" s="28" t="s">
        <v>24</v>
      </c>
      <c r="M56" s="29" t="str">
        <f t="shared" si="0"/>
        <v>⚠ Missing</v>
      </c>
      <c r="N56" s="43">
        <v>46196</v>
      </c>
      <c r="O56" s="26" t="s">
        <v>23</v>
      </c>
      <c r="P56" s="44" t="s">
        <v>25</v>
      </c>
      <c r="Q56" s="26" t="s">
        <v>25</v>
      </c>
      <c r="R56" s="44" t="s">
        <v>735</v>
      </c>
      <c r="S56" s="26" t="s">
        <v>25</v>
      </c>
      <c r="T56" s="27"/>
      <c r="U56" s="28" t="s">
        <v>24</v>
      </c>
      <c r="V56" s="29" t="str">
        <f t="shared" si="1"/>
        <v>⚠ Missing</v>
      </c>
      <c r="W56" s="45">
        <v>46248</v>
      </c>
      <c r="X56" s="30" t="s">
        <v>23</v>
      </c>
      <c r="Y56" s="30" t="s">
        <v>25</v>
      </c>
      <c r="Z56" s="30" t="s">
        <v>25</v>
      </c>
      <c r="AA56" s="30" t="s">
        <v>735</v>
      </c>
      <c r="AB56" s="30" t="s">
        <v>25</v>
      </c>
      <c r="AC56" s="27"/>
      <c r="AD56" s="31" t="s">
        <v>24</v>
      </c>
      <c r="AE56" s="32" t="str">
        <f t="shared" si="2"/>
        <v>⚠ Missing</v>
      </c>
      <c r="AF56" s="33" t="s">
        <v>27</v>
      </c>
      <c r="AG56" s="33" t="s">
        <v>23</v>
      </c>
      <c r="AH56" s="33" t="s">
        <v>25</v>
      </c>
      <c r="AI56" s="33" t="s">
        <v>24</v>
      </c>
      <c r="AJ56" s="33" t="s">
        <v>135</v>
      </c>
      <c r="AK56" s="33" t="s">
        <v>25</v>
      </c>
      <c r="AL56" s="27"/>
      <c r="AM56" s="34" t="s">
        <v>25</v>
      </c>
      <c r="AN56" s="35" t="str">
        <f t="shared" si="3"/>
        <v>❌ Disc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53</v>
      </c>
      <c r="B57" s="24" t="s">
        <v>5303</v>
      </c>
      <c r="C57" s="25" t="s">
        <v>5304</v>
      </c>
      <c r="D57" s="23" t="s">
        <v>5200</v>
      </c>
      <c r="E57" s="43">
        <v>46125</v>
      </c>
      <c r="F57" s="26" t="s">
        <v>23</v>
      </c>
      <c r="G57" s="44" t="s">
        <v>25</v>
      </c>
      <c r="H57" s="26" t="s">
        <v>25</v>
      </c>
      <c r="I57" s="44" t="s">
        <v>735</v>
      </c>
      <c r="J57" s="26" t="s">
        <v>25</v>
      </c>
      <c r="K57" s="27"/>
      <c r="L57" s="28" t="s">
        <v>24</v>
      </c>
      <c r="M57" s="29" t="str">
        <f t="shared" si="0"/>
        <v>⚠ Missing</v>
      </c>
      <c r="N57" s="43">
        <v>46196</v>
      </c>
      <c r="O57" s="26" t="s">
        <v>23</v>
      </c>
      <c r="P57" s="44" t="s">
        <v>25</v>
      </c>
      <c r="Q57" s="26" t="s">
        <v>25</v>
      </c>
      <c r="R57" s="44" t="s">
        <v>735</v>
      </c>
      <c r="S57" s="26" t="s">
        <v>25</v>
      </c>
      <c r="T57" s="27"/>
      <c r="U57" s="28" t="s">
        <v>24</v>
      </c>
      <c r="V57" s="29" t="str">
        <f t="shared" si="1"/>
        <v>⚠ Missing</v>
      </c>
      <c r="W57" s="45">
        <v>46248</v>
      </c>
      <c r="X57" s="30" t="s">
        <v>23</v>
      </c>
      <c r="Y57" s="30" t="s">
        <v>25</v>
      </c>
      <c r="Z57" s="30" t="s">
        <v>25</v>
      </c>
      <c r="AA57" s="30" t="s">
        <v>735</v>
      </c>
      <c r="AB57" s="30" t="s">
        <v>25</v>
      </c>
      <c r="AC57" s="27"/>
      <c r="AD57" s="31" t="s">
        <v>24</v>
      </c>
      <c r="AE57" s="32" t="str">
        <f t="shared" si="2"/>
        <v>⚠ Missing</v>
      </c>
      <c r="AF57" s="33" t="s">
        <v>27</v>
      </c>
      <c r="AG57" s="33" t="s">
        <v>23</v>
      </c>
      <c r="AH57" s="33" t="s">
        <v>25</v>
      </c>
      <c r="AI57" s="33" t="s">
        <v>24</v>
      </c>
      <c r="AJ57" s="33" t="s">
        <v>135</v>
      </c>
      <c r="AK57" s="33" t="s">
        <v>25</v>
      </c>
      <c r="AL57" s="27"/>
      <c r="AM57" s="34" t="s">
        <v>25</v>
      </c>
      <c r="AN57" s="35" t="str">
        <f t="shared" si="3"/>
        <v>❌ Disc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54</v>
      </c>
      <c r="B58" s="40" t="s">
        <v>5305</v>
      </c>
      <c r="C58" s="41" t="s">
        <v>5306</v>
      </c>
      <c r="D58" s="39" t="s">
        <v>5200</v>
      </c>
      <c r="E58" s="43">
        <v>46125</v>
      </c>
      <c r="F58" s="26" t="s">
        <v>23</v>
      </c>
      <c r="G58" s="44" t="s">
        <v>25</v>
      </c>
      <c r="H58" s="26" t="s">
        <v>25</v>
      </c>
      <c r="I58" s="44" t="s">
        <v>735</v>
      </c>
      <c r="J58" s="26" t="s">
        <v>25</v>
      </c>
      <c r="K58" s="27"/>
      <c r="L58" s="28" t="s">
        <v>24</v>
      </c>
      <c r="M58" s="29" t="str">
        <f t="shared" si="0"/>
        <v>⚠ Missing</v>
      </c>
      <c r="N58" s="43">
        <v>46196</v>
      </c>
      <c r="O58" s="26" t="s">
        <v>23</v>
      </c>
      <c r="P58" s="44" t="s">
        <v>25</v>
      </c>
      <c r="Q58" s="26" t="s">
        <v>25</v>
      </c>
      <c r="R58" s="44" t="s">
        <v>735</v>
      </c>
      <c r="S58" s="26" t="s">
        <v>25</v>
      </c>
      <c r="T58" s="27"/>
      <c r="U58" s="28" t="s">
        <v>24</v>
      </c>
      <c r="V58" s="29" t="str">
        <f t="shared" si="1"/>
        <v>⚠ Missing</v>
      </c>
      <c r="W58" s="45">
        <v>46248</v>
      </c>
      <c r="X58" s="30" t="s">
        <v>23</v>
      </c>
      <c r="Y58" s="30" t="s">
        <v>25</v>
      </c>
      <c r="Z58" s="30" t="s">
        <v>25</v>
      </c>
      <c r="AA58" s="30" t="s">
        <v>735</v>
      </c>
      <c r="AB58" s="30" t="s">
        <v>25</v>
      </c>
      <c r="AC58" s="27"/>
      <c r="AD58" s="31" t="s">
        <v>24</v>
      </c>
      <c r="AE58" s="32" t="str">
        <f t="shared" si="2"/>
        <v>⚠ Missing</v>
      </c>
      <c r="AF58" s="33" t="s">
        <v>27</v>
      </c>
      <c r="AG58" s="33" t="s">
        <v>23</v>
      </c>
      <c r="AH58" s="33" t="s">
        <v>25</v>
      </c>
      <c r="AI58" s="33" t="s">
        <v>24</v>
      </c>
      <c r="AJ58" s="33" t="s">
        <v>135</v>
      </c>
      <c r="AK58" s="33" t="s">
        <v>25</v>
      </c>
      <c r="AL58" s="27"/>
      <c r="AM58" s="34" t="s">
        <v>25</v>
      </c>
      <c r="AN58" s="35" t="str">
        <f t="shared" si="3"/>
        <v>❌ Disc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55</v>
      </c>
      <c r="B59" s="24" t="s">
        <v>5307</v>
      </c>
      <c r="C59" s="25" t="s">
        <v>5308</v>
      </c>
      <c r="D59" s="23" t="s">
        <v>5200</v>
      </c>
      <c r="E59" s="43">
        <v>46125</v>
      </c>
      <c r="F59" s="26" t="s">
        <v>23</v>
      </c>
      <c r="G59" s="44" t="s">
        <v>25</v>
      </c>
      <c r="H59" s="26" t="s">
        <v>25</v>
      </c>
      <c r="I59" s="44" t="s">
        <v>735</v>
      </c>
      <c r="J59" s="26" t="s">
        <v>25</v>
      </c>
      <c r="K59" s="27"/>
      <c r="L59" s="28" t="s">
        <v>24</v>
      </c>
      <c r="M59" s="29" t="str">
        <f t="shared" si="0"/>
        <v>⚠ Missing</v>
      </c>
      <c r="N59" s="43">
        <v>46196</v>
      </c>
      <c r="O59" s="26" t="s">
        <v>23</v>
      </c>
      <c r="P59" s="44" t="s">
        <v>25</v>
      </c>
      <c r="Q59" s="26" t="s">
        <v>25</v>
      </c>
      <c r="R59" s="44" t="s">
        <v>735</v>
      </c>
      <c r="S59" s="26" t="s">
        <v>25</v>
      </c>
      <c r="T59" s="27"/>
      <c r="U59" s="28" t="s">
        <v>24</v>
      </c>
      <c r="V59" s="29" t="str">
        <f t="shared" si="1"/>
        <v>⚠ Missing</v>
      </c>
      <c r="W59" s="45">
        <v>46248</v>
      </c>
      <c r="X59" s="30" t="s">
        <v>23</v>
      </c>
      <c r="Y59" s="30" t="s">
        <v>25</v>
      </c>
      <c r="Z59" s="30" t="s">
        <v>25</v>
      </c>
      <c r="AA59" s="30" t="s">
        <v>735</v>
      </c>
      <c r="AB59" s="30" t="s">
        <v>25</v>
      </c>
      <c r="AC59" s="27"/>
      <c r="AD59" s="31" t="s">
        <v>24</v>
      </c>
      <c r="AE59" s="32" t="str">
        <f t="shared" si="2"/>
        <v>⚠ Missing</v>
      </c>
      <c r="AF59" s="33" t="s">
        <v>27</v>
      </c>
      <c r="AG59" s="33" t="s">
        <v>23</v>
      </c>
      <c r="AH59" s="33" t="s">
        <v>25</v>
      </c>
      <c r="AI59" s="33" t="s">
        <v>24</v>
      </c>
      <c r="AJ59" s="33" t="s">
        <v>135</v>
      </c>
      <c r="AK59" s="33" t="s">
        <v>25</v>
      </c>
      <c r="AL59" s="27"/>
      <c r="AM59" s="34" t="s">
        <v>25</v>
      </c>
      <c r="AN59" s="35" t="str">
        <f t="shared" si="3"/>
        <v>❌ Disc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56</v>
      </c>
      <c r="B60" s="40" t="s">
        <v>5309</v>
      </c>
      <c r="C60" s="41" t="s">
        <v>5310</v>
      </c>
      <c r="D60" s="39" t="s">
        <v>5200</v>
      </c>
      <c r="E60" s="43">
        <v>46125</v>
      </c>
      <c r="F60" s="26" t="s">
        <v>23</v>
      </c>
      <c r="G60" s="44" t="s">
        <v>25</v>
      </c>
      <c r="H60" s="26" t="s">
        <v>25</v>
      </c>
      <c r="I60" s="44" t="s">
        <v>735</v>
      </c>
      <c r="J60" s="26" t="s">
        <v>25</v>
      </c>
      <c r="K60" s="27"/>
      <c r="L60" s="28" t="s">
        <v>24</v>
      </c>
      <c r="M60" s="29" t="str">
        <f t="shared" si="0"/>
        <v>⚠ Missing</v>
      </c>
      <c r="N60" s="43">
        <v>46196</v>
      </c>
      <c r="O60" s="26" t="s">
        <v>23</v>
      </c>
      <c r="P60" s="44" t="s">
        <v>25</v>
      </c>
      <c r="Q60" s="26" t="s">
        <v>25</v>
      </c>
      <c r="R60" s="44" t="s">
        <v>735</v>
      </c>
      <c r="S60" s="26" t="s">
        <v>25</v>
      </c>
      <c r="T60" s="27"/>
      <c r="U60" s="28" t="s">
        <v>24</v>
      </c>
      <c r="V60" s="29" t="str">
        <f t="shared" si="1"/>
        <v>⚠ Missing</v>
      </c>
      <c r="W60" s="45">
        <v>46248</v>
      </c>
      <c r="X60" s="30" t="s">
        <v>23</v>
      </c>
      <c r="Y60" s="30" t="s">
        <v>25</v>
      </c>
      <c r="Z60" s="30" t="s">
        <v>25</v>
      </c>
      <c r="AA60" s="30" t="s">
        <v>735</v>
      </c>
      <c r="AB60" s="30" t="s">
        <v>25</v>
      </c>
      <c r="AC60" s="27"/>
      <c r="AD60" s="31" t="s">
        <v>24</v>
      </c>
      <c r="AE60" s="32" t="str">
        <f t="shared" si="2"/>
        <v>⚠ Missing</v>
      </c>
      <c r="AF60" s="33" t="s">
        <v>27</v>
      </c>
      <c r="AG60" s="33" t="s">
        <v>23</v>
      </c>
      <c r="AH60" s="33" t="s">
        <v>25</v>
      </c>
      <c r="AI60" s="33" t="s">
        <v>24</v>
      </c>
      <c r="AJ60" s="33" t="s">
        <v>135</v>
      </c>
      <c r="AK60" s="33" t="s">
        <v>25</v>
      </c>
      <c r="AL60" s="27"/>
      <c r="AM60" s="34" t="s">
        <v>25</v>
      </c>
      <c r="AN60" s="35" t="str">
        <f t="shared" si="3"/>
        <v>❌ Disc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57</v>
      </c>
      <c r="B61" s="24" t="s">
        <v>5311</v>
      </c>
      <c r="C61" s="25" t="s">
        <v>5312</v>
      </c>
      <c r="D61" s="23" t="s">
        <v>5200</v>
      </c>
      <c r="E61" s="43">
        <v>46125</v>
      </c>
      <c r="F61" s="26" t="s">
        <v>23</v>
      </c>
      <c r="G61" s="44" t="s">
        <v>25</v>
      </c>
      <c r="H61" s="26" t="s">
        <v>25</v>
      </c>
      <c r="I61" s="44" t="s">
        <v>735</v>
      </c>
      <c r="J61" s="26" t="s">
        <v>25</v>
      </c>
      <c r="K61" s="27"/>
      <c r="L61" s="28" t="s">
        <v>24</v>
      </c>
      <c r="M61" s="29" t="str">
        <f t="shared" si="0"/>
        <v>⚠ Missing</v>
      </c>
      <c r="N61" s="43">
        <v>46196</v>
      </c>
      <c r="O61" s="26" t="s">
        <v>23</v>
      </c>
      <c r="P61" s="44" t="s">
        <v>25</v>
      </c>
      <c r="Q61" s="26" t="s">
        <v>25</v>
      </c>
      <c r="R61" s="44" t="s">
        <v>735</v>
      </c>
      <c r="S61" s="26" t="s">
        <v>25</v>
      </c>
      <c r="T61" s="27"/>
      <c r="U61" s="28" t="s">
        <v>24</v>
      </c>
      <c r="V61" s="29" t="str">
        <f t="shared" si="1"/>
        <v>⚠ Missing</v>
      </c>
      <c r="W61" s="45">
        <v>46248</v>
      </c>
      <c r="X61" s="30" t="s">
        <v>23</v>
      </c>
      <c r="Y61" s="30" t="s">
        <v>25</v>
      </c>
      <c r="Z61" s="30" t="s">
        <v>25</v>
      </c>
      <c r="AA61" s="30" t="s">
        <v>735</v>
      </c>
      <c r="AB61" s="30" t="s">
        <v>25</v>
      </c>
      <c r="AC61" s="27"/>
      <c r="AD61" s="31" t="s">
        <v>24</v>
      </c>
      <c r="AE61" s="32" t="str">
        <f t="shared" si="2"/>
        <v>⚠ Missing</v>
      </c>
      <c r="AF61" s="33" t="s">
        <v>27</v>
      </c>
      <c r="AG61" s="33" t="s">
        <v>23</v>
      </c>
      <c r="AH61" s="33" t="s">
        <v>25</v>
      </c>
      <c r="AI61" s="33" t="s">
        <v>24</v>
      </c>
      <c r="AJ61" s="33" t="s">
        <v>135</v>
      </c>
      <c r="AK61" s="33" t="s">
        <v>25</v>
      </c>
      <c r="AL61" s="27"/>
      <c r="AM61" s="34" t="s">
        <v>25</v>
      </c>
      <c r="AN61" s="35" t="str">
        <f t="shared" si="3"/>
        <v>❌ Disc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58</v>
      </c>
      <c r="B62" s="40" t="s">
        <v>5313</v>
      </c>
      <c r="C62" s="41" t="s">
        <v>5314</v>
      </c>
      <c r="D62" s="39" t="s">
        <v>5200</v>
      </c>
      <c r="E62" s="43">
        <v>46125</v>
      </c>
      <c r="F62" s="26" t="s">
        <v>23</v>
      </c>
      <c r="G62" s="44" t="s">
        <v>25</v>
      </c>
      <c r="H62" s="26" t="s">
        <v>25</v>
      </c>
      <c r="I62" s="44" t="s">
        <v>735</v>
      </c>
      <c r="J62" s="26" t="s">
        <v>25</v>
      </c>
      <c r="K62" s="27"/>
      <c r="L62" s="28" t="s">
        <v>24</v>
      </c>
      <c r="M62" s="29" t="str">
        <f t="shared" si="0"/>
        <v>⚠ Missing</v>
      </c>
      <c r="N62" s="43">
        <v>46196</v>
      </c>
      <c r="O62" s="26" t="s">
        <v>23</v>
      </c>
      <c r="P62" s="44" t="s">
        <v>25</v>
      </c>
      <c r="Q62" s="26" t="s">
        <v>25</v>
      </c>
      <c r="R62" s="44" t="s">
        <v>735</v>
      </c>
      <c r="S62" s="26" t="s">
        <v>25</v>
      </c>
      <c r="T62" s="27"/>
      <c r="U62" s="28" t="s">
        <v>24</v>
      </c>
      <c r="V62" s="29" t="str">
        <f t="shared" si="1"/>
        <v>⚠ Missing</v>
      </c>
      <c r="W62" s="45">
        <v>46248</v>
      </c>
      <c r="X62" s="30" t="s">
        <v>23</v>
      </c>
      <c r="Y62" s="30" t="s">
        <v>25</v>
      </c>
      <c r="Z62" s="30" t="s">
        <v>25</v>
      </c>
      <c r="AA62" s="30" t="s">
        <v>735</v>
      </c>
      <c r="AB62" s="30" t="s">
        <v>25</v>
      </c>
      <c r="AC62" s="27"/>
      <c r="AD62" s="31" t="s">
        <v>24</v>
      </c>
      <c r="AE62" s="32" t="str">
        <f t="shared" si="2"/>
        <v>⚠ Missing</v>
      </c>
      <c r="AF62" s="33" t="s">
        <v>27</v>
      </c>
      <c r="AG62" s="33" t="s">
        <v>23</v>
      </c>
      <c r="AH62" s="33" t="s">
        <v>25</v>
      </c>
      <c r="AI62" s="33" t="s">
        <v>24</v>
      </c>
      <c r="AJ62" s="33" t="s">
        <v>135</v>
      </c>
      <c r="AK62" s="33" t="s">
        <v>25</v>
      </c>
      <c r="AL62" s="27"/>
      <c r="AM62" s="34" t="s">
        <v>25</v>
      </c>
      <c r="AN62" s="35" t="str">
        <f t="shared" si="3"/>
        <v>❌ Disc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59</v>
      </c>
      <c r="B63" s="24" t="s">
        <v>5315</v>
      </c>
      <c r="C63" s="25" t="s">
        <v>5316</v>
      </c>
      <c r="D63" s="23" t="s">
        <v>5200</v>
      </c>
      <c r="E63" s="43">
        <v>46125</v>
      </c>
      <c r="F63" s="26" t="s">
        <v>23</v>
      </c>
      <c r="G63" s="44" t="s">
        <v>25</v>
      </c>
      <c r="H63" s="26" t="s">
        <v>25</v>
      </c>
      <c r="I63" s="44" t="s">
        <v>735</v>
      </c>
      <c r="J63" s="26" t="s">
        <v>25</v>
      </c>
      <c r="K63" s="27"/>
      <c r="L63" s="28" t="s">
        <v>24</v>
      </c>
      <c r="M63" s="29" t="str">
        <f t="shared" si="0"/>
        <v>⚠ Missing</v>
      </c>
      <c r="N63" s="43">
        <v>46196</v>
      </c>
      <c r="O63" s="26" t="s">
        <v>23</v>
      </c>
      <c r="P63" s="44" t="s">
        <v>25</v>
      </c>
      <c r="Q63" s="26" t="s">
        <v>25</v>
      </c>
      <c r="R63" s="44" t="s">
        <v>735</v>
      </c>
      <c r="S63" s="26" t="s">
        <v>25</v>
      </c>
      <c r="T63" s="27"/>
      <c r="U63" s="28" t="s">
        <v>24</v>
      </c>
      <c r="V63" s="29" t="str">
        <f t="shared" si="1"/>
        <v>⚠ Missing</v>
      </c>
      <c r="W63" s="45">
        <v>46248</v>
      </c>
      <c r="X63" s="30" t="s">
        <v>23</v>
      </c>
      <c r="Y63" s="30" t="s">
        <v>25</v>
      </c>
      <c r="Z63" s="30" t="s">
        <v>25</v>
      </c>
      <c r="AA63" s="30" t="s">
        <v>735</v>
      </c>
      <c r="AB63" s="30" t="s">
        <v>25</v>
      </c>
      <c r="AC63" s="27"/>
      <c r="AD63" s="31" t="s">
        <v>24</v>
      </c>
      <c r="AE63" s="32" t="str">
        <f t="shared" si="2"/>
        <v>⚠ Missing</v>
      </c>
      <c r="AF63" s="33" t="s">
        <v>27</v>
      </c>
      <c r="AG63" s="33" t="s">
        <v>23</v>
      </c>
      <c r="AH63" s="33" t="s">
        <v>25</v>
      </c>
      <c r="AI63" s="33" t="s">
        <v>24</v>
      </c>
      <c r="AJ63" s="33" t="s">
        <v>135</v>
      </c>
      <c r="AK63" s="33" t="s">
        <v>25</v>
      </c>
      <c r="AL63" s="27"/>
      <c r="AM63" s="34" t="s">
        <v>25</v>
      </c>
      <c r="AN63" s="35" t="str">
        <f t="shared" si="3"/>
        <v>❌ Disc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60</v>
      </c>
      <c r="B64" s="40" t="s">
        <v>5317</v>
      </c>
      <c r="C64" s="41" t="s">
        <v>5318</v>
      </c>
      <c r="D64" s="39" t="s">
        <v>5200</v>
      </c>
      <c r="E64" s="43">
        <v>46125</v>
      </c>
      <c r="F64" s="26" t="s">
        <v>23</v>
      </c>
      <c r="G64" s="44" t="s">
        <v>25</v>
      </c>
      <c r="H64" s="26" t="s">
        <v>25</v>
      </c>
      <c r="I64" s="44" t="s">
        <v>735</v>
      </c>
      <c r="J64" s="26" t="s">
        <v>25</v>
      </c>
      <c r="K64" s="27"/>
      <c r="L64" s="28" t="s">
        <v>24</v>
      </c>
      <c r="M64" s="29" t="str">
        <f t="shared" si="0"/>
        <v>⚠ Missing</v>
      </c>
      <c r="N64" s="43">
        <v>46196</v>
      </c>
      <c r="O64" s="26" t="s">
        <v>23</v>
      </c>
      <c r="P64" s="44" t="s">
        <v>25</v>
      </c>
      <c r="Q64" s="26" t="s">
        <v>25</v>
      </c>
      <c r="R64" s="44" t="s">
        <v>735</v>
      </c>
      <c r="S64" s="26" t="s">
        <v>25</v>
      </c>
      <c r="T64" s="27"/>
      <c r="U64" s="28" t="s">
        <v>24</v>
      </c>
      <c r="V64" s="29" t="str">
        <f t="shared" si="1"/>
        <v>⚠ Missing</v>
      </c>
      <c r="W64" s="45">
        <v>46248</v>
      </c>
      <c r="X64" s="30" t="s">
        <v>23</v>
      </c>
      <c r="Y64" s="30" t="s">
        <v>25</v>
      </c>
      <c r="Z64" s="30" t="s">
        <v>25</v>
      </c>
      <c r="AA64" s="30" t="s">
        <v>735</v>
      </c>
      <c r="AB64" s="30" t="s">
        <v>25</v>
      </c>
      <c r="AC64" s="27"/>
      <c r="AD64" s="31" t="s">
        <v>24</v>
      </c>
      <c r="AE64" s="32" t="str">
        <f t="shared" si="2"/>
        <v>⚠ Missing</v>
      </c>
      <c r="AF64" s="33" t="s">
        <v>27</v>
      </c>
      <c r="AG64" s="33" t="s">
        <v>23</v>
      </c>
      <c r="AH64" s="33" t="s">
        <v>25</v>
      </c>
      <c r="AI64" s="33" t="s">
        <v>24</v>
      </c>
      <c r="AJ64" s="33" t="s">
        <v>135</v>
      </c>
      <c r="AK64" s="33" t="s">
        <v>25</v>
      </c>
      <c r="AL64" s="27"/>
      <c r="AM64" s="34" t="s">
        <v>25</v>
      </c>
      <c r="AN64" s="35" t="str">
        <f t="shared" si="3"/>
        <v>❌ Disc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61</v>
      </c>
      <c r="B65" s="24" t="s">
        <v>5319</v>
      </c>
      <c r="C65" s="25" t="s">
        <v>5320</v>
      </c>
      <c r="D65" s="23" t="s">
        <v>5200</v>
      </c>
      <c r="E65" s="43">
        <v>46125</v>
      </c>
      <c r="F65" s="26" t="s">
        <v>23</v>
      </c>
      <c r="G65" s="44" t="s">
        <v>25</v>
      </c>
      <c r="H65" s="26" t="s">
        <v>25</v>
      </c>
      <c r="I65" s="44" t="s">
        <v>735</v>
      </c>
      <c r="J65" s="26" t="s">
        <v>25</v>
      </c>
      <c r="K65" s="27"/>
      <c r="L65" s="28" t="s">
        <v>24</v>
      </c>
      <c r="M65" s="29" t="str">
        <f t="shared" si="0"/>
        <v>⚠ Missing</v>
      </c>
      <c r="N65" s="43">
        <v>46196</v>
      </c>
      <c r="O65" s="26" t="s">
        <v>23</v>
      </c>
      <c r="P65" s="44" t="s">
        <v>25</v>
      </c>
      <c r="Q65" s="26" t="s">
        <v>25</v>
      </c>
      <c r="R65" s="44" t="s">
        <v>735</v>
      </c>
      <c r="S65" s="26" t="s">
        <v>25</v>
      </c>
      <c r="T65" s="27"/>
      <c r="U65" s="28" t="s">
        <v>24</v>
      </c>
      <c r="V65" s="29" t="str">
        <f t="shared" si="1"/>
        <v>⚠ Missing</v>
      </c>
      <c r="W65" s="45">
        <v>46248</v>
      </c>
      <c r="X65" s="30" t="s">
        <v>23</v>
      </c>
      <c r="Y65" s="30" t="s">
        <v>25</v>
      </c>
      <c r="Z65" s="30" t="s">
        <v>25</v>
      </c>
      <c r="AA65" s="30" t="s">
        <v>735</v>
      </c>
      <c r="AB65" s="30" t="s">
        <v>25</v>
      </c>
      <c r="AC65" s="27"/>
      <c r="AD65" s="31" t="s">
        <v>24</v>
      </c>
      <c r="AE65" s="32" t="str">
        <f t="shared" si="2"/>
        <v>⚠ Missing</v>
      </c>
      <c r="AF65" s="33" t="s">
        <v>27</v>
      </c>
      <c r="AG65" s="33" t="s">
        <v>23</v>
      </c>
      <c r="AH65" s="33" t="s">
        <v>25</v>
      </c>
      <c r="AI65" s="33" t="s">
        <v>24</v>
      </c>
      <c r="AJ65" s="33" t="s">
        <v>135</v>
      </c>
      <c r="AK65" s="33" t="s">
        <v>25</v>
      </c>
      <c r="AL65" s="27"/>
      <c r="AM65" s="34" t="s">
        <v>25</v>
      </c>
      <c r="AN65" s="35" t="str">
        <f t="shared" si="3"/>
        <v>❌ Disc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62</v>
      </c>
      <c r="B66" s="40" t="s">
        <v>5321</v>
      </c>
      <c r="C66" s="41" t="s">
        <v>5322</v>
      </c>
      <c r="D66" s="39" t="s">
        <v>5200</v>
      </c>
      <c r="E66" s="43">
        <v>46125</v>
      </c>
      <c r="F66" s="26" t="s">
        <v>23</v>
      </c>
      <c r="G66" s="44" t="s">
        <v>25</v>
      </c>
      <c r="H66" s="26" t="s">
        <v>25</v>
      </c>
      <c r="I66" s="44" t="s">
        <v>735</v>
      </c>
      <c r="J66" s="26" t="s">
        <v>25</v>
      </c>
      <c r="K66" s="27"/>
      <c r="L66" s="28" t="s">
        <v>24</v>
      </c>
      <c r="M66" s="29" t="str">
        <f t="shared" si="0"/>
        <v>⚠ Missing</v>
      </c>
      <c r="N66" s="43">
        <v>46196</v>
      </c>
      <c r="O66" s="26" t="s">
        <v>23</v>
      </c>
      <c r="P66" s="44" t="s">
        <v>25</v>
      </c>
      <c r="Q66" s="26" t="s">
        <v>25</v>
      </c>
      <c r="R66" s="44" t="s">
        <v>735</v>
      </c>
      <c r="S66" s="26" t="s">
        <v>25</v>
      </c>
      <c r="T66" s="27"/>
      <c r="U66" s="28" t="s">
        <v>24</v>
      </c>
      <c r="V66" s="29" t="str">
        <f t="shared" si="1"/>
        <v>⚠ Missing</v>
      </c>
      <c r="W66" s="45">
        <v>46248</v>
      </c>
      <c r="X66" s="30" t="s">
        <v>23</v>
      </c>
      <c r="Y66" s="30" t="s">
        <v>25</v>
      </c>
      <c r="Z66" s="30" t="s">
        <v>25</v>
      </c>
      <c r="AA66" s="30" t="s">
        <v>735</v>
      </c>
      <c r="AB66" s="30" t="s">
        <v>25</v>
      </c>
      <c r="AC66" s="27"/>
      <c r="AD66" s="31" t="s">
        <v>24</v>
      </c>
      <c r="AE66" s="32" t="str">
        <f t="shared" si="2"/>
        <v>⚠ Missing</v>
      </c>
      <c r="AF66" s="33" t="s">
        <v>27</v>
      </c>
      <c r="AG66" s="33" t="s">
        <v>23</v>
      </c>
      <c r="AH66" s="33" t="s">
        <v>25</v>
      </c>
      <c r="AI66" s="33" t="s">
        <v>24</v>
      </c>
      <c r="AJ66" s="33" t="s">
        <v>135</v>
      </c>
      <c r="AK66" s="33" t="s">
        <v>25</v>
      </c>
      <c r="AL66" s="27"/>
      <c r="AM66" s="34" t="s">
        <v>25</v>
      </c>
      <c r="AN66" s="35" t="str">
        <f t="shared" si="3"/>
        <v>❌ Disc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63</v>
      </c>
      <c r="B67" s="24" t="s">
        <v>5323</v>
      </c>
      <c r="C67" s="25" t="s">
        <v>5324</v>
      </c>
      <c r="D67" s="23" t="s">
        <v>5200</v>
      </c>
      <c r="E67" s="43">
        <v>46125</v>
      </c>
      <c r="F67" s="26" t="s">
        <v>23</v>
      </c>
      <c r="G67" s="44" t="s">
        <v>25</v>
      </c>
      <c r="H67" s="26" t="s">
        <v>25</v>
      </c>
      <c r="I67" s="44" t="s">
        <v>735</v>
      </c>
      <c r="J67" s="26" t="s">
        <v>25</v>
      </c>
      <c r="K67" s="27"/>
      <c r="L67" s="28" t="s">
        <v>24</v>
      </c>
      <c r="M67" s="29" t="str">
        <f t="shared" si="0"/>
        <v>⚠ Missing</v>
      </c>
      <c r="N67" s="43">
        <v>46196</v>
      </c>
      <c r="O67" s="26" t="s">
        <v>23</v>
      </c>
      <c r="P67" s="44" t="s">
        <v>25</v>
      </c>
      <c r="Q67" s="26" t="s">
        <v>25</v>
      </c>
      <c r="R67" s="44" t="s">
        <v>735</v>
      </c>
      <c r="S67" s="26" t="s">
        <v>25</v>
      </c>
      <c r="T67" s="27"/>
      <c r="U67" s="28" t="s">
        <v>24</v>
      </c>
      <c r="V67" s="29" t="str">
        <f t="shared" si="1"/>
        <v>⚠ Missing</v>
      </c>
      <c r="W67" s="45">
        <v>46248</v>
      </c>
      <c r="X67" s="30" t="s">
        <v>23</v>
      </c>
      <c r="Y67" s="30" t="s">
        <v>25</v>
      </c>
      <c r="Z67" s="30" t="s">
        <v>25</v>
      </c>
      <c r="AA67" s="30" t="s">
        <v>735</v>
      </c>
      <c r="AB67" s="30" t="s">
        <v>25</v>
      </c>
      <c r="AC67" s="27"/>
      <c r="AD67" s="31" t="s">
        <v>24</v>
      </c>
      <c r="AE67" s="32" t="str">
        <f t="shared" si="2"/>
        <v>⚠ Missing</v>
      </c>
      <c r="AF67" s="33" t="s">
        <v>27</v>
      </c>
      <c r="AG67" s="33" t="s">
        <v>23</v>
      </c>
      <c r="AH67" s="33" t="s">
        <v>25</v>
      </c>
      <c r="AI67" s="33" t="s">
        <v>24</v>
      </c>
      <c r="AJ67" s="33" t="s">
        <v>135</v>
      </c>
      <c r="AK67" s="33" t="s">
        <v>25</v>
      </c>
      <c r="AL67" s="27"/>
      <c r="AM67" s="34" t="s">
        <v>25</v>
      </c>
      <c r="AN67" s="35" t="str">
        <f t="shared" si="3"/>
        <v>❌ Disc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64</v>
      </c>
      <c r="B68" s="40" t="s">
        <v>5325</v>
      </c>
      <c r="C68" s="41" t="s">
        <v>5326</v>
      </c>
      <c r="D68" s="39" t="s">
        <v>5200</v>
      </c>
      <c r="E68" s="43">
        <v>46125</v>
      </c>
      <c r="F68" s="26" t="s">
        <v>23</v>
      </c>
      <c r="G68" s="44" t="s">
        <v>25</v>
      </c>
      <c r="H68" s="26" t="s">
        <v>25</v>
      </c>
      <c r="I68" s="44" t="s">
        <v>735</v>
      </c>
      <c r="J68" s="26" t="s">
        <v>25</v>
      </c>
      <c r="K68" s="27"/>
      <c r="L68" s="28" t="s">
        <v>24</v>
      </c>
      <c r="M68" s="29" t="str">
        <f t="shared" si="0"/>
        <v>⚠ Missing</v>
      </c>
      <c r="N68" s="43">
        <v>46196</v>
      </c>
      <c r="O68" s="26" t="s">
        <v>23</v>
      </c>
      <c r="P68" s="44" t="s">
        <v>25</v>
      </c>
      <c r="Q68" s="26" t="s">
        <v>25</v>
      </c>
      <c r="R68" s="44" t="s">
        <v>735</v>
      </c>
      <c r="S68" s="26" t="s">
        <v>25</v>
      </c>
      <c r="T68" s="27"/>
      <c r="U68" s="28" t="s">
        <v>24</v>
      </c>
      <c r="V68" s="29" t="str">
        <f t="shared" si="1"/>
        <v>⚠ Missing</v>
      </c>
      <c r="W68" s="45">
        <v>46248</v>
      </c>
      <c r="X68" s="30" t="s">
        <v>23</v>
      </c>
      <c r="Y68" s="30" t="s">
        <v>25</v>
      </c>
      <c r="Z68" s="30" t="s">
        <v>25</v>
      </c>
      <c r="AA68" s="30" t="s">
        <v>735</v>
      </c>
      <c r="AB68" s="30" t="s">
        <v>25</v>
      </c>
      <c r="AC68" s="27"/>
      <c r="AD68" s="31" t="s">
        <v>24</v>
      </c>
      <c r="AE68" s="32" t="str">
        <f t="shared" si="2"/>
        <v>⚠ Missing</v>
      </c>
      <c r="AF68" s="33" t="s">
        <v>27</v>
      </c>
      <c r="AG68" s="33" t="s">
        <v>23</v>
      </c>
      <c r="AH68" s="33" t="s">
        <v>25</v>
      </c>
      <c r="AI68" s="33" t="s">
        <v>24</v>
      </c>
      <c r="AJ68" s="33" t="s">
        <v>135</v>
      </c>
      <c r="AK68" s="33" t="s">
        <v>25</v>
      </c>
      <c r="AL68" s="27"/>
      <c r="AM68" s="34" t="s">
        <v>25</v>
      </c>
      <c r="AN68" s="35" t="str">
        <f t="shared" si="3"/>
        <v>❌ Disc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65</v>
      </c>
      <c r="B69" s="24" t="s">
        <v>5327</v>
      </c>
      <c r="C69" s="25" t="s">
        <v>5328</v>
      </c>
      <c r="D69" s="23" t="s">
        <v>5200</v>
      </c>
      <c r="E69" s="43">
        <v>46125</v>
      </c>
      <c r="F69" s="26" t="s">
        <v>23</v>
      </c>
      <c r="G69" s="44" t="s">
        <v>25</v>
      </c>
      <c r="H69" s="26" t="s">
        <v>25</v>
      </c>
      <c r="I69" s="44" t="s">
        <v>735</v>
      </c>
      <c r="J69" s="26" t="s">
        <v>25</v>
      </c>
      <c r="K69" s="27"/>
      <c r="L69" s="28" t="s">
        <v>24</v>
      </c>
      <c r="M69" s="29" t="str">
        <f t="shared" ref="M69:M132" si="5">IF(E69="","",IF(H69="Yes","❌ Disc",IF(G69="No","⚠ Missing",IF(J69="Yes","✓ OK","⚠ Check"))))</f>
        <v>⚠ Missing</v>
      </c>
      <c r="N69" s="43">
        <v>46196</v>
      </c>
      <c r="O69" s="26" t="s">
        <v>23</v>
      </c>
      <c r="P69" s="44" t="s">
        <v>25</v>
      </c>
      <c r="Q69" s="26" t="s">
        <v>25</v>
      </c>
      <c r="R69" s="44" t="s">
        <v>735</v>
      </c>
      <c r="S69" s="26" t="s">
        <v>25</v>
      </c>
      <c r="T69" s="27"/>
      <c r="U69" s="28" t="s">
        <v>24</v>
      </c>
      <c r="V69" s="29" t="str">
        <f t="shared" ref="V69:V132" si="6">IF(N69="","",IF(Q69="Yes","❌ Disc",IF(P69="No","⚠ Missing",IF(S69="Yes","✓ OK","⚠ Check"))))</f>
        <v>⚠ Missing</v>
      </c>
      <c r="W69" s="45">
        <v>46248</v>
      </c>
      <c r="X69" s="30" t="s">
        <v>23</v>
      </c>
      <c r="Y69" s="30" t="s">
        <v>25</v>
      </c>
      <c r="Z69" s="30" t="s">
        <v>25</v>
      </c>
      <c r="AA69" s="30" t="s">
        <v>735</v>
      </c>
      <c r="AB69" s="30" t="s">
        <v>25</v>
      </c>
      <c r="AC69" s="27"/>
      <c r="AD69" s="31" t="s">
        <v>24</v>
      </c>
      <c r="AE69" s="32" t="str">
        <f t="shared" ref="AE69:AE132" si="7">IF(W69="","",IF(Z69="Yes","❌ Disc",IF(Y69="No","⚠ Missing",IF(AB69="Yes","✓ OK","⚠ Check"))))</f>
        <v>⚠ Missing</v>
      </c>
      <c r="AF69" s="33" t="s">
        <v>27</v>
      </c>
      <c r="AG69" s="33" t="s">
        <v>23</v>
      </c>
      <c r="AH69" s="33" t="s">
        <v>25</v>
      </c>
      <c r="AI69" s="33" t="s">
        <v>24</v>
      </c>
      <c r="AJ69" s="33" t="s">
        <v>135</v>
      </c>
      <c r="AK69" s="33" t="s">
        <v>25</v>
      </c>
      <c r="AL69" s="27"/>
      <c r="AM69" s="34" t="s">
        <v>25</v>
      </c>
      <c r="AN69" s="35" t="str">
        <f t="shared" ref="AN69:AN132" si="8">IF(AF69="","",IF(AI69="Yes","❌ Disc",IF(AH69="No","⚠ Missing",IF(AK69="Yes","✓ OK","⚠ Check"))))</f>
        <v>❌ Disc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5329</v>
      </c>
      <c r="C70" s="41" t="s">
        <v>5330</v>
      </c>
      <c r="D70" s="39" t="s">
        <v>5200</v>
      </c>
      <c r="E70" s="43">
        <v>46125</v>
      </c>
      <c r="F70" s="26" t="s">
        <v>23</v>
      </c>
      <c r="G70" s="44" t="s">
        <v>25</v>
      </c>
      <c r="H70" s="26" t="s">
        <v>25</v>
      </c>
      <c r="I70" s="44" t="s">
        <v>735</v>
      </c>
      <c r="J70" s="26" t="s">
        <v>25</v>
      </c>
      <c r="K70" s="27"/>
      <c r="L70" s="28" t="s">
        <v>24</v>
      </c>
      <c r="M70" s="29" t="str">
        <f t="shared" si="5"/>
        <v>⚠ Missing</v>
      </c>
      <c r="N70" s="43">
        <v>46196</v>
      </c>
      <c r="O70" s="26" t="s">
        <v>23</v>
      </c>
      <c r="P70" s="44" t="s">
        <v>25</v>
      </c>
      <c r="Q70" s="26" t="s">
        <v>25</v>
      </c>
      <c r="R70" s="44" t="s">
        <v>735</v>
      </c>
      <c r="S70" s="26" t="s">
        <v>25</v>
      </c>
      <c r="T70" s="27"/>
      <c r="U70" s="28" t="s">
        <v>24</v>
      </c>
      <c r="V70" s="29" t="str">
        <f t="shared" si="6"/>
        <v>⚠ Missing</v>
      </c>
      <c r="W70" s="45">
        <v>46248</v>
      </c>
      <c r="X70" s="30" t="s">
        <v>23</v>
      </c>
      <c r="Y70" s="30" t="s">
        <v>25</v>
      </c>
      <c r="Z70" s="30" t="s">
        <v>25</v>
      </c>
      <c r="AA70" s="30" t="s">
        <v>735</v>
      </c>
      <c r="AB70" s="30" t="s">
        <v>25</v>
      </c>
      <c r="AC70" s="27"/>
      <c r="AD70" s="31" t="s">
        <v>24</v>
      </c>
      <c r="AE70" s="32" t="str">
        <f t="shared" si="7"/>
        <v>⚠ Missing</v>
      </c>
      <c r="AF70" s="33" t="s">
        <v>27</v>
      </c>
      <c r="AG70" s="33" t="s">
        <v>23</v>
      </c>
      <c r="AH70" s="33" t="s">
        <v>25</v>
      </c>
      <c r="AI70" s="33" t="s">
        <v>24</v>
      </c>
      <c r="AJ70" s="33" t="s">
        <v>135</v>
      </c>
      <c r="AK70" s="33" t="s">
        <v>25</v>
      </c>
      <c r="AL70" s="27"/>
      <c r="AM70" s="34" t="s">
        <v>25</v>
      </c>
      <c r="AN70" s="35" t="str">
        <f t="shared" si="8"/>
        <v>❌ Disc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8" customHeight="1" x14ac:dyDescent="0.3">
      <c r="A71" s="23">
        <v>67</v>
      </c>
      <c r="B71" s="24" t="s">
        <v>5331</v>
      </c>
      <c r="C71" s="25" t="s">
        <v>5332</v>
      </c>
      <c r="D71" s="23" t="s">
        <v>5200</v>
      </c>
      <c r="E71" s="43">
        <v>46125</v>
      </c>
      <c r="F71" s="26" t="s">
        <v>23</v>
      </c>
      <c r="G71" s="44" t="s">
        <v>25</v>
      </c>
      <c r="H71" s="26" t="s">
        <v>25</v>
      </c>
      <c r="I71" s="44" t="s">
        <v>735</v>
      </c>
      <c r="J71" s="26" t="s">
        <v>25</v>
      </c>
      <c r="K71" s="27"/>
      <c r="L71" s="28" t="s">
        <v>24</v>
      </c>
      <c r="M71" s="29" t="str">
        <f t="shared" si="5"/>
        <v>⚠ Missing</v>
      </c>
      <c r="N71" s="43">
        <v>46196</v>
      </c>
      <c r="O71" s="26" t="s">
        <v>23</v>
      </c>
      <c r="P71" s="44" t="s">
        <v>25</v>
      </c>
      <c r="Q71" s="26" t="s">
        <v>25</v>
      </c>
      <c r="R71" s="44" t="s">
        <v>735</v>
      </c>
      <c r="S71" s="26" t="s">
        <v>25</v>
      </c>
      <c r="T71" s="27"/>
      <c r="U71" s="28" t="s">
        <v>24</v>
      </c>
      <c r="V71" s="29" t="str">
        <f t="shared" si="6"/>
        <v>⚠ Missing</v>
      </c>
      <c r="W71" s="45">
        <v>46248</v>
      </c>
      <c r="X71" s="30" t="s">
        <v>23</v>
      </c>
      <c r="Y71" s="30" t="s">
        <v>25</v>
      </c>
      <c r="Z71" s="30" t="s">
        <v>25</v>
      </c>
      <c r="AA71" s="30" t="s">
        <v>735</v>
      </c>
      <c r="AB71" s="30" t="s">
        <v>25</v>
      </c>
      <c r="AC71" s="27"/>
      <c r="AD71" s="31" t="s">
        <v>24</v>
      </c>
      <c r="AE71" s="32" t="str">
        <f t="shared" si="7"/>
        <v>⚠ Missing</v>
      </c>
      <c r="AF71" s="33" t="s">
        <v>27</v>
      </c>
      <c r="AG71" s="33" t="s">
        <v>23</v>
      </c>
      <c r="AH71" s="33" t="s">
        <v>25</v>
      </c>
      <c r="AI71" s="33" t="s">
        <v>24</v>
      </c>
      <c r="AJ71" s="33" t="s">
        <v>135</v>
      </c>
      <c r="AK71" s="33" t="s">
        <v>25</v>
      </c>
      <c r="AL71" s="27"/>
      <c r="AM71" s="34" t="s">
        <v>25</v>
      </c>
      <c r="AN71" s="35" t="str">
        <f t="shared" si="8"/>
        <v>❌ Disc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8" customHeight="1" x14ac:dyDescent="0.3">
      <c r="A72" s="39">
        <v>68</v>
      </c>
      <c r="B72" s="40" t="s">
        <v>5333</v>
      </c>
      <c r="C72" s="41" t="s">
        <v>5334</v>
      </c>
      <c r="D72" s="39" t="s">
        <v>5200</v>
      </c>
      <c r="E72" s="43">
        <v>46125</v>
      </c>
      <c r="F72" s="26" t="s">
        <v>23</v>
      </c>
      <c r="G72" s="44" t="s">
        <v>25</v>
      </c>
      <c r="H72" s="26" t="s">
        <v>25</v>
      </c>
      <c r="I72" s="44" t="s">
        <v>735</v>
      </c>
      <c r="J72" s="26" t="s">
        <v>25</v>
      </c>
      <c r="K72" s="27"/>
      <c r="L72" s="28" t="s">
        <v>24</v>
      </c>
      <c r="M72" s="29" t="str">
        <f t="shared" si="5"/>
        <v>⚠ Missing</v>
      </c>
      <c r="N72" s="43">
        <v>46196</v>
      </c>
      <c r="O72" s="26" t="s">
        <v>23</v>
      </c>
      <c r="P72" s="44" t="s">
        <v>25</v>
      </c>
      <c r="Q72" s="26" t="s">
        <v>25</v>
      </c>
      <c r="R72" s="44" t="s">
        <v>735</v>
      </c>
      <c r="S72" s="26" t="s">
        <v>25</v>
      </c>
      <c r="T72" s="27"/>
      <c r="U72" s="28" t="s">
        <v>24</v>
      </c>
      <c r="V72" s="29" t="str">
        <f t="shared" si="6"/>
        <v>⚠ Missing</v>
      </c>
      <c r="W72" s="45">
        <v>46248</v>
      </c>
      <c r="X72" s="30" t="s">
        <v>23</v>
      </c>
      <c r="Y72" s="30" t="s">
        <v>25</v>
      </c>
      <c r="Z72" s="30" t="s">
        <v>25</v>
      </c>
      <c r="AA72" s="30" t="s">
        <v>735</v>
      </c>
      <c r="AB72" s="30" t="s">
        <v>25</v>
      </c>
      <c r="AC72" s="27"/>
      <c r="AD72" s="31" t="s">
        <v>24</v>
      </c>
      <c r="AE72" s="32" t="str">
        <f t="shared" si="7"/>
        <v>⚠ Missing</v>
      </c>
      <c r="AF72" s="33" t="s">
        <v>27</v>
      </c>
      <c r="AG72" s="33" t="s">
        <v>23</v>
      </c>
      <c r="AH72" s="33" t="s">
        <v>25</v>
      </c>
      <c r="AI72" s="33" t="s">
        <v>24</v>
      </c>
      <c r="AJ72" s="33" t="s">
        <v>135</v>
      </c>
      <c r="AK72" s="33" t="s">
        <v>25</v>
      </c>
      <c r="AL72" s="27"/>
      <c r="AM72" s="34" t="s">
        <v>25</v>
      </c>
      <c r="AN72" s="35" t="str">
        <f t="shared" si="8"/>
        <v>❌ Disc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8" customHeight="1" x14ac:dyDescent="0.3">
      <c r="A73" s="23">
        <v>69</v>
      </c>
      <c r="B73" s="24" t="s">
        <v>5335</v>
      </c>
      <c r="C73" s="25" t="s">
        <v>5336</v>
      </c>
      <c r="D73" s="23" t="s">
        <v>5200</v>
      </c>
      <c r="E73" s="43">
        <v>46125</v>
      </c>
      <c r="F73" s="26" t="s">
        <v>23</v>
      </c>
      <c r="G73" s="44" t="s">
        <v>25</v>
      </c>
      <c r="H73" s="26" t="s">
        <v>25</v>
      </c>
      <c r="I73" s="44" t="s">
        <v>735</v>
      </c>
      <c r="J73" s="26" t="s">
        <v>25</v>
      </c>
      <c r="K73" s="27"/>
      <c r="L73" s="28" t="s">
        <v>24</v>
      </c>
      <c r="M73" s="29" t="str">
        <f t="shared" si="5"/>
        <v>⚠ Missing</v>
      </c>
      <c r="N73" s="43">
        <v>46196</v>
      </c>
      <c r="O73" s="26" t="s">
        <v>23</v>
      </c>
      <c r="P73" s="44" t="s">
        <v>25</v>
      </c>
      <c r="Q73" s="26" t="s">
        <v>25</v>
      </c>
      <c r="R73" s="44" t="s">
        <v>735</v>
      </c>
      <c r="S73" s="26" t="s">
        <v>25</v>
      </c>
      <c r="T73" s="27"/>
      <c r="U73" s="28" t="s">
        <v>24</v>
      </c>
      <c r="V73" s="29" t="str">
        <f t="shared" si="6"/>
        <v>⚠ Missing</v>
      </c>
      <c r="W73" s="45">
        <v>46248</v>
      </c>
      <c r="X73" s="30" t="s">
        <v>23</v>
      </c>
      <c r="Y73" s="30" t="s">
        <v>25</v>
      </c>
      <c r="Z73" s="30" t="s">
        <v>25</v>
      </c>
      <c r="AA73" s="30" t="s">
        <v>735</v>
      </c>
      <c r="AB73" s="30" t="s">
        <v>25</v>
      </c>
      <c r="AC73" s="27"/>
      <c r="AD73" s="31" t="s">
        <v>24</v>
      </c>
      <c r="AE73" s="32" t="str">
        <f t="shared" si="7"/>
        <v>⚠ Missing</v>
      </c>
      <c r="AF73" s="33" t="s">
        <v>27</v>
      </c>
      <c r="AG73" s="33" t="s">
        <v>23</v>
      </c>
      <c r="AH73" s="33" t="s">
        <v>25</v>
      </c>
      <c r="AI73" s="33" t="s">
        <v>24</v>
      </c>
      <c r="AJ73" s="33" t="s">
        <v>135</v>
      </c>
      <c r="AK73" s="33" t="s">
        <v>25</v>
      </c>
      <c r="AL73" s="27"/>
      <c r="AM73" s="34" t="s">
        <v>25</v>
      </c>
      <c r="AN73" s="35" t="str">
        <f t="shared" si="8"/>
        <v>❌ Disc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8" customHeight="1" x14ac:dyDescent="0.3">
      <c r="A74" s="39">
        <v>70</v>
      </c>
      <c r="B74" s="40" t="s">
        <v>5337</v>
      </c>
      <c r="C74" s="41" t="s">
        <v>5338</v>
      </c>
      <c r="D74" s="39" t="s">
        <v>5200</v>
      </c>
      <c r="E74" s="43">
        <v>46125</v>
      </c>
      <c r="F74" s="26" t="s">
        <v>23</v>
      </c>
      <c r="G74" s="44" t="s">
        <v>25</v>
      </c>
      <c r="H74" s="26" t="s">
        <v>25</v>
      </c>
      <c r="I74" s="44" t="s">
        <v>735</v>
      </c>
      <c r="J74" s="26" t="s">
        <v>25</v>
      </c>
      <c r="K74" s="27"/>
      <c r="L74" s="28" t="s">
        <v>24</v>
      </c>
      <c r="M74" s="29" t="str">
        <f t="shared" si="5"/>
        <v>⚠ Missing</v>
      </c>
      <c r="N74" s="43">
        <v>46196</v>
      </c>
      <c r="O74" s="26" t="s">
        <v>23</v>
      </c>
      <c r="P74" s="44" t="s">
        <v>25</v>
      </c>
      <c r="Q74" s="26" t="s">
        <v>25</v>
      </c>
      <c r="R74" s="44" t="s">
        <v>735</v>
      </c>
      <c r="S74" s="26" t="s">
        <v>25</v>
      </c>
      <c r="T74" s="27"/>
      <c r="U74" s="28" t="s">
        <v>24</v>
      </c>
      <c r="V74" s="29" t="str">
        <f t="shared" si="6"/>
        <v>⚠ Missing</v>
      </c>
      <c r="W74" s="45">
        <v>46248</v>
      </c>
      <c r="X74" s="30" t="s">
        <v>23</v>
      </c>
      <c r="Y74" s="30" t="s">
        <v>25</v>
      </c>
      <c r="Z74" s="30" t="s">
        <v>25</v>
      </c>
      <c r="AA74" s="30" t="s">
        <v>735</v>
      </c>
      <c r="AB74" s="30" t="s">
        <v>25</v>
      </c>
      <c r="AC74" s="27"/>
      <c r="AD74" s="31" t="s">
        <v>24</v>
      </c>
      <c r="AE74" s="32" t="str">
        <f t="shared" si="7"/>
        <v>⚠ Missing</v>
      </c>
      <c r="AF74" s="33" t="s">
        <v>27</v>
      </c>
      <c r="AG74" s="33" t="s">
        <v>23</v>
      </c>
      <c r="AH74" s="33" t="s">
        <v>25</v>
      </c>
      <c r="AI74" s="33" t="s">
        <v>24</v>
      </c>
      <c r="AJ74" s="33" t="s">
        <v>135</v>
      </c>
      <c r="AK74" s="33" t="s">
        <v>25</v>
      </c>
      <c r="AL74" s="27"/>
      <c r="AM74" s="34" t="s">
        <v>25</v>
      </c>
      <c r="AN74" s="35" t="str">
        <f t="shared" si="8"/>
        <v>❌ Disc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8" customHeight="1" x14ac:dyDescent="0.3">
      <c r="A75" s="23">
        <v>71</v>
      </c>
      <c r="B75" s="24" t="s">
        <v>5339</v>
      </c>
      <c r="C75" s="25" t="s">
        <v>5340</v>
      </c>
      <c r="D75" s="23" t="s">
        <v>5200</v>
      </c>
      <c r="E75" s="43">
        <v>46125</v>
      </c>
      <c r="F75" s="26" t="s">
        <v>23</v>
      </c>
      <c r="G75" s="44" t="s">
        <v>25</v>
      </c>
      <c r="H75" s="26" t="s">
        <v>25</v>
      </c>
      <c r="I75" s="44" t="s">
        <v>735</v>
      </c>
      <c r="J75" s="26" t="s">
        <v>25</v>
      </c>
      <c r="K75" s="27"/>
      <c r="L75" s="28" t="s">
        <v>24</v>
      </c>
      <c r="M75" s="29" t="str">
        <f t="shared" si="5"/>
        <v>⚠ Missing</v>
      </c>
      <c r="N75" s="43">
        <v>46196</v>
      </c>
      <c r="O75" s="26" t="s">
        <v>23</v>
      </c>
      <c r="P75" s="44" t="s">
        <v>25</v>
      </c>
      <c r="Q75" s="26" t="s">
        <v>25</v>
      </c>
      <c r="R75" s="44" t="s">
        <v>735</v>
      </c>
      <c r="S75" s="26" t="s">
        <v>25</v>
      </c>
      <c r="T75" s="27"/>
      <c r="U75" s="28" t="s">
        <v>24</v>
      </c>
      <c r="V75" s="29" t="str">
        <f t="shared" si="6"/>
        <v>⚠ Missing</v>
      </c>
      <c r="W75" s="45">
        <v>46248</v>
      </c>
      <c r="X75" s="30" t="s">
        <v>23</v>
      </c>
      <c r="Y75" s="30" t="s">
        <v>25</v>
      </c>
      <c r="Z75" s="30" t="s">
        <v>25</v>
      </c>
      <c r="AA75" s="30" t="s">
        <v>735</v>
      </c>
      <c r="AB75" s="30" t="s">
        <v>25</v>
      </c>
      <c r="AC75" s="27"/>
      <c r="AD75" s="31" t="s">
        <v>24</v>
      </c>
      <c r="AE75" s="32" t="str">
        <f t="shared" si="7"/>
        <v>⚠ Missing</v>
      </c>
      <c r="AF75" s="33" t="s">
        <v>27</v>
      </c>
      <c r="AG75" s="33" t="s">
        <v>23</v>
      </c>
      <c r="AH75" s="33" t="s">
        <v>25</v>
      </c>
      <c r="AI75" s="33" t="s">
        <v>24</v>
      </c>
      <c r="AJ75" s="33" t="s">
        <v>135</v>
      </c>
      <c r="AK75" s="33" t="s">
        <v>25</v>
      </c>
      <c r="AL75" s="27"/>
      <c r="AM75" s="34" t="s">
        <v>25</v>
      </c>
      <c r="AN75" s="35" t="str">
        <f t="shared" si="8"/>
        <v>❌ Disc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8" customHeight="1" x14ac:dyDescent="0.3">
      <c r="A76" s="39">
        <v>72</v>
      </c>
      <c r="B76" s="40" t="s">
        <v>5341</v>
      </c>
      <c r="C76" s="41" t="s">
        <v>5342</v>
      </c>
      <c r="D76" s="39" t="s">
        <v>5200</v>
      </c>
      <c r="E76" s="43">
        <v>46125</v>
      </c>
      <c r="F76" s="26" t="s">
        <v>23</v>
      </c>
      <c r="G76" s="44" t="s">
        <v>25</v>
      </c>
      <c r="H76" s="26" t="s">
        <v>25</v>
      </c>
      <c r="I76" s="44" t="s">
        <v>735</v>
      </c>
      <c r="J76" s="26" t="s">
        <v>25</v>
      </c>
      <c r="K76" s="27"/>
      <c r="L76" s="28" t="s">
        <v>24</v>
      </c>
      <c r="M76" s="29" t="str">
        <f t="shared" si="5"/>
        <v>⚠ Missing</v>
      </c>
      <c r="N76" s="43">
        <v>46196</v>
      </c>
      <c r="O76" s="26" t="s">
        <v>23</v>
      </c>
      <c r="P76" s="44" t="s">
        <v>25</v>
      </c>
      <c r="Q76" s="26" t="s">
        <v>25</v>
      </c>
      <c r="R76" s="44" t="s">
        <v>735</v>
      </c>
      <c r="S76" s="26" t="s">
        <v>25</v>
      </c>
      <c r="T76" s="27"/>
      <c r="U76" s="28" t="s">
        <v>24</v>
      </c>
      <c r="V76" s="29" t="str">
        <f t="shared" si="6"/>
        <v>⚠ Missing</v>
      </c>
      <c r="W76" s="45">
        <v>46248</v>
      </c>
      <c r="X76" s="30" t="s">
        <v>23</v>
      </c>
      <c r="Y76" s="30" t="s">
        <v>25</v>
      </c>
      <c r="Z76" s="30" t="s">
        <v>25</v>
      </c>
      <c r="AA76" s="30" t="s">
        <v>735</v>
      </c>
      <c r="AB76" s="30" t="s">
        <v>25</v>
      </c>
      <c r="AC76" s="27"/>
      <c r="AD76" s="31" t="s">
        <v>24</v>
      </c>
      <c r="AE76" s="32" t="str">
        <f t="shared" si="7"/>
        <v>⚠ Missing</v>
      </c>
      <c r="AF76" s="33" t="s">
        <v>27</v>
      </c>
      <c r="AG76" s="33" t="s">
        <v>23</v>
      </c>
      <c r="AH76" s="33" t="s">
        <v>25</v>
      </c>
      <c r="AI76" s="33" t="s">
        <v>24</v>
      </c>
      <c r="AJ76" s="33" t="s">
        <v>135</v>
      </c>
      <c r="AK76" s="33" t="s">
        <v>25</v>
      </c>
      <c r="AL76" s="27"/>
      <c r="AM76" s="34" t="s">
        <v>25</v>
      </c>
      <c r="AN76" s="35" t="str">
        <f t="shared" si="8"/>
        <v>❌ Disc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8" customHeight="1" x14ac:dyDescent="0.3">
      <c r="A77" s="23">
        <v>73</v>
      </c>
      <c r="B77" s="24" t="s">
        <v>5343</v>
      </c>
      <c r="C77" s="25" t="s">
        <v>5344</v>
      </c>
      <c r="D77" s="23" t="s">
        <v>5200</v>
      </c>
      <c r="E77" s="43">
        <v>46125</v>
      </c>
      <c r="F77" s="26" t="s">
        <v>23</v>
      </c>
      <c r="G77" s="44" t="s">
        <v>25</v>
      </c>
      <c r="H77" s="26" t="s">
        <v>25</v>
      </c>
      <c r="I77" s="44" t="s">
        <v>735</v>
      </c>
      <c r="J77" s="26" t="s">
        <v>25</v>
      </c>
      <c r="K77" s="27"/>
      <c r="L77" s="28" t="s">
        <v>24</v>
      </c>
      <c r="M77" s="29" t="str">
        <f t="shared" si="5"/>
        <v>⚠ Missing</v>
      </c>
      <c r="N77" s="43">
        <v>46196</v>
      </c>
      <c r="O77" s="26" t="s">
        <v>23</v>
      </c>
      <c r="P77" s="44" t="s">
        <v>25</v>
      </c>
      <c r="Q77" s="26" t="s">
        <v>25</v>
      </c>
      <c r="R77" s="44" t="s">
        <v>735</v>
      </c>
      <c r="S77" s="26" t="s">
        <v>25</v>
      </c>
      <c r="T77" s="27"/>
      <c r="U77" s="28" t="s">
        <v>24</v>
      </c>
      <c r="V77" s="29" t="str">
        <f t="shared" si="6"/>
        <v>⚠ Missing</v>
      </c>
      <c r="W77" s="45">
        <v>46248</v>
      </c>
      <c r="X77" s="30" t="s">
        <v>23</v>
      </c>
      <c r="Y77" s="30" t="s">
        <v>25</v>
      </c>
      <c r="Z77" s="30" t="s">
        <v>25</v>
      </c>
      <c r="AA77" s="30" t="s">
        <v>735</v>
      </c>
      <c r="AB77" s="30" t="s">
        <v>25</v>
      </c>
      <c r="AC77" s="27"/>
      <c r="AD77" s="31" t="s">
        <v>24</v>
      </c>
      <c r="AE77" s="32" t="str">
        <f t="shared" si="7"/>
        <v>⚠ Missing</v>
      </c>
      <c r="AF77" s="33" t="s">
        <v>27</v>
      </c>
      <c r="AG77" s="33" t="s">
        <v>23</v>
      </c>
      <c r="AH77" s="33" t="s">
        <v>25</v>
      </c>
      <c r="AI77" s="33" t="s">
        <v>24</v>
      </c>
      <c r="AJ77" s="33" t="s">
        <v>135</v>
      </c>
      <c r="AK77" s="33" t="s">
        <v>25</v>
      </c>
      <c r="AL77" s="27"/>
      <c r="AM77" s="34" t="s">
        <v>25</v>
      </c>
      <c r="AN77" s="35" t="str">
        <f t="shared" si="8"/>
        <v>❌ Disc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8" customHeight="1" x14ac:dyDescent="0.3">
      <c r="A78" s="39">
        <v>74</v>
      </c>
      <c r="B78" s="40" t="s">
        <v>5345</v>
      </c>
      <c r="C78" s="41" t="s">
        <v>5346</v>
      </c>
      <c r="D78" s="39" t="s">
        <v>5200</v>
      </c>
      <c r="E78" s="43">
        <v>46125</v>
      </c>
      <c r="F78" s="26" t="s">
        <v>23</v>
      </c>
      <c r="G78" s="44" t="s">
        <v>25</v>
      </c>
      <c r="H78" s="26" t="s">
        <v>25</v>
      </c>
      <c r="I78" s="44" t="s">
        <v>735</v>
      </c>
      <c r="J78" s="26" t="s">
        <v>25</v>
      </c>
      <c r="K78" s="27"/>
      <c r="L78" s="28" t="s">
        <v>24</v>
      </c>
      <c r="M78" s="29" t="str">
        <f t="shared" si="5"/>
        <v>⚠ Missing</v>
      </c>
      <c r="N78" s="43">
        <v>46196</v>
      </c>
      <c r="O78" s="26" t="s">
        <v>23</v>
      </c>
      <c r="P78" s="44" t="s">
        <v>25</v>
      </c>
      <c r="Q78" s="26" t="s">
        <v>25</v>
      </c>
      <c r="R78" s="44" t="s">
        <v>735</v>
      </c>
      <c r="S78" s="26" t="s">
        <v>25</v>
      </c>
      <c r="T78" s="27"/>
      <c r="U78" s="28" t="s">
        <v>24</v>
      </c>
      <c r="V78" s="29" t="str">
        <f t="shared" si="6"/>
        <v>⚠ Missing</v>
      </c>
      <c r="W78" s="45">
        <v>46248</v>
      </c>
      <c r="X78" s="30" t="s">
        <v>23</v>
      </c>
      <c r="Y78" s="30" t="s">
        <v>25</v>
      </c>
      <c r="Z78" s="30" t="s">
        <v>25</v>
      </c>
      <c r="AA78" s="30" t="s">
        <v>735</v>
      </c>
      <c r="AB78" s="30" t="s">
        <v>25</v>
      </c>
      <c r="AC78" s="27"/>
      <c r="AD78" s="31" t="s">
        <v>24</v>
      </c>
      <c r="AE78" s="32" t="str">
        <f t="shared" si="7"/>
        <v>⚠ Missing</v>
      </c>
      <c r="AF78" s="33" t="s">
        <v>27</v>
      </c>
      <c r="AG78" s="33" t="s">
        <v>23</v>
      </c>
      <c r="AH78" s="33" t="s">
        <v>25</v>
      </c>
      <c r="AI78" s="33" t="s">
        <v>24</v>
      </c>
      <c r="AJ78" s="33" t="s">
        <v>135</v>
      </c>
      <c r="AK78" s="33" t="s">
        <v>25</v>
      </c>
      <c r="AL78" s="27"/>
      <c r="AM78" s="34" t="s">
        <v>25</v>
      </c>
      <c r="AN78" s="35" t="str">
        <f t="shared" si="8"/>
        <v>❌ Disc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8" customHeight="1" x14ac:dyDescent="0.3">
      <c r="A79" s="23">
        <v>75</v>
      </c>
      <c r="B79" s="24" t="s">
        <v>5347</v>
      </c>
      <c r="C79" s="25" t="s">
        <v>5348</v>
      </c>
      <c r="D79" s="23" t="s">
        <v>5200</v>
      </c>
      <c r="E79" s="43">
        <v>46125</v>
      </c>
      <c r="F79" s="26" t="s">
        <v>23</v>
      </c>
      <c r="G79" s="44" t="s">
        <v>25</v>
      </c>
      <c r="H79" s="26" t="s">
        <v>25</v>
      </c>
      <c r="I79" s="44" t="s">
        <v>735</v>
      </c>
      <c r="J79" s="26" t="s">
        <v>25</v>
      </c>
      <c r="K79" s="27"/>
      <c r="L79" s="28" t="s">
        <v>24</v>
      </c>
      <c r="M79" s="29" t="str">
        <f t="shared" si="5"/>
        <v>⚠ Missing</v>
      </c>
      <c r="N79" s="43">
        <v>46196</v>
      </c>
      <c r="O79" s="26" t="s">
        <v>23</v>
      </c>
      <c r="P79" s="44" t="s">
        <v>25</v>
      </c>
      <c r="Q79" s="26" t="s">
        <v>25</v>
      </c>
      <c r="R79" s="44" t="s">
        <v>735</v>
      </c>
      <c r="S79" s="26" t="s">
        <v>25</v>
      </c>
      <c r="T79" s="27"/>
      <c r="U79" s="28" t="s">
        <v>24</v>
      </c>
      <c r="V79" s="29" t="str">
        <f t="shared" si="6"/>
        <v>⚠ Missing</v>
      </c>
      <c r="W79" s="45">
        <v>46248</v>
      </c>
      <c r="X79" s="30" t="s">
        <v>23</v>
      </c>
      <c r="Y79" s="30" t="s">
        <v>25</v>
      </c>
      <c r="Z79" s="30" t="s">
        <v>25</v>
      </c>
      <c r="AA79" s="30" t="s">
        <v>735</v>
      </c>
      <c r="AB79" s="30" t="s">
        <v>25</v>
      </c>
      <c r="AC79" s="27"/>
      <c r="AD79" s="31" t="s">
        <v>24</v>
      </c>
      <c r="AE79" s="32" t="str">
        <f t="shared" si="7"/>
        <v>⚠ Missing</v>
      </c>
      <c r="AF79" s="33" t="s">
        <v>27</v>
      </c>
      <c r="AG79" s="33" t="s">
        <v>23</v>
      </c>
      <c r="AH79" s="33" t="s">
        <v>25</v>
      </c>
      <c r="AI79" s="33" t="s">
        <v>24</v>
      </c>
      <c r="AJ79" s="33" t="s">
        <v>135</v>
      </c>
      <c r="AK79" s="33" t="s">
        <v>25</v>
      </c>
      <c r="AL79" s="27"/>
      <c r="AM79" s="34" t="s">
        <v>25</v>
      </c>
      <c r="AN79" s="35" t="str">
        <f t="shared" si="8"/>
        <v>❌ Disc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8" customHeight="1" x14ac:dyDescent="0.3">
      <c r="A80" s="39">
        <v>76</v>
      </c>
      <c r="B80" s="40" t="s">
        <v>5349</v>
      </c>
      <c r="C80" s="41" t="s">
        <v>5350</v>
      </c>
      <c r="D80" s="39" t="s">
        <v>5200</v>
      </c>
      <c r="E80" s="43">
        <v>46125</v>
      </c>
      <c r="F80" s="26" t="s">
        <v>23</v>
      </c>
      <c r="G80" s="44" t="s">
        <v>25</v>
      </c>
      <c r="H80" s="26" t="s">
        <v>25</v>
      </c>
      <c r="I80" s="44" t="s">
        <v>735</v>
      </c>
      <c r="J80" s="26" t="s">
        <v>25</v>
      </c>
      <c r="K80" s="27"/>
      <c r="L80" s="28" t="s">
        <v>24</v>
      </c>
      <c r="M80" s="29" t="str">
        <f t="shared" si="5"/>
        <v>⚠ Missing</v>
      </c>
      <c r="N80" s="43">
        <v>46196</v>
      </c>
      <c r="O80" s="26" t="s">
        <v>23</v>
      </c>
      <c r="P80" s="44" t="s">
        <v>25</v>
      </c>
      <c r="Q80" s="26" t="s">
        <v>25</v>
      </c>
      <c r="R80" s="44" t="s">
        <v>735</v>
      </c>
      <c r="S80" s="26" t="s">
        <v>25</v>
      </c>
      <c r="T80" s="27"/>
      <c r="U80" s="28" t="s">
        <v>24</v>
      </c>
      <c r="V80" s="29" t="str">
        <f t="shared" si="6"/>
        <v>⚠ Missing</v>
      </c>
      <c r="W80" s="45">
        <v>46248</v>
      </c>
      <c r="X80" s="30" t="s">
        <v>23</v>
      </c>
      <c r="Y80" s="30" t="s">
        <v>25</v>
      </c>
      <c r="Z80" s="30" t="s">
        <v>25</v>
      </c>
      <c r="AA80" s="30" t="s">
        <v>735</v>
      </c>
      <c r="AB80" s="30" t="s">
        <v>25</v>
      </c>
      <c r="AC80" s="27"/>
      <c r="AD80" s="31" t="s">
        <v>24</v>
      </c>
      <c r="AE80" s="32" t="str">
        <f t="shared" si="7"/>
        <v>⚠ Missing</v>
      </c>
      <c r="AF80" s="33" t="s">
        <v>27</v>
      </c>
      <c r="AG80" s="33" t="s">
        <v>23</v>
      </c>
      <c r="AH80" s="33" t="s">
        <v>25</v>
      </c>
      <c r="AI80" s="33" t="s">
        <v>24</v>
      </c>
      <c r="AJ80" s="33" t="s">
        <v>135</v>
      </c>
      <c r="AK80" s="33" t="s">
        <v>25</v>
      </c>
      <c r="AL80" s="27"/>
      <c r="AM80" s="34" t="s">
        <v>25</v>
      </c>
      <c r="AN80" s="35" t="str">
        <f t="shared" si="8"/>
        <v>❌ Disc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8" customHeight="1" x14ac:dyDescent="0.3">
      <c r="A81" s="23">
        <v>77</v>
      </c>
      <c r="B81" s="24" t="s">
        <v>5351</v>
      </c>
      <c r="C81" s="25" t="s">
        <v>5352</v>
      </c>
      <c r="D81" s="23" t="s">
        <v>5200</v>
      </c>
      <c r="E81" s="43">
        <v>46125</v>
      </c>
      <c r="F81" s="26" t="s">
        <v>23</v>
      </c>
      <c r="G81" s="44" t="s">
        <v>25</v>
      </c>
      <c r="H81" s="26" t="s">
        <v>25</v>
      </c>
      <c r="I81" s="44" t="s">
        <v>735</v>
      </c>
      <c r="J81" s="26" t="s">
        <v>25</v>
      </c>
      <c r="K81" s="27"/>
      <c r="L81" s="28" t="s">
        <v>24</v>
      </c>
      <c r="M81" s="29" t="str">
        <f t="shared" si="5"/>
        <v>⚠ Missing</v>
      </c>
      <c r="N81" s="43">
        <v>46196</v>
      </c>
      <c r="O81" s="26" t="s">
        <v>23</v>
      </c>
      <c r="P81" s="44" t="s">
        <v>25</v>
      </c>
      <c r="Q81" s="26" t="s">
        <v>25</v>
      </c>
      <c r="R81" s="44" t="s">
        <v>735</v>
      </c>
      <c r="S81" s="26" t="s">
        <v>25</v>
      </c>
      <c r="T81" s="27"/>
      <c r="U81" s="28" t="s">
        <v>24</v>
      </c>
      <c r="V81" s="29" t="str">
        <f t="shared" si="6"/>
        <v>⚠ Missing</v>
      </c>
      <c r="W81" s="45">
        <v>46248</v>
      </c>
      <c r="X81" s="30" t="s">
        <v>23</v>
      </c>
      <c r="Y81" s="30" t="s">
        <v>25</v>
      </c>
      <c r="Z81" s="30" t="s">
        <v>25</v>
      </c>
      <c r="AA81" s="30" t="s">
        <v>735</v>
      </c>
      <c r="AB81" s="30" t="s">
        <v>25</v>
      </c>
      <c r="AC81" s="27"/>
      <c r="AD81" s="31" t="s">
        <v>24</v>
      </c>
      <c r="AE81" s="32" t="str">
        <f t="shared" si="7"/>
        <v>⚠ Missing</v>
      </c>
      <c r="AF81" s="33" t="s">
        <v>27</v>
      </c>
      <c r="AG81" s="33" t="s">
        <v>23</v>
      </c>
      <c r="AH81" s="33" t="s">
        <v>25</v>
      </c>
      <c r="AI81" s="33" t="s">
        <v>24</v>
      </c>
      <c r="AJ81" s="33" t="s">
        <v>135</v>
      </c>
      <c r="AK81" s="33" t="s">
        <v>25</v>
      </c>
      <c r="AL81" s="27"/>
      <c r="AM81" s="34" t="s">
        <v>25</v>
      </c>
      <c r="AN81" s="35" t="str">
        <f t="shared" si="8"/>
        <v>❌ Disc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8" customHeight="1" x14ac:dyDescent="0.3">
      <c r="A82" s="39">
        <v>78</v>
      </c>
      <c r="B82" s="40" t="s">
        <v>5353</v>
      </c>
      <c r="C82" s="41" t="s">
        <v>5354</v>
      </c>
      <c r="D82" s="39" t="s">
        <v>5200</v>
      </c>
      <c r="E82" s="43">
        <v>46125</v>
      </c>
      <c r="F82" s="26" t="s">
        <v>23</v>
      </c>
      <c r="G82" s="44" t="s">
        <v>25</v>
      </c>
      <c r="H82" s="26" t="s">
        <v>25</v>
      </c>
      <c r="I82" s="44" t="s">
        <v>735</v>
      </c>
      <c r="J82" s="26" t="s">
        <v>25</v>
      </c>
      <c r="K82" s="27"/>
      <c r="L82" s="28" t="s">
        <v>24</v>
      </c>
      <c r="M82" s="29" t="str">
        <f t="shared" si="5"/>
        <v>⚠ Missing</v>
      </c>
      <c r="N82" s="43">
        <v>46196</v>
      </c>
      <c r="O82" s="26" t="s">
        <v>23</v>
      </c>
      <c r="P82" s="44" t="s">
        <v>25</v>
      </c>
      <c r="Q82" s="26" t="s">
        <v>25</v>
      </c>
      <c r="R82" s="44" t="s">
        <v>735</v>
      </c>
      <c r="S82" s="26" t="s">
        <v>25</v>
      </c>
      <c r="T82" s="27"/>
      <c r="U82" s="28" t="s">
        <v>24</v>
      </c>
      <c r="V82" s="29" t="str">
        <f t="shared" si="6"/>
        <v>⚠ Missing</v>
      </c>
      <c r="W82" s="45">
        <v>46248</v>
      </c>
      <c r="X82" s="30" t="s">
        <v>23</v>
      </c>
      <c r="Y82" s="30" t="s">
        <v>25</v>
      </c>
      <c r="Z82" s="30" t="s">
        <v>25</v>
      </c>
      <c r="AA82" s="30" t="s">
        <v>735</v>
      </c>
      <c r="AB82" s="30" t="s">
        <v>25</v>
      </c>
      <c r="AC82" s="27"/>
      <c r="AD82" s="31" t="s">
        <v>24</v>
      </c>
      <c r="AE82" s="32" t="str">
        <f t="shared" si="7"/>
        <v>⚠ Missing</v>
      </c>
      <c r="AF82" s="33" t="s">
        <v>27</v>
      </c>
      <c r="AG82" s="33" t="s">
        <v>23</v>
      </c>
      <c r="AH82" s="33" t="s">
        <v>25</v>
      </c>
      <c r="AI82" s="33" t="s">
        <v>25</v>
      </c>
      <c r="AJ82" s="33" t="s">
        <v>735</v>
      </c>
      <c r="AK82" s="33" t="s">
        <v>25</v>
      </c>
      <c r="AL82" s="27"/>
      <c r="AM82" s="34" t="s">
        <v>24</v>
      </c>
      <c r="AN82" s="35" t="str">
        <f t="shared" si="8"/>
        <v>⚠ Missing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8" customHeight="1" x14ac:dyDescent="0.3">
      <c r="A83" s="23">
        <v>79</v>
      </c>
      <c r="B83" s="24" t="s">
        <v>5355</v>
      </c>
      <c r="C83" s="25" t="s">
        <v>5356</v>
      </c>
      <c r="D83" s="23" t="s">
        <v>5200</v>
      </c>
      <c r="E83" s="43">
        <v>46125</v>
      </c>
      <c r="F83" s="26" t="s">
        <v>23</v>
      </c>
      <c r="G83" s="44" t="s">
        <v>25</v>
      </c>
      <c r="H83" s="26" t="s">
        <v>25</v>
      </c>
      <c r="I83" s="44" t="s">
        <v>735</v>
      </c>
      <c r="J83" s="26" t="s">
        <v>25</v>
      </c>
      <c r="K83" s="27"/>
      <c r="L83" s="28" t="s">
        <v>24</v>
      </c>
      <c r="M83" s="29" t="str">
        <f t="shared" si="5"/>
        <v>⚠ Missing</v>
      </c>
      <c r="N83" s="43">
        <v>46196</v>
      </c>
      <c r="O83" s="26" t="s">
        <v>23</v>
      </c>
      <c r="P83" s="44" t="s">
        <v>25</v>
      </c>
      <c r="Q83" s="26" t="s">
        <v>25</v>
      </c>
      <c r="R83" s="44" t="s">
        <v>735</v>
      </c>
      <c r="S83" s="26" t="s">
        <v>25</v>
      </c>
      <c r="T83" s="27"/>
      <c r="U83" s="28" t="s">
        <v>24</v>
      </c>
      <c r="V83" s="29" t="str">
        <f t="shared" si="6"/>
        <v>⚠ Missing</v>
      </c>
      <c r="W83" s="45">
        <v>46248</v>
      </c>
      <c r="X83" s="30" t="s">
        <v>23</v>
      </c>
      <c r="Y83" s="30" t="s">
        <v>25</v>
      </c>
      <c r="Z83" s="30" t="s">
        <v>25</v>
      </c>
      <c r="AA83" s="30" t="s">
        <v>735</v>
      </c>
      <c r="AB83" s="30" t="s">
        <v>25</v>
      </c>
      <c r="AC83" s="27"/>
      <c r="AD83" s="31" t="s">
        <v>24</v>
      </c>
      <c r="AE83" s="32" t="str">
        <f t="shared" si="7"/>
        <v>⚠ Missing</v>
      </c>
      <c r="AF83" s="33" t="s">
        <v>27</v>
      </c>
      <c r="AG83" s="33" t="s">
        <v>23</v>
      </c>
      <c r="AH83" s="33" t="s">
        <v>25</v>
      </c>
      <c r="AI83" s="33" t="s">
        <v>24</v>
      </c>
      <c r="AJ83" s="33" t="s">
        <v>135</v>
      </c>
      <c r="AK83" s="33" t="s">
        <v>25</v>
      </c>
      <c r="AL83" s="27"/>
      <c r="AM83" s="34" t="s">
        <v>25</v>
      </c>
      <c r="AN83" s="35" t="str">
        <f t="shared" si="8"/>
        <v>❌ Disc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8" customHeight="1" x14ac:dyDescent="0.3">
      <c r="A84" s="39">
        <v>80</v>
      </c>
      <c r="B84" s="40" t="s">
        <v>5357</v>
      </c>
      <c r="C84" s="41" t="s">
        <v>5358</v>
      </c>
      <c r="D84" s="39" t="s">
        <v>5200</v>
      </c>
      <c r="E84" s="43">
        <v>46125</v>
      </c>
      <c r="F84" s="26" t="s">
        <v>23</v>
      </c>
      <c r="G84" s="44" t="s">
        <v>25</v>
      </c>
      <c r="H84" s="26" t="s">
        <v>25</v>
      </c>
      <c r="I84" s="44" t="s">
        <v>735</v>
      </c>
      <c r="J84" s="26" t="s">
        <v>25</v>
      </c>
      <c r="K84" s="27"/>
      <c r="L84" s="28" t="s">
        <v>24</v>
      </c>
      <c r="M84" s="29" t="str">
        <f t="shared" si="5"/>
        <v>⚠ Missing</v>
      </c>
      <c r="N84" s="43">
        <v>46196</v>
      </c>
      <c r="O84" s="26" t="s">
        <v>23</v>
      </c>
      <c r="P84" s="44" t="s">
        <v>25</v>
      </c>
      <c r="Q84" s="26" t="s">
        <v>25</v>
      </c>
      <c r="R84" s="44" t="s">
        <v>735</v>
      </c>
      <c r="S84" s="26" t="s">
        <v>25</v>
      </c>
      <c r="T84" s="27"/>
      <c r="U84" s="28" t="s">
        <v>24</v>
      </c>
      <c r="V84" s="29" t="str">
        <f t="shared" si="6"/>
        <v>⚠ Missing</v>
      </c>
      <c r="W84" s="45">
        <v>46248</v>
      </c>
      <c r="X84" s="30" t="s">
        <v>23</v>
      </c>
      <c r="Y84" s="30" t="s">
        <v>25</v>
      </c>
      <c r="Z84" s="30" t="s">
        <v>25</v>
      </c>
      <c r="AA84" s="30" t="s">
        <v>735</v>
      </c>
      <c r="AB84" s="30" t="s">
        <v>25</v>
      </c>
      <c r="AC84" s="27"/>
      <c r="AD84" s="31" t="s">
        <v>24</v>
      </c>
      <c r="AE84" s="32" t="str">
        <f t="shared" si="7"/>
        <v>⚠ Missing</v>
      </c>
      <c r="AF84" s="33" t="s">
        <v>27</v>
      </c>
      <c r="AG84" s="33" t="s">
        <v>23</v>
      </c>
      <c r="AH84" s="33" t="s">
        <v>25</v>
      </c>
      <c r="AI84" s="33" t="s">
        <v>24</v>
      </c>
      <c r="AJ84" s="33" t="s">
        <v>135</v>
      </c>
      <c r="AK84" s="33" t="s">
        <v>25</v>
      </c>
      <c r="AL84" s="27"/>
      <c r="AM84" s="34" t="s">
        <v>25</v>
      </c>
      <c r="AN84" s="35" t="str">
        <f t="shared" si="8"/>
        <v>❌ Disc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8" customHeight="1" x14ac:dyDescent="0.3">
      <c r="A85" s="23">
        <v>81</v>
      </c>
      <c r="B85" s="24" t="s">
        <v>5359</v>
      </c>
      <c r="C85" s="25" t="s">
        <v>5360</v>
      </c>
      <c r="D85" s="23" t="s">
        <v>5200</v>
      </c>
      <c r="E85" s="43">
        <v>46125</v>
      </c>
      <c r="F85" s="26" t="s">
        <v>23</v>
      </c>
      <c r="G85" s="44" t="s">
        <v>25</v>
      </c>
      <c r="H85" s="26" t="s">
        <v>25</v>
      </c>
      <c r="I85" s="44" t="s">
        <v>735</v>
      </c>
      <c r="J85" s="26" t="s">
        <v>25</v>
      </c>
      <c r="K85" s="27"/>
      <c r="L85" s="28" t="s">
        <v>24</v>
      </c>
      <c r="M85" s="29" t="str">
        <f t="shared" si="5"/>
        <v>⚠ Missing</v>
      </c>
      <c r="N85" s="43">
        <v>46196</v>
      </c>
      <c r="O85" s="26" t="s">
        <v>23</v>
      </c>
      <c r="P85" s="44" t="s">
        <v>25</v>
      </c>
      <c r="Q85" s="26" t="s">
        <v>25</v>
      </c>
      <c r="R85" s="44" t="s">
        <v>735</v>
      </c>
      <c r="S85" s="26" t="s">
        <v>25</v>
      </c>
      <c r="T85" s="27"/>
      <c r="U85" s="28" t="s">
        <v>24</v>
      </c>
      <c r="V85" s="29" t="str">
        <f t="shared" si="6"/>
        <v>⚠ Missing</v>
      </c>
      <c r="W85" s="45">
        <v>46248</v>
      </c>
      <c r="X85" s="30" t="s">
        <v>23</v>
      </c>
      <c r="Y85" s="30" t="s">
        <v>25</v>
      </c>
      <c r="Z85" s="30" t="s">
        <v>25</v>
      </c>
      <c r="AA85" s="30" t="s">
        <v>735</v>
      </c>
      <c r="AB85" s="30" t="s">
        <v>25</v>
      </c>
      <c r="AC85" s="27"/>
      <c r="AD85" s="31" t="s">
        <v>24</v>
      </c>
      <c r="AE85" s="32" t="str">
        <f t="shared" si="7"/>
        <v>⚠ Missing</v>
      </c>
      <c r="AF85" s="33" t="s">
        <v>27</v>
      </c>
      <c r="AG85" s="33" t="s">
        <v>23</v>
      </c>
      <c r="AH85" s="33" t="s">
        <v>25</v>
      </c>
      <c r="AI85" s="33" t="s">
        <v>24</v>
      </c>
      <c r="AJ85" s="33" t="s">
        <v>135</v>
      </c>
      <c r="AK85" s="33" t="s">
        <v>25</v>
      </c>
      <c r="AL85" s="27"/>
      <c r="AM85" s="34" t="s">
        <v>25</v>
      </c>
      <c r="AN85" s="35" t="str">
        <f t="shared" si="8"/>
        <v>❌ Disc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8" customHeight="1" x14ac:dyDescent="0.3">
      <c r="A86" s="39">
        <v>82</v>
      </c>
      <c r="B86" s="40" t="s">
        <v>5361</v>
      </c>
      <c r="C86" s="41" t="s">
        <v>5362</v>
      </c>
      <c r="D86" s="39" t="s">
        <v>5200</v>
      </c>
      <c r="E86" s="43">
        <v>46125</v>
      </c>
      <c r="F86" s="26" t="s">
        <v>23</v>
      </c>
      <c r="G86" s="44" t="s">
        <v>25</v>
      </c>
      <c r="H86" s="26" t="s">
        <v>25</v>
      </c>
      <c r="I86" s="44" t="s">
        <v>735</v>
      </c>
      <c r="J86" s="26" t="s">
        <v>25</v>
      </c>
      <c r="K86" s="27"/>
      <c r="L86" s="28" t="s">
        <v>24</v>
      </c>
      <c r="M86" s="29" t="str">
        <f t="shared" si="5"/>
        <v>⚠ Missing</v>
      </c>
      <c r="N86" s="43">
        <v>46196</v>
      </c>
      <c r="O86" s="26" t="s">
        <v>23</v>
      </c>
      <c r="P86" s="44" t="s">
        <v>25</v>
      </c>
      <c r="Q86" s="26" t="s">
        <v>25</v>
      </c>
      <c r="R86" s="44" t="s">
        <v>735</v>
      </c>
      <c r="S86" s="26" t="s">
        <v>25</v>
      </c>
      <c r="T86" s="27"/>
      <c r="U86" s="28" t="s">
        <v>24</v>
      </c>
      <c r="V86" s="29" t="str">
        <f t="shared" si="6"/>
        <v>⚠ Missing</v>
      </c>
      <c r="W86" s="45">
        <v>46248</v>
      </c>
      <c r="X86" s="30" t="s">
        <v>23</v>
      </c>
      <c r="Y86" s="30" t="s">
        <v>25</v>
      </c>
      <c r="Z86" s="30" t="s">
        <v>25</v>
      </c>
      <c r="AA86" s="30" t="s">
        <v>735</v>
      </c>
      <c r="AB86" s="30" t="s">
        <v>25</v>
      </c>
      <c r="AC86" s="27"/>
      <c r="AD86" s="31" t="s">
        <v>24</v>
      </c>
      <c r="AE86" s="32" t="str">
        <f t="shared" si="7"/>
        <v>⚠ Missing</v>
      </c>
      <c r="AF86" s="33" t="s">
        <v>27</v>
      </c>
      <c r="AG86" s="33" t="s">
        <v>23</v>
      </c>
      <c r="AH86" s="33" t="s">
        <v>25</v>
      </c>
      <c r="AI86" s="33" t="s">
        <v>24</v>
      </c>
      <c r="AJ86" s="33" t="s">
        <v>135</v>
      </c>
      <c r="AK86" s="33" t="s">
        <v>25</v>
      </c>
      <c r="AL86" s="27"/>
      <c r="AM86" s="34" t="s">
        <v>25</v>
      </c>
      <c r="AN86" s="35" t="str">
        <f t="shared" si="8"/>
        <v>❌ Disc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8" customHeight="1" x14ac:dyDescent="0.3">
      <c r="A87" s="23">
        <v>83</v>
      </c>
      <c r="B87" s="24" t="s">
        <v>5363</v>
      </c>
      <c r="C87" s="25" t="s">
        <v>5364</v>
      </c>
      <c r="D87" s="23" t="s">
        <v>5200</v>
      </c>
      <c r="E87" s="43">
        <v>46125</v>
      </c>
      <c r="F87" s="26" t="s">
        <v>23</v>
      </c>
      <c r="G87" s="44" t="s">
        <v>25</v>
      </c>
      <c r="H87" s="26" t="s">
        <v>25</v>
      </c>
      <c r="I87" s="44" t="s">
        <v>735</v>
      </c>
      <c r="J87" s="26" t="s">
        <v>25</v>
      </c>
      <c r="K87" s="27"/>
      <c r="L87" s="28" t="s">
        <v>24</v>
      </c>
      <c r="M87" s="29" t="str">
        <f t="shared" si="5"/>
        <v>⚠ Missing</v>
      </c>
      <c r="N87" s="43">
        <v>46196</v>
      </c>
      <c r="O87" s="26" t="s">
        <v>23</v>
      </c>
      <c r="P87" s="44" t="s">
        <v>25</v>
      </c>
      <c r="Q87" s="26" t="s">
        <v>25</v>
      </c>
      <c r="R87" s="44" t="s">
        <v>735</v>
      </c>
      <c r="S87" s="26" t="s">
        <v>25</v>
      </c>
      <c r="T87" s="27"/>
      <c r="U87" s="28" t="s">
        <v>24</v>
      </c>
      <c r="V87" s="29" t="str">
        <f t="shared" si="6"/>
        <v>⚠ Missing</v>
      </c>
      <c r="W87" s="45">
        <v>46248</v>
      </c>
      <c r="X87" s="30" t="s">
        <v>23</v>
      </c>
      <c r="Y87" s="30" t="s">
        <v>25</v>
      </c>
      <c r="Z87" s="30" t="s">
        <v>25</v>
      </c>
      <c r="AA87" s="30" t="s">
        <v>735</v>
      </c>
      <c r="AB87" s="30" t="s">
        <v>25</v>
      </c>
      <c r="AC87" s="27"/>
      <c r="AD87" s="31" t="s">
        <v>24</v>
      </c>
      <c r="AE87" s="32" t="str">
        <f t="shared" si="7"/>
        <v>⚠ Missing</v>
      </c>
      <c r="AF87" s="33" t="s">
        <v>27</v>
      </c>
      <c r="AG87" s="33" t="s">
        <v>23</v>
      </c>
      <c r="AH87" s="33" t="s">
        <v>25</v>
      </c>
      <c r="AI87" s="33" t="s">
        <v>24</v>
      </c>
      <c r="AJ87" s="33" t="s">
        <v>135</v>
      </c>
      <c r="AK87" s="33" t="s">
        <v>25</v>
      </c>
      <c r="AL87" s="27"/>
      <c r="AM87" s="34" t="s">
        <v>25</v>
      </c>
      <c r="AN87" s="35" t="str">
        <f t="shared" si="8"/>
        <v>❌ Disc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8" customHeight="1" x14ac:dyDescent="0.3">
      <c r="A88" s="39">
        <v>84</v>
      </c>
      <c r="B88" s="40" t="s">
        <v>5365</v>
      </c>
      <c r="C88" s="41" t="s">
        <v>5366</v>
      </c>
      <c r="D88" s="39" t="s">
        <v>5200</v>
      </c>
      <c r="E88" s="43">
        <v>46125</v>
      </c>
      <c r="F88" s="26" t="s">
        <v>23</v>
      </c>
      <c r="G88" s="44" t="s">
        <v>25</v>
      </c>
      <c r="H88" s="26" t="s">
        <v>25</v>
      </c>
      <c r="I88" s="44" t="s">
        <v>735</v>
      </c>
      <c r="J88" s="26" t="s">
        <v>25</v>
      </c>
      <c r="K88" s="27"/>
      <c r="L88" s="28" t="s">
        <v>24</v>
      </c>
      <c r="M88" s="29" t="str">
        <f t="shared" si="5"/>
        <v>⚠ Missing</v>
      </c>
      <c r="N88" s="43">
        <v>46196</v>
      </c>
      <c r="O88" s="26" t="s">
        <v>23</v>
      </c>
      <c r="P88" s="44" t="s">
        <v>25</v>
      </c>
      <c r="Q88" s="26" t="s">
        <v>25</v>
      </c>
      <c r="R88" s="44" t="s">
        <v>735</v>
      </c>
      <c r="S88" s="26" t="s">
        <v>25</v>
      </c>
      <c r="T88" s="27"/>
      <c r="U88" s="28" t="s">
        <v>24</v>
      </c>
      <c r="V88" s="29" t="str">
        <f t="shared" si="6"/>
        <v>⚠ Missing</v>
      </c>
      <c r="W88" s="45">
        <v>46248</v>
      </c>
      <c r="X88" s="30" t="s">
        <v>23</v>
      </c>
      <c r="Y88" s="30" t="s">
        <v>25</v>
      </c>
      <c r="Z88" s="30" t="s">
        <v>25</v>
      </c>
      <c r="AA88" s="30" t="s">
        <v>735</v>
      </c>
      <c r="AB88" s="30" t="s">
        <v>25</v>
      </c>
      <c r="AC88" s="27"/>
      <c r="AD88" s="31" t="s">
        <v>24</v>
      </c>
      <c r="AE88" s="32" t="str">
        <f t="shared" si="7"/>
        <v>⚠ Missing</v>
      </c>
      <c r="AF88" s="33" t="s">
        <v>27</v>
      </c>
      <c r="AG88" s="33" t="s">
        <v>23</v>
      </c>
      <c r="AH88" s="33" t="s">
        <v>25</v>
      </c>
      <c r="AI88" s="33" t="s">
        <v>24</v>
      </c>
      <c r="AJ88" s="33" t="s">
        <v>135</v>
      </c>
      <c r="AK88" s="33" t="s">
        <v>25</v>
      </c>
      <c r="AL88" s="27"/>
      <c r="AM88" s="34" t="s">
        <v>25</v>
      </c>
      <c r="AN88" s="35" t="str">
        <f t="shared" si="8"/>
        <v>❌ Disc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8" customHeight="1" x14ac:dyDescent="0.3">
      <c r="A89" s="23">
        <v>85</v>
      </c>
      <c r="B89" s="24" t="s">
        <v>5367</v>
      </c>
      <c r="C89" s="25" t="s">
        <v>5368</v>
      </c>
      <c r="D89" s="23" t="s">
        <v>5200</v>
      </c>
      <c r="E89" s="43">
        <v>46125</v>
      </c>
      <c r="F89" s="26" t="s">
        <v>23</v>
      </c>
      <c r="G89" s="44" t="s">
        <v>25</v>
      </c>
      <c r="H89" s="26" t="s">
        <v>25</v>
      </c>
      <c r="I89" s="44" t="s">
        <v>735</v>
      </c>
      <c r="J89" s="26" t="s">
        <v>25</v>
      </c>
      <c r="K89" s="27"/>
      <c r="L89" s="28" t="s">
        <v>24</v>
      </c>
      <c r="M89" s="29" t="str">
        <f t="shared" si="5"/>
        <v>⚠ Missing</v>
      </c>
      <c r="N89" s="43">
        <v>46196</v>
      </c>
      <c r="O89" s="26" t="s">
        <v>23</v>
      </c>
      <c r="P89" s="44" t="s">
        <v>25</v>
      </c>
      <c r="Q89" s="26" t="s">
        <v>25</v>
      </c>
      <c r="R89" s="44" t="s">
        <v>735</v>
      </c>
      <c r="S89" s="26" t="s">
        <v>25</v>
      </c>
      <c r="T89" s="27"/>
      <c r="U89" s="28" t="s">
        <v>24</v>
      </c>
      <c r="V89" s="29" t="str">
        <f t="shared" si="6"/>
        <v>⚠ Missing</v>
      </c>
      <c r="W89" s="45">
        <v>46248</v>
      </c>
      <c r="X89" s="30" t="s">
        <v>23</v>
      </c>
      <c r="Y89" s="30" t="s">
        <v>25</v>
      </c>
      <c r="Z89" s="30" t="s">
        <v>25</v>
      </c>
      <c r="AA89" s="30" t="s">
        <v>735</v>
      </c>
      <c r="AB89" s="30" t="s">
        <v>25</v>
      </c>
      <c r="AC89" s="27"/>
      <c r="AD89" s="31" t="s">
        <v>24</v>
      </c>
      <c r="AE89" s="32" t="str">
        <f t="shared" si="7"/>
        <v>⚠ Missing</v>
      </c>
      <c r="AF89" s="33" t="s">
        <v>27</v>
      </c>
      <c r="AG89" s="33" t="s">
        <v>23</v>
      </c>
      <c r="AH89" s="33" t="s">
        <v>25</v>
      </c>
      <c r="AI89" s="33" t="s">
        <v>24</v>
      </c>
      <c r="AJ89" s="33" t="s">
        <v>135</v>
      </c>
      <c r="AK89" s="33" t="s">
        <v>25</v>
      </c>
      <c r="AL89" s="27"/>
      <c r="AM89" s="34" t="s">
        <v>25</v>
      </c>
      <c r="AN89" s="35" t="str">
        <f t="shared" si="8"/>
        <v>❌ Disc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8" customHeight="1" x14ac:dyDescent="0.3">
      <c r="A90" s="39">
        <v>86</v>
      </c>
      <c r="B90" s="40" t="s">
        <v>5369</v>
      </c>
      <c r="C90" s="41" t="s">
        <v>5370</v>
      </c>
      <c r="D90" s="39" t="s">
        <v>5200</v>
      </c>
      <c r="E90" s="43">
        <v>46125</v>
      </c>
      <c r="F90" s="26" t="s">
        <v>23</v>
      </c>
      <c r="G90" s="44" t="s">
        <v>1352</v>
      </c>
      <c r="H90" s="26" t="s">
        <v>25</v>
      </c>
      <c r="I90" s="44" t="s">
        <v>1352</v>
      </c>
      <c r="J90" s="26" t="s">
        <v>24</v>
      </c>
      <c r="K90" s="27"/>
      <c r="L90" s="28" t="s">
        <v>25</v>
      </c>
      <c r="M90" s="29" t="str">
        <f t="shared" si="5"/>
        <v>✓ OK</v>
      </c>
      <c r="N90" s="43">
        <v>46196</v>
      </c>
      <c r="O90" s="26" t="s">
        <v>23</v>
      </c>
      <c r="P90" s="44" t="s">
        <v>1352</v>
      </c>
      <c r="Q90" s="26" t="s">
        <v>25</v>
      </c>
      <c r="R90" s="44" t="s">
        <v>1352</v>
      </c>
      <c r="S90" s="26" t="s">
        <v>24</v>
      </c>
      <c r="T90" s="27"/>
      <c r="U90" s="28" t="s">
        <v>25</v>
      </c>
      <c r="V90" s="29" t="str">
        <f t="shared" si="6"/>
        <v>✓ OK</v>
      </c>
      <c r="W90" s="45">
        <v>46248</v>
      </c>
      <c r="X90" s="30" t="s">
        <v>23</v>
      </c>
      <c r="Y90" s="30" t="s">
        <v>1352</v>
      </c>
      <c r="Z90" s="30" t="s">
        <v>25</v>
      </c>
      <c r="AA90" s="30" t="s">
        <v>1352</v>
      </c>
      <c r="AB90" s="30" t="s">
        <v>24</v>
      </c>
      <c r="AC90" s="27"/>
      <c r="AD90" s="31" t="s">
        <v>25</v>
      </c>
      <c r="AE90" s="32" t="str">
        <f t="shared" si="7"/>
        <v>✓ OK</v>
      </c>
      <c r="AF90" s="33" t="s">
        <v>27</v>
      </c>
      <c r="AG90" s="33" t="s">
        <v>23</v>
      </c>
      <c r="AH90" s="33" t="s">
        <v>1352</v>
      </c>
      <c r="AI90" s="33" t="s">
        <v>25</v>
      </c>
      <c r="AJ90" s="33" t="s">
        <v>1352</v>
      </c>
      <c r="AK90" s="33" t="s">
        <v>24</v>
      </c>
      <c r="AL90" s="27"/>
      <c r="AM90" s="34" t="s">
        <v>25</v>
      </c>
      <c r="AN90" s="35" t="str">
        <f t="shared" si="8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8" customHeight="1" x14ac:dyDescent="0.3">
      <c r="A91" s="23">
        <v>87</v>
      </c>
      <c r="B91" s="24" t="s">
        <v>5371</v>
      </c>
      <c r="C91" s="25" t="s">
        <v>5372</v>
      </c>
      <c r="D91" s="23" t="s">
        <v>5200</v>
      </c>
      <c r="E91" s="43">
        <v>46125</v>
      </c>
      <c r="F91" s="26" t="s">
        <v>23</v>
      </c>
      <c r="G91" s="44" t="s">
        <v>1352</v>
      </c>
      <c r="H91" s="26" t="s">
        <v>25</v>
      </c>
      <c r="I91" s="44" t="s">
        <v>1352</v>
      </c>
      <c r="J91" s="26" t="s">
        <v>24</v>
      </c>
      <c r="K91" s="27"/>
      <c r="L91" s="28" t="s">
        <v>25</v>
      </c>
      <c r="M91" s="29" t="str">
        <f t="shared" si="5"/>
        <v>✓ OK</v>
      </c>
      <c r="N91" s="43">
        <v>46196</v>
      </c>
      <c r="O91" s="26" t="s">
        <v>23</v>
      </c>
      <c r="P91" s="44" t="s">
        <v>1352</v>
      </c>
      <c r="Q91" s="26" t="s">
        <v>25</v>
      </c>
      <c r="R91" s="44" t="s">
        <v>1352</v>
      </c>
      <c r="S91" s="26" t="s">
        <v>24</v>
      </c>
      <c r="T91" s="27"/>
      <c r="U91" s="28" t="s">
        <v>25</v>
      </c>
      <c r="V91" s="29" t="str">
        <f t="shared" si="6"/>
        <v>✓ OK</v>
      </c>
      <c r="W91" s="45">
        <v>46248</v>
      </c>
      <c r="X91" s="30" t="s">
        <v>23</v>
      </c>
      <c r="Y91" s="30" t="s">
        <v>1352</v>
      </c>
      <c r="Z91" s="30" t="s">
        <v>25</v>
      </c>
      <c r="AA91" s="30" t="s">
        <v>1352</v>
      </c>
      <c r="AB91" s="30" t="s">
        <v>24</v>
      </c>
      <c r="AC91" s="27"/>
      <c r="AD91" s="31" t="s">
        <v>25</v>
      </c>
      <c r="AE91" s="32" t="str">
        <f t="shared" si="7"/>
        <v>✓ OK</v>
      </c>
      <c r="AF91" s="33" t="s">
        <v>27</v>
      </c>
      <c r="AG91" s="33" t="s">
        <v>23</v>
      </c>
      <c r="AH91" s="33" t="s">
        <v>1352</v>
      </c>
      <c r="AI91" s="33" t="s">
        <v>25</v>
      </c>
      <c r="AJ91" s="33" t="s">
        <v>1352</v>
      </c>
      <c r="AK91" s="33" t="s">
        <v>24</v>
      </c>
      <c r="AL91" s="27"/>
      <c r="AM91" s="34" t="s">
        <v>25</v>
      </c>
      <c r="AN91" s="35" t="str">
        <f t="shared" si="8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8" customHeight="1" x14ac:dyDescent="0.3">
      <c r="A92" s="39">
        <v>88</v>
      </c>
      <c r="B92" s="40" t="s">
        <v>5373</v>
      </c>
      <c r="C92" s="41" t="s">
        <v>5374</v>
      </c>
      <c r="D92" s="39" t="s">
        <v>5200</v>
      </c>
      <c r="E92" s="43">
        <v>46125</v>
      </c>
      <c r="F92" s="26" t="s">
        <v>23</v>
      </c>
      <c r="G92" s="44" t="s">
        <v>1352</v>
      </c>
      <c r="H92" s="26" t="s">
        <v>25</v>
      </c>
      <c r="I92" s="44" t="s">
        <v>1352</v>
      </c>
      <c r="J92" s="26" t="s">
        <v>24</v>
      </c>
      <c r="K92" s="27"/>
      <c r="L92" s="28" t="s">
        <v>25</v>
      </c>
      <c r="M92" s="29" t="str">
        <f t="shared" si="5"/>
        <v>✓ OK</v>
      </c>
      <c r="N92" s="43">
        <v>46196</v>
      </c>
      <c r="O92" s="26" t="s">
        <v>23</v>
      </c>
      <c r="P92" s="44" t="s">
        <v>1352</v>
      </c>
      <c r="Q92" s="26" t="s">
        <v>25</v>
      </c>
      <c r="R92" s="44" t="s">
        <v>1352</v>
      </c>
      <c r="S92" s="26" t="s">
        <v>24</v>
      </c>
      <c r="T92" s="27"/>
      <c r="U92" s="28" t="s">
        <v>25</v>
      </c>
      <c r="V92" s="29" t="str">
        <f t="shared" si="6"/>
        <v>✓ OK</v>
      </c>
      <c r="W92" s="45">
        <v>46248</v>
      </c>
      <c r="X92" s="30" t="s">
        <v>23</v>
      </c>
      <c r="Y92" s="30" t="s">
        <v>1352</v>
      </c>
      <c r="Z92" s="30" t="s">
        <v>25</v>
      </c>
      <c r="AA92" s="30" t="s">
        <v>1352</v>
      </c>
      <c r="AB92" s="30" t="s">
        <v>24</v>
      </c>
      <c r="AC92" s="27"/>
      <c r="AD92" s="31" t="s">
        <v>25</v>
      </c>
      <c r="AE92" s="32" t="str">
        <f t="shared" si="7"/>
        <v>✓ OK</v>
      </c>
      <c r="AF92" s="33" t="s">
        <v>27</v>
      </c>
      <c r="AG92" s="33" t="s">
        <v>23</v>
      </c>
      <c r="AH92" s="33" t="s">
        <v>1352</v>
      </c>
      <c r="AI92" s="33" t="s">
        <v>25</v>
      </c>
      <c r="AJ92" s="33" t="s">
        <v>1352</v>
      </c>
      <c r="AK92" s="33" t="s">
        <v>24</v>
      </c>
      <c r="AL92" s="27"/>
      <c r="AM92" s="34" t="s">
        <v>25</v>
      </c>
      <c r="AN92" s="35" t="str">
        <f t="shared" si="8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8" customHeight="1" x14ac:dyDescent="0.3">
      <c r="A93" s="23">
        <v>89</v>
      </c>
      <c r="B93" s="24" t="s">
        <v>5375</v>
      </c>
      <c r="C93" s="25" t="s">
        <v>5376</v>
      </c>
      <c r="D93" s="23" t="s">
        <v>5200</v>
      </c>
      <c r="E93" s="43">
        <v>46125</v>
      </c>
      <c r="F93" s="26" t="s">
        <v>23</v>
      </c>
      <c r="G93" s="44" t="s">
        <v>1352</v>
      </c>
      <c r="H93" s="26" t="s">
        <v>25</v>
      </c>
      <c r="I93" s="44" t="s">
        <v>1352</v>
      </c>
      <c r="J93" s="26" t="s">
        <v>24</v>
      </c>
      <c r="K93" s="27"/>
      <c r="L93" s="28" t="s">
        <v>25</v>
      </c>
      <c r="M93" s="29" t="str">
        <f t="shared" si="5"/>
        <v>✓ OK</v>
      </c>
      <c r="N93" s="43">
        <v>46196</v>
      </c>
      <c r="O93" s="26" t="s">
        <v>23</v>
      </c>
      <c r="P93" s="44" t="s">
        <v>1352</v>
      </c>
      <c r="Q93" s="26" t="s">
        <v>25</v>
      </c>
      <c r="R93" s="44" t="s">
        <v>1352</v>
      </c>
      <c r="S93" s="26" t="s">
        <v>24</v>
      </c>
      <c r="T93" s="27"/>
      <c r="U93" s="28" t="s">
        <v>25</v>
      </c>
      <c r="V93" s="29" t="str">
        <f t="shared" si="6"/>
        <v>✓ OK</v>
      </c>
      <c r="W93" s="45">
        <v>46248</v>
      </c>
      <c r="X93" s="30" t="s">
        <v>23</v>
      </c>
      <c r="Y93" s="30" t="s">
        <v>1352</v>
      </c>
      <c r="Z93" s="30" t="s">
        <v>25</v>
      </c>
      <c r="AA93" s="30" t="s">
        <v>1352</v>
      </c>
      <c r="AB93" s="30" t="s">
        <v>24</v>
      </c>
      <c r="AC93" s="27"/>
      <c r="AD93" s="31" t="s">
        <v>25</v>
      </c>
      <c r="AE93" s="32" t="str">
        <f t="shared" si="7"/>
        <v>✓ OK</v>
      </c>
      <c r="AF93" s="33" t="s">
        <v>27</v>
      </c>
      <c r="AG93" s="33" t="s">
        <v>23</v>
      </c>
      <c r="AH93" s="33" t="s">
        <v>1352</v>
      </c>
      <c r="AI93" s="33" t="s">
        <v>25</v>
      </c>
      <c r="AJ93" s="33" t="s">
        <v>1352</v>
      </c>
      <c r="AK93" s="33" t="s">
        <v>24</v>
      </c>
      <c r="AL93" s="27"/>
      <c r="AM93" s="34" t="s">
        <v>25</v>
      </c>
      <c r="AN93" s="35" t="str">
        <f t="shared" si="8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8" customHeight="1" x14ac:dyDescent="0.3">
      <c r="A94" s="39">
        <v>90</v>
      </c>
      <c r="B94" s="40" t="s">
        <v>5377</v>
      </c>
      <c r="C94" s="41" t="s">
        <v>5378</v>
      </c>
      <c r="D94" s="39" t="s">
        <v>5200</v>
      </c>
      <c r="E94" s="43">
        <v>46125</v>
      </c>
      <c r="F94" s="26" t="s">
        <v>23</v>
      </c>
      <c r="G94" s="44" t="s">
        <v>1352</v>
      </c>
      <c r="H94" s="26" t="s">
        <v>25</v>
      </c>
      <c r="I94" s="44" t="s">
        <v>1352</v>
      </c>
      <c r="J94" s="26" t="s">
        <v>24</v>
      </c>
      <c r="K94" s="27"/>
      <c r="L94" s="28" t="s">
        <v>25</v>
      </c>
      <c r="M94" s="29" t="str">
        <f t="shared" si="5"/>
        <v>✓ OK</v>
      </c>
      <c r="N94" s="43">
        <v>46196</v>
      </c>
      <c r="O94" s="26" t="s">
        <v>23</v>
      </c>
      <c r="P94" s="44" t="s">
        <v>1352</v>
      </c>
      <c r="Q94" s="26" t="s">
        <v>25</v>
      </c>
      <c r="R94" s="44" t="s">
        <v>1352</v>
      </c>
      <c r="S94" s="26" t="s">
        <v>24</v>
      </c>
      <c r="T94" s="27"/>
      <c r="U94" s="28" t="s">
        <v>25</v>
      </c>
      <c r="V94" s="29" t="str">
        <f t="shared" si="6"/>
        <v>✓ OK</v>
      </c>
      <c r="W94" s="45">
        <v>46248</v>
      </c>
      <c r="X94" s="30" t="s">
        <v>23</v>
      </c>
      <c r="Y94" s="30" t="s">
        <v>1352</v>
      </c>
      <c r="Z94" s="30" t="s">
        <v>25</v>
      </c>
      <c r="AA94" s="30" t="s">
        <v>1352</v>
      </c>
      <c r="AB94" s="30" t="s">
        <v>24</v>
      </c>
      <c r="AC94" s="27"/>
      <c r="AD94" s="31" t="s">
        <v>25</v>
      </c>
      <c r="AE94" s="32" t="str">
        <f t="shared" si="7"/>
        <v>✓ OK</v>
      </c>
      <c r="AF94" s="33" t="s">
        <v>27</v>
      </c>
      <c r="AG94" s="33" t="s">
        <v>23</v>
      </c>
      <c r="AH94" s="33" t="s">
        <v>1352</v>
      </c>
      <c r="AI94" s="33" t="s">
        <v>25</v>
      </c>
      <c r="AJ94" s="33" t="s">
        <v>1352</v>
      </c>
      <c r="AK94" s="33" t="s">
        <v>24</v>
      </c>
      <c r="AL94" s="27"/>
      <c r="AM94" s="34" t="s">
        <v>25</v>
      </c>
      <c r="AN94" s="35" t="str">
        <f t="shared" si="8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8" customHeight="1" x14ac:dyDescent="0.3">
      <c r="A95" s="23">
        <v>91</v>
      </c>
      <c r="B95" s="24" t="s">
        <v>5379</v>
      </c>
      <c r="C95" s="25" t="s">
        <v>5380</v>
      </c>
      <c r="D95" s="23" t="s">
        <v>5200</v>
      </c>
      <c r="E95" s="43">
        <v>46125</v>
      </c>
      <c r="F95" s="26" t="s">
        <v>23</v>
      </c>
      <c r="G95" s="44" t="s">
        <v>1352</v>
      </c>
      <c r="H95" s="26" t="s">
        <v>25</v>
      </c>
      <c r="I95" s="44" t="s">
        <v>1352</v>
      </c>
      <c r="J95" s="26" t="s">
        <v>24</v>
      </c>
      <c r="K95" s="27"/>
      <c r="L95" s="28" t="s">
        <v>25</v>
      </c>
      <c r="M95" s="29" t="str">
        <f t="shared" si="5"/>
        <v>✓ OK</v>
      </c>
      <c r="N95" s="43">
        <v>46196</v>
      </c>
      <c r="O95" s="26" t="s">
        <v>23</v>
      </c>
      <c r="P95" s="44" t="s">
        <v>1352</v>
      </c>
      <c r="Q95" s="26" t="s">
        <v>25</v>
      </c>
      <c r="R95" s="44" t="s">
        <v>1352</v>
      </c>
      <c r="S95" s="26" t="s">
        <v>24</v>
      </c>
      <c r="T95" s="27"/>
      <c r="U95" s="28" t="s">
        <v>25</v>
      </c>
      <c r="V95" s="29" t="str">
        <f t="shared" si="6"/>
        <v>✓ OK</v>
      </c>
      <c r="W95" s="45">
        <v>46248</v>
      </c>
      <c r="X95" s="30" t="s">
        <v>23</v>
      </c>
      <c r="Y95" s="30" t="s">
        <v>1352</v>
      </c>
      <c r="Z95" s="30" t="s">
        <v>25</v>
      </c>
      <c r="AA95" s="30" t="s">
        <v>1352</v>
      </c>
      <c r="AB95" s="30" t="s">
        <v>24</v>
      </c>
      <c r="AC95" s="27"/>
      <c r="AD95" s="31" t="s">
        <v>25</v>
      </c>
      <c r="AE95" s="32" t="str">
        <f t="shared" si="7"/>
        <v>✓ OK</v>
      </c>
      <c r="AF95" s="33" t="s">
        <v>27</v>
      </c>
      <c r="AG95" s="33" t="s">
        <v>23</v>
      </c>
      <c r="AH95" s="33" t="s">
        <v>1352</v>
      </c>
      <c r="AI95" s="33" t="s">
        <v>25</v>
      </c>
      <c r="AJ95" s="33" t="s">
        <v>1352</v>
      </c>
      <c r="AK95" s="33" t="s">
        <v>24</v>
      </c>
      <c r="AL95" s="27"/>
      <c r="AM95" s="34" t="s">
        <v>25</v>
      </c>
      <c r="AN95" s="35" t="str">
        <f t="shared" si="8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8" customHeight="1" x14ac:dyDescent="0.3">
      <c r="A96" s="39">
        <v>92</v>
      </c>
      <c r="B96" s="40" t="s">
        <v>5381</v>
      </c>
      <c r="C96" s="41" t="s">
        <v>5382</v>
      </c>
      <c r="D96" s="39" t="s">
        <v>5200</v>
      </c>
      <c r="E96" s="43">
        <v>46125</v>
      </c>
      <c r="F96" s="26" t="s">
        <v>23</v>
      </c>
      <c r="G96" s="44" t="s">
        <v>1352</v>
      </c>
      <c r="H96" s="26" t="s">
        <v>25</v>
      </c>
      <c r="I96" s="44" t="s">
        <v>1352</v>
      </c>
      <c r="J96" s="26" t="s">
        <v>24</v>
      </c>
      <c r="K96" s="27"/>
      <c r="L96" s="28" t="s">
        <v>25</v>
      </c>
      <c r="M96" s="29" t="str">
        <f t="shared" si="5"/>
        <v>✓ OK</v>
      </c>
      <c r="N96" s="43">
        <v>46196</v>
      </c>
      <c r="O96" s="26" t="s">
        <v>23</v>
      </c>
      <c r="P96" s="44" t="s">
        <v>1352</v>
      </c>
      <c r="Q96" s="26" t="s">
        <v>25</v>
      </c>
      <c r="R96" s="44" t="s">
        <v>1352</v>
      </c>
      <c r="S96" s="26" t="s">
        <v>24</v>
      </c>
      <c r="T96" s="27"/>
      <c r="U96" s="28" t="s">
        <v>25</v>
      </c>
      <c r="V96" s="29" t="str">
        <f t="shared" si="6"/>
        <v>✓ OK</v>
      </c>
      <c r="W96" s="45">
        <v>46248</v>
      </c>
      <c r="X96" s="30" t="s">
        <v>23</v>
      </c>
      <c r="Y96" s="30" t="s">
        <v>1352</v>
      </c>
      <c r="Z96" s="30" t="s">
        <v>25</v>
      </c>
      <c r="AA96" s="30" t="s">
        <v>1352</v>
      </c>
      <c r="AB96" s="30" t="s">
        <v>24</v>
      </c>
      <c r="AC96" s="27"/>
      <c r="AD96" s="31" t="s">
        <v>25</v>
      </c>
      <c r="AE96" s="32" t="str">
        <f t="shared" si="7"/>
        <v>✓ OK</v>
      </c>
      <c r="AF96" s="33" t="s">
        <v>27</v>
      </c>
      <c r="AG96" s="33" t="s">
        <v>23</v>
      </c>
      <c r="AH96" s="33" t="s">
        <v>1352</v>
      </c>
      <c r="AI96" s="33" t="s">
        <v>25</v>
      </c>
      <c r="AJ96" s="33" t="s">
        <v>1352</v>
      </c>
      <c r="AK96" s="33" t="s">
        <v>24</v>
      </c>
      <c r="AL96" s="27"/>
      <c r="AM96" s="34" t="s">
        <v>25</v>
      </c>
      <c r="AN96" s="35" t="str">
        <f t="shared" si="8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8" customHeight="1" x14ac:dyDescent="0.3">
      <c r="A97" s="23">
        <v>93</v>
      </c>
      <c r="B97" s="24" t="s">
        <v>5383</v>
      </c>
      <c r="C97" s="25" t="s">
        <v>5384</v>
      </c>
      <c r="D97" s="23" t="s">
        <v>5200</v>
      </c>
      <c r="E97" s="43">
        <v>46125</v>
      </c>
      <c r="F97" s="26" t="s">
        <v>23</v>
      </c>
      <c r="G97" s="44" t="s">
        <v>1352</v>
      </c>
      <c r="H97" s="26" t="s">
        <v>25</v>
      </c>
      <c r="I97" s="44" t="s">
        <v>1352</v>
      </c>
      <c r="J97" s="26" t="s">
        <v>24</v>
      </c>
      <c r="K97" s="27"/>
      <c r="L97" s="28" t="s">
        <v>25</v>
      </c>
      <c r="M97" s="29" t="str">
        <f t="shared" si="5"/>
        <v>✓ OK</v>
      </c>
      <c r="N97" s="43">
        <v>46196</v>
      </c>
      <c r="O97" s="26" t="s">
        <v>23</v>
      </c>
      <c r="P97" s="44" t="s">
        <v>1352</v>
      </c>
      <c r="Q97" s="26" t="s">
        <v>25</v>
      </c>
      <c r="R97" s="44" t="s">
        <v>1352</v>
      </c>
      <c r="S97" s="26" t="s">
        <v>24</v>
      </c>
      <c r="T97" s="27"/>
      <c r="U97" s="28" t="s">
        <v>25</v>
      </c>
      <c r="V97" s="29" t="str">
        <f t="shared" si="6"/>
        <v>✓ OK</v>
      </c>
      <c r="W97" s="45">
        <v>46248</v>
      </c>
      <c r="X97" s="30" t="s">
        <v>23</v>
      </c>
      <c r="Y97" s="30" t="s">
        <v>1352</v>
      </c>
      <c r="Z97" s="30" t="s">
        <v>25</v>
      </c>
      <c r="AA97" s="30" t="s">
        <v>1352</v>
      </c>
      <c r="AB97" s="30" t="s">
        <v>24</v>
      </c>
      <c r="AC97" s="27"/>
      <c r="AD97" s="31" t="s">
        <v>25</v>
      </c>
      <c r="AE97" s="32" t="str">
        <f t="shared" si="7"/>
        <v>✓ OK</v>
      </c>
      <c r="AF97" s="33" t="s">
        <v>27</v>
      </c>
      <c r="AG97" s="33" t="s">
        <v>23</v>
      </c>
      <c r="AH97" s="33" t="s">
        <v>1352</v>
      </c>
      <c r="AI97" s="33" t="s">
        <v>25</v>
      </c>
      <c r="AJ97" s="33" t="s">
        <v>1352</v>
      </c>
      <c r="AK97" s="33" t="s">
        <v>24</v>
      </c>
      <c r="AL97" s="27"/>
      <c r="AM97" s="34" t="s">
        <v>25</v>
      </c>
      <c r="AN97" s="35" t="str">
        <f t="shared" si="8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8" customHeight="1" x14ac:dyDescent="0.3">
      <c r="A98" s="39">
        <v>94</v>
      </c>
      <c r="B98" s="40" t="s">
        <v>5385</v>
      </c>
      <c r="C98" s="41" t="s">
        <v>5386</v>
      </c>
      <c r="D98" s="39" t="s">
        <v>5200</v>
      </c>
      <c r="E98" s="43">
        <v>46125</v>
      </c>
      <c r="F98" s="26" t="s">
        <v>23</v>
      </c>
      <c r="G98" s="44" t="s">
        <v>24</v>
      </c>
      <c r="H98" s="26" t="s">
        <v>25</v>
      </c>
      <c r="I98" s="44" t="s">
        <v>26</v>
      </c>
      <c r="J98" s="26" t="s">
        <v>24</v>
      </c>
      <c r="K98" s="27"/>
      <c r="L98" s="28" t="s">
        <v>25</v>
      </c>
      <c r="M98" s="29" t="str">
        <f t="shared" si="5"/>
        <v>✓ OK</v>
      </c>
      <c r="N98" s="43">
        <v>46196</v>
      </c>
      <c r="O98" s="26" t="s">
        <v>23</v>
      </c>
      <c r="P98" s="44" t="s">
        <v>24</v>
      </c>
      <c r="Q98" s="26" t="s">
        <v>25</v>
      </c>
      <c r="R98" s="44" t="s">
        <v>26</v>
      </c>
      <c r="S98" s="26" t="s">
        <v>24</v>
      </c>
      <c r="T98" s="27"/>
      <c r="U98" s="28" t="s">
        <v>25</v>
      </c>
      <c r="V98" s="29" t="str">
        <f t="shared" si="6"/>
        <v>✓ OK</v>
      </c>
      <c r="W98" s="45">
        <v>46248</v>
      </c>
      <c r="X98" s="30" t="s">
        <v>23</v>
      </c>
      <c r="Y98" s="30" t="s">
        <v>24</v>
      </c>
      <c r="Z98" s="30" t="s">
        <v>25</v>
      </c>
      <c r="AA98" s="30" t="s">
        <v>26</v>
      </c>
      <c r="AB98" s="30" t="s">
        <v>24</v>
      </c>
      <c r="AC98" s="27"/>
      <c r="AD98" s="31" t="s">
        <v>25</v>
      </c>
      <c r="AE98" s="32" t="str">
        <f t="shared" si="7"/>
        <v>✓ OK</v>
      </c>
      <c r="AF98" s="33" t="s">
        <v>27</v>
      </c>
      <c r="AG98" s="33" t="s">
        <v>23</v>
      </c>
      <c r="AH98" s="33" t="s">
        <v>24</v>
      </c>
      <c r="AI98" s="33" t="s">
        <v>25</v>
      </c>
      <c r="AJ98" s="33" t="s">
        <v>26</v>
      </c>
      <c r="AK98" s="33" t="s">
        <v>24</v>
      </c>
      <c r="AL98" s="27"/>
      <c r="AM98" s="34" t="s">
        <v>25</v>
      </c>
      <c r="AN98" s="35" t="str">
        <f t="shared" si="8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8" customHeight="1" x14ac:dyDescent="0.3">
      <c r="A99" s="23">
        <v>95</v>
      </c>
      <c r="B99" s="24" t="s">
        <v>5387</v>
      </c>
      <c r="C99" s="25" t="s">
        <v>5388</v>
      </c>
      <c r="D99" s="23" t="s">
        <v>5200</v>
      </c>
      <c r="E99" s="43">
        <v>46125</v>
      </c>
      <c r="F99" s="26" t="s">
        <v>23</v>
      </c>
      <c r="G99" s="44" t="s">
        <v>1352</v>
      </c>
      <c r="H99" s="26" t="s">
        <v>25</v>
      </c>
      <c r="I99" s="44" t="s">
        <v>1352</v>
      </c>
      <c r="J99" s="26" t="s">
        <v>24</v>
      </c>
      <c r="K99" s="27"/>
      <c r="L99" s="28" t="s">
        <v>25</v>
      </c>
      <c r="M99" s="29" t="str">
        <f t="shared" si="5"/>
        <v>✓ OK</v>
      </c>
      <c r="N99" s="43">
        <v>46196</v>
      </c>
      <c r="O99" s="26" t="s">
        <v>23</v>
      </c>
      <c r="P99" s="44" t="s">
        <v>1352</v>
      </c>
      <c r="Q99" s="26" t="s">
        <v>25</v>
      </c>
      <c r="R99" s="44" t="s">
        <v>1352</v>
      </c>
      <c r="S99" s="26" t="s">
        <v>24</v>
      </c>
      <c r="T99" s="27"/>
      <c r="U99" s="28" t="s">
        <v>25</v>
      </c>
      <c r="V99" s="29" t="str">
        <f t="shared" si="6"/>
        <v>✓ OK</v>
      </c>
      <c r="W99" s="45">
        <v>46248</v>
      </c>
      <c r="X99" s="30" t="s">
        <v>23</v>
      </c>
      <c r="Y99" s="30" t="s">
        <v>1352</v>
      </c>
      <c r="Z99" s="30" t="s">
        <v>25</v>
      </c>
      <c r="AA99" s="30" t="s">
        <v>1352</v>
      </c>
      <c r="AB99" s="30" t="s">
        <v>24</v>
      </c>
      <c r="AC99" s="27"/>
      <c r="AD99" s="31" t="s">
        <v>25</v>
      </c>
      <c r="AE99" s="32" t="str">
        <f t="shared" si="7"/>
        <v>✓ OK</v>
      </c>
      <c r="AF99" s="33" t="s">
        <v>27</v>
      </c>
      <c r="AG99" s="33" t="s">
        <v>23</v>
      </c>
      <c r="AH99" s="33" t="s">
        <v>1352</v>
      </c>
      <c r="AI99" s="33" t="s">
        <v>25</v>
      </c>
      <c r="AJ99" s="33" t="s">
        <v>1352</v>
      </c>
      <c r="AK99" s="33" t="s">
        <v>24</v>
      </c>
      <c r="AL99" s="27"/>
      <c r="AM99" s="34" t="s">
        <v>25</v>
      </c>
      <c r="AN99" s="35" t="str">
        <f t="shared" si="8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8" customHeight="1" x14ac:dyDescent="0.3">
      <c r="A100" s="39">
        <v>96</v>
      </c>
      <c r="B100" s="40" t="s">
        <v>5389</v>
      </c>
      <c r="C100" s="41" t="s">
        <v>5390</v>
      </c>
      <c r="D100" s="39" t="s">
        <v>5200</v>
      </c>
      <c r="E100" s="43">
        <v>46125</v>
      </c>
      <c r="F100" s="26" t="s">
        <v>23</v>
      </c>
      <c r="G100" s="44" t="s">
        <v>24</v>
      </c>
      <c r="H100" s="26" t="s">
        <v>25</v>
      </c>
      <c r="I100" s="44" t="s">
        <v>26</v>
      </c>
      <c r="J100" s="26" t="s">
        <v>24</v>
      </c>
      <c r="K100" s="27"/>
      <c r="L100" s="28" t="s">
        <v>25</v>
      </c>
      <c r="M100" s="29" t="str">
        <f t="shared" si="5"/>
        <v>✓ OK</v>
      </c>
      <c r="N100" s="43">
        <v>46196</v>
      </c>
      <c r="O100" s="26" t="s">
        <v>23</v>
      </c>
      <c r="P100" s="44" t="s">
        <v>24</v>
      </c>
      <c r="Q100" s="26" t="s">
        <v>25</v>
      </c>
      <c r="R100" s="44" t="s">
        <v>26</v>
      </c>
      <c r="S100" s="26" t="s">
        <v>24</v>
      </c>
      <c r="T100" s="27"/>
      <c r="U100" s="28" t="s">
        <v>25</v>
      </c>
      <c r="V100" s="29" t="str">
        <f t="shared" si="6"/>
        <v>✓ OK</v>
      </c>
      <c r="W100" s="45">
        <v>46248</v>
      </c>
      <c r="X100" s="30" t="s">
        <v>23</v>
      </c>
      <c r="Y100" s="30" t="s">
        <v>24</v>
      </c>
      <c r="Z100" s="30" t="s">
        <v>25</v>
      </c>
      <c r="AA100" s="30" t="s">
        <v>26</v>
      </c>
      <c r="AB100" s="30" t="s">
        <v>24</v>
      </c>
      <c r="AC100" s="27"/>
      <c r="AD100" s="31" t="s">
        <v>25</v>
      </c>
      <c r="AE100" s="32" t="str">
        <f t="shared" si="7"/>
        <v>✓ OK</v>
      </c>
      <c r="AF100" s="33" t="s">
        <v>27</v>
      </c>
      <c r="AG100" s="33" t="s">
        <v>23</v>
      </c>
      <c r="AH100" s="33" t="s">
        <v>24</v>
      </c>
      <c r="AI100" s="33" t="s">
        <v>25</v>
      </c>
      <c r="AJ100" s="33" t="s">
        <v>26</v>
      </c>
      <c r="AK100" s="33" t="s">
        <v>24</v>
      </c>
      <c r="AL100" s="27"/>
      <c r="AM100" s="34" t="s">
        <v>25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8" customHeight="1" x14ac:dyDescent="0.3">
      <c r="A101" s="23">
        <v>97</v>
      </c>
      <c r="B101" s="24" t="s">
        <v>5391</v>
      </c>
      <c r="C101" s="25" t="s">
        <v>5392</v>
      </c>
      <c r="D101" s="23" t="s">
        <v>5200</v>
      </c>
      <c r="E101" s="43">
        <v>46125</v>
      </c>
      <c r="F101" s="26" t="s">
        <v>23</v>
      </c>
      <c r="G101" s="44" t="s">
        <v>1352</v>
      </c>
      <c r="H101" s="26" t="s">
        <v>25</v>
      </c>
      <c r="I101" s="44" t="s">
        <v>1352</v>
      </c>
      <c r="J101" s="26" t="s">
        <v>24</v>
      </c>
      <c r="K101" s="27"/>
      <c r="L101" s="28" t="s">
        <v>25</v>
      </c>
      <c r="M101" s="29" t="str">
        <f t="shared" si="5"/>
        <v>✓ OK</v>
      </c>
      <c r="N101" s="43">
        <v>46196</v>
      </c>
      <c r="O101" s="26" t="s">
        <v>23</v>
      </c>
      <c r="P101" s="44" t="s">
        <v>1352</v>
      </c>
      <c r="Q101" s="26" t="s">
        <v>25</v>
      </c>
      <c r="R101" s="44" t="s">
        <v>1352</v>
      </c>
      <c r="S101" s="26" t="s">
        <v>24</v>
      </c>
      <c r="T101" s="27"/>
      <c r="U101" s="28" t="s">
        <v>25</v>
      </c>
      <c r="V101" s="29" t="str">
        <f t="shared" si="6"/>
        <v>✓ OK</v>
      </c>
      <c r="W101" s="45">
        <v>46248</v>
      </c>
      <c r="X101" s="30" t="s">
        <v>23</v>
      </c>
      <c r="Y101" s="30" t="s">
        <v>1352</v>
      </c>
      <c r="Z101" s="30" t="s">
        <v>25</v>
      </c>
      <c r="AA101" s="30" t="s">
        <v>1352</v>
      </c>
      <c r="AB101" s="30" t="s">
        <v>24</v>
      </c>
      <c r="AC101" s="27"/>
      <c r="AD101" s="31" t="s">
        <v>25</v>
      </c>
      <c r="AE101" s="32" t="str">
        <f t="shared" si="7"/>
        <v>✓ OK</v>
      </c>
      <c r="AF101" s="33" t="s">
        <v>27</v>
      </c>
      <c r="AG101" s="33" t="s">
        <v>23</v>
      </c>
      <c r="AH101" s="33" t="s">
        <v>1352</v>
      </c>
      <c r="AI101" s="33" t="s">
        <v>25</v>
      </c>
      <c r="AJ101" s="33" t="s">
        <v>1352</v>
      </c>
      <c r="AK101" s="33" t="s">
        <v>24</v>
      </c>
      <c r="AL101" s="27"/>
      <c r="AM101" s="34" t="s">
        <v>25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8" customHeight="1" x14ac:dyDescent="0.3">
      <c r="A102" s="39">
        <v>98</v>
      </c>
      <c r="B102" s="40" t="s">
        <v>5393</v>
      </c>
      <c r="C102" s="41" t="s">
        <v>5394</v>
      </c>
      <c r="D102" s="39" t="s">
        <v>5200</v>
      </c>
      <c r="E102" s="43">
        <v>46125</v>
      </c>
      <c r="F102" s="26" t="s">
        <v>23</v>
      </c>
      <c r="G102" s="44" t="s">
        <v>1352</v>
      </c>
      <c r="H102" s="26" t="s">
        <v>25</v>
      </c>
      <c r="I102" s="44" t="s">
        <v>1352</v>
      </c>
      <c r="J102" s="26" t="s">
        <v>24</v>
      </c>
      <c r="K102" s="27"/>
      <c r="L102" s="28" t="s">
        <v>25</v>
      </c>
      <c r="M102" s="29" t="str">
        <f t="shared" si="5"/>
        <v>✓ OK</v>
      </c>
      <c r="N102" s="43">
        <v>46196</v>
      </c>
      <c r="O102" s="26" t="s">
        <v>23</v>
      </c>
      <c r="P102" s="44" t="s">
        <v>1352</v>
      </c>
      <c r="Q102" s="26" t="s">
        <v>25</v>
      </c>
      <c r="R102" s="44" t="s">
        <v>1352</v>
      </c>
      <c r="S102" s="26" t="s">
        <v>24</v>
      </c>
      <c r="T102" s="27"/>
      <c r="U102" s="28" t="s">
        <v>25</v>
      </c>
      <c r="V102" s="29" t="str">
        <f t="shared" si="6"/>
        <v>✓ OK</v>
      </c>
      <c r="W102" s="45">
        <v>46248</v>
      </c>
      <c r="X102" s="30" t="s">
        <v>23</v>
      </c>
      <c r="Y102" s="30" t="s">
        <v>1352</v>
      </c>
      <c r="Z102" s="30" t="s">
        <v>25</v>
      </c>
      <c r="AA102" s="30" t="s">
        <v>1352</v>
      </c>
      <c r="AB102" s="30" t="s">
        <v>24</v>
      </c>
      <c r="AC102" s="27"/>
      <c r="AD102" s="31" t="s">
        <v>25</v>
      </c>
      <c r="AE102" s="32" t="str">
        <f t="shared" si="7"/>
        <v>✓ OK</v>
      </c>
      <c r="AF102" s="33" t="s">
        <v>27</v>
      </c>
      <c r="AG102" s="33" t="s">
        <v>23</v>
      </c>
      <c r="AH102" s="33" t="s">
        <v>1352</v>
      </c>
      <c r="AI102" s="33" t="s">
        <v>25</v>
      </c>
      <c r="AJ102" s="33" t="s">
        <v>1352</v>
      </c>
      <c r="AK102" s="33" t="s">
        <v>24</v>
      </c>
      <c r="AL102" s="27"/>
      <c r="AM102" s="34" t="s">
        <v>25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8" customHeight="1" x14ac:dyDescent="0.3">
      <c r="A103" s="23">
        <v>99</v>
      </c>
      <c r="B103" s="24" t="s">
        <v>5395</v>
      </c>
      <c r="C103" s="25" t="s">
        <v>5396</v>
      </c>
      <c r="D103" s="23" t="s">
        <v>5200</v>
      </c>
      <c r="E103" s="43">
        <v>46125</v>
      </c>
      <c r="F103" s="26" t="s">
        <v>23</v>
      </c>
      <c r="G103" s="44" t="s">
        <v>1352</v>
      </c>
      <c r="H103" s="26" t="s">
        <v>25</v>
      </c>
      <c r="I103" s="44" t="s">
        <v>1352</v>
      </c>
      <c r="J103" s="26" t="s">
        <v>24</v>
      </c>
      <c r="K103" s="27"/>
      <c r="L103" s="28" t="s">
        <v>25</v>
      </c>
      <c r="M103" s="29" t="str">
        <f t="shared" si="5"/>
        <v>✓ OK</v>
      </c>
      <c r="N103" s="43">
        <v>46196</v>
      </c>
      <c r="O103" s="26" t="s">
        <v>23</v>
      </c>
      <c r="P103" s="44" t="s">
        <v>1352</v>
      </c>
      <c r="Q103" s="26" t="s">
        <v>25</v>
      </c>
      <c r="R103" s="44" t="s">
        <v>1352</v>
      </c>
      <c r="S103" s="26" t="s">
        <v>24</v>
      </c>
      <c r="T103" s="27"/>
      <c r="U103" s="28" t="s">
        <v>25</v>
      </c>
      <c r="V103" s="29" t="str">
        <f t="shared" si="6"/>
        <v>✓ OK</v>
      </c>
      <c r="W103" s="45">
        <v>46248</v>
      </c>
      <c r="X103" s="30" t="s">
        <v>23</v>
      </c>
      <c r="Y103" s="30" t="s">
        <v>1352</v>
      </c>
      <c r="Z103" s="30" t="s">
        <v>25</v>
      </c>
      <c r="AA103" s="30" t="s">
        <v>1352</v>
      </c>
      <c r="AB103" s="30" t="s">
        <v>24</v>
      </c>
      <c r="AC103" s="27"/>
      <c r="AD103" s="31" t="s">
        <v>25</v>
      </c>
      <c r="AE103" s="32" t="str">
        <f t="shared" si="7"/>
        <v>✓ OK</v>
      </c>
      <c r="AF103" s="33" t="s">
        <v>27</v>
      </c>
      <c r="AG103" s="33" t="s">
        <v>23</v>
      </c>
      <c r="AH103" s="33" t="s">
        <v>1352</v>
      </c>
      <c r="AI103" s="33" t="s">
        <v>25</v>
      </c>
      <c r="AJ103" s="33" t="s">
        <v>1352</v>
      </c>
      <c r="AK103" s="33" t="s">
        <v>24</v>
      </c>
      <c r="AL103" s="27"/>
      <c r="AM103" s="34" t="s">
        <v>25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8" customHeight="1" x14ac:dyDescent="0.3">
      <c r="A104" s="39">
        <v>100</v>
      </c>
      <c r="B104" s="40" t="s">
        <v>5397</v>
      </c>
      <c r="C104" s="41" t="s">
        <v>5398</v>
      </c>
      <c r="D104" s="39" t="s">
        <v>5200</v>
      </c>
      <c r="E104" s="43">
        <v>46125</v>
      </c>
      <c r="F104" s="26" t="s">
        <v>23</v>
      </c>
      <c r="G104" s="44" t="s">
        <v>1352</v>
      </c>
      <c r="H104" s="26" t="s">
        <v>25</v>
      </c>
      <c r="I104" s="44" t="s">
        <v>1352</v>
      </c>
      <c r="J104" s="26" t="s">
        <v>24</v>
      </c>
      <c r="K104" s="27"/>
      <c r="L104" s="28" t="s">
        <v>25</v>
      </c>
      <c r="M104" s="29" t="str">
        <f t="shared" si="5"/>
        <v>✓ OK</v>
      </c>
      <c r="N104" s="43">
        <v>46196</v>
      </c>
      <c r="O104" s="26" t="s">
        <v>23</v>
      </c>
      <c r="P104" s="44" t="s">
        <v>1352</v>
      </c>
      <c r="Q104" s="26" t="s">
        <v>25</v>
      </c>
      <c r="R104" s="44" t="s">
        <v>1352</v>
      </c>
      <c r="S104" s="26" t="s">
        <v>24</v>
      </c>
      <c r="T104" s="27"/>
      <c r="U104" s="28" t="s">
        <v>25</v>
      </c>
      <c r="V104" s="29" t="str">
        <f t="shared" si="6"/>
        <v>✓ OK</v>
      </c>
      <c r="W104" s="45">
        <v>46248</v>
      </c>
      <c r="X104" s="30" t="s">
        <v>23</v>
      </c>
      <c r="Y104" s="30" t="s">
        <v>1352</v>
      </c>
      <c r="Z104" s="30" t="s">
        <v>25</v>
      </c>
      <c r="AA104" s="30" t="s">
        <v>1352</v>
      </c>
      <c r="AB104" s="30" t="s">
        <v>24</v>
      </c>
      <c r="AC104" s="27"/>
      <c r="AD104" s="31" t="s">
        <v>25</v>
      </c>
      <c r="AE104" s="32" t="str">
        <f t="shared" si="7"/>
        <v>✓ OK</v>
      </c>
      <c r="AF104" s="33" t="s">
        <v>27</v>
      </c>
      <c r="AG104" s="33" t="s">
        <v>23</v>
      </c>
      <c r="AH104" s="33" t="s">
        <v>1352</v>
      </c>
      <c r="AI104" s="33" t="s">
        <v>25</v>
      </c>
      <c r="AJ104" s="33" t="s">
        <v>1352</v>
      </c>
      <c r="AK104" s="33" t="s">
        <v>24</v>
      </c>
      <c r="AL104" s="27"/>
      <c r="AM104" s="34" t="s">
        <v>25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8" customHeight="1" x14ac:dyDescent="0.3">
      <c r="A105" s="23">
        <v>101</v>
      </c>
      <c r="B105" s="24" t="s">
        <v>5399</v>
      </c>
      <c r="C105" s="25" t="s">
        <v>5400</v>
      </c>
      <c r="D105" s="23" t="s">
        <v>5200</v>
      </c>
      <c r="E105" s="43">
        <v>46125</v>
      </c>
      <c r="F105" s="26" t="s">
        <v>23</v>
      </c>
      <c r="G105" s="44" t="s">
        <v>1352</v>
      </c>
      <c r="H105" s="26" t="s">
        <v>25</v>
      </c>
      <c r="I105" s="44" t="s">
        <v>1352</v>
      </c>
      <c r="J105" s="26" t="s">
        <v>24</v>
      </c>
      <c r="K105" s="27"/>
      <c r="L105" s="28" t="s">
        <v>25</v>
      </c>
      <c r="M105" s="29" t="str">
        <f t="shared" si="5"/>
        <v>✓ OK</v>
      </c>
      <c r="N105" s="43">
        <v>46196</v>
      </c>
      <c r="O105" s="26" t="s">
        <v>23</v>
      </c>
      <c r="P105" s="44" t="s">
        <v>1352</v>
      </c>
      <c r="Q105" s="26" t="s">
        <v>25</v>
      </c>
      <c r="R105" s="44" t="s">
        <v>1352</v>
      </c>
      <c r="S105" s="26" t="s">
        <v>24</v>
      </c>
      <c r="T105" s="27"/>
      <c r="U105" s="28" t="s">
        <v>25</v>
      </c>
      <c r="V105" s="29" t="str">
        <f t="shared" si="6"/>
        <v>✓ OK</v>
      </c>
      <c r="W105" s="45">
        <v>46248</v>
      </c>
      <c r="X105" s="30" t="s">
        <v>23</v>
      </c>
      <c r="Y105" s="30" t="s">
        <v>1352</v>
      </c>
      <c r="Z105" s="30" t="s">
        <v>25</v>
      </c>
      <c r="AA105" s="30" t="s">
        <v>1352</v>
      </c>
      <c r="AB105" s="30" t="s">
        <v>24</v>
      </c>
      <c r="AC105" s="27"/>
      <c r="AD105" s="31" t="s">
        <v>25</v>
      </c>
      <c r="AE105" s="32" t="str">
        <f t="shared" si="7"/>
        <v>✓ OK</v>
      </c>
      <c r="AF105" s="33" t="s">
        <v>27</v>
      </c>
      <c r="AG105" s="33" t="s">
        <v>23</v>
      </c>
      <c r="AH105" s="33" t="s">
        <v>1352</v>
      </c>
      <c r="AI105" s="33" t="s">
        <v>25</v>
      </c>
      <c r="AJ105" s="33" t="s">
        <v>1352</v>
      </c>
      <c r="AK105" s="33" t="s">
        <v>24</v>
      </c>
      <c r="AL105" s="27"/>
      <c r="AM105" s="34" t="s">
        <v>25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8" customHeight="1" x14ac:dyDescent="0.3">
      <c r="A106" s="39">
        <v>102</v>
      </c>
      <c r="B106" s="40" t="s">
        <v>5401</v>
      </c>
      <c r="C106" s="41" t="s">
        <v>5402</v>
      </c>
      <c r="D106" s="39" t="s">
        <v>5200</v>
      </c>
      <c r="E106" s="43">
        <v>46125</v>
      </c>
      <c r="F106" s="26" t="s">
        <v>23</v>
      </c>
      <c r="G106" s="44" t="s">
        <v>24</v>
      </c>
      <c r="H106" s="26" t="s">
        <v>25</v>
      </c>
      <c r="I106" s="44" t="s">
        <v>26</v>
      </c>
      <c r="J106" s="26" t="s">
        <v>24</v>
      </c>
      <c r="K106" s="27"/>
      <c r="L106" s="28" t="s">
        <v>25</v>
      </c>
      <c r="M106" s="29" t="str">
        <f t="shared" si="5"/>
        <v>✓ OK</v>
      </c>
      <c r="N106" s="43">
        <v>46196</v>
      </c>
      <c r="O106" s="26" t="s">
        <v>23</v>
      </c>
      <c r="P106" s="44" t="s">
        <v>24</v>
      </c>
      <c r="Q106" s="26" t="s">
        <v>25</v>
      </c>
      <c r="R106" s="44" t="s">
        <v>26</v>
      </c>
      <c r="S106" s="26" t="s">
        <v>24</v>
      </c>
      <c r="T106" s="27"/>
      <c r="U106" s="28" t="s">
        <v>25</v>
      </c>
      <c r="V106" s="29" t="str">
        <f t="shared" si="6"/>
        <v>✓ OK</v>
      </c>
      <c r="W106" s="45">
        <v>46248</v>
      </c>
      <c r="X106" s="30" t="s">
        <v>23</v>
      </c>
      <c r="Y106" s="30" t="s">
        <v>24</v>
      </c>
      <c r="Z106" s="30" t="s">
        <v>25</v>
      </c>
      <c r="AA106" s="30" t="s">
        <v>26</v>
      </c>
      <c r="AB106" s="30" t="s">
        <v>24</v>
      </c>
      <c r="AC106" s="27"/>
      <c r="AD106" s="31" t="s">
        <v>25</v>
      </c>
      <c r="AE106" s="32" t="str">
        <f t="shared" si="7"/>
        <v>✓ OK</v>
      </c>
      <c r="AF106" s="33" t="s">
        <v>27</v>
      </c>
      <c r="AG106" s="33" t="s">
        <v>23</v>
      </c>
      <c r="AH106" s="33" t="s">
        <v>24</v>
      </c>
      <c r="AI106" s="33" t="s">
        <v>25</v>
      </c>
      <c r="AJ106" s="33" t="s">
        <v>26</v>
      </c>
      <c r="AK106" s="33" t="s">
        <v>24</v>
      </c>
      <c r="AL106" s="27"/>
      <c r="AM106" s="34" t="s">
        <v>25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8" customHeight="1" x14ac:dyDescent="0.3">
      <c r="A107" s="23">
        <v>103</v>
      </c>
      <c r="B107" s="24" t="s">
        <v>5403</v>
      </c>
      <c r="C107" s="25" t="s">
        <v>5404</v>
      </c>
      <c r="D107" s="23" t="s">
        <v>5200</v>
      </c>
      <c r="E107" s="43">
        <v>46125</v>
      </c>
      <c r="F107" s="26" t="s">
        <v>23</v>
      </c>
      <c r="G107" s="44" t="s">
        <v>1352</v>
      </c>
      <c r="H107" s="26" t="s">
        <v>25</v>
      </c>
      <c r="I107" s="44" t="s">
        <v>1352</v>
      </c>
      <c r="J107" s="26" t="s">
        <v>24</v>
      </c>
      <c r="K107" s="27"/>
      <c r="L107" s="28" t="s">
        <v>25</v>
      </c>
      <c r="M107" s="29" t="str">
        <f t="shared" si="5"/>
        <v>✓ OK</v>
      </c>
      <c r="N107" s="43">
        <v>46196</v>
      </c>
      <c r="O107" s="26" t="s">
        <v>23</v>
      </c>
      <c r="P107" s="44" t="s">
        <v>1352</v>
      </c>
      <c r="Q107" s="26" t="s">
        <v>25</v>
      </c>
      <c r="R107" s="44" t="s">
        <v>1352</v>
      </c>
      <c r="S107" s="26" t="s">
        <v>24</v>
      </c>
      <c r="T107" s="27"/>
      <c r="U107" s="28" t="s">
        <v>25</v>
      </c>
      <c r="V107" s="29" t="str">
        <f t="shared" si="6"/>
        <v>✓ OK</v>
      </c>
      <c r="W107" s="45">
        <v>46248</v>
      </c>
      <c r="X107" s="30" t="s">
        <v>23</v>
      </c>
      <c r="Y107" s="30" t="s">
        <v>1352</v>
      </c>
      <c r="Z107" s="30" t="s">
        <v>25</v>
      </c>
      <c r="AA107" s="30" t="s">
        <v>1352</v>
      </c>
      <c r="AB107" s="30" t="s">
        <v>24</v>
      </c>
      <c r="AC107" s="27"/>
      <c r="AD107" s="31" t="s">
        <v>25</v>
      </c>
      <c r="AE107" s="32" t="str">
        <f t="shared" si="7"/>
        <v>✓ OK</v>
      </c>
      <c r="AF107" s="33" t="s">
        <v>27</v>
      </c>
      <c r="AG107" s="33" t="s">
        <v>23</v>
      </c>
      <c r="AH107" s="33" t="s">
        <v>1352</v>
      </c>
      <c r="AI107" s="33" t="s">
        <v>25</v>
      </c>
      <c r="AJ107" s="33" t="s">
        <v>1352</v>
      </c>
      <c r="AK107" s="33" t="s">
        <v>24</v>
      </c>
      <c r="AL107" s="27"/>
      <c r="AM107" s="34" t="s">
        <v>25</v>
      </c>
      <c r="AN107" s="35" t="str">
        <f t="shared" si="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8" customHeight="1" x14ac:dyDescent="0.3">
      <c r="A108" s="39">
        <v>104</v>
      </c>
      <c r="B108" s="40" t="s">
        <v>5405</v>
      </c>
      <c r="C108" s="41" t="s">
        <v>5406</v>
      </c>
      <c r="D108" s="39" t="s">
        <v>5200</v>
      </c>
      <c r="E108" s="43">
        <v>46125</v>
      </c>
      <c r="F108" s="26" t="s">
        <v>23</v>
      </c>
      <c r="G108" s="44" t="s">
        <v>1352</v>
      </c>
      <c r="H108" s="26" t="s">
        <v>25</v>
      </c>
      <c r="I108" s="44" t="s">
        <v>1352</v>
      </c>
      <c r="J108" s="26" t="s">
        <v>24</v>
      </c>
      <c r="K108" s="27"/>
      <c r="L108" s="28" t="s">
        <v>25</v>
      </c>
      <c r="M108" s="29" t="str">
        <f t="shared" si="5"/>
        <v>✓ OK</v>
      </c>
      <c r="N108" s="43">
        <v>46196</v>
      </c>
      <c r="O108" s="26" t="s">
        <v>23</v>
      </c>
      <c r="P108" s="44" t="s">
        <v>1352</v>
      </c>
      <c r="Q108" s="26" t="s">
        <v>25</v>
      </c>
      <c r="R108" s="44" t="s">
        <v>1352</v>
      </c>
      <c r="S108" s="26" t="s">
        <v>24</v>
      </c>
      <c r="T108" s="27"/>
      <c r="U108" s="28" t="s">
        <v>25</v>
      </c>
      <c r="V108" s="29" t="str">
        <f t="shared" si="6"/>
        <v>✓ OK</v>
      </c>
      <c r="W108" s="45">
        <v>46248</v>
      </c>
      <c r="X108" s="30" t="s">
        <v>23</v>
      </c>
      <c r="Y108" s="30" t="s">
        <v>1352</v>
      </c>
      <c r="Z108" s="30" t="s">
        <v>25</v>
      </c>
      <c r="AA108" s="30" t="s">
        <v>1352</v>
      </c>
      <c r="AB108" s="30" t="s">
        <v>24</v>
      </c>
      <c r="AC108" s="27"/>
      <c r="AD108" s="31" t="s">
        <v>25</v>
      </c>
      <c r="AE108" s="32" t="str">
        <f t="shared" si="7"/>
        <v>✓ OK</v>
      </c>
      <c r="AF108" s="33" t="s">
        <v>27</v>
      </c>
      <c r="AG108" s="33" t="s">
        <v>23</v>
      </c>
      <c r="AH108" s="33" t="s">
        <v>1352</v>
      </c>
      <c r="AI108" s="33" t="s">
        <v>25</v>
      </c>
      <c r="AJ108" s="33" t="s">
        <v>1352</v>
      </c>
      <c r="AK108" s="33" t="s">
        <v>24</v>
      </c>
      <c r="AL108" s="27"/>
      <c r="AM108" s="34" t="s">
        <v>25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8" customHeight="1" x14ac:dyDescent="0.3">
      <c r="A109" s="23">
        <v>105</v>
      </c>
      <c r="B109" s="24" t="s">
        <v>5407</v>
      </c>
      <c r="C109" s="25" t="s">
        <v>5408</v>
      </c>
      <c r="D109" s="23" t="s">
        <v>5200</v>
      </c>
      <c r="E109" s="43">
        <v>46125</v>
      </c>
      <c r="F109" s="26" t="s">
        <v>23</v>
      </c>
      <c r="G109" s="44" t="s">
        <v>24</v>
      </c>
      <c r="H109" s="26" t="s">
        <v>25</v>
      </c>
      <c r="I109" s="44" t="s">
        <v>26</v>
      </c>
      <c r="J109" s="26" t="s">
        <v>24</v>
      </c>
      <c r="K109" s="27"/>
      <c r="L109" s="28" t="s">
        <v>25</v>
      </c>
      <c r="M109" s="29" t="str">
        <f t="shared" si="5"/>
        <v>✓ OK</v>
      </c>
      <c r="N109" s="43">
        <v>46196</v>
      </c>
      <c r="O109" s="26" t="s">
        <v>23</v>
      </c>
      <c r="P109" s="44" t="s">
        <v>24</v>
      </c>
      <c r="Q109" s="26" t="s">
        <v>25</v>
      </c>
      <c r="R109" s="44" t="s">
        <v>26</v>
      </c>
      <c r="S109" s="26" t="s">
        <v>24</v>
      </c>
      <c r="T109" s="27"/>
      <c r="U109" s="28" t="s">
        <v>25</v>
      </c>
      <c r="V109" s="29" t="str">
        <f t="shared" si="6"/>
        <v>✓ OK</v>
      </c>
      <c r="W109" s="45">
        <v>46248</v>
      </c>
      <c r="X109" s="30" t="s">
        <v>23</v>
      </c>
      <c r="Y109" s="30" t="s">
        <v>24</v>
      </c>
      <c r="Z109" s="30" t="s">
        <v>25</v>
      </c>
      <c r="AA109" s="30" t="s">
        <v>26</v>
      </c>
      <c r="AB109" s="30" t="s">
        <v>24</v>
      </c>
      <c r="AC109" s="27"/>
      <c r="AD109" s="31" t="s">
        <v>25</v>
      </c>
      <c r="AE109" s="32" t="str">
        <f t="shared" si="7"/>
        <v>✓ OK</v>
      </c>
      <c r="AF109" s="33" t="s">
        <v>27</v>
      </c>
      <c r="AG109" s="33" t="s">
        <v>23</v>
      </c>
      <c r="AH109" s="33" t="s">
        <v>24</v>
      </c>
      <c r="AI109" s="33" t="s">
        <v>25</v>
      </c>
      <c r="AJ109" s="33" t="s">
        <v>26</v>
      </c>
      <c r="AK109" s="33" t="s">
        <v>24</v>
      </c>
      <c r="AL109" s="27"/>
      <c r="AM109" s="34" t="s">
        <v>25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8" customHeight="1" x14ac:dyDescent="0.3">
      <c r="A110" s="39">
        <v>106</v>
      </c>
      <c r="B110" s="40" t="s">
        <v>5409</v>
      </c>
      <c r="C110" s="41" t="s">
        <v>5410</v>
      </c>
      <c r="D110" s="39" t="s">
        <v>5200</v>
      </c>
      <c r="E110" s="43">
        <v>46125</v>
      </c>
      <c r="F110" s="26" t="s">
        <v>23</v>
      </c>
      <c r="G110" s="44" t="s">
        <v>1352</v>
      </c>
      <c r="H110" s="26" t="s">
        <v>25</v>
      </c>
      <c r="I110" s="44" t="s">
        <v>1352</v>
      </c>
      <c r="J110" s="26" t="s">
        <v>24</v>
      </c>
      <c r="K110" s="27"/>
      <c r="L110" s="28" t="s">
        <v>25</v>
      </c>
      <c r="M110" s="29" t="str">
        <f t="shared" si="5"/>
        <v>✓ OK</v>
      </c>
      <c r="N110" s="43">
        <v>46196</v>
      </c>
      <c r="O110" s="26" t="s">
        <v>23</v>
      </c>
      <c r="P110" s="44" t="s">
        <v>1352</v>
      </c>
      <c r="Q110" s="26" t="s">
        <v>25</v>
      </c>
      <c r="R110" s="44" t="s">
        <v>1352</v>
      </c>
      <c r="S110" s="26" t="s">
        <v>24</v>
      </c>
      <c r="T110" s="27"/>
      <c r="U110" s="28" t="s">
        <v>25</v>
      </c>
      <c r="V110" s="29" t="str">
        <f t="shared" si="6"/>
        <v>✓ OK</v>
      </c>
      <c r="W110" s="45">
        <v>46248</v>
      </c>
      <c r="X110" s="30" t="s">
        <v>23</v>
      </c>
      <c r="Y110" s="30" t="s">
        <v>1352</v>
      </c>
      <c r="Z110" s="30" t="s">
        <v>25</v>
      </c>
      <c r="AA110" s="30" t="s">
        <v>1352</v>
      </c>
      <c r="AB110" s="30" t="s">
        <v>24</v>
      </c>
      <c r="AC110" s="27"/>
      <c r="AD110" s="31" t="s">
        <v>25</v>
      </c>
      <c r="AE110" s="32" t="str">
        <f t="shared" si="7"/>
        <v>✓ OK</v>
      </c>
      <c r="AF110" s="33" t="s">
        <v>27</v>
      </c>
      <c r="AG110" s="33" t="s">
        <v>23</v>
      </c>
      <c r="AH110" s="33" t="s">
        <v>1352</v>
      </c>
      <c r="AI110" s="33" t="s">
        <v>25</v>
      </c>
      <c r="AJ110" s="33" t="s">
        <v>1352</v>
      </c>
      <c r="AK110" s="33" t="s">
        <v>24</v>
      </c>
      <c r="AL110" s="27"/>
      <c r="AM110" s="34" t="s">
        <v>25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8" customHeight="1" x14ac:dyDescent="0.3">
      <c r="A111" s="23">
        <v>107</v>
      </c>
      <c r="B111" s="24" t="s">
        <v>5411</v>
      </c>
      <c r="C111" s="25" t="s">
        <v>5412</v>
      </c>
      <c r="D111" s="23" t="s">
        <v>5200</v>
      </c>
      <c r="E111" s="43">
        <v>46125</v>
      </c>
      <c r="F111" s="26" t="s">
        <v>23</v>
      </c>
      <c r="G111" s="44" t="s">
        <v>1352</v>
      </c>
      <c r="H111" s="26" t="s">
        <v>25</v>
      </c>
      <c r="I111" s="44" t="s">
        <v>1352</v>
      </c>
      <c r="J111" s="26" t="s">
        <v>24</v>
      </c>
      <c r="K111" s="27"/>
      <c r="L111" s="28" t="s">
        <v>25</v>
      </c>
      <c r="M111" s="29" t="str">
        <f t="shared" si="5"/>
        <v>✓ OK</v>
      </c>
      <c r="N111" s="43">
        <v>46196</v>
      </c>
      <c r="O111" s="26" t="s">
        <v>23</v>
      </c>
      <c r="P111" s="44" t="s">
        <v>1352</v>
      </c>
      <c r="Q111" s="26" t="s">
        <v>25</v>
      </c>
      <c r="R111" s="44" t="s">
        <v>1352</v>
      </c>
      <c r="S111" s="26" t="s">
        <v>24</v>
      </c>
      <c r="T111" s="27"/>
      <c r="U111" s="28" t="s">
        <v>25</v>
      </c>
      <c r="V111" s="29" t="str">
        <f t="shared" si="6"/>
        <v>✓ OK</v>
      </c>
      <c r="W111" s="45">
        <v>46248</v>
      </c>
      <c r="X111" s="30" t="s">
        <v>23</v>
      </c>
      <c r="Y111" s="30" t="s">
        <v>1352</v>
      </c>
      <c r="Z111" s="30" t="s">
        <v>25</v>
      </c>
      <c r="AA111" s="30" t="s">
        <v>1352</v>
      </c>
      <c r="AB111" s="30" t="s">
        <v>24</v>
      </c>
      <c r="AC111" s="27"/>
      <c r="AD111" s="31" t="s">
        <v>25</v>
      </c>
      <c r="AE111" s="32" t="str">
        <f t="shared" si="7"/>
        <v>✓ OK</v>
      </c>
      <c r="AF111" s="33" t="s">
        <v>27</v>
      </c>
      <c r="AG111" s="33" t="s">
        <v>23</v>
      </c>
      <c r="AH111" s="33" t="s">
        <v>1352</v>
      </c>
      <c r="AI111" s="33" t="s">
        <v>25</v>
      </c>
      <c r="AJ111" s="33" t="s">
        <v>1352</v>
      </c>
      <c r="AK111" s="33" t="s">
        <v>24</v>
      </c>
      <c r="AL111" s="27"/>
      <c r="AM111" s="34" t="s">
        <v>25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8" customHeight="1" x14ac:dyDescent="0.3">
      <c r="A112" s="39">
        <v>108</v>
      </c>
      <c r="B112" s="40" t="s">
        <v>5413</v>
      </c>
      <c r="C112" s="41" t="s">
        <v>5414</v>
      </c>
      <c r="D112" s="39" t="s">
        <v>5200</v>
      </c>
      <c r="E112" s="43">
        <v>46125</v>
      </c>
      <c r="F112" s="26" t="s">
        <v>23</v>
      </c>
      <c r="G112" s="44" t="s">
        <v>24</v>
      </c>
      <c r="H112" s="26" t="s">
        <v>25</v>
      </c>
      <c r="I112" s="44" t="s">
        <v>26</v>
      </c>
      <c r="J112" s="26" t="s">
        <v>24</v>
      </c>
      <c r="K112" s="27"/>
      <c r="L112" s="28" t="s">
        <v>25</v>
      </c>
      <c r="M112" s="29" t="str">
        <f t="shared" si="5"/>
        <v>✓ OK</v>
      </c>
      <c r="N112" s="43">
        <v>46196</v>
      </c>
      <c r="O112" s="26" t="s">
        <v>23</v>
      </c>
      <c r="P112" s="44" t="s">
        <v>24</v>
      </c>
      <c r="Q112" s="26" t="s">
        <v>25</v>
      </c>
      <c r="R112" s="44" t="s">
        <v>26</v>
      </c>
      <c r="S112" s="26" t="s">
        <v>24</v>
      </c>
      <c r="T112" s="27"/>
      <c r="U112" s="28" t="s">
        <v>25</v>
      </c>
      <c r="V112" s="29" t="str">
        <f t="shared" si="6"/>
        <v>✓ OK</v>
      </c>
      <c r="W112" s="45">
        <v>46248</v>
      </c>
      <c r="X112" s="30" t="s">
        <v>23</v>
      </c>
      <c r="Y112" s="30" t="s">
        <v>24</v>
      </c>
      <c r="Z112" s="30" t="s">
        <v>25</v>
      </c>
      <c r="AA112" s="30" t="s">
        <v>26</v>
      </c>
      <c r="AB112" s="30" t="s">
        <v>24</v>
      </c>
      <c r="AC112" s="27"/>
      <c r="AD112" s="31" t="s">
        <v>25</v>
      </c>
      <c r="AE112" s="32" t="str">
        <f t="shared" si="7"/>
        <v>✓ OK</v>
      </c>
      <c r="AF112" s="33" t="s">
        <v>27</v>
      </c>
      <c r="AG112" s="33" t="s">
        <v>23</v>
      </c>
      <c r="AH112" s="33" t="s">
        <v>24</v>
      </c>
      <c r="AI112" s="33" t="s">
        <v>25</v>
      </c>
      <c r="AJ112" s="33" t="s">
        <v>26</v>
      </c>
      <c r="AK112" s="33" t="s">
        <v>24</v>
      </c>
      <c r="AL112" s="27"/>
      <c r="AM112" s="34" t="s">
        <v>25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8" customHeight="1" x14ac:dyDescent="0.3">
      <c r="A113" s="23">
        <v>109</v>
      </c>
      <c r="B113" s="24" t="s">
        <v>5415</v>
      </c>
      <c r="C113" s="25" t="s">
        <v>5416</v>
      </c>
      <c r="D113" s="23" t="s">
        <v>5200</v>
      </c>
      <c r="E113" s="43">
        <v>46125</v>
      </c>
      <c r="F113" s="26" t="s">
        <v>23</v>
      </c>
      <c r="G113" s="44" t="s">
        <v>1352</v>
      </c>
      <c r="H113" s="26" t="s">
        <v>25</v>
      </c>
      <c r="I113" s="44" t="s">
        <v>1352</v>
      </c>
      <c r="J113" s="26" t="s">
        <v>24</v>
      </c>
      <c r="K113" s="27"/>
      <c r="L113" s="28" t="s">
        <v>25</v>
      </c>
      <c r="M113" s="29" t="str">
        <f t="shared" si="5"/>
        <v>✓ OK</v>
      </c>
      <c r="N113" s="43">
        <v>46196</v>
      </c>
      <c r="O113" s="26" t="s">
        <v>23</v>
      </c>
      <c r="P113" s="44" t="s">
        <v>1352</v>
      </c>
      <c r="Q113" s="26" t="s">
        <v>25</v>
      </c>
      <c r="R113" s="44" t="s">
        <v>1352</v>
      </c>
      <c r="S113" s="26" t="s">
        <v>24</v>
      </c>
      <c r="T113" s="27"/>
      <c r="U113" s="28" t="s">
        <v>25</v>
      </c>
      <c r="V113" s="29" t="str">
        <f t="shared" si="6"/>
        <v>✓ OK</v>
      </c>
      <c r="W113" s="45">
        <v>46248</v>
      </c>
      <c r="X113" s="30" t="s">
        <v>23</v>
      </c>
      <c r="Y113" s="30" t="s">
        <v>1352</v>
      </c>
      <c r="Z113" s="30" t="s">
        <v>25</v>
      </c>
      <c r="AA113" s="30" t="s">
        <v>1352</v>
      </c>
      <c r="AB113" s="30" t="s">
        <v>24</v>
      </c>
      <c r="AC113" s="27"/>
      <c r="AD113" s="31" t="s">
        <v>25</v>
      </c>
      <c r="AE113" s="32" t="str">
        <f t="shared" si="7"/>
        <v>✓ OK</v>
      </c>
      <c r="AF113" s="33" t="s">
        <v>27</v>
      </c>
      <c r="AG113" s="33" t="s">
        <v>23</v>
      </c>
      <c r="AH113" s="33" t="s">
        <v>1352</v>
      </c>
      <c r="AI113" s="33" t="s">
        <v>25</v>
      </c>
      <c r="AJ113" s="33" t="s">
        <v>1352</v>
      </c>
      <c r="AK113" s="33" t="s">
        <v>24</v>
      </c>
      <c r="AL113" s="27"/>
      <c r="AM113" s="34" t="s">
        <v>25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8" customHeight="1" x14ac:dyDescent="0.3">
      <c r="A114" s="39">
        <v>110</v>
      </c>
      <c r="B114" s="40" t="s">
        <v>5417</v>
      </c>
      <c r="C114" s="41" t="s">
        <v>5418</v>
      </c>
      <c r="D114" s="39" t="s">
        <v>5200</v>
      </c>
      <c r="E114" s="43">
        <v>46125</v>
      </c>
      <c r="F114" s="26" t="s">
        <v>23</v>
      </c>
      <c r="G114" s="44" t="s">
        <v>1352</v>
      </c>
      <c r="H114" s="26" t="s">
        <v>25</v>
      </c>
      <c r="I114" s="44" t="s">
        <v>1352</v>
      </c>
      <c r="J114" s="26" t="s">
        <v>24</v>
      </c>
      <c r="K114" s="27"/>
      <c r="L114" s="28" t="s">
        <v>25</v>
      </c>
      <c r="M114" s="29" t="str">
        <f t="shared" si="5"/>
        <v>✓ OK</v>
      </c>
      <c r="N114" s="43">
        <v>46196</v>
      </c>
      <c r="O114" s="26" t="s">
        <v>23</v>
      </c>
      <c r="P114" s="44" t="s">
        <v>1352</v>
      </c>
      <c r="Q114" s="26" t="s">
        <v>25</v>
      </c>
      <c r="R114" s="44" t="s">
        <v>1352</v>
      </c>
      <c r="S114" s="26" t="s">
        <v>24</v>
      </c>
      <c r="T114" s="27"/>
      <c r="U114" s="28" t="s">
        <v>25</v>
      </c>
      <c r="V114" s="29" t="str">
        <f t="shared" si="6"/>
        <v>✓ OK</v>
      </c>
      <c r="W114" s="45">
        <v>46248</v>
      </c>
      <c r="X114" s="30" t="s">
        <v>23</v>
      </c>
      <c r="Y114" s="30" t="s">
        <v>1352</v>
      </c>
      <c r="Z114" s="30" t="s">
        <v>25</v>
      </c>
      <c r="AA114" s="30" t="s">
        <v>1352</v>
      </c>
      <c r="AB114" s="30" t="s">
        <v>24</v>
      </c>
      <c r="AC114" s="27"/>
      <c r="AD114" s="31" t="s">
        <v>25</v>
      </c>
      <c r="AE114" s="32" t="str">
        <f t="shared" si="7"/>
        <v>✓ OK</v>
      </c>
      <c r="AF114" s="33" t="s">
        <v>27</v>
      </c>
      <c r="AG114" s="33" t="s">
        <v>23</v>
      </c>
      <c r="AH114" s="33" t="s">
        <v>1352</v>
      </c>
      <c r="AI114" s="33" t="s">
        <v>25</v>
      </c>
      <c r="AJ114" s="33" t="s">
        <v>1352</v>
      </c>
      <c r="AK114" s="33" t="s">
        <v>24</v>
      </c>
      <c r="AL114" s="27"/>
      <c r="AM114" s="34" t="s">
        <v>25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8" customHeight="1" x14ac:dyDescent="0.3">
      <c r="A115" s="23">
        <v>111</v>
      </c>
      <c r="B115" s="24" t="s">
        <v>5419</v>
      </c>
      <c r="C115" s="25" t="s">
        <v>5420</v>
      </c>
      <c r="D115" s="23" t="s">
        <v>5200</v>
      </c>
      <c r="E115" s="43">
        <v>46125</v>
      </c>
      <c r="F115" s="26" t="s">
        <v>23</v>
      </c>
      <c r="G115" s="44" t="s">
        <v>1352</v>
      </c>
      <c r="H115" s="26" t="s">
        <v>25</v>
      </c>
      <c r="I115" s="44" t="s">
        <v>1352</v>
      </c>
      <c r="J115" s="26" t="s">
        <v>24</v>
      </c>
      <c r="K115" s="27"/>
      <c r="L115" s="28" t="s">
        <v>25</v>
      </c>
      <c r="M115" s="29" t="str">
        <f t="shared" si="5"/>
        <v>✓ OK</v>
      </c>
      <c r="N115" s="43">
        <v>46196</v>
      </c>
      <c r="O115" s="26" t="s">
        <v>23</v>
      </c>
      <c r="P115" s="44" t="s">
        <v>1352</v>
      </c>
      <c r="Q115" s="26" t="s">
        <v>25</v>
      </c>
      <c r="R115" s="44" t="s">
        <v>1352</v>
      </c>
      <c r="S115" s="26" t="s">
        <v>24</v>
      </c>
      <c r="T115" s="27"/>
      <c r="U115" s="28" t="s">
        <v>25</v>
      </c>
      <c r="V115" s="29" t="str">
        <f t="shared" si="6"/>
        <v>✓ OK</v>
      </c>
      <c r="W115" s="45">
        <v>46248</v>
      </c>
      <c r="X115" s="30" t="s">
        <v>23</v>
      </c>
      <c r="Y115" s="30" t="s">
        <v>1352</v>
      </c>
      <c r="Z115" s="30" t="s">
        <v>25</v>
      </c>
      <c r="AA115" s="30" t="s">
        <v>1352</v>
      </c>
      <c r="AB115" s="30" t="s">
        <v>24</v>
      </c>
      <c r="AC115" s="27"/>
      <c r="AD115" s="31" t="s">
        <v>25</v>
      </c>
      <c r="AE115" s="32" t="str">
        <f t="shared" si="7"/>
        <v>✓ OK</v>
      </c>
      <c r="AF115" s="33" t="s">
        <v>27</v>
      </c>
      <c r="AG115" s="33" t="s">
        <v>23</v>
      </c>
      <c r="AH115" s="33" t="s">
        <v>1352</v>
      </c>
      <c r="AI115" s="33" t="s">
        <v>25</v>
      </c>
      <c r="AJ115" s="33" t="s">
        <v>1352</v>
      </c>
      <c r="AK115" s="33" t="s">
        <v>24</v>
      </c>
      <c r="AL115" s="27"/>
      <c r="AM115" s="34" t="s">
        <v>25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8" customHeight="1" x14ac:dyDescent="0.3">
      <c r="A116" s="39">
        <v>112</v>
      </c>
      <c r="B116" s="40" t="s">
        <v>5421</v>
      </c>
      <c r="C116" s="41" t="s">
        <v>5422</v>
      </c>
      <c r="D116" s="39" t="s">
        <v>5200</v>
      </c>
      <c r="E116" s="43">
        <v>46125</v>
      </c>
      <c r="F116" s="26" t="s">
        <v>23</v>
      </c>
      <c r="G116" s="44" t="s">
        <v>1352</v>
      </c>
      <c r="H116" s="26" t="s">
        <v>25</v>
      </c>
      <c r="I116" s="44" t="s">
        <v>1352</v>
      </c>
      <c r="J116" s="26" t="s">
        <v>24</v>
      </c>
      <c r="K116" s="27"/>
      <c r="L116" s="28" t="s">
        <v>25</v>
      </c>
      <c r="M116" s="29" t="str">
        <f t="shared" si="5"/>
        <v>✓ OK</v>
      </c>
      <c r="N116" s="43">
        <v>46196</v>
      </c>
      <c r="O116" s="26" t="s">
        <v>23</v>
      </c>
      <c r="P116" s="44" t="s">
        <v>1352</v>
      </c>
      <c r="Q116" s="26" t="s">
        <v>25</v>
      </c>
      <c r="R116" s="44" t="s">
        <v>1352</v>
      </c>
      <c r="S116" s="26" t="s">
        <v>24</v>
      </c>
      <c r="T116" s="27"/>
      <c r="U116" s="28" t="s">
        <v>25</v>
      </c>
      <c r="V116" s="29" t="str">
        <f t="shared" si="6"/>
        <v>✓ OK</v>
      </c>
      <c r="W116" s="45">
        <v>46248</v>
      </c>
      <c r="X116" s="30" t="s">
        <v>23</v>
      </c>
      <c r="Y116" s="30" t="s">
        <v>1352</v>
      </c>
      <c r="Z116" s="30" t="s">
        <v>25</v>
      </c>
      <c r="AA116" s="30" t="s">
        <v>1352</v>
      </c>
      <c r="AB116" s="30" t="s">
        <v>24</v>
      </c>
      <c r="AC116" s="27"/>
      <c r="AD116" s="31" t="s">
        <v>25</v>
      </c>
      <c r="AE116" s="32" t="str">
        <f t="shared" si="7"/>
        <v>✓ OK</v>
      </c>
      <c r="AF116" s="33" t="s">
        <v>27</v>
      </c>
      <c r="AG116" s="33" t="s">
        <v>23</v>
      </c>
      <c r="AH116" s="33" t="s">
        <v>1352</v>
      </c>
      <c r="AI116" s="33" t="s">
        <v>25</v>
      </c>
      <c r="AJ116" s="33" t="s">
        <v>1352</v>
      </c>
      <c r="AK116" s="33" t="s">
        <v>24</v>
      </c>
      <c r="AL116" s="27"/>
      <c r="AM116" s="34" t="s">
        <v>25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8" customHeight="1" x14ac:dyDescent="0.3">
      <c r="A117" s="23">
        <v>113</v>
      </c>
      <c r="B117" s="24" t="s">
        <v>5423</v>
      </c>
      <c r="C117" s="25" t="s">
        <v>5424</v>
      </c>
      <c r="D117" s="23" t="s">
        <v>5200</v>
      </c>
      <c r="E117" s="43">
        <v>46125</v>
      </c>
      <c r="F117" s="26" t="s">
        <v>23</v>
      </c>
      <c r="G117" s="44" t="s">
        <v>1352</v>
      </c>
      <c r="H117" s="26" t="s">
        <v>25</v>
      </c>
      <c r="I117" s="44" t="s">
        <v>1352</v>
      </c>
      <c r="J117" s="26" t="s">
        <v>24</v>
      </c>
      <c r="K117" s="27"/>
      <c r="L117" s="28" t="s">
        <v>25</v>
      </c>
      <c r="M117" s="29" t="str">
        <f t="shared" si="5"/>
        <v>✓ OK</v>
      </c>
      <c r="N117" s="43">
        <v>46196</v>
      </c>
      <c r="O117" s="26" t="s">
        <v>23</v>
      </c>
      <c r="P117" s="44" t="s">
        <v>1352</v>
      </c>
      <c r="Q117" s="26" t="s">
        <v>25</v>
      </c>
      <c r="R117" s="44" t="s">
        <v>1352</v>
      </c>
      <c r="S117" s="26" t="s">
        <v>24</v>
      </c>
      <c r="T117" s="27"/>
      <c r="U117" s="28" t="s">
        <v>25</v>
      </c>
      <c r="V117" s="29" t="str">
        <f t="shared" si="6"/>
        <v>✓ OK</v>
      </c>
      <c r="W117" s="45">
        <v>46248</v>
      </c>
      <c r="X117" s="30" t="s">
        <v>23</v>
      </c>
      <c r="Y117" s="30" t="s">
        <v>1352</v>
      </c>
      <c r="Z117" s="30" t="s">
        <v>25</v>
      </c>
      <c r="AA117" s="30" t="s">
        <v>1352</v>
      </c>
      <c r="AB117" s="30" t="s">
        <v>24</v>
      </c>
      <c r="AC117" s="27"/>
      <c r="AD117" s="31" t="s">
        <v>25</v>
      </c>
      <c r="AE117" s="32" t="str">
        <f t="shared" si="7"/>
        <v>✓ OK</v>
      </c>
      <c r="AF117" s="33" t="s">
        <v>27</v>
      </c>
      <c r="AG117" s="33" t="s">
        <v>23</v>
      </c>
      <c r="AH117" s="33" t="s">
        <v>1352</v>
      </c>
      <c r="AI117" s="33" t="s">
        <v>25</v>
      </c>
      <c r="AJ117" s="33" t="s">
        <v>1352</v>
      </c>
      <c r="AK117" s="33" t="s">
        <v>24</v>
      </c>
      <c r="AL117" s="27"/>
      <c r="AM117" s="34" t="s">
        <v>25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8" customHeight="1" x14ac:dyDescent="0.3">
      <c r="A118" s="39">
        <v>114</v>
      </c>
      <c r="B118" s="40" t="s">
        <v>5425</v>
      </c>
      <c r="C118" s="41" t="s">
        <v>5426</v>
      </c>
      <c r="D118" s="39" t="s">
        <v>5200</v>
      </c>
      <c r="E118" s="43">
        <v>46125</v>
      </c>
      <c r="F118" s="26" t="s">
        <v>23</v>
      </c>
      <c r="G118" s="44" t="s">
        <v>1352</v>
      </c>
      <c r="H118" s="26" t="s">
        <v>25</v>
      </c>
      <c r="I118" s="44" t="s">
        <v>1352</v>
      </c>
      <c r="J118" s="26" t="s">
        <v>24</v>
      </c>
      <c r="K118" s="27"/>
      <c r="L118" s="28" t="s">
        <v>25</v>
      </c>
      <c r="M118" s="29" t="str">
        <f t="shared" si="5"/>
        <v>✓ OK</v>
      </c>
      <c r="N118" s="43">
        <v>46196</v>
      </c>
      <c r="O118" s="26" t="s">
        <v>23</v>
      </c>
      <c r="P118" s="44" t="s">
        <v>1352</v>
      </c>
      <c r="Q118" s="26" t="s">
        <v>25</v>
      </c>
      <c r="R118" s="44" t="s">
        <v>1352</v>
      </c>
      <c r="S118" s="26" t="s">
        <v>24</v>
      </c>
      <c r="T118" s="27"/>
      <c r="U118" s="28" t="s">
        <v>25</v>
      </c>
      <c r="V118" s="29" t="str">
        <f t="shared" si="6"/>
        <v>✓ OK</v>
      </c>
      <c r="W118" s="45">
        <v>46248</v>
      </c>
      <c r="X118" s="30" t="s">
        <v>23</v>
      </c>
      <c r="Y118" s="30" t="s">
        <v>1352</v>
      </c>
      <c r="Z118" s="30" t="s">
        <v>25</v>
      </c>
      <c r="AA118" s="30" t="s">
        <v>1352</v>
      </c>
      <c r="AB118" s="30" t="s">
        <v>24</v>
      </c>
      <c r="AC118" s="27"/>
      <c r="AD118" s="31" t="s">
        <v>25</v>
      </c>
      <c r="AE118" s="32" t="str">
        <f t="shared" si="7"/>
        <v>✓ OK</v>
      </c>
      <c r="AF118" s="33" t="s">
        <v>27</v>
      </c>
      <c r="AG118" s="33" t="s">
        <v>23</v>
      </c>
      <c r="AH118" s="33" t="s">
        <v>1352</v>
      </c>
      <c r="AI118" s="33" t="s">
        <v>25</v>
      </c>
      <c r="AJ118" s="33" t="s">
        <v>1352</v>
      </c>
      <c r="AK118" s="33" t="s">
        <v>24</v>
      </c>
      <c r="AL118" s="27"/>
      <c r="AM118" s="34" t="s">
        <v>25</v>
      </c>
      <c r="AN118" s="35" t="str">
        <f t="shared" si="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8" customHeight="1" x14ac:dyDescent="0.3">
      <c r="A119" s="23">
        <v>115</v>
      </c>
      <c r="B119" s="24" t="s">
        <v>5427</v>
      </c>
      <c r="C119" s="25" t="s">
        <v>5428</v>
      </c>
      <c r="D119" s="23" t="s">
        <v>5200</v>
      </c>
      <c r="E119" s="43">
        <v>46125</v>
      </c>
      <c r="F119" s="26" t="s">
        <v>23</v>
      </c>
      <c r="G119" s="44" t="s">
        <v>1352</v>
      </c>
      <c r="H119" s="26" t="s">
        <v>25</v>
      </c>
      <c r="I119" s="44" t="s">
        <v>1352</v>
      </c>
      <c r="J119" s="26" t="s">
        <v>24</v>
      </c>
      <c r="K119" s="27"/>
      <c r="L119" s="28" t="s">
        <v>25</v>
      </c>
      <c r="M119" s="29" t="str">
        <f t="shared" si="5"/>
        <v>✓ OK</v>
      </c>
      <c r="N119" s="43">
        <v>46196</v>
      </c>
      <c r="O119" s="26" t="s">
        <v>23</v>
      </c>
      <c r="P119" s="44" t="s">
        <v>1352</v>
      </c>
      <c r="Q119" s="26" t="s">
        <v>25</v>
      </c>
      <c r="R119" s="44" t="s">
        <v>1352</v>
      </c>
      <c r="S119" s="26" t="s">
        <v>24</v>
      </c>
      <c r="T119" s="27"/>
      <c r="U119" s="28" t="s">
        <v>25</v>
      </c>
      <c r="V119" s="29" t="str">
        <f t="shared" si="6"/>
        <v>✓ OK</v>
      </c>
      <c r="W119" s="45">
        <v>46248</v>
      </c>
      <c r="X119" s="30" t="s">
        <v>23</v>
      </c>
      <c r="Y119" s="30" t="s">
        <v>1352</v>
      </c>
      <c r="Z119" s="30" t="s">
        <v>25</v>
      </c>
      <c r="AA119" s="30" t="s">
        <v>1352</v>
      </c>
      <c r="AB119" s="30" t="s">
        <v>24</v>
      </c>
      <c r="AC119" s="27"/>
      <c r="AD119" s="31" t="s">
        <v>25</v>
      </c>
      <c r="AE119" s="32" t="str">
        <f t="shared" si="7"/>
        <v>✓ OK</v>
      </c>
      <c r="AF119" s="33" t="s">
        <v>27</v>
      </c>
      <c r="AG119" s="33" t="s">
        <v>23</v>
      </c>
      <c r="AH119" s="33" t="s">
        <v>1352</v>
      </c>
      <c r="AI119" s="33" t="s">
        <v>25</v>
      </c>
      <c r="AJ119" s="33" t="s">
        <v>1352</v>
      </c>
      <c r="AK119" s="33" t="s">
        <v>24</v>
      </c>
      <c r="AL119" s="27"/>
      <c r="AM119" s="34" t="s">
        <v>25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8" customHeight="1" x14ac:dyDescent="0.3">
      <c r="A120" s="39">
        <v>116</v>
      </c>
      <c r="B120" s="40" t="s">
        <v>5429</v>
      </c>
      <c r="C120" s="41" t="s">
        <v>5430</v>
      </c>
      <c r="D120" s="39" t="s">
        <v>5200</v>
      </c>
      <c r="E120" s="43">
        <v>46125</v>
      </c>
      <c r="F120" s="26" t="s">
        <v>23</v>
      </c>
      <c r="G120" s="44" t="s">
        <v>1352</v>
      </c>
      <c r="H120" s="26" t="s">
        <v>25</v>
      </c>
      <c r="I120" s="44" t="s">
        <v>1352</v>
      </c>
      <c r="J120" s="26" t="s">
        <v>24</v>
      </c>
      <c r="K120" s="27"/>
      <c r="L120" s="28" t="s">
        <v>25</v>
      </c>
      <c r="M120" s="29" t="str">
        <f t="shared" si="5"/>
        <v>✓ OK</v>
      </c>
      <c r="N120" s="43">
        <v>46196</v>
      </c>
      <c r="O120" s="26" t="s">
        <v>23</v>
      </c>
      <c r="P120" s="44" t="s">
        <v>1352</v>
      </c>
      <c r="Q120" s="26" t="s">
        <v>25</v>
      </c>
      <c r="R120" s="44" t="s">
        <v>1352</v>
      </c>
      <c r="S120" s="26" t="s">
        <v>24</v>
      </c>
      <c r="T120" s="27"/>
      <c r="U120" s="28" t="s">
        <v>25</v>
      </c>
      <c r="V120" s="29" t="str">
        <f t="shared" si="6"/>
        <v>✓ OK</v>
      </c>
      <c r="W120" s="45">
        <v>46248</v>
      </c>
      <c r="X120" s="30" t="s">
        <v>23</v>
      </c>
      <c r="Y120" s="30" t="s">
        <v>1352</v>
      </c>
      <c r="Z120" s="30" t="s">
        <v>25</v>
      </c>
      <c r="AA120" s="30" t="s">
        <v>1352</v>
      </c>
      <c r="AB120" s="30" t="s">
        <v>24</v>
      </c>
      <c r="AC120" s="27"/>
      <c r="AD120" s="31" t="s">
        <v>25</v>
      </c>
      <c r="AE120" s="32" t="str">
        <f t="shared" si="7"/>
        <v>✓ OK</v>
      </c>
      <c r="AF120" s="33" t="s">
        <v>27</v>
      </c>
      <c r="AG120" s="33" t="s">
        <v>23</v>
      </c>
      <c r="AH120" s="33" t="s">
        <v>1352</v>
      </c>
      <c r="AI120" s="33" t="s">
        <v>25</v>
      </c>
      <c r="AJ120" s="33" t="s">
        <v>1352</v>
      </c>
      <c r="AK120" s="33" t="s">
        <v>24</v>
      </c>
      <c r="AL120" s="27"/>
      <c r="AM120" s="34" t="s">
        <v>25</v>
      </c>
      <c r="AN120" s="35" t="str">
        <f t="shared" si="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8" customHeight="1" x14ac:dyDescent="0.3">
      <c r="A121" s="23">
        <v>117</v>
      </c>
      <c r="B121" s="24" t="s">
        <v>5431</v>
      </c>
      <c r="C121" s="25" t="s">
        <v>5432</v>
      </c>
      <c r="D121" s="23" t="s">
        <v>5200</v>
      </c>
      <c r="E121" s="43">
        <v>46125</v>
      </c>
      <c r="F121" s="26" t="s">
        <v>23</v>
      </c>
      <c r="G121" s="44" t="s">
        <v>1352</v>
      </c>
      <c r="H121" s="26" t="s">
        <v>25</v>
      </c>
      <c r="I121" s="44" t="s">
        <v>1352</v>
      </c>
      <c r="J121" s="26" t="s">
        <v>24</v>
      </c>
      <c r="K121" s="27"/>
      <c r="L121" s="28" t="s">
        <v>25</v>
      </c>
      <c r="M121" s="29" t="str">
        <f t="shared" si="5"/>
        <v>✓ OK</v>
      </c>
      <c r="N121" s="43">
        <v>46196</v>
      </c>
      <c r="O121" s="26" t="s">
        <v>23</v>
      </c>
      <c r="P121" s="44" t="s">
        <v>1352</v>
      </c>
      <c r="Q121" s="26" t="s">
        <v>25</v>
      </c>
      <c r="R121" s="44" t="s">
        <v>1352</v>
      </c>
      <c r="S121" s="26" t="s">
        <v>24</v>
      </c>
      <c r="T121" s="27"/>
      <c r="U121" s="28" t="s">
        <v>25</v>
      </c>
      <c r="V121" s="29" t="str">
        <f t="shared" si="6"/>
        <v>✓ OK</v>
      </c>
      <c r="W121" s="45">
        <v>46248</v>
      </c>
      <c r="X121" s="30" t="s">
        <v>23</v>
      </c>
      <c r="Y121" s="30" t="s">
        <v>1352</v>
      </c>
      <c r="Z121" s="30" t="s">
        <v>25</v>
      </c>
      <c r="AA121" s="30" t="s">
        <v>1352</v>
      </c>
      <c r="AB121" s="30" t="s">
        <v>24</v>
      </c>
      <c r="AC121" s="27"/>
      <c r="AD121" s="31" t="s">
        <v>25</v>
      </c>
      <c r="AE121" s="32" t="str">
        <f t="shared" si="7"/>
        <v>✓ OK</v>
      </c>
      <c r="AF121" s="33" t="s">
        <v>27</v>
      </c>
      <c r="AG121" s="33" t="s">
        <v>23</v>
      </c>
      <c r="AH121" s="33" t="s">
        <v>1352</v>
      </c>
      <c r="AI121" s="33" t="s">
        <v>25</v>
      </c>
      <c r="AJ121" s="33" t="s">
        <v>1352</v>
      </c>
      <c r="AK121" s="33" t="s">
        <v>24</v>
      </c>
      <c r="AL121" s="27"/>
      <c r="AM121" s="34" t="s">
        <v>25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8" customHeight="1" x14ac:dyDescent="0.3">
      <c r="A122" s="39">
        <v>118</v>
      </c>
      <c r="B122" s="40" t="s">
        <v>5433</v>
      </c>
      <c r="C122" s="41" t="s">
        <v>5434</v>
      </c>
      <c r="D122" s="39" t="s">
        <v>5200</v>
      </c>
      <c r="E122" s="43">
        <v>46125</v>
      </c>
      <c r="F122" s="26" t="s">
        <v>23</v>
      </c>
      <c r="G122" s="44" t="s">
        <v>1352</v>
      </c>
      <c r="H122" s="26" t="s">
        <v>25</v>
      </c>
      <c r="I122" s="44" t="s">
        <v>1352</v>
      </c>
      <c r="J122" s="26" t="s">
        <v>24</v>
      </c>
      <c r="K122" s="27"/>
      <c r="L122" s="28" t="s">
        <v>25</v>
      </c>
      <c r="M122" s="29" t="str">
        <f t="shared" si="5"/>
        <v>✓ OK</v>
      </c>
      <c r="N122" s="43">
        <v>46196</v>
      </c>
      <c r="O122" s="26" t="s">
        <v>23</v>
      </c>
      <c r="P122" s="44" t="s">
        <v>1352</v>
      </c>
      <c r="Q122" s="26" t="s">
        <v>25</v>
      </c>
      <c r="R122" s="44" t="s">
        <v>1352</v>
      </c>
      <c r="S122" s="26" t="s">
        <v>24</v>
      </c>
      <c r="T122" s="27"/>
      <c r="U122" s="28" t="s">
        <v>25</v>
      </c>
      <c r="V122" s="29" t="str">
        <f t="shared" si="6"/>
        <v>✓ OK</v>
      </c>
      <c r="W122" s="45">
        <v>46248</v>
      </c>
      <c r="X122" s="30" t="s">
        <v>23</v>
      </c>
      <c r="Y122" s="30" t="s">
        <v>1352</v>
      </c>
      <c r="Z122" s="30" t="s">
        <v>25</v>
      </c>
      <c r="AA122" s="30" t="s">
        <v>1352</v>
      </c>
      <c r="AB122" s="30" t="s">
        <v>24</v>
      </c>
      <c r="AC122" s="27"/>
      <c r="AD122" s="31" t="s">
        <v>25</v>
      </c>
      <c r="AE122" s="32" t="str">
        <f t="shared" si="7"/>
        <v>✓ OK</v>
      </c>
      <c r="AF122" s="33" t="s">
        <v>27</v>
      </c>
      <c r="AG122" s="33" t="s">
        <v>23</v>
      </c>
      <c r="AH122" s="33" t="s">
        <v>1352</v>
      </c>
      <c r="AI122" s="33" t="s">
        <v>25</v>
      </c>
      <c r="AJ122" s="33" t="s">
        <v>1352</v>
      </c>
      <c r="AK122" s="33" t="s">
        <v>24</v>
      </c>
      <c r="AL122" s="27"/>
      <c r="AM122" s="34" t="s">
        <v>25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8" customHeight="1" x14ac:dyDescent="0.3">
      <c r="A123" s="23">
        <v>119</v>
      </c>
      <c r="B123" s="24" t="s">
        <v>5435</v>
      </c>
      <c r="C123" s="25" t="s">
        <v>5436</v>
      </c>
      <c r="D123" s="23" t="s">
        <v>5200</v>
      </c>
      <c r="E123" s="43">
        <v>46125</v>
      </c>
      <c r="F123" s="26" t="s">
        <v>23</v>
      </c>
      <c r="G123" s="44" t="s">
        <v>1352</v>
      </c>
      <c r="H123" s="26" t="s">
        <v>25</v>
      </c>
      <c r="I123" s="44" t="s">
        <v>1352</v>
      </c>
      <c r="J123" s="26" t="s">
        <v>24</v>
      </c>
      <c r="K123" s="27"/>
      <c r="L123" s="28" t="s">
        <v>25</v>
      </c>
      <c r="M123" s="29" t="str">
        <f t="shared" si="5"/>
        <v>✓ OK</v>
      </c>
      <c r="N123" s="43">
        <v>46196</v>
      </c>
      <c r="O123" s="26" t="s">
        <v>23</v>
      </c>
      <c r="P123" s="44" t="s">
        <v>1352</v>
      </c>
      <c r="Q123" s="26" t="s">
        <v>25</v>
      </c>
      <c r="R123" s="44" t="s">
        <v>1352</v>
      </c>
      <c r="S123" s="26" t="s">
        <v>24</v>
      </c>
      <c r="T123" s="27"/>
      <c r="U123" s="28" t="s">
        <v>25</v>
      </c>
      <c r="V123" s="29" t="str">
        <f t="shared" si="6"/>
        <v>✓ OK</v>
      </c>
      <c r="W123" s="45">
        <v>46248</v>
      </c>
      <c r="X123" s="30" t="s">
        <v>23</v>
      </c>
      <c r="Y123" s="30" t="s">
        <v>1352</v>
      </c>
      <c r="Z123" s="30" t="s">
        <v>25</v>
      </c>
      <c r="AA123" s="30" t="s">
        <v>1352</v>
      </c>
      <c r="AB123" s="30" t="s">
        <v>24</v>
      </c>
      <c r="AC123" s="27"/>
      <c r="AD123" s="31" t="s">
        <v>25</v>
      </c>
      <c r="AE123" s="32" t="str">
        <f t="shared" si="7"/>
        <v>✓ OK</v>
      </c>
      <c r="AF123" s="33" t="s">
        <v>27</v>
      </c>
      <c r="AG123" s="33" t="s">
        <v>23</v>
      </c>
      <c r="AH123" s="33" t="s">
        <v>1352</v>
      </c>
      <c r="AI123" s="33" t="s">
        <v>25</v>
      </c>
      <c r="AJ123" s="33" t="s">
        <v>1352</v>
      </c>
      <c r="AK123" s="33" t="s">
        <v>24</v>
      </c>
      <c r="AL123" s="27"/>
      <c r="AM123" s="34" t="s">
        <v>25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8" customHeight="1" x14ac:dyDescent="0.3">
      <c r="A124" s="39">
        <v>120</v>
      </c>
      <c r="B124" s="40" t="s">
        <v>5437</v>
      </c>
      <c r="C124" s="41" t="s">
        <v>5438</v>
      </c>
      <c r="D124" s="39" t="s">
        <v>5200</v>
      </c>
      <c r="E124" s="43">
        <v>46125</v>
      </c>
      <c r="F124" s="26" t="s">
        <v>23</v>
      </c>
      <c r="G124" s="44" t="s">
        <v>1352</v>
      </c>
      <c r="H124" s="26" t="s">
        <v>25</v>
      </c>
      <c r="I124" s="44" t="s">
        <v>1352</v>
      </c>
      <c r="J124" s="26" t="s">
        <v>24</v>
      </c>
      <c r="K124" s="27"/>
      <c r="L124" s="28" t="s">
        <v>25</v>
      </c>
      <c r="M124" s="29" t="str">
        <f t="shared" si="5"/>
        <v>✓ OK</v>
      </c>
      <c r="N124" s="43">
        <v>46196</v>
      </c>
      <c r="O124" s="26" t="s">
        <v>23</v>
      </c>
      <c r="P124" s="44" t="s">
        <v>1352</v>
      </c>
      <c r="Q124" s="26" t="s">
        <v>25</v>
      </c>
      <c r="R124" s="44" t="s">
        <v>1352</v>
      </c>
      <c r="S124" s="26" t="s">
        <v>24</v>
      </c>
      <c r="T124" s="27"/>
      <c r="U124" s="28" t="s">
        <v>25</v>
      </c>
      <c r="V124" s="29" t="str">
        <f t="shared" si="6"/>
        <v>✓ OK</v>
      </c>
      <c r="W124" s="45">
        <v>46248</v>
      </c>
      <c r="X124" s="30" t="s">
        <v>23</v>
      </c>
      <c r="Y124" s="30" t="s">
        <v>1352</v>
      </c>
      <c r="Z124" s="30" t="s">
        <v>25</v>
      </c>
      <c r="AA124" s="30" t="s">
        <v>1352</v>
      </c>
      <c r="AB124" s="30" t="s">
        <v>24</v>
      </c>
      <c r="AC124" s="27"/>
      <c r="AD124" s="31" t="s">
        <v>25</v>
      </c>
      <c r="AE124" s="32" t="str">
        <f t="shared" si="7"/>
        <v>✓ OK</v>
      </c>
      <c r="AF124" s="33" t="s">
        <v>27</v>
      </c>
      <c r="AG124" s="33" t="s">
        <v>23</v>
      </c>
      <c r="AH124" s="33" t="s">
        <v>1352</v>
      </c>
      <c r="AI124" s="33" t="s">
        <v>25</v>
      </c>
      <c r="AJ124" s="33" t="s">
        <v>1352</v>
      </c>
      <c r="AK124" s="33" t="s">
        <v>24</v>
      </c>
      <c r="AL124" s="27"/>
      <c r="AM124" s="34" t="s">
        <v>25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8" customHeight="1" x14ac:dyDescent="0.3">
      <c r="A125" s="23">
        <v>121</v>
      </c>
      <c r="B125" s="24" t="s">
        <v>5439</v>
      </c>
      <c r="C125" s="25" t="s">
        <v>5440</v>
      </c>
      <c r="D125" s="23" t="s">
        <v>5200</v>
      </c>
      <c r="E125" s="43">
        <v>46125</v>
      </c>
      <c r="F125" s="26" t="s">
        <v>23</v>
      </c>
      <c r="G125" s="44" t="s">
        <v>1352</v>
      </c>
      <c r="H125" s="26" t="s">
        <v>25</v>
      </c>
      <c r="I125" s="44" t="s">
        <v>1352</v>
      </c>
      <c r="J125" s="26" t="s">
        <v>24</v>
      </c>
      <c r="K125" s="27"/>
      <c r="L125" s="28" t="s">
        <v>25</v>
      </c>
      <c r="M125" s="29" t="str">
        <f t="shared" si="5"/>
        <v>✓ OK</v>
      </c>
      <c r="N125" s="43">
        <v>46196</v>
      </c>
      <c r="O125" s="26" t="s">
        <v>23</v>
      </c>
      <c r="P125" s="44" t="s">
        <v>1352</v>
      </c>
      <c r="Q125" s="26" t="s">
        <v>25</v>
      </c>
      <c r="R125" s="44" t="s">
        <v>1352</v>
      </c>
      <c r="S125" s="26" t="s">
        <v>24</v>
      </c>
      <c r="T125" s="27"/>
      <c r="U125" s="28" t="s">
        <v>25</v>
      </c>
      <c r="V125" s="29" t="str">
        <f t="shared" si="6"/>
        <v>✓ OK</v>
      </c>
      <c r="W125" s="45">
        <v>46248</v>
      </c>
      <c r="X125" s="30" t="s">
        <v>23</v>
      </c>
      <c r="Y125" s="30" t="s">
        <v>1352</v>
      </c>
      <c r="Z125" s="30" t="s">
        <v>25</v>
      </c>
      <c r="AA125" s="30" t="s">
        <v>1352</v>
      </c>
      <c r="AB125" s="30" t="s">
        <v>24</v>
      </c>
      <c r="AC125" s="27"/>
      <c r="AD125" s="31" t="s">
        <v>25</v>
      </c>
      <c r="AE125" s="32" t="str">
        <f t="shared" si="7"/>
        <v>✓ OK</v>
      </c>
      <c r="AF125" s="33" t="s">
        <v>27</v>
      </c>
      <c r="AG125" s="33" t="s">
        <v>23</v>
      </c>
      <c r="AH125" s="33" t="s">
        <v>1352</v>
      </c>
      <c r="AI125" s="33" t="s">
        <v>25</v>
      </c>
      <c r="AJ125" s="33" t="s">
        <v>1352</v>
      </c>
      <c r="AK125" s="33" t="s">
        <v>24</v>
      </c>
      <c r="AL125" s="27"/>
      <c r="AM125" s="34" t="s">
        <v>25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8" customHeight="1" x14ac:dyDescent="0.3">
      <c r="A126" s="39">
        <v>122</v>
      </c>
      <c r="B126" s="40" t="s">
        <v>5441</v>
      </c>
      <c r="C126" s="41" t="s">
        <v>5442</v>
      </c>
      <c r="D126" s="39" t="s">
        <v>5200</v>
      </c>
      <c r="E126" s="43">
        <v>46125</v>
      </c>
      <c r="F126" s="26" t="s">
        <v>23</v>
      </c>
      <c r="G126" s="44" t="s">
        <v>24</v>
      </c>
      <c r="H126" s="26" t="s">
        <v>25</v>
      </c>
      <c r="I126" s="44" t="s">
        <v>26</v>
      </c>
      <c r="J126" s="26" t="s">
        <v>24</v>
      </c>
      <c r="K126" s="27"/>
      <c r="L126" s="28" t="s">
        <v>25</v>
      </c>
      <c r="M126" s="29" t="str">
        <f t="shared" si="5"/>
        <v>✓ OK</v>
      </c>
      <c r="N126" s="43">
        <v>46196</v>
      </c>
      <c r="O126" s="26" t="s">
        <v>23</v>
      </c>
      <c r="P126" s="44" t="s">
        <v>24</v>
      </c>
      <c r="Q126" s="26" t="s">
        <v>25</v>
      </c>
      <c r="R126" s="44" t="s">
        <v>26</v>
      </c>
      <c r="S126" s="26" t="s">
        <v>24</v>
      </c>
      <c r="T126" s="27"/>
      <c r="U126" s="28" t="s">
        <v>25</v>
      </c>
      <c r="V126" s="29" t="str">
        <f t="shared" si="6"/>
        <v>✓ OK</v>
      </c>
      <c r="W126" s="45">
        <v>46248</v>
      </c>
      <c r="X126" s="30" t="s">
        <v>23</v>
      </c>
      <c r="Y126" s="30" t="s">
        <v>24</v>
      </c>
      <c r="Z126" s="30" t="s">
        <v>25</v>
      </c>
      <c r="AA126" s="30" t="s">
        <v>26</v>
      </c>
      <c r="AB126" s="30" t="s">
        <v>24</v>
      </c>
      <c r="AC126" s="27"/>
      <c r="AD126" s="31" t="s">
        <v>25</v>
      </c>
      <c r="AE126" s="32" t="str">
        <f t="shared" si="7"/>
        <v>✓ OK</v>
      </c>
      <c r="AF126" s="33" t="s">
        <v>27</v>
      </c>
      <c r="AG126" s="33" t="s">
        <v>23</v>
      </c>
      <c r="AH126" s="33" t="s">
        <v>24</v>
      </c>
      <c r="AI126" s="33" t="s">
        <v>25</v>
      </c>
      <c r="AJ126" s="33" t="s">
        <v>26</v>
      </c>
      <c r="AK126" s="33" t="s">
        <v>24</v>
      </c>
      <c r="AL126" s="27"/>
      <c r="AM126" s="34" t="s">
        <v>25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8" customHeight="1" x14ac:dyDescent="0.3">
      <c r="A127" s="23">
        <v>123</v>
      </c>
      <c r="B127" s="24" t="s">
        <v>5443</v>
      </c>
      <c r="C127" s="25" t="s">
        <v>5444</v>
      </c>
      <c r="D127" s="23" t="s">
        <v>5200</v>
      </c>
      <c r="E127" s="43">
        <v>46125</v>
      </c>
      <c r="F127" s="26" t="s">
        <v>23</v>
      </c>
      <c r="G127" s="44" t="s">
        <v>1352</v>
      </c>
      <c r="H127" s="26" t="s">
        <v>25</v>
      </c>
      <c r="I127" s="44" t="s">
        <v>1352</v>
      </c>
      <c r="J127" s="26" t="s">
        <v>24</v>
      </c>
      <c r="K127" s="27"/>
      <c r="L127" s="28" t="s">
        <v>25</v>
      </c>
      <c r="M127" s="29" t="str">
        <f t="shared" si="5"/>
        <v>✓ OK</v>
      </c>
      <c r="N127" s="43">
        <v>46196</v>
      </c>
      <c r="O127" s="26" t="s">
        <v>23</v>
      </c>
      <c r="P127" s="44" t="s">
        <v>1352</v>
      </c>
      <c r="Q127" s="26" t="s">
        <v>25</v>
      </c>
      <c r="R127" s="44" t="s">
        <v>1352</v>
      </c>
      <c r="S127" s="26" t="s">
        <v>24</v>
      </c>
      <c r="T127" s="27"/>
      <c r="U127" s="28" t="s">
        <v>25</v>
      </c>
      <c r="V127" s="29" t="str">
        <f t="shared" si="6"/>
        <v>✓ OK</v>
      </c>
      <c r="W127" s="45">
        <v>46248</v>
      </c>
      <c r="X127" s="30" t="s">
        <v>23</v>
      </c>
      <c r="Y127" s="30" t="s">
        <v>1352</v>
      </c>
      <c r="Z127" s="30" t="s">
        <v>25</v>
      </c>
      <c r="AA127" s="30" t="s">
        <v>1352</v>
      </c>
      <c r="AB127" s="30" t="s">
        <v>24</v>
      </c>
      <c r="AC127" s="27"/>
      <c r="AD127" s="31" t="s">
        <v>25</v>
      </c>
      <c r="AE127" s="32" t="str">
        <f t="shared" si="7"/>
        <v>✓ OK</v>
      </c>
      <c r="AF127" s="33" t="s">
        <v>27</v>
      </c>
      <c r="AG127" s="33" t="s">
        <v>23</v>
      </c>
      <c r="AH127" s="33" t="s">
        <v>1352</v>
      </c>
      <c r="AI127" s="33" t="s">
        <v>25</v>
      </c>
      <c r="AJ127" s="33" t="s">
        <v>1352</v>
      </c>
      <c r="AK127" s="33" t="s">
        <v>24</v>
      </c>
      <c r="AL127" s="27"/>
      <c r="AM127" s="34" t="s">
        <v>25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8" customHeight="1" x14ac:dyDescent="0.3">
      <c r="A128" s="39">
        <v>124</v>
      </c>
      <c r="B128" s="40" t="s">
        <v>5445</v>
      </c>
      <c r="C128" s="41" t="s">
        <v>5446</v>
      </c>
      <c r="D128" s="39" t="s">
        <v>5200</v>
      </c>
      <c r="E128" s="43">
        <v>46125</v>
      </c>
      <c r="F128" s="26" t="s">
        <v>23</v>
      </c>
      <c r="G128" s="44" t="s">
        <v>24</v>
      </c>
      <c r="H128" s="26" t="s">
        <v>25</v>
      </c>
      <c r="I128" s="44" t="s">
        <v>26</v>
      </c>
      <c r="J128" s="26" t="s">
        <v>24</v>
      </c>
      <c r="K128" s="27"/>
      <c r="L128" s="28" t="s">
        <v>25</v>
      </c>
      <c r="M128" s="29" t="str">
        <f t="shared" si="5"/>
        <v>✓ OK</v>
      </c>
      <c r="N128" s="43">
        <v>46196</v>
      </c>
      <c r="O128" s="26" t="s">
        <v>23</v>
      </c>
      <c r="P128" s="44" t="s">
        <v>24</v>
      </c>
      <c r="Q128" s="26" t="s">
        <v>25</v>
      </c>
      <c r="R128" s="44" t="s">
        <v>26</v>
      </c>
      <c r="S128" s="26" t="s">
        <v>24</v>
      </c>
      <c r="T128" s="27"/>
      <c r="U128" s="28" t="s">
        <v>25</v>
      </c>
      <c r="V128" s="29" t="str">
        <f t="shared" si="6"/>
        <v>✓ OK</v>
      </c>
      <c r="W128" s="45">
        <v>46248</v>
      </c>
      <c r="X128" s="30" t="s">
        <v>23</v>
      </c>
      <c r="Y128" s="30" t="s">
        <v>24</v>
      </c>
      <c r="Z128" s="30" t="s">
        <v>25</v>
      </c>
      <c r="AA128" s="30" t="s">
        <v>26</v>
      </c>
      <c r="AB128" s="30" t="s">
        <v>24</v>
      </c>
      <c r="AC128" s="27"/>
      <c r="AD128" s="31" t="s">
        <v>25</v>
      </c>
      <c r="AE128" s="32" t="str">
        <f t="shared" si="7"/>
        <v>✓ OK</v>
      </c>
      <c r="AF128" s="33" t="s">
        <v>27</v>
      </c>
      <c r="AG128" s="33" t="s">
        <v>23</v>
      </c>
      <c r="AH128" s="33" t="s">
        <v>24</v>
      </c>
      <c r="AI128" s="33" t="s">
        <v>25</v>
      </c>
      <c r="AJ128" s="33" t="s">
        <v>26</v>
      </c>
      <c r="AK128" s="33" t="s">
        <v>24</v>
      </c>
      <c r="AL128" s="27"/>
      <c r="AM128" s="34" t="s">
        <v>25</v>
      </c>
      <c r="AN128" s="35" t="str">
        <f t="shared" si="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8" customHeight="1" x14ac:dyDescent="0.3">
      <c r="A129" s="23">
        <v>125</v>
      </c>
      <c r="B129" s="24" t="s">
        <v>5447</v>
      </c>
      <c r="C129" s="25" t="s">
        <v>5448</v>
      </c>
      <c r="D129" s="23" t="s">
        <v>5200</v>
      </c>
      <c r="E129" s="43">
        <v>46125</v>
      </c>
      <c r="F129" s="26" t="s">
        <v>23</v>
      </c>
      <c r="G129" s="44" t="s">
        <v>1352</v>
      </c>
      <c r="H129" s="26" t="s">
        <v>25</v>
      </c>
      <c r="I129" s="44" t="s">
        <v>1352</v>
      </c>
      <c r="J129" s="26" t="s">
        <v>24</v>
      </c>
      <c r="K129" s="27"/>
      <c r="L129" s="28" t="s">
        <v>25</v>
      </c>
      <c r="M129" s="29" t="str">
        <f t="shared" si="5"/>
        <v>✓ OK</v>
      </c>
      <c r="N129" s="43">
        <v>46196</v>
      </c>
      <c r="O129" s="26" t="s">
        <v>23</v>
      </c>
      <c r="P129" s="44" t="s">
        <v>1352</v>
      </c>
      <c r="Q129" s="26" t="s">
        <v>25</v>
      </c>
      <c r="R129" s="44" t="s">
        <v>1352</v>
      </c>
      <c r="S129" s="26" t="s">
        <v>24</v>
      </c>
      <c r="T129" s="27"/>
      <c r="U129" s="28" t="s">
        <v>25</v>
      </c>
      <c r="V129" s="29" t="str">
        <f t="shared" si="6"/>
        <v>✓ OK</v>
      </c>
      <c r="W129" s="45">
        <v>46248</v>
      </c>
      <c r="X129" s="30" t="s">
        <v>23</v>
      </c>
      <c r="Y129" s="30" t="s">
        <v>1352</v>
      </c>
      <c r="Z129" s="30" t="s">
        <v>25</v>
      </c>
      <c r="AA129" s="30" t="s">
        <v>1352</v>
      </c>
      <c r="AB129" s="30" t="s">
        <v>24</v>
      </c>
      <c r="AC129" s="27"/>
      <c r="AD129" s="31" t="s">
        <v>25</v>
      </c>
      <c r="AE129" s="32" t="str">
        <f t="shared" si="7"/>
        <v>✓ OK</v>
      </c>
      <c r="AF129" s="33" t="s">
        <v>27</v>
      </c>
      <c r="AG129" s="33" t="s">
        <v>23</v>
      </c>
      <c r="AH129" s="33" t="s">
        <v>1352</v>
      </c>
      <c r="AI129" s="33" t="s">
        <v>25</v>
      </c>
      <c r="AJ129" s="33" t="s">
        <v>1352</v>
      </c>
      <c r="AK129" s="33" t="s">
        <v>24</v>
      </c>
      <c r="AL129" s="27"/>
      <c r="AM129" s="34" t="s">
        <v>25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8" customHeight="1" x14ac:dyDescent="0.3">
      <c r="A130" s="39">
        <v>126</v>
      </c>
      <c r="B130" s="40" t="s">
        <v>5449</v>
      </c>
      <c r="C130" s="41" t="s">
        <v>5450</v>
      </c>
      <c r="D130" s="39" t="s">
        <v>5200</v>
      </c>
      <c r="E130" s="43">
        <v>46125</v>
      </c>
      <c r="F130" s="26" t="s">
        <v>23</v>
      </c>
      <c r="G130" s="44" t="s">
        <v>24</v>
      </c>
      <c r="H130" s="26" t="s">
        <v>25</v>
      </c>
      <c r="I130" s="44" t="s">
        <v>26</v>
      </c>
      <c r="J130" s="26" t="s">
        <v>24</v>
      </c>
      <c r="K130" s="27"/>
      <c r="L130" s="28" t="s">
        <v>25</v>
      </c>
      <c r="M130" s="29" t="str">
        <f t="shared" si="5"/>
        <v>✓ OK</v>
      </c>
      <c r="N130" s="43">
        <v>46196</v>
      </c>
      <c r="O130" s="26" t="s">
        <v>23</v>
      </c>
      <c r="P130" s="44" t="s">
        <v>24</v>
      </c>
      <c r="Q130" s="26" t="s">
        <v>25</v>
      </c>
      <c r="R130" s="44" t="s">
        <v>26</v>
      </c>
      <c r="S130" s="26" t="s">
        <v>24</v>
      </c>
      <c r="T130" s="27"/>
      <c r="U130" s="28" t="s">
        <v>25</v>
      </c>
      <c r="V130" s="29" t="str">
        <f t="shared" si="6"/>
        <v>✓ OK</v>
      </c>
      <c r="W130" s="45">
        <v>46248</v>
      </c>
      <c r="X130" s="30" t="s">
        <v>23</v>
      </c>
      <c r="Y130" s="30" t="s">
        <v>24</v>
      </c>
      <c r="Z130" s="30" t="s">
        <v>25</v>
      </c>
      <c r="AA130" s="30" t="s">
        <v>26</v>
      </c>
      <c r="AB130" s="30" t="s">
        <v>24</v>
      </c>
      <c r="AC130" s="27"/>
      <c r="AD130" s="31" t="s">
        <v>25</v>
      </c>
      <c r="AE130" s="32" t="str">
        <f t="shared" si="7"/>
        <v>✓ OK</v>
      </c>
      <c r="AF130" s="33" t="s">
        <v>27</v>
      </c>
      <c r="AG130" s="33" t="s">
        <v>23</v>
      </c>
      <c r="AH130" s="33" t="s">
        <v>24</v>
      </c>
      <c r="AI130" s="33" t="s">
        <v>25</v>
      </c>
      <c r="AJ130" s="33" t="s">
        <v>26</v>
      </c>
      <c r="AK130" s="33" t="s">
        <v>24</v>
      </c>
      <c r="AL130" s="27"/>
      <c r="AM130" s="34" t="s">
        <v>25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8" customHeight="1" x14ac:dyDescent="0.3">
      <c r="A131" s="23">
        <v>127</v>
      </c>
      <c r="B131" s="24" t="s">
        <v>5451</v>
      </c>
      <c r="C131" s="25" t="s">
        <v>5452</v>
      </c>
      <c r="D131" s="23" t="s">
        <v>5200</v>
      </c>
      <c r="E131" s="43">
        <v>46125</v>
      </c>
      <c r="F131" s="26" t="s">
        <v>23</v>
      </c>
      <c r="G131" s="44" t="s">
        <v>1352</v>
      </c>
      <c r="H131" s="26" t="s">
        <v>25</v>
      </c>
      <c r="I131" s="44" t="s">
        <v>1352</v>
      </c>
      <c r="J131" s="26" t="s">
        <v>24</v>
      </c>
      <c r="K131" s="27"/>
      <c r="L131" s="28" t="s">
        <v>25</v>
      </c>
      <c r="M131" s="29" t="str">
        <f t="shared" si="5"/>
        <v>✓ OK</v>
      </c>
      <c r="N131" s="43">
        <v>46196</v>
      </c>
      <c r="O131" s="26" t="s">
        <v>23</v>
      </c>
      <c r="P131" s="44" t="s">
        <v>1352</v>
      </c>
      <c r="Q131" s="26" t="s">
        <v>25</v>
      </c>
      <c r="R131" s="44" t="s">
        <v>1352</v>
      </c>
      <c r="S131" s="26" t="s">
        <v>24</v>
      </c>
      <c r="T131" s="27"/>
      <c r="U131" s="28" t="s">
        <v>25</v>
      </c>
      <c r="V131" s="29" t="str">
        <f t="shared" si="6"/>
        <v>✓ OK</v>
      </c>
      <c r="W131" s="45">
        <v>46248</v>
      </c>
      <c r="X131" s="30" t="s">
        <v>23</v>
      </c>
      <c r="Y131" s="30" t="s">
        <v>1352</v>
      </c>
      <c r="Z131" s="30" t="s">
        <v>25</v>
      </c>
      <c r="AA131" s="30" t="s">
        <v>1352</v>
      </c>
      <c r="AB131" s="30" t="s">
        <v>24</v>
      </c>
      <c r="AC131" s="27"/>
      <c r="AD131" s="31" t="s">
        <v>25</v>
      </c>
      <c r="AE131" s="32" t="str">
        <f t="shared" si="7"/>
        <v>✓ OK</v>
      </c>
      <c r="AF131" s="33" t="s">
        <v>27</v>
      </c>
      <c r="AG131" s="33" t="s">
        <v>23</v>
      </c>
      <c r="AH131" s="33" t="s">
        <v>1352</v>
      </c>
      <c r="AI131" s="33" t="s">
        <v>25</v>
      </c>
      <c r="AJ131" s="33" t="s">
        <v>1352</v>
      </c>
      <c r="AK131" s="33" t="s">
        <v>24</v>
      </c>
      <c r="AL131" s="27"/>
      <c r="AM131" s="34" t="s">
        <v>25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8" customHeight="1" x14ac:dyDescent="0.3">
      <c r="A132" s="39">
        <v>128</v>
      </c>
      <c r="B132" s="40" t="s">
        <v>5453</v>
      </c>
      <c r="C132" s="41" t="s">
        <v>5454</v>
      </c>
      <c r="D132" s="39" t="s">
        <v>5200</v>
      </c>
      <c r="E132" s="43">
        <v>46125</v>
      </c>
      <c r="F132" s="26" t="s">
        <v>23</v>
      </c>
      <c r="G132" s="44" t="s">
        <v>1352</v>
      </c>
      <c r="H132" s="26" t="s">
        <v>25</v>
      </c>
      <c r="I132" s="44" t="s">
        <v>1352</v>
      </c>
      <c r="J132" s="26" t="s">
        <v>24</v>
      </c>
      <c r="K132" s="27"/>
      <c r="L132" s="28" t="s">
        <v>25</v>
      </c>
      <c r="M132" s="29" t="str">
        <f t="shared" si="5"/>
        <v>✓ OK</v>
      </c>
      <c r="N132" s="43">
        <v>46196</v>
      </c>
      <c r="O132" s="26" t="s">
        <v>23</v>
      </c>
      <c r="P132" s="44" t="s">
        <v>1352</v>
      </c>
      <c r="Q132" s="26" t="s">
        <v>25</v>
      </c>
      <c r="R132" s="44" t="s">
        <v>1352</v>
      </c>
      <c r="S132" s="26" t="s">
        <v>24</v>
      </c>
      <c r="T132" s="27"/>
      <c r="U132" s="28" t="s">
        <v>25</v>
      </c>
      <c r="V132" s="29" t="str">
        <f t="shared" si="6"/>
        <v>✓ OK</v>
      </c>
      <c r="W132" s="45">
        <v>46248</v>
      </c>
      <c r="X132" s="30" t="s">
        <v>23</v>
      </c>
      <c r="Y132" s="30" t="s">
        <v>1352</v>
      </c>
      <c r="Z132" s="30" t="s">
        <v>25</v>
      </c>
      <c r="AA132" s="30" t="s">
        <v>1352</v>
      </c>
      <c r="AB132" s="30" t="s">
        <v>24</v>
      </c>
      <c r="AC132" s="27"/>
      <c r="AD132" s="31" t="s">
        <v>25</v>
      </c>
      <c r="AE132" s="32" t="str">
        <f t="shared" si="7"/>
        <v>✓ OK</v>
      </c>
      <c r="AF132" s="33" t="s">
        <v>27</v>
      </c>
      <c r="AG132" s="33" t="s">
        <v>23</v>
      </c>
      <c r="AH132" s="33" t="s">
        <v>1352</v>
      </c>
      <c r="AI132" s="33" t="s">
        <v>25</v>
      </c>
      <c r="AJ132" s="33" t="s">
        <v>1352</v>
      </c>
      <c r="AK132" s="33" t="s">
        <v>24</v>
      </c>
      <c r="AL132" s="27"/>
      <c r="AM132" s="34" t="s">
        <v>25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8" customHeight="1" x14ac:dyDescent="0.3">
      <c r="A133" s="23">
        <v>129</v>
      </c>
      <c r="B133" s="24" t="s">
        <v>5455</v>
      </c>
      <c r="C133" s="25" t="s">
        <v>5456</v>
      </c>
      <c r="D133" s="23" t="s">
        <v>5200</v>
      </c>
      <c r="E133" s="43">
        <v>46125</v>
      </c>
      <c r="F133" s="26" t="s">
        <v>23</v>
      </c>
      <c r="G133" s="44" t="s">
        <v>1352</v>
      </c>
      <c r="H133" s="26" t="s">
        <v>25</v>
      </c>
      <c r="I133" s="44" t="s">
        <v>1352</v>
      </c>
      <c r="J133" s="26" t="s">
        <v>24</v>
      </c>
      <c r="K133" s="27"/>
      <c r="L133" s="28" t="s">
        <v>25</v>
      </c>
      <c r="M133" s="29" t="str">
        <f t="shared" ref="M133:M196" si="10">IF(E133="","",IF(H133="Yes","❌ Disc",IF(G133="No","⚠ Missing",IF(J133="Yes","✓ OK","⚠ Check"))))</f>
        <v>✓ OK</v>
      </c>
      <c r="N133" s="43">
        <v>46196</v>
      </c>
      <c r="O133" s="26" t="s">
        <v>23</v>
      </c>
      <c r="P133" s="44" t="s">
        <v>1352</v>
      </c>
      <c r="Q133" s="26" t="s">
        <v>25</v>
      </c>
      <c r="R133" s="44" t="s">
        <v>1352</v>
      </c>
      <c r="S133" s="26" t="s">
        <v>24</v>
      </c>
      <c r="T133" s="27"/>
      <c r="U133" s="28" t="s">
        <v>25</v>
      </c>
      <c r="V133" s="29" t="str">
        <f t="shared" ref="V133:V196" si="11">IF(N133="","",IF(Q133="Yes","❌ Disc",IF(P133="No","⚠ Missing",IF(S133="Yes","✓ OK","⚠ Check"))))</f>
        <v>✓ OK</v>
      </c>
      <c r="W133" s="45">
        <v>46248</v>
      </c>
      <c r="X133" s="30" t="s">
        <v>23</v>
      </c>
      <c r="Y133" s="30" t="s">
        <v>1352</v>
      </c>
      <c r="Z133" s="30" t="s">
        <v>25</v>
      </c>
      <c r="AA133" s="30" t="s">
        <v>1352</v>
      </c>
      <c r="AB133" s="30" t="s">
        <v>24</v>
      </c>
      <c r="AC133" s="27"/>
      <c r="AD133" s="31" t="s">
        <v>25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27</v>
      </c>
      <c r="AG133" s="33" t="s">
        <v>23</v>
      </c>
      <c r="AH133" s="33" t="s">
        <v>1352</v>
      </c>
      <c r="AI133" s="33" t="s">
        <v>25</v>
      </c>
      <c r="AJ133" s="33" t="s">
        <v>1352</v>
      </c>
      <c r="AK133" s="33" t="s">
        <v>24</v>
      </c>
      <c r="AL133" s="27"/>
      <c r="AM133" s="34" t="s">
        <v>25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5457</v>
      </c>
      <c r="C134" s="41" t="s">
        <v>5458</v>
      </c>
      <c r="D134" s="39" t="s">
        <v>5200</v>
      </c>
      <c r="E134" s="43">
        <v>46125</v>
      </c>
      <c r="F134" s="26" t="s">
        <v>23</v>
      </c>
      <c r="G134" s="44" t="s">
        <v>1352</v>
      </c>
      <c r="H134" s="26" t="s">
        <v>25</v>
      </c>
      <c r="I134" s="44" t="s">
        <v>1352</v>
      </c>
      <c r="J134" s="26" t="s">
        <v>24</v>
      </c>
      <c r="K134" s="27"/>
      <c r="L134" s="28" t="s">
        <v>25</v>
      </c>
      <c r="M134" s="29" t="str">
        <f t="shared" si="10"/>
        <v>✓ OK</v>
      </c>
      <c r="N134" s="43">
        <v>46196</v>
      </c>
      <c r="O134" s="26" t="s">
        <v>23</v>
      </c>
      <c r="P134" s="44" t="s">
        <v>1352</v>
      </c>
      <c r="Q134" s="26" t="s">
        <v>25</v>
      </c>
      <c r="R134" s="44" t="s">
        <v>1352</v>
      </c>
      <c r="S134" s="26" t="s">
        <v>24</v>
      </c>
      <c r="T134" s="27"/>
      <c r="U134" s="28" t="s">
        <v>25</v>
      </c>
      <c r="V134" s="29" t="str">
        <f t="shared" si="11"/>
        <v>✓ OK</v>
      </c>
      <c r="W134" s="45">
        <v>46248</v>
      </c>
      <c r="X134" s="30" t="s">
        <v>23</v>
      </c>
      <c r="Y134" s="30" t="s">
        <v>1352</v>
      </c>
      <c r="Z134" s="30" t="s">
        <v>25</v>
      </c>
      <c r="AA134" s="30" t="s">
        <v>1352</v>
      </c>
      <c r="AB134" s="30" t="s">
        <v>24</v>
      </c>
      <c r="AC134" s="27"/>
      <c r="AD134" s="31" t="s">
        <v>25</v>
      </c>
      <c r="AE134" s="32" t="str">
        <f t="shared" si="12"/>
        <v>✓ OK</v>
      </c>
      <c r="AF134" s="33" t="s">
        <v>27</v>
      </c>
      <c r="AG134" s="33" t="s">
        <v>23</v>
      </c>
      <c r="AH134" s="33" t="s">
        <v>1352</v>
      </c>
      <c r="AI134" s="33" t="s">
        <v>25</v>
      </c>
      <c r="AJ134" s="33" t="s">
        <v>1352</v>
      </c>
      <c r="AK134" s="33" t="s">
        <v>24</v>
      </c>
      <c r="AL134" s="27"/>
      <c r="AM134" s="34" t="s">
        <v>25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8" customHeight="1" x14ac:dyDescent="0.3">
      <c r="A135" s="23">
        <v>131</v>
      </c>
      <c r="B135" s="24" t="s">
        <v>5459</v>
      </c>
      <c r="C135" s="25" t="s">
        <v>5460</v>
      </c>
      <c r="D135" s="23" t="s">
        <v>5200</v>
      </c>
      <c r="E135" s="43">
        <v>46125</v>
      </c>
      <c r="F135" s="26" t="s">
        <v>23</v>
      </c>
      <c r="G135" s="44" t="s">
        <v>24</v>
      </c>
      <c r="H135" s="26" t="s">
        <v>25</v>
      </c>
      <c r="I135" s="44" t="s">
        <v>26</v>
      </c>
      <c r="J135" s="26" t="s">
        <v>24</v>
      </c>
      <c r="K135" s="27"/>
      <c r="L135" s="28" t="s">
        <v>25</v>
      </c>
      <c r="M135" s="29" t="str">
        <f t="shared" si="10"/>
        <v>✓ OK</v>
      </c>
      <c r="N135" s="43">
        <v>46196</v>
      </c>
      <c r="O135" s="26" t="s">
        <v>23</v>
      </c>
      <c r="P135" s="44" t="s">
        <v>24</v>
      </c>
      <c r="Q135" s="26" t="s">
        <v>25</v>
      </c>
      <c r="R135" s="44" t="s">
        <v>26</v>
      </c>
      <c r="S135" s="26" t="s">
        <v>24</v>
      </c>
      <c r="T135" s="27"/>
      <c r="U135" s="28" t="s">
        <v>25</v>
      </c>
      <c r="V135" s="29" t="str">
        <f t="shared" si="11"/>
        <v>✓ OK</v>
      </c>
      <c r="W135" s="45">
        <v>46248</v>
      </c>
      <c r="X135" s="30" t="s">
        <v>23</v>
      </c>
      <c r="Y135" s="30" t="s">
        <v>24</v>
      </c>
      <c r="Z135" s="30" t="s">
        <v>25</v>
      </c>
      <c r="AA135" s="30" t="s">
        <v>26</v>
      </c>
      <c r="AB135" s="30" t="s">
        <v>24</v>
      </c>
      <c r="AC135" s="27"/>
      <c r="AD135" s="31" t="s">
        <v>25</v>
      </c>
      <c r="AE135" s="32" t="str">
        <f t="shared" si="12"/>
        <v>✓ OK</v>
      </c>
      <c r="AF135" s="33" t="s">
        <v>27</v>
      </c>
      <c r="AG135" s="33" t="s">
        <v>23</v>
      </c>
      <c r="AH135" s="33" t="s">
        <v>24</v>
      </c>
      <c r="AI135" s="33" t="s">
        <v>25</v>
      </c>
      <c r="AJ135" s="33" t="s">
        <v>26</v>
      </c>
      <c r="AK135" s="33" t="s">
        <v>24</v>
      </c>
      <c r="AL135" s="27"/>
      <c r="AM135" s="34" t="s">
        <v>25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8" customHeight="1" x14ac:dyDescent="0.3">
      <c r="A136" s="39">
        <v>132</v>
      </c>
      <c r="B136" s="40" t="s">
        <v>5461</v>
      </c>
      <c r="C136" s="41" t="s">
        <v>5462</v>
      </c>
      <c r="D136" s="39" t="s">
        <v>5200</v>
      </c>
      <c r="E136" s="43">
        <v>46125</v>
      </c>
      <c r="F136" s="26" t="s">
        <v>23</v>
      </c>
      <c r="G136" s="44" t="s">
        <v>1352</v>
      </c>
      <c r="H136" s="26" t="s">
        <v>25</v>
      </c>
      <c r="I136" s="44" t="s">
        <v>1352</v>
      </c>
      <c r="J136" s="26" t="s">
        <v>24</v>
      </c>
      <c r="K136" s="27"/>
      <c r="L136" s="28" t="s">
        <v>25</v>
      </c>
      <c r="M136" s="29" t="str">
        <f t="shared" si="10"/>
        <v>✓ OK</v>
      </c>
      <c r="N136" s="43">
        <v>46196</v>
      </c>
      <c r="O136" s="26" t="s">
        <v>23</v>
      </c>
      <c r="P136" s="44" t="s">
        <v>1352</v>
      </c>
      <c r="Q136" s="26" t="s">
        <v>25</v>
      </c>
      <c r="R136" s="44" t="s">
        <v>1352</v>
      </c>
      <c r="S136" s="26" t="s">
        <v>24</v>
      </c>
      <c r="T136" s="27"/>
      <c r="U136" s="28" t="s">
        <v>25</v>
      </c>
      <c r="V136" s="29" t="str">
        <f t="shared" si="11"/>
        <v>✓ OK</v>
      </c>
      <c r="W136" s="45">
        <v>46248</v>
      </c>
      <c r="X136" s="30" t="s">
        <v>23</v>
      </c>
      <c r="Y136" s="30" t="s">
        <v>1352</v>
      </c>
      <c r="Z136" s="30" t="s">
        <v>25</v>
      </c>
      <c r="AA136" s="30" t="s">
        <v>1352</v>
      </c>
      <c r="AB136" s="30" t="s">
        <v>24</v>
      </c>
      <c r="AC136" s="27"/>
      <c r="AD136" s="31" t="s">
        <v>25</v>
      </c>
      <c r="AE136" s="32" t="str">
        <f t="shared" si="12"/>
        <v>✓ OK</v>
      </c>
      <c r="AF136" s="33" t="s">
        <v>27</v>
      </c>
      <c r="AG136" s="33" t="s">
        <v>23</v>
      </c>
      <c r="AH136" s="33" t="s">
        <v>1352</v>
      </c>
      <c r="AI136" s="33" t="s">
        <v>25</v>
      </c>
      <c r="AJ136" s="33" t="s">
        <v>1352</v>
      </c>
      <c r="AK136" s="33" t="s">
        <v>24</v>
      </c>
      <c r="AL136" s="27"/>
      <c r="AM136" s="34" t="s">
        <v>25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8" customHeight="1" x14ac:dyDescent="0.3">
      <c r="A137" s="23">
        <v>133</v>
      </c>
      <c r="B137" s="24" t="s">
        <v>5463</v>
      </c>
      <c r="C137" s="25" t="s">
        <v>5464</v>
      </c>
      <c r="D137" s="23" t="s">
        <v>5200</v>
      </c>
      <c r="E137" s="43">
        <v>46125</v>
      </c>
      <c r="F137" s="26" t="s">
        <v>23</v>
      </c>
      <c r="G137" s="44" t="s">
        <v>1352</v>
      </c>
      <c r="H137" s="26" t="s">
        <v>25</v>
      </c>
      <c r="I137" s="44" t="s">
        <v>1352</v>
      </c>
      <c r="J137" s="26" t="s">
        <v>24</v>
      </c>
      <c r="K137" s="27"/>
      <c r="L137" s="28" t="s">
        <v>25</v>
      </c>
      <c r="M137" s="29" t="str">
        <f t="shared" si="10"/>
        <v>✓ OK</v>
      </c>
      <c r="N137" s="43">
        <v>46196</v>
      </c>
      <c r="O137" s="26" t="s">
        <v>23</v>
      </c>
      <c r="P137" s="44" t="s">
        <v>1352</v>
      </c>
      <c r="Q137" s="26" t="s">
        <v>25</v>
      </c>
      <c r="R137" s="44" t="s">
        <v>1352</v>
      </c>
      <c r="S137" s="26" t="s">
        <v>24</v>
      </c>
      <c r="T137" s="27"/>
      <c r="U137" s="28" t="s">
        <v>25</v>
      </c>
      <c r="V137" s="29" t="str">
        <f t="shared" si="11"/>
        <v>✓ OK</v>
      </c>
      <c r="W137" s="45">
        <v>46248</v>
      </c>
      <c r="X137" s="30" t="s">
        <v>23</v>
      </c>
      <c r="Y137" s="30" t="s">
        <v>1352</v>
      </c>
      <c r="Z137" s="30" t="s">
        <v>25</v>
      </c>
      <c r="AA137" s="30" t="s">
        <v>1352</v>
      </c>
      <c r="AB137" s="30" t="s">
        <v>24</v>
      </c>
      <c r="AC137" s="27"/>
      <c r="AD137" s="31" t="s">
        <v>25</v>
      </c>
      <c r="AE137" s="32" t="str">
        <f t="shared" si="12"/>
        <v>✓ OK</v>
      </c>
      <c r="AF137" s="33" t="s">
        <v>27</v>
      </c>
      <c r="AG137" s="33" t="s">
        <v>23</v>
      </c>
      <c r="AH137" s="33" t="s">
        <v>1352</v>
      </c>
      <c r="AI137" s="33" t="s">
        <v>25</v>
      </c>
      <c r="AJ137" s="33" t="s">
        <v>1352</v>
      </c>
      <c r="AK137" s="33" t="s">
        <v>24</v>
      </c>
      <c r="AL137" s="27"/>
      <c r="AM137" s="34" t="s">
        <v>25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8" customHeight="1" x14ac:dyDescent="0.3">
      <c r="A138" s="39">
        <v>134</v>
      </c>
      <c r="B138" s="40" t="s">
        <v>5465</v>
      </c>
      <c r="C138" s="41" t="s">
        <v>5466</v>
      </c>
      <c r="D138" s="39" t="s">
        <v>5200</v>
      </c>
      <c r="E138" s="43">
        <v>46125</v>
      </c>
      <c r="F138" s="26" t="s">
        <v>23</v>
      </c>
      <c r="G138" s="44" t="s">
        <v>1352</v>
      </c>
      <c r="H138" s="26" t="s">
        <v>25</v>
      </c>
      <c r="I138" s="44" t="s">
        <v>1352</v>
      </c>
      <c r="J138" s="26" t="s">
        <v>24</v>
      </c>
      <c r="K138" s="27"/>
      <c r="L138" s="28" t="s">
        <v>25</v>
      </c>
      <c r="M138" s="29" t="str">
        <f t="shared" si="10"/>
        <v>✓ OK</v>
      </c>
      <c r="N138" s="43">
        <v>46196</v>
      </c>
      <c r="O138" s="26" t="s">
        <v>23</v>
      </c>
      <c r="P138" s="44" t="s">
        <v>1352</v>
      </c>
      <c r="Q138" s="26" t="s">
        <v>25</v>
      </c>
      <c r="R138" s="44" t="s">
        <v>1352</v>
      </c>
      <c r="S138" s="26" t="s">
        <v>24</v>
      </c>
      <c r="T138" s="27"/>
      <c r="U138" s="28" t="s">
        <v>25</v>
      </c>
      <c r="V138" s="29" t="str">
        <f t="shared" si="11"/>
        <v>✓ OK</v>
      </c>
      <c r="W138" s="45">
        <v>46248</v>
      </c>
      <c r="X138" s="30" t="s">
        <v>23</v>
      </c>
      <c r="Y138" s="30" t="s">
        <v>1352</v>
      </c>
      <c r="Z138" s="30" t="s">
        <v>25</v>
      </c>
      <c r="AA138" s="30" t="s">
        <v>1352</v>
      </c>
      <c r="AB138" s="30" t="s">
        <v>24</v>
      </c>
      <c r="AC138" s="27"/>
      <c r="AD138" s="31" t="s">
        <v>25</v>
      </c>
      <c r="AE138" s="32" t="str">
        <f t="shared" si="12"/>
        <v>✓ OK</v>
      </c>
      <c r="AF138" s="33" t="s">
        <v>27</v>
      </c>
      <c r="AG138" s="33" t="s">
        <v>23</v>
      </c>
      <c r="AH138" s="33" t="s">
        <v>1352</v>
      </c>
      <c r="AI138" s="33" t="s">
        <v>25</v>
      </c>
      <c r="AJ138" s="33" t="s">
        <v>1352</v>
      </c>
      <c r="AK138" s="33" t="s">
        <v>24</v>
      </c>
      <c r="AL138" s="27"/>
      <c r="AM138" s="34" t="s">
        <v>25</v>
      </c>
      <c r="AN138" s="35" t="str">
        <f t="shared" si="1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8" customHeight="1" x14ac:dyDescent="0.3">
      <c r="A139" s="23">
        <v>135</v>
      </c>
      <c r="B139" s="24" t="s">
        <v>5467</v>
      </c>
      <c r="C139" s="25" t="s">
        <v>5468</v>
      </c>
      <c r="D139" s="23" t="s">
        <v>5200</v>
      </c>
      <c r="E139" s="43">
        <v>46125</v>
      </c>
      <c r="F139" s="26" t="s">
        <v>23</v>
      </c>
      <c r="G139" s="44" t="s">
        <v>1352</v>
      </c>
      <c r="H139" s="26" t="s">
        <v>25</v>
      </c>
      <c r="I139" s="44" t="s">
        <v>1352</v>
      </c>
      <c r="J139" s="26" t="s">
        <v>24</v>
      </c>
      <c r="K139" s="27"/>
      <c r="L139" s="28" t="s">
        <v>25</v>
      </c>
      <c r="M139" s="29" t="str">
        <f t="shared" si="10"/>
        <v>✓ OK</v>
      </c>
      <c r="N139" s="43">
        <v>46196</v>
      </c>
      <c r="O139" s="26" t="s">
        <v>23</v>
      </c>
      <c r="P139" s="44" t="s">
        <v>1352</v>
      </c>
      <c r="Q139" s="26" t="s">
        <v>25</v>
      </c>
      <c r="R139" s="44" t="s">
        <v>1352</v>
      </c>
      <c r="S139" s="26" t="s">
        <v>24</v>
      </c>
      <c r="T139" s="27"/>
      <c r="U139" s="28" t="s">
        <v>25</v>
      </c>
      <c r="V139" s="29" t="str">
        <f t="shared" si="11"/>
        <v>✓ OK</v>
      </c>
      <c r="W139" s="45">
        <v>46248</v>
      </c>
      <c r="X139" s="30" t="s">
        <v>23</v>
      </c>
      <c r="Y139" s="30" t="s">
        <v>1352</v>
      </c>
      <c r="Z139" s="30" t="s">
        <v>25</v>
      </c>
      <c r="AA139" s="30" t="s">
        <v>1352</v>
      </c>
      <c r="AB139" s="30" t="s">
        <v>24</v>
      </c>
      <c r="AC139" s="27"/>
      <c r="AD139" s="31" t="s">
        <v>25</v>
      </c>
      <c r="AE139" s="32" t="str">
        <f t="shared" si="12"/>
        <v>✓ OK</v>
      </c>
      <c r="AF139" s="33" t="s">
        <v>27</v>
      </c>
      <c r="AG139" s="33" t="s">
        <v>23</v>
      </c>
      <c r="AH139" s="33" t="s">
        <v>1352</v>
      </c>
      <c r="AI139" s="33" t="s">
        <v>25</v>
      </c>
      <c r="AJ139" s="33" t="s">
        <v>1352</v>
      </c>
      <c r="AK139" s="33" t="s">
        <v>24</v>
      </c>
      <c r="AL139" s="27"/>
      <c r="AM139" s="34" t="s">
        <v>25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8" customHeight="1" x14ac:dyDescent="0.3">
      <c r="A140" s="39">
        <v>136</v>
      </c>
      <c r="B140" s="40" t="s">
        <v>5469</v>
      </c>
      <c r="C140" s="41" t="s">
        <v>5470</v>
      </c>
      <c r="D140" s="39" t="s">
        <v>5200</v>
      </c>
      <c r="E140" s="43">
        <v>46125</v>
      </c>
      <c r="F140" s="26" t="s">
        <v>23</v>
      </c>
      <c r="G140" s="44" t="s">
        <v>1352</v>
      </c>
      <c r="H140" s="26" t="s">
        <v>25</v>
      </c>
      <c r="I140" s="44" t="s">
        <v>1352</v>
      </c>
      <c r="J140" s="26" t="s">
        <v>24</v>
      </c>
      <c r="K140" s="27"/>
      <c r="L140" s="28" t="s">
        <v>25</v>
      </c>
      <c r="M140" s="29" t="str">
        <f t="shared" si="10"/>
        <v>✓ OK</v>
      </c>
      <c r="N140" s="43">
        <v>46196</v>
      </c>
      <c r="O140" s="26" t="s">
        <v>23</v>
      </c>
      <c r="P140" s="44" t="s">
        <v>1352</v>
      </c>
      <c r="Q140" s="26" t="s">
        <v>25</v>
      </c>
      <c r="R140" s="44" t="s">
        <v>1352</v>
      </c>
      <c r="S140" s="26" t="s">
        <v>24</v>
      </c>
      <c r="T140" s="27"/>
      <c r="U140" s="28" t="s">
        <v>25</v>
      </c>
      <c r="V140" s="29" t="str">
        <f t="shared" si="11"/>
        <v>✓ OK</v>
      </c>
      <c r="W140" s="45">
        <v>46248</v>
      </c>
      <c r="X140" s="30" t="s">
        <v>23</v>
      </c>
      <c r="Y140" s="30" t="s">
        <v>1352</v>
      </c>
      <c r="Z140" s="30" t="s">
        <v>25</v>
      </c>
      <c r="AA140" s="30" t="s">
        <v>1352</v>
      </c>
      <c r="AB140" s="30" t="s">
        <v>24</v>
      </c>
      <c r="AC140" s="27"/>
      <c r="AD140" s="31" t="s">
        <v>25</v>
      </c>
      <c r="AE140" s="32" t="str">
        <f t="shared" si="12"/>
        <v>✓ OK</v>
      </c>
      <c r="AF140" s="33" t="s">
        <v>27</v>
      </c>
      <c r="AG140" s="33" t="s">
        <v>23</v>
      </c>
      <c r="AH140" s="33" t="s">
        <v>1352</v>
      </c>
      <c r="AI140" s="33" t="s">
        <v>25</v>
      </c>
      <c r="AJ140" s="33" t="s">
        <v>1352</v>
      </c>
      <c r="AK140" s="33" t="s">
        <v>24</v>
      </c>
      <c r="AL140" s="27"/>
      <c r="AM140" s="34" t="s">
        <v>25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8" customHeight="1" x14ac:dyDescent="0.3">
      <c r="A141" s="23">
        <v>137</v>
      </c>
      <c r="B141" s="24" t="s">
        <v>5471</v>
      </c>
      <c r="C141" s="25" t="s">
        <v>5472</v>
      </c>
      <c r="D141" s="23" t="s">
        <v>5200</v>
      </c>
      <c r="E141" s="43">
        <v>46125</v>
      </c>
      <c r="F141" s="26" t="s">
        <v>23</v>
      </c>
      <c r="G141" s="44" t="s">
        <v>1352</v>
      </c>
      <c r="H141" s="26" t="s">
        <v>25</v>
      </c>
      <c r="I141" s="44" t="s">
        <v>1352</v>
      </c>
      <c r="J141" s="26" t="s">
        <v>24</v>
      </c>
      <c r="K141" s="27"/>
      <c r="L141" s="28" t="s">
        <v>25</v>
      </c>
      <c r="M141" s="29" t="str">
        <f t="shared" si="10"/>
        <v>✓ OK</v>
      </c>
      <c r="N141" s="43">
        <v>46196</v>
      </c>
      <c r="O141" s="26" t="s">
        <v>23</v>
      </c>
      <c r="P141" s="44" t="s">
        <v>1352</v>
      </c>
      <c r="Q141" s="26" t="s">
        <v>25</v>
      </c>
      <c r="R141" s="44" t="s">
        <v>1352</v>
      </c>
      <c r="S141" s="26" t="s">
        <v>24</v>
      </c>
      <c r="T141" s="27"/>
      <c r="U141" s="28" t="s">
        <v>25</v>
      </c>
      <c r="V141" s="29" t="str">
        <f t="shared" si="11"/>
        <v>✓ OK</v>
      </c>
      <c r="W141" s="45">
        <v>46248</v>
      </c>
      <c r="X141" s="30" t="s">
        <v>23</v>
      </c>
      <c r="Y141" s="30" t="s">
        <v>1352</v>
      </c>
      <c r="Z141" s="30" t="s">
        <v>25</v>
      </c>
      <c r="AA141" s="30" t="s">
        <v>1352</v>
      </c>
      <c r="AB141" s="30" t="s">
        <v>24</v>
      </c>
      <c r="AC141" s="27"/>
      <c r="AD141" s="31" t="s">
        <v>25</v>
      </c>
      <c r="AE141" s="32" t="str">
        <f t="shared" si="12"/>
        <v>✓ OK</v>
      </c>
      <c r="AF141" s="33" t="s">
        <v>27</v>
      </c>
      <c r="AG141" s="33" t="s">
        <v>23</v>
      </c>
      <c r="AH141" s="33" t="s">
        <v>1352</v>
      </c>
      <c r="AI141" s="33" t="s">
        <v>25</v>
      </c>
      <c r="AJ141" s="33" t="s">
        <v>1352</v>
      </c>
      <c r="AK141" s="33" t="s">
        <v>24</v>
      </c>
      <c r="AL141" s="27"/>
      <c r="AM141" s="34" t="s">
        <v>25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8" customHeight="1" x14ac:dyDescent="0.3">
      <c r="A142" s="39">
        <v>138</v>
      </c>
      <c r="B142" s="40" t="s">
        <v>5473</v>
      </c>
      <c r="C142" s="41" t="s">
        <v>5474</v>
      </c>
      <c r="D142" s="39" t="s">
        <v>5200</v>
      </c>
      <c r="E142" s="43">
        <v>46125</v>
      </c>
      <c r="F142" s="26" t="s">
        <v>23</v>
      </c>
      <c r="G142" s="44" t="s">
        <v>1352</v>
      </c>
      <c r="H142" s="26" t="s">
        <v>25</v>
      </c>
      <c r="I142" s="44" t="s">
        <v>1352</v>
      </c>
      <c r="J142" s="26" t="s">
        <v>24</v>
      </c>
      <c r="K142" s="27"/>
      <c r="L142" s="28" t="s">
        <v>25</v>
      </c>
      <c r="M142" s="29" t="str">
        <f t="shared" si="10"/>
        <v>✓ OK</v>
      </c>
      <c r="N142" s="43">
        <v>46196</v>
      </c>
      <c r="O142" s="26" t="s">
        <v>23</v>
      </c>
      <c r="P142" s="44" t="s">
        <v>1352</v>
      </c>
      <c r="Q142" s="26" t="s">
        <v>25</v>
      </c>
      <c r="R142" s="44" t="s">
        <v>1352</v>
      </c>
      <c r="S142" s="26" t="s">
        <v>24</v>
      </c>
      <c r="T142" s="27"/>
      <c r="U142" s="28" t="s">
        <v>25</v>
      </c>
      <c r="V142" s="29" t="str">
        <f t="shared" si="11"/>
        <v>✓ OK</v>
      </c>
      <c r="W142" s="45">
        <v>46248</v>
      </c>
      <c r="X142" s="30" t="s">
        <v>23</v>
      </c>
      <c r="Y142" s="30" t="s">
        <v>1352</v>
      </c>
      <c r="Z142" s="30" t="s">
        <v>25</v>
      </c>
      <c r="AA142" s="30" t="s">
        <v>1352</v>
      </c>
      <c r="AB142" s="30" t="s">
        <v>24</v>
      </c>
      <c r="AC142" s="27"/>
      <c r="AD142" s="31" t="s">
        <v>25</v>
      </c>
      <c r="AE142" s="32" t="str">
        <f t="shared" si="12"/>
        <v>✓ OK</v>
      </c>
      <c r="AF142" s="33" t="s">
        <v>27</v>
      </c>
      <c r="AG142" s="33" t="s">
        <v>23</v>
      </c>
      <c r="AH142" s="33" t="s">
        <v>1352</v>
      </c>
      <c r="AI142" s="33" t="s">
        <v>25</v>
      </c>
      <c r="AJ142" s="33" t="s">
        <v>1352</v>
      </c>
      <c r="AK142" s="33" t="s">
        <v>24</v>
      </c>
      <c r="AL142" s="27"/>
      <c r="AM142" s="34" t="s">
        <v>25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8" customHeight="1" x14ac:dyDescent="0.3">
      <c r="A143" s="23">
        <v>139</v>
      </c>
      <c r="B143" s="24" t="s">
        <v>5475</v>
      </c>
      <c r="C143" s="25" t="s">
        <v>5476</v>
      </c>
      <c r="D143" s="23" t="s">
        <v>5200</v>
      </c>
      <c r="E143" s="43">
        <v>46125</v>
      </c>
      <c r="F143" s="26" t="s">
        <v>23</v>
      </c>
      <c r="G143" s="44" t="s">
        <v>1352</v>
      </c>
      <c r="H143" s="26" t="s">
        <v>25</v>
      </c>
      <c r="I143" s="44" t="s">
        <v>1352</v>
      </c>
      <c r="J143" s="26" t="s">
        <v>24</v>
      </c>
      <c r="K143" s="27"/>
      <c r="L143" s="28" t="s">
        <v>25</v>
      </c>
      <c r="M143" s="29" t="str">
        <f t="shared" si="10"/>
        <v>✓ OK</v>
      </c>
      <c r="N143" s="43">
        <v>46196</v>
      </c>
      <c r="O143" s="26" t="s">
        <v>23</v>
      </c>
      <c r="P143" s="44" t="s">
        <v>1352</v>
      </c>
      <c r="Q143" s="26" t="s">
        <v>25</v>
      </c>
      <c r="R143" s="44" t="s">
        <v>1352</v>
      </c>
      <c r="S143" s="26" t="s">
        <v>24</v>
      </c>
      <c r="T143" s="27"/>
      <c r="U143" s="28" t="s">
        <v>25</v>
      </c>
      <c r="V143" s="29" t="str">
        <f t="shared" si="11"/>
        <v>✓ OK</v>
      </c>
      <c r="W143" s="45">
        <v>46248</v>
      </c>
      <c r="X143" s="30" t="s">
        <v>23</v>
      </c>
      <c r="Y143" s="30" t="s">
        <v>1352</v>
      </c>
      <c r="Z143" s="30" t="s">
        <v>25</v>
      </c>
      <c r="AA143" s="30" t="s">
        <v>1352</v>
      </c>
      <c r="AB143" s="30" t="s">
        <v>24</v>
      </c>
      <c r="AC143" s="27"/>
      <c r="AD143" s="31" t="s">
        <v>25</v>
      </c>
      <c r="AE143" s="32" t="str">
        <f t="shared" si="12"/>
        <v>✓ OK</v>
      </c>
      <c r="AF143" s="33" t="s">
        <v>27</v>
      </c>
      <c r="AG143" s="33" t="s">
        <v>23</v>
      </c>
      <c r="AH143" s="33" t="s">
        <v>1352</v>
      </c>
      <c r="AI143" s="33" t="s">
        <v>25</v>
      </c>
      <c r="AJ143" s="33" t="s">
        <v>1352</v>
      </c>
      <c r="AK143" s="33" t="s">
        <v>24</v>
      </c>
      <c r="AL143" s="27"/>
      <c r="AM143" s="34" t="s">
        <v>25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8" customHeight="1" x14ac:dyDescent="0.3">
      <c r="A144" s="39">
        <v>140</v>
      </c>
      <c r="B144" s="40" t="s">
        <v>5477</v>
      </c>
      <c r="C144" s="41" t="s">
        <v>5478</v>
      </c>
      <c r="D144" s="39" t="s">
        <v>5200</v>
      </c>
      <c r="E144" s="43">
        <v>46125</v>
      </c>
      <c r="F144" s="26" t="s">
        <v>23</v>
      </c>
      <c r="G144" s="44" t="s">
        <v>1352</v>
      </c>
      <c r="H144" s="26" t="s">
        <v>25</v>
      </c>
      <c r="I144" s="44" t="s">
        <v>1352</v>
      </c>
      <c r="J144" s="26" t="s">
        <v>24</v>
      </c>
      <c r="K144" s="27"/>
      <c r="L144" s="28" t="s">
        <v>25</v>
      </c>
      <c r="M144" s="29" t="str">
        <f t="shared" si="10"/>
        <v>✓ OK</v>
      </c>
      <c r="N144" s="43">
        <v>46196</v>
      </c>
      <c r="O144" s="26" t="s">
        <v>23</v>
      </c>
      <c r="P144" s="44" t="s">
        <v>1352</v>
      </c>
      <c r="Q144" s="26" t="s">
        <v>25</v>
      </c>
      <c r="R144" s="44" t="s">
        <v>1352</v>
      </c>
      <c r="S144" s="26" t="s">
        <v>24</v>
      </c>
      <c r="T144" s="27"/>
      <c r="U144" s="28" t="s">
        <v>25</v>
      </c>
      <c r="V144" s="29" t="str">
        <f t="shared" si="11"/>
        <v>✓ OK</v>
      </c>
      <c r="W144" s="45">
        <v>46248</v>
      </c>
      <c r="X144" s="30" t="s">
        <v>23</v>
      </c>
      <c r="Y144" s="30" t="s">
        <v>1352</v>
      </c>
      <c r="Z144" s="30" t="s">
        <v>25</v>
      </c>
      <c r="AA144" s="30" t="s">
        <v>1352</v>
      </c>
      <c r="AB144" s="30" t="s">
        <v>24</v>
      </c>
      <c r="AC144" s="27"/>
      <c r="AD144" s="31" t="s">
        <v>25</v>
      </c>
      <c r="AE144" s="32" t="str">
        <f t="shared" si="12"/>
        <v>✓ OK</v>
      </c>
      <c r="AF144" s="33" t="s">
        <v>27</v>
      </c>
      <c r="AG144" s="33" t="s">
        <v>23</v>
      </c>
      <c r="AH144" s="33" t="s">
        <v>1352</v>
      </c>
      <c r="AI144" s="33" t="s">
        <v>25</v>
      </c>
      <c r="AJ144" s="33" t="s">
        <v>1352</v>
      </c>
      <c r="AK144" s="33" t="s">
        <v>24</v>
      </c>
      <c r="AL144" s="27"/>
      <c r="AM144" s="34" t="s">
        <v>25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8" customHeight="1" x14ac:dyDescent="0.3">
      <c r="A145" s="23">
        <v>141</v>
      </c>
      <c r="B145" s="24" t="s">
        <v>5479</v>
      </c>
      <c r="C145" s="25" t="s">
        <v>5480</v>
      </c>
      <c r="D145" s="23" t="s">
        <v>5200</v>
      </c>
      <c r="E145" s="43">
        <v>46125</v>
      </c>
      <c r="F145" s="26" t="s">
        <v>23</v>
      </c>
      <c r="G145" s="44" t="s">
        <v>1352</v>
      </c>
      <c r="H145" s="26" t="s">
        <v>25</v>
      </c>
      <c r="I145" s="44" t="s">
        <v>1352</v>
      </c>
      <c r="J145" s="26" t="s">
        <v>24</v>
      </c>
      <c r="K145" s="27"/>
      <c r="L145" s="28" t="s">
        <v>25</v>
      </c>
      <c r="M145" s="29" t="str">
        <f t="shared" si="10"/>
        <v>✓ OK</v>
      </c>
      <c r="N145" s="43">
        <v>46196</v>
      </c>
      <c r="O145" s="26" t="s">
        <v>23</v>
      </c>
      <c r="P145" s="44" t="s">
        <v>1352</v>
      </c>
      <c r="Q145" s="26" t="s">
        <v>25</v>
      </c>
      <c r="R145" s="44" t="s">
        <v>1352</v>
      </c>
      <c r="S145" s="26" t="s">
        <v>24</v>
      </c>
      <c r="T145" s="27"/>
      <c r="U145" s="28" t="s">
        <v>25</v>
      </c>
      <c r="V145" s="29" t="str">
        <f t="shared" si="11"/>
        <v>✓ OK</v>
      </c>
      <c r="W145" s="45">
        <v>46248</v>
      </c>
      <c r="X145" s="30" t="s">
        <v>23</v>
      </c>
      <c r="Y145" s="30" t="s">
        <v>1352</v>
      </c>
      <c r="Z145" s="30" t="s">
        <v>25</v>
      </c>
      <c r="AA145" s="30" t="s">
        <v>1352</v>
      </c>
      <c r="AB145" s="30" t="s">
        <v>24</v>
      </c>
      <c r="AC145" s="27"/>
      <c r="AD145" s="31" t="s">
        <v>25</v>
      </c>
      <c r="AE145" s="32" t="str">
        <f t="shared" si="12"/>
        <v>✓ OK</v>
      </c>
      <c r="AF145" s="33" t="s">
        <v>27</v>
      </c>
      <c r="AG145" s="33" t="s">
        <v>23</v>
      </c>
      <c r="AH145" s="33" t="s">
        <v>1352</v>
      </c>
      <c r="AI145" s="33" t="s">
        <v>25</v>
      </c>
      <c r="AJ145" s="33" t="s">
        <v>1352</v>
      </c>
      <c r="AK145" s="33" t="s">
        <v>24</v>
      </c>
      <c r="AL145" s="27"/>
      <c r="AM145" s="34" t="s">
        <v>25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8" customHeight="1" x14ac:dyDescent="0.3">
      <c r="A146" s="39">
        <v>142</v>
      </c>
      <c r="B146" s="40" t="s">
        <v>5481</v>
      </c>
      <c r="C146" s="41" t="s">
        <v>5482</v>
      </c>
      <c r="D146" s="39" t="s">
        <v>5200</v>
      </c>
      <c r="E146" s="43">
        <v>46125</v>
      </c>
      <c r="F146" s="26" t="s">
        <v>23</v>
      </c>
      <c r="G146" s="44" t="s">
        <v>24</v>
      </c>
      <c r="H146" s="26" t="s">
        <v>25</v>
      </c>
      <c r="I146" s="44" t="s">
        <v>26</v>
      </c>
      <c r="J146" s="26" t="s">
        <v>24</v>
      </c>
      <c r="K146" s="27"/>
      <c r="L146" s="28" t="s">
        <v>25</v>
      </c>
      <c r="M146" s="29" t="str">
        <f t="shared" si="10"/>
        <v>✓ OK</v>
      </c>
      <c r="N146" s="43">
        <v>46196</v>
      </c>
      <c r="O146" s="26" t="s">
        <v>23</v>
      </c>
      <c r="P146" s="44" t="s">
        <v>24</v>
      </c>
      <c r="Q146" s="26" t="s">
        <v>25</v>
      </c>
      <c r="R146" s="44" t="s">
        <v>26</v>
      </c>
      <c r="S146" s="26" t="s">
        <v>24</v>
      </c>
      <c r="T146" s="27"/>
      <c r="U146" s="28" t="s">
        <v>25</v>
      </c>
      <c r="V146" s="29" t="str">
        <f t="shared" si="11"/>
        <v>✓ OK</v>
      </c>
      <c r="W146" s="45">
        <v>46248</v>
      </c>
      <c r="X146" s="30" t="s">
        <v>23</v>
      </c>
      <c r="Y146" s="30" t="s">
        <v>24</v>
      </c>
      <c r="Z146" s="30" t="s">
        <v>25</v>
      </c>
      <c r="AA146" s="30" t="s">
        <v>26</v>
      </c>
      <c r="AB146" s="30" t="s">
        <v>24</v>
      </c>
      <c r="AC146" s="27"/>
      <c r="AD146" s="31" t="s">
        <v>25</v>
      </c>
      <c r="AE146" s="32" t="str">
        <f t="shared" si="12"/>
        <v>✓ OK</v>
      </c>
      <c r="AF146" s="33" t="s">
        <v>27</v>
      </c>
      <c r="AG146" s="33" t="s">
        <v>23</v>
      </c>
      <c r="AH146" s="33" t="s">
        <v>24</v>
      </c>
      <c r="AI146" s="33" t="s">
        <v>25</v>
      </c>
      <c r="AJ146" s="33" t="s">
        <v>26</v>
      </c>
      <c r="AK146" s="33" t="s">
        <v>24</v>
      </c>
      <c r="AL146" s="27"/>
      <c r="AM146" s="34" t="s">
        <v>25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8" customHeight="1" x14ac:dyDescent="0.3">
      <c r="A147" s="23">
        <v>143</v>
      </c>
      <c r="B147" s="24" t="s">
        <v>5483</v>
      </c>
      <c r="C147" s="25" t="s">
        <v>5484</v>
      </c>
      <c r="D147" s="23" t="s">
        <v>5200</v>
      </c>
      <c r="E147" s="43">
        <v>46125</v>
      </c>
      <c r="F147" s="26" t="s">
        <v>23</v>
      </c>
      <c r="G147" s="44" t="s">
        <v>1352</v>
      </c>
      <c r="H147" s="26" t="s">
        <v>25</v>
      </c>
      <c r="I147" s="44" t="s">
        <v>1352</v>
      </c>
      <c r="J147" s="26" t="s">
        <v>24</v>
      </c>
      <c r="K147" s="27"/>
      <c r="L147" s="28" t="s">
        <v>25</v>
      </c>
      <c r="M147" s="29" t="str">
        <f t="shared" si="10"/>
        <v>✓ OK</v>
      </c>
      <c r="N147" s="43">
        <v>46196</v>
      </c>
      <c r="O147" s="26" t="s">
        <v>23</v>
      </c>
      <c r="P147" s="44" t="s">
        <v>1352</v>
      </c>
      <c r="Q147" s="26" t="s">
        <v>25</v>
      </c>
      <c r="R147" s="44" t="s">
        <v>1352</v>
      </c>
      <c r="S147" s="26" t="s">
        <v>24</v>
      </c>
      <c r="T147" s="27"/>
      <c r="U147" s="28" t="s">
        <v>25</v>
      </c>
      <c r="V147" s="29" t="str">
        <f t="shared" si="11"/>
        <v>✓ OK</v>
      </c>
      <c r="W147" s="45">
        <v>46248</v>
      </c>
      <c r="X147" s="30" t="s">
        <v>23</v>
      </c>
      <c r="Y147" s="30" t="s">
        <v>1352</v>
      </c>
      <c r="Z147" s="30" t="s">
        <v>25</v>
      </c>
      <c r="AA147" s="30" t="s">
        <v>1352</v>
      </c>
      <c r="AB147" s="30" t="s">
        <v>24</v>
      </c>
      <c r="AC147" s="27"/>
      <c r="AD147" s="31" t="s">
        <v>25</v>
      </c>
      <c r="AE147" s="32" t="str">
        <f t="shared" si="12"/>
        <v>✓ OK</v>
      </c>
      <c r="AF147" s="33" t="s">
        <v>27</v>
      </c>
      <c r="AG147" s="33" t="s">
        <v>23</v>
      </c>
      <c r="AH147" s="33" t="s">
        <v>1352</v>
      </c>
      <c r="AI147" s="33" t="s">
        <v>25</v>
      </c>
      <c r="AJ147" s="33" t="s">
        <v>1352</v>
      </c>
      <c r="AK147" s="33" t="s">
        <v>24</v>
      </c>
      <c r="AL147" s="27"/>
      <c r="AM147" s="34" t="s">
        <v>25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8" customHeight="1" x14ac:dyDescent="0.3">
      <c r="A148" s="39">
        <v>144</v>
      </c>
      <c r="B148" s="40" t="s">
        <v>5485</v>
      </c>
      <c r="C148" s="41" t="s">
        <v>5486</v>
      </c>
      <c r="D148" s="39" t="s">
        <v>5200</v>
      </c>
      <c r="E148" s="43">
        <v>46125</v>
      </c>
      <c r="F148" s="26" t="s">
        <v>23</v>
      </c>
      <c r="G148" s="44" t="s">
        <v>1352</v>
      </c>
      <c r="H148" s="26" t="s">
        <v>25</v>
      </c>
      <c r="I148" s="44" t="s">
        <v>1352</v>
      </c>
      <c r="J148" s="26" t="s">
        <v>24</v>
      </c>
      <c r="K148" s="27"/>
      <c r="L148" s="28" t="s">
        <v>25</v>
      </c>
      <c r="M148" s="29" t="str">
        <f t="shared" si="10"/>
        <v>✓ OK</v>
      </c>
      <c r="N148" s="43">
        <v>46196</v>
      </c>
      <c r="O148" s="26" t="s">
        <v>23</v>
      </c>
      <c r="P148" s="44" t="s">
        <v>1352</v>
      </c>
      <c r="Q148" s="26" t="s">
        <v>25</v>
      </c>
      <c r="R148" s="44" t="s">
        <v>1352</v>
      </c>
      <c r="S148" s="26" t="s">
        <v>24</v>
      </c>
      <c r="T148" s="27"/>
      <c r="U148" s="28" t="s">
        <v>25</v>
      </c>
      <c r="V148" s="29" t="str">
        <f t="shared" si="11"/>
        <v>✓ OK</v>
      </c>
      <c r="W148" s="45">
        <v>46248</v>
      </c>
      <c r="X148" s="30" t="s">
        <v>23</v>
      </c>
      <c r="Y148" s="30" t="s">
        <v>1352</v>
      </c>
      <c r="Z148" s="30" t="s">
        <v>25</v>
      </c>
      <c r="AA148" s="30" t="s">
        <v>1352</v>
      </c>
      <c r="AB148" s="30" t="s">
        <v>24</v>
      </c>
      <c r="AC148" s="27"/>
      <c r="AD148" s="31" t="s">
        <v>25</v>
      </c>
      <c r="AE148" s="32" t="str">
        <f t="shared" si="12"/>
        <v>✓ OK</v>
      </c>
      <c r="AF148" s="33" t="s">
        <v>27</v>
      </c>
      <c r="AG148" s="33" t="s">
        <v>23</v>
      </c>
      <c r="AH148" s="33" t="s">
        <v>1352</v>
      </c>
      <c r="AI148" s="33" t="s">
        <v>25</v>
      </c>
      <c r="AJ148" s="33" t="s">
        <v>1352</v>
      </c>
      <c r="AK148" s="33" t="s">
        <v>24</v>
      </c>
      <c r="AL148" s="27"/>
      <c r="AM148" s="34" t="s">
        <v>25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8" customHeight="1" x14ac:dyDescent="0.3">
      <c r="A149" s="23">
        <v>145</v>
      </c>
      <c r="B149" s="24" t="s">
        <v>5487</v>
      </c>
      <c r="C149" s="25" t="s">
        <v>5488</v>
      </c>
      <c r="D149" s="23" t="s">
        <v>5200</v>
      </c>
      <c r="E149" s="43">
        <v>46125</v>
      </c>
      <c r="F149" s="26" t="s">
        <v>23</v>
      </c>
      <c r="G149" s="44" t="s">
        <v>1352</v>
      </c>
      <c r="H149" s="26" t="s">
        <v>25</v>
      </c>
      <c r="I149" s="44" t="s">
        <v>1352</v>
      </c>
      <c r="J149" s="26" t="s">
        <v>24</v>
      </c>
      <c r="K149" s="27"/>
      <c r="L149" s="28" t="s">
        <v>25</v>
      </c>
      <c r="M149" s="29" t="str">
        <f t="shared" si="10"/>
        <v>✓ OK</v>
      </c>
      <c r="N149" s="43">
        <v>46196</v>
      </c>
      <c r="O149" s="26" t="s">
        <v>23</v>
      </c>
      <c r="P149" s="44" t="s">
        <v>1352</v>
      </c>
      <c r="Q149" s="26" t="s">
        <v>25</v>
      </c>
      <c r="R149" s="44" t="s">
        <v>1352</v>
      </c>
      <c r="S149" s="26" t="s">
        <v>24</v>
      </c>
      <c r="T149" s="27"/>
      <c r="U149" s="28" t="s">
        <v>25</v>
      </c>
      <c r="V149" s="29" t="str">
        <f t="shared" si="11"/>
        <v>✓ OK</v>
      </c>
      <c r="W149" s="45">
        <v>46248</v>
      </c>
      <c r="X149" s="30" t="s">
        <v>23</v>
      </c>
      <c r="Y149" s="30" t="s">
        <v>1352</v>
      </c>
      <c r="Z149" s="30" t="s">
        <v>25</v>
      </c>
      <c r="AA149" s="30" t="s">
        <v>1352</v>
      </c>
      <c r="AB149" s="30" t="s">
        <v>24</v>
      </c>
      <c r="AC149" s="27"/>
      <c r="AD149" s="31" t="s">
        <v>25</v>
      </c>
      <c r="AE149" s="32" t="str">
        <f t="shared" si="12"/>
        <v>✓ OK</v>
      </c>
      <c r="AF149" s="33" t="s">
        <v>27</v>
      </c>
      <c r="AG149" s="33" t="s">
        <v>23</v>
      </c>
      <c r="AH149" s="33" t="s">
        <v>1352</v>
      </c>
      <c r="AI149" s="33" t="s">
        <v>25</v>
      </c>
      <c r="AJ149" s="33" t="s">
        <v>1352</v>
      </c>
      <c r="AK149" s="33" t="s">
        <v>24</v>
      </c>
      <c r="AL149" s="27"/>
      <c r="AM149" s="34" t="s">
        <v>25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8" customHeight="1" x14ac:dyDescent="0.3">
      <c r="A150" s="39">
        <v>146</v>
      </c>
      <c r="B150" s="40" t="s">
        <v>5489</v>
      </c>
      <c r="C150" s="41" t="s">
        <v>5490</v>
      </c>
      <c r="D150" s="39" t="s">
        <v>5200</v>
      </c>
      <c r="E150" s="43">
        <v>46125</v>
      </c>
      <c r="F150" s="26" t="s">
        <v>23</v>
      </c>
      <c r="G150" s="44" t="s">
        <v>1352</v>
      </c>
      <c r="H150" s="26" t="s">
        <v>25</v>
      </c>
      <c r="I150" s="44" t="s">
        <v>1352</v>
      </c>
      <c r="J150" s="26" t="s">
        <v>24</v>
      </c>
      <c r="K150" s="27"/>
      <c r="L150" s="28" t="s">
        <v>25</v>
      </c>
      <c r="M150" s="29" t="str">
        <f t="shared" si="10"/>
        <v>✓ OK</v>
      </c>
      <c r="N150" s="43">
        <v>46196</v>
      </c>
      <c r="O150" s="26" t="s">
        <v>23</v>
      </c>
      <c r="P150" s="44" t="s">
        <v>1352</v>
      </c>
      <c r="Q150" s="26" t="s">
        <v>25</v>
      </c>
      <c r="R150" s="44" t="s">
        <v>1352</v>
      </c>
      <c r="S150" s="26" t="s">
        <v>24</v>
      </c>
      <c r="T150" s="27"/>
      <c r="U150" s="28" t="s">
        <v>25</v>
      </c>
      <c r="V150" s="29" t="str">
        <f t="shared" si="11"/>
        <v>✓ OK</v>
      </c>
      <c r="W150" s="45">
        <v>46248</v>
      </c>
      <c r="X150" s="30" t="s">
        <v>23</v>
      </c>
      <c r="Y150" s="30" t="s">
        <v>1352</v>
      </c>
      <c r="Z150" s="30" t="s">
        <v>25</v>
      </c>
      <c r="AA150" s="30" t="s">
        <v>1352</v>
      </c>
      <c r="AB150" s="30" t="s">
        <v>24</v>
      </c>
      <c r="AC150" s="27"/>
      <c r="AD150" s="31" t="s">
        <v>25</v>
      </c>
      <c r="AE150" s="32" t="str">
        <f t="shared" si="12"/>
        <v>✓ OK</v>
      </c>
      <c r="AF150" s="33" t="s">
        <v>27</v>
      </c>
      <c r="AG150" s="33" t="s">
        <v>23</v>
      </c>
      <c r="AH150" s="33" t="s">
        <v>1352</v>
      </c>
      <c r="AI150" s="33" t="s">
        <v>25</v>
      </c>
      <c r="AJ150" s="33" t="s">
        <v>1352</v>
      </c>
      <c r="AK150" s="33" t="s">
        <v>24</v>
      </c>
      <c r="AL150" s="27"/>
      <c r="AM150" s="34" t="s">
        <v>25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8" customHeight="1" x14ac:dyDescent="0.3">
      <c r="A151" s="23">
        <v>147</v>
      </c>
      <c r="B151" s="24" t="s">
        <v>5491</v>
      </c>
      <c r="C151" s="25" t="s">
        <v>5492</v>
      </c>
      <c r="D151" s="23" t="s">
        <v>5200</v>
      </c>
      <c r="E151" s="43">
        <v>46125</v>
      </c>
      <c r="F151" s="26" t="s">
        <v>23</v>
      </c>
      <c r="G151" s="44" t="s">
        <v>1352</v>
      </c>
      <c r="H151" s="26" t="s">
        <v>25</v>
      </c>
      <c r="I151" s="44" t="s">
        <v>1352</v>
      </c>
      <c r="J151" s="26" t="s">
        <v>24</v>
      </c>
      <c r="K151" s="27"/>
      <c r="L151" s="28" t="s">
        <v>25</v>
      </c>
      <c r="M151" s="29" t="str">
        <f t="shared" si="10"/>
        <v>✓ OK</v>
      </c>
      <c r="N151" s="43">
        <v>46196</v>
      </c>
      <c r="O151" s="26" t="s">
        <v>23</v>
      </c>
      <c r="P151" s="44" t="s">
        <v>1352</v>
      </c>
      <c r="Q151" s="26" t="s">
        <v>25</v>
      </c>
      <c r="R151" s="44" t="s">
        <v>1352</v>
      </c>
      <c r="S151" s="26" t="s">
        <v>24</v>
      </c>
      <c r="T151" s="27"/>
      <c r="U151" s="28" t="s">
        <v>25</v>
      </c>
      <c r="V151" s="29" t="str">
        <f t="shared" si="11"/>
        <v>✓ OK</v>
      </c>
      <c r="W151" s="45">
        <v>46248</v>
      </c>
      <c r="X151" s="30" t="s">
        <v>23</v>
      </c>
      <c r="Y151" s="30" t="s">
        <v>1352</v>
      </c>
      <c r="Z151" s="30" t="s">
        <v>25</v>
      </c>
      <c r="AA151" s="30" t="s">
        <v>1352</v>
      </c>
      <c r="AB151" s="30" t="s">
        <v>24</v>
      </c>
      <c r="AC151" s="27"/>
      <c r="AD151" s="31" t="s">
        <v>25</v>
      </c>
      <c r="AE151" s="32" t="str">
        <f t="shared" si="12"/>
        <v>✓ OK</v>
      </c>
      <c r="AF151" s="33" t="s">
        <v>27</v>
      </c>
      <c r="AG151" s="33" t="s">
        <v>23</v>
      </c>
      <c r="AH151" s="33" t="s">
        <v>1352</v>
      </c>
      <c r="AI151" s="33" t="s">
        <v>25</v>
      </c>
      <c r="AJ151" s="33" t="s">
        <v>1352</v>
      </c>
      <c r="AK151" s="33" t="s">
        <v>24</v>
      </c>
      <c r="AL151" s="27"/>
      <c r="AM151" s="34" t="s">
        <v>25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8" customHeight="1" x14ac:dyDescent="0.3">
      <c r="A152" s="39">
        <v>148</v>
      </c>
      <c r="B152" s="40" t="s">
        <v>5493</v>
      </c>
      <c r="C152" s="41" t="s">
        <v>5494</v>
      </c>
      <c r="D152" s="39" t="s">
        <v>5200</v>
      </c>
      <c r="E152" s="43">
        <v>46125</v>
      </c>
      <c r="F152" s="26" t="s">
        <v>23</v>
      </c>
      <c r="G152" s="44" t="s">
        <v>24</v>
      </c>
      <c r="H152" s="26" t="s">
        <v>25</v>
      </c>
      <c r="I152" s="44" t="s">
        <v>26</v>
      </c>
      <c r="J152" s="26" t="s">
        <v>24</v>
      </c>
      <c r="K152" s="27"/>
      <c r="L152" s="28" t="s">
        <v>25</v>
      </c>
      <c r="M152" s="29" t="str">
        <f t="shared" si="10"/>
        <v>✓ OK</v>
      </c>
      <c r="N152" s="43">
        <v>46196</v>
      </c>
      <c r="O152" s="26" t="s">
        <v>23</v>
      </c>
      <c r="P152" s="44" t="s">
        <v>24</v>
      </c>
      <c r="Q152" s="26" t="s">
        <v>25</v>
      </c>
      <c r="R152" s="44" t="s">
        <v>26</v>
      </c>
      <c r="S152" s="26" t="s">
        <v>24</v>
      </c>
      <c r="T152" s="27"/>
      <c r="U152" s="28" t="s">
        <v>25</v>
      </c>
      <c r="V152" s="29" t="str">
        <f t="shared" si="11"/>
        <v>✓ OK</v>
      </c>
      <c r="W152" s="45">
        <v>46248</v>
      </c>
      <c r="X152" s="30" t="s">
        <v>23</v>
      </c>
      <c r="Y152" s="30" t="s">
        <v>24</v>
      </c>
      <c r="Z152" s="30" t="s">
        <v>25</v>
      </c>
      <c r="AA152" s="30" t="s">
        <v>26</v>
      </c>
      <c r="AB152" s="30" t="s">
        <v>24</v>
      </c>
      <c r="AC152" s="27"/>
      <c r="AD152" s="31" t="s">
        <v>25</v>
      </c>
      <c r="AE152" s="32" t="str">
        <f t="shared" si="12"/>
        <v>✓ OK</v>
      </c>
      <c r="AF152" s="33" t="s">
        <v>27</v>
      </c>
      <c r="AG152" s="33" t="s">
        <v>23</v>
      </c>
      <c r="AH152" s="33" t="s">
        <v>24</v>
      </c>
      <c r="AI152" s="33" t="s">
        <v>25</v>
      </c>
      <c r="AJ152" s="33" t="s">
        <v>26</v>
      </c>
      <c r="AK152" s="33" t="s">
        <v>24</v>
      </c>
      <c r="AL152" s="27"/>
      <c r="AM152" s="34" t="s">
        <v>25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8" customHeight="1" x14ac:dyDescent="0.3">
      <c r="A153" s="23">
        <v>149</v>
      </c>
      <c r="B153" s="24" t="s">
        <v>5495</v>
      </c>
      <c r="C153" s="25" t="s">
        <v>5496</v>
      </c>
      <c r="D153" s="23" t="s">
        <v>5200</v>
      </c>
      <c r="E153" s="43">
        <v>46125</v>
      </c>
      <c r="F153" s="26" t="s">
        <v>23</v>
      </c>
      <c r="G153" s="44" t="s">
        <v>1352</v>
      </c>
      <c r="H153" s="26" t="s">
        <v>25</v>
      </c>
      <c r="I153" s="44" t="s">
        <v>1352</v>
      </c>
      <c r="J153" s="26" t="s">
        <v>24</v>
      </c>
      <c r="K153" s="27"/>
      <c r="L153" s="28" t="s">
        <v>25</v>
      </c>
      <c r="M153" s="29" t="str">
        <f t="shared" si="10"/>
        <v>✓ OK</v>
      </c>
      <c r="N153" s="43">
        <v>46196</v>
      </c>
      <c r="O153" s="26" t="s">
        <v>23</v>
      </c>
      <c r="P153" s="44" t="s">
        <v>1352</v>
      </c>
      <c r="Q153" s="26" t="s">
        <v>25</v>
      </c>
      <c r="R153" s="44" t="s">
        <v>1352</v>
      </c>
      <c r="S153" s="26" t="s">
        <v>24</v>
      </c>
      <c r="T153" s="27"/>
      <c r="U153" s="28" t="s">
        <v>25</v>
      </c>
      <c r="V153" s="29" t="str">
        <f t="shared" si="11"/>
        <v>✓ OK</v>
      </c>
      <c r="W153" s="45">
        <v>46248</v>
      </c>
      <c r="X153" s="30" t="s">
        <v>23</v>
      </c>
      <c r="Y153" s="30" t="s">
        <v>1352</v>
      </c>
      <c r="Z153" s="30" t="s">
        <v>25</v>
      </c>
      <c r="AA153" s="30" t="s">
        <v>1352</v>
      </c>
      <c r="AB153" s="30" t="s">
        <v>24</v>
      </c>
      <c r="AC153" s="27"/>
      <c r="AD153" s="31" t="s">
        <v>25</v>
      </c>
      <c r="AE153" s="32" t="str">
        <f t="shared" si="12"/>
        <v>✓ OK</v>
      </c>
      <c r="AF153" s="33" t="s">
        <v>27</v>
      </c>
      <c r="AG153" s="33" t="s">
        <v>23</v>
      </c>
      <c r="AH153" s="33" t="s">
        <v>1352</v>
      </c>
      <c r="AI153" s="33" t="s">
        <v>25</v>
      </c>
      <c r="AJ153" s="33" t="s">
        <v>1352</v>
      </c>
      <c r="AK153" s="33" t="s">
        <v>24</v>
      </c>
      <c r="AL153" s="27"/>
      <c r="AM153" s="34" t="s">
        <v>25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8" customHeight="1" x14ac:dyDescent="0.3">
      <c r="A154" s="39">
        <v>150</v>
      </c>
      <c r="B154" s="40" t="s">
        <v>5497</v>
      </c>
      <c r="C154" s="41" t="s">
        <v>5498</v>
      </c>
      <c r="D154" s="39" t="s">
        <v>5200</v>
      </c>
      <c r="E154" s="43">
        <v>46125</v>
      </c>
      <c r="F154" s="26" t="s">
        <v>23</v>
      </c>
      <c r="G154" s="44" t="s">
        <v>25</v>
      </c>
      <c r="H154" s="26" t="s">
        <v>25</v>
      </c>
      <c r="I154" s="44" t="s">
        <v>735</v>
      </c>
      <c r="J154" s="26" t="s">
        <v>25</v>
      </c>
      <c r="K154" s="27"/>
      <c r="L154" s="28" t="s">
        <v>24</v>
      </c>
      <c r="M154" s="29" t="str">
        <f t="shared" si="10"/>
        <v>⚠ Missing</v>
      </c>
      <c r="N154" s="43">
        <v>46196</v>
      </c>
      <c r="O154" s="26" t="s">
        <v>23</v>
      </c>
      <c r="P154" s="44" t="s">
        <v>25</v>
      </c>
      <c r="Q154" s="26" t="s">
        <v>25</v>
      </c>
      <c r="R154" s="44" t="s">
        <v>735</v>
      </c>
      <c r="S154" s="26" t="s">
        <v>25</v>
      </c>
      <c r="T154" s="27"/>
      <c r="U154" s="28" t="s">
        <v>24</v>
      </c>
      <c r="V154" s="29" t="str">
        <f t="shared" si="11"/>
        <v>⚠ Missing</v>
      </c>
      <c r="W154" s="45">
        <v>46248</v>
      </c>
      <c r="X154" s="30" t="s">
        <v>23</v>
      </c>
      <c r="Y154" s="30" t="s">
        <v>25</v>
      </c>
      <c r="Z154" s="30" t="s">
        <v>25</v>
      </c>
      <c r="AA154" s="30" t="s">
        <v>735</v>
      </c>
      <c r="AB154" s="30" t="s">
        <v>25</v>
      </c>
      <c r="AC154" s="27"/>
      <c r="AD154" s="31" t="s">
        <v>24</v>
      </c>
      <c r="AE154" s="32" t="str">
        <f t="shared" si="12"/>
        <v>⚠ Missing</v>
      </c>
      <c r="AF154" s="33" t="s">
        <v>27</v>
      </c>
      <c r="AG154" s="33" t="s">
        <v>23</v>
      </c>
      <c r="AH154" s="33" t="s">
        <v>25</v>
      </c>
      <c r="AI154" s="33" t="s">
        <v>24</v>
      </c>
      <c r="AJ154" s="33" t="s">
        <v>135</v>
      </c>
      <c r="AK154" s="33" t="s">
        <v>25</v>
      </c>
      <c r="AL154" s="27"/>
      <c r="AM154" s="34" t="s">
        <v>25</v>
      </c>
      <c r="AN154" s="35" t="str">
        <f t="shared" si="13"/>
        <v>❌ Disc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8" customHeight="1" x14ac:dyDescent="0.3">
      <c r="A155" s="23">
        <v>151</v>
      </c>
      <c r="B155" s="24" t="s">
        <v>5499</v>
      </c>
      <c r="C155" s="25" t="s">
        <v>5500</v>
      </c>
      <c r="D155" s="23" t="s">
        <v>5200</v>
      </c>
      <c r="E155" s="43">
        <v>46125</v>
      </c>
      <c r="F155" s="26" t="s">
        <v>23</v>
      </c>
      <c r="G155" s="44" t="s">
        <v>25</v>
      </c>
      <c r="H155" s="26" t="s">
        <v>25</v>
      </c>
      <c r="I155" s="44" t="s">
        <v>735</v>
      </c>
      <c r="J155" s="26" t="s">
        <v>25</v>
      </c>
      <c r="K155" s="27"/>
      <c r="L155" s="28" t="s">
        <v>24</v>
      </c>
      <c r="M155" s="29" t="str">
        <f t="shared" si="10"/>
        <v>⚠ Missing</v>
      </c>
      <c r="N155" s="43">
        <v>46196</v>
      </c>
      <c r="O155" s="26" t="s">
        <v>23</v>
      </c>
      <c r="P155" s="44" t="s">
        <v>25</v>
      </c>
      <c r="Q155" s="26" t="s">
        <v>25</v>
      </c>
      <c r="R155" s="44" t="s">
        <v>735</v>
      </c>
      <c r="S155" s="26" t="s">
        <v>25</v>
      </c>
      <c r="T155" s="27"/>
      <c r="U155" s="28" t="s">
        <v>24</v>
      </c>
      <c r="V155" s="29" t="str">
        <f t="shared" si="11"/>
        <v>⚠ Missing</v>
      </c>
      <c r="W155" s="45">
        <v>46248</v>
      </c>
      <c r="X155" s="30" t="s">
        <v>23</v>
      </c>
      <c r="Y155" s="30" t="s">
        <v>25</v>
      </c>
      <c r="Z155" s="30" t="s">
        <v>25</v>
      </c>
      <c r="AA155" s="30" t="s">
        <v>735</v>
      </c>
      <c r="AB155" s="30" t="s">
        <v>25</v>
      </c>
      <c r="AC155" s="27"/>
      <c r="AD155" s="31" t="s">
        <v>24</v>
      </c>
      <c r="AE155" s="32" t="str">
        <f t="shared" si="12"/>
        <v>⚠ Missing</v>
      </c>
      <c r="AF155" s="33" t="s">
        <v>27</v>
      </c>
      <c r="AG155" s="33" t="s">
        <v>23</v>
      </c>
      <c r="AH155" s="33" t="s">
        <v>25</v>
      </c>
      <c r="AI155" s="33" t="s">
        <v>24</v>
      </c>
      <c r="AJ155" s="33" t="s">
        <v>135</v>
      </c>
      <c r="AK155" s="33" t="s">
        <v>25</v>
      </c>
      <c r="AL155" s="27"/>
      <c r="AM155" s="34" t="s">
        <v>25</v>
      </c>
      <c r="AN155" s="35" t="str">
        <f t="shared" si="13"/>
        <v>❌ Disc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8" customHeight="1" x14ac:dyDescent="0.3">
      <c r="A156" s="39">
        <v>152</v>
      </c>
      <c r="B156" s="40" t="s">
        <v>5501</v>
      </c>
      <c r="C156" s="41" t="s">
        <v>5502</v>
      </c>
      <c r="D156" s="39" t="s">
        <v>5200</v>
      </c>
      <c r="E156" s="43">
        <v>46125</v>
      </c>
      <c r="F156" s="26" t="s">
        <v>23</v>
      </c>
      <c r="G156" s="44" t="s">
        <v>25</v>
      </c>
      <c r="H156" s="26" t="s">
        <v>25</v>
      </c>
      <c r="I156" s="44" t="s">
        <v>735</v>
      </c>
      <c r="J156" s="26" t="s">
        <v>25</v>
      </c>
      <c r="K156" s="27"/>
      <c r="L156" s="28" t="s">
        <v>24</v>
      </c>
      <c r="M156" s="29" t="str">
        <f t="shared" si="10"/>
        <v>⚠ Missing</v>
      </c>
      <c r="N156" s="43">
        <v>46196</v>
      </c>
      <c r="O156" s="26" t="s">
        <v>23</v>
      </c>
      <c r="P156" s="44" t="s">
        <v>25</v>
      </c>
      <c r="Q156" s="26" t="s">
        <v>25</v>
      </c>
      <c r="R156" s="44" t="s">
        <v>735</v>
      </c>
      <c r="S156" s="26" t="s">
        <v>25</v>
      </c>
      <c r="T156" s="27"/>
      <c r="U156" s="28" t="s">
        <v>24</v>
      </c>
      <c r="V156" s="29" t="str">
        <f t="shared" si="11"/>
        <v>⚠ Missing</v>
      </c>
      <c r="W156" s="45">
        <v>46248</v>
      </c>
      <c r="X156" s="30" t="s">
        <v>23</v>
      </c>
      <c r="Y156" s="30" t="s">
        <v>25</v>
      </c>
      <c r="Z156" s="30" t="s">
        <v>25</v>
      </c>
      <c r="AA156" s="30" t="s">
        <v>735</v>
      </c>
      <c r="AB156" s="30" t="s">
        <v>25</v>
      </c>
      <c r="AC156" s="27"/>
      <c r="AD156" s="31" t="s">
        <v>24</v>
      </c>
      <c r="AE156" s="32" t="str">
        <f t="shared" si="12"/>
        <v>⚠ Missing</v>
      </c>
      <c r="AF156" s="33" t="s">
        <v>27</v>
      </c>
      <c r="AG156" s="33" t="s">
        <v>23</v>
      </c>
      <c r="AH156" s="33" t="s">
        <v>25</v>
      </c>
      <c r="AI156" s="33" t="s">
        <v>24</v>
      </c>
      <c r="AJ156" s="33" t="s">
        <v>135</v>
      </c>
      <c r="AK156" s="33" t="s">
        <v>25</v>
      </c>
      <c r="AL156" s="27"/>
      <c r="AM156" s="34" t="s">
        <v>25</v>
      </c>
      <c r="AN156" s="35" t="str">
        <f t="shared" si="13"/>
        <v>❌ Disc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8" customHeight="1" x14ac:dyDescent="0.3">
      <c r="A157" s="23">
        <v>153</v>
      </c>
      <c r="B157" s="24" t="s">
        <v>5503</v>
      </c>
      <c r="C157" s="25" t="s">
        <v>5504</v>
      </c>
      <c r="D157" s="23" t="s">
        <v>5200</v>
      </c>
      <c r="E157" s="43">
        <v>46125</v>
      </c>
      <c r="F157" s="26" t="s">
        <v>23</v>
      </c>
      <c r="G157" s="44" t="s">
        <v>25</v>
      </c>
      <c r="H157" s="26" t="s">
        <v>25</v>
      </c>
      <c r="I157" s="44" t="s">
        <v>735</v>
      </c>
      <c r="J157" s="26" t="s">
        <v>25</v>
      </c>
      <c r="K157" s="27"/>
      <c r="L157" s="28" t="s">
        <v>24</v>
      </c>
      <c r="M157" s="29" t="str">
        <f t="shared" si="10"/>
        <v>⚠ Missing</v>
      </c>
      <c r="N157" s="43">
        <v>46196</v>
      </c>
      <c r="O157" s="26" t="s">
        <v>23</v>
      </c>
      <c r="P157" s="44" t="s">
        <v>25</v>
      </c>
      <c r="Q157" s="26" t="s">
        <v>25</v>
      </c>
      <c r="R157" s="44" t="s">
        <v>735</v>
      </c>
      <c r="S157" s="26" t="s">
        <v>25</v>
      </c>
      <c r="T157" s="27"/>
      <c r="U157" s="28" t="s">
        <v>24</v>
      </c>
      <c r="V157" s="29" t="str">
        <f t="shared" si="11"/>
        <v>⚠ Missing</v>
      </c>
      <c r="W157" s="45">
        <v>46248</v>
      </c>
      <c r="X157" s="30" t="s">
        <v>23</v>
      </c>
      <c r="Y157" s="30" t="s">
        <v>25</v>
      </c>
      <c r="Z157" s="30" t="s">
        <v>25</v>
      </c>
      <c r="AA157" s="30" t="s">
        <v>735</v>
      </c>
      <c r="AB157" s="30" t="s">
        <v>25</v>
      </c>
      <c r="AC157" s="27"/>
      <c r="AD157" s="31" t="s">
        <v>24</v>
      </c>
      <c r="AE157" s="32" t="str">
        <f t="shared" si="12"/>
        <v>⚠ Missing</v>
      </c>
      <c r="AF157" s="33" t="s">
        <v>27</v>
      </c>
      <c r="AG157" s="33" t="s">
        <v>23</v>
      </c>
      <c r="AH157" s="33" t="s">
        <v>25</v>
      </c>
      <c r="AI157" s="33" t="s">
        <v>24</v>
      </c>
      <c r="AJ157" s="33" t="s">
        <v>135</v>
      </c>
      <c r="AK157" s="33" t="s">
        <v>25</v>
      </c>
      <c r="AL157" s="27"/>
      <c r="AM157" s="34" t="s">
        <v>25</v>
      </c>
      <c r="AN157" s="35" t="str">
        <f t="shared" si="13"/>
        <v>❌ Disc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8" customHeight="1" x14ac:dyDescent="0.3">
      <c r="A158" s="39">
        <v>154</v>
      </c>
      <c r="B158" s="40" t="s">
        <v>5505</v>
      </c>
      <c r="C158" s="41" t="s">
        <v>5506</v>
      </c>
      <c r="D158" s="39" t="s">
        <v>5200</v>
      </c>
      <c r="E158" s="43">
        <v>46125</v>
      </c>
      <c r="F158" s="26" t="s">
        <v>23</v>
      </c>
      <c r="G158" s="44" t="s">
        <v>25</v>
      </c>
      <c r="H158" s="26" t="s">
        <v>25</v>
      </c>
      <c r="I158" s="44" t="s">
        <v>735</v>
      </c>
      <c r="J158" s="26" t="s">
        <v>25</v>
      </c>
      <c r="K158" s="27"/>
      <c r="L158" s="28" t="s">
        <v>24</v>
      </c>
      <c r="M158" s="29" t="str">
        <f t="shared" si="10"/>
        <v>⚠ Missing</v>
      </c>
      <c r="N158" s="43">
        <v>46196</v>
      </c>
      <c r="O158" s="26" t="s">
        <v>23</v>
      </c>
      <c r="P158" s="44" t="s">
        <v>25</v>
      </c>
      <c r="Q158" s="26" t="s">
        <v>25</v>
      </c>
      <c r="R158" s="44" t="s">
        <v>735</v>
      </c>
      <c r="S158" s="26" t="s">
        <v>25</v>
      </c>
      <c r="T158" s="27"/>
      <c r="U158" s="28" t="s">
        <v>24</v>
      </c>
      <c r="V158" s="29" t="str">
        <f t="shared" si="11"/>
        <v>⚠ Missing</v>
      </c>
      <c r="W158" s="45">
        <v>46248</v>
      </c>
      <c r="X158" s="30" t="s">
        <v>23</v>
      </c>
      <c r="Y158" s="30" t="s">
        <v>25</v>
      </c>
      <c r="Z158" s="30" t="s">
        <v>25</v>
      </c>
      <c r="AA158" s="30" t="s">
        <v>735</v>
      </c>
      <c r="AB158" s="30" t="s">
        <v>25</v>
      </c>
      <c r="AC158" s="27"/>
      <c r="AD158" s="31" t="s">
        <v>24</v>
      </c>
      <c r="AE158" s="32" t="str">
        <f t="shared" si="12"/>
        <v>⚠ Missing</v>
      </c>
      <c r="AF158" s="33" t="s">
        <v>27</v>
      </c>
      <c r="AG158" s="33" t="s">
        <v>23</v>
      </c>
      <c r="AH158" s="33" t="s">
        <v>25</v>
      </c>
      <c r="AI158" s="33" t="s">
        <v>24</v>
      </c>
      <c r="AJ158" s="33" t="s">
        <v>135</v>
      </c>
      <c r="AK158" s="33" t="s">
        <v>25</v>
      </c>
      <c r="AL158" s="27"/>
      <c r="AM158" s="34" t="s">
        <v>25</v>
      </c>
      <c r="AN158" s="35" t="str">
        <f t="shared" si="13"/>
        <v>❌ Disc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8" customHeight="1" x14ac:dyDescent="0.3">
      <c r="A159" s="23">
        <v>155</v>
      </c>
      <c r="B159" s="24" t="s">
        <v>5507</v>
      </c>
      <c r="C159" s="25" t="s">
        <v>5508</v>
      </c>
      <c r="D159" s="23" t="s">
        <v>5200</v>
      </c>
      <c r="E159" s="43">
        <v>46125</v>
      </c>
      <c r="F159" s="26" t="s">
        <v>23</v>
      </c>
      <c r="G159" s="44" t="s">
        <v>25</v>
      </c>
      <c r="H159" s="26" t="s">
        <v>25</v>
      </c>
      <c r="I159" s="44" t="s">
        <v>735</v>
      </c>
      <c r="J159" s="26" t="s">
        <v>25</v>
      </c>
      <c r="K159" s="27"/>
      <c r="L159" s="28" t="s">
        <v>24</v>
      </c>
      <c r="M159" s="29" t="str">
        <f t="shared" si="10"/>
        <v>⚠ Missing</v>
      </c>
      <c r="N159" s="43">
        <v>46196</v>
      </c>
      <c r="O159" s="26" t="s">
        <v>23</v>
      </c>
      <c r="P159" s="44" t="s">
        <v>25</v>
      </c>
      <c r="Q159" s="26" t="s">
        <v>25</v>
      </c>
      <c r="R159" s="44" t="s">
        <v>735</v>
      </c>
      <c r="S159" s="26" t="s">
        <v>25</v>
      </c>
      <c r="T159" s="27"/>
      <c r="U159" s="28" t="s">
        <v>24</v>
      </c>
      <c r="V159" s="29" t="str">
        <f t="shared" si="11"/>
        <v>⚠ Missing</v>
      </c>
      <c r="W159" s="45">
        <v>46248</v>
      </c>
      <c r="X159" s="30" t="s">
        <v>23</v>
      </c>
      <c r="Y159" s="30" t="s">
        <v>25</v>
      </c>
      <c r="Z159" s="30" t="s">
        <v>25</v>
      </c>
      <c r="AA159" s="30" t="s">
        <v>735</v>
      </c>
      <c r="AB159" s="30" t="s">
        <v>25</v>
      </c>
      <c r="AC159" s="27"/>
      <c r="AD159" s="31" t="s">
        <v>24</v>
      </c>
      <c r="AE159" s="32" t="str">
        <f t="shared" si="12"/>
        <v>⚠ Missing</v>
      </c>
      <c r="AF159" s="33" t="s">
        <v>27</v>
      </c>
      <c r="AG159" s="33" t="s">
        <v>23</v>
      </c>
      <c r="AH159" s="33" t="s">
        <v>25</v>
      </c>
      <c r="AI159" s="33" t="s">
        <v>24</v>
      </c>
      <c r="AJ159" s="33" t="s">
        <v>135</v>
      </c>
      <c r="AK159" s="33" t="s">
        <v>25</v>
      </c>
      <c r="AL159" s="27"/>
      <c r="AM159" s="34" t="s">
        <v>25</v>
      </c>
      <c r="AN159" s="35" t="str">
        <f t="shared" si="13"/>
        <v>❌ Disc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8" customHeight="1" x14ac:dyDescent="0.3">
      <c r="A160" s="39">
        <v>156</v>
      </c>
      <c r="B160" s="40" t="s">
        <v>5509</v>
      </c>
      <c r="C160" s="41" t="s">
        <v>5510</v>
      </c>
      <c r="D160" s="39" t="s">
        <v>5200</v>
      </c>
      <c r="E160" s="43">
        <v>46125</v>
      </c>
      <c r="F160" s="26" t="s">
        <v>23</v>
      </c>
      <c r="G160" s="44" t="s">
        <v>1352</v>
      </c>
      <c r="H160" s="26" t="s">
        <v>25</v>
      </c>
      <c r="I160" s="44" t="s">
        <v>1352</v>
      </c>
      <c r="J160" s="26" t="s">
        <v>24</v>
      </c>
      <c r="K160" s="27"/>
      <c r="L160" s="28" t="s">
        <v>25</v>
      </c>
      <c r="M160" s="29" t="str">
        <f t="shared" si="10"/>
        <v>✓ OK</v>
      </c>
      <c r="N160" s="43">
        <v>46196</v>
      </c>
      <c r="O160" s="26" t="s">
        <v>23</v>
      </c>
      <c r="P160" s="44" t="s">
        <v>1352</v>
      </c>
      <c r="Q160" s="26" t="s">
        <v>25</v>
      </c>
      <c r="R160" s="44" t="s">
        <v>1352</v>
      </c>
      <c r="S160" s="26" t="s">
        <v>24</v>
      </c>
      <c r="T160" s="27"/>
      <c r="U160" s="28" t="s">
        <v>25</v>
      </c>
      <c r="V160" s="29" t="str">
        <f t="shared" si="11"/>
        <v>✓ OK</v>
      </c>
      <c r="W160" s="45">
        <v>46248</v>
      </c>
      <c r="X160" s="30" t="s">
        <v>23</v>
      </c>
      <c r="Y160" s="30" t="s">
        <v>1352</v>
      </c>
      <c r="Z160" s="30" t="s">
        <v>25</v>
      </c>
      <c r="AA160" s="30" t="s">
        <v>1352</v>
      </c>
      <c r="AB160" s="30" t="s">
        <v>24</v>
      </c>
      <c r="AC160" s="27"/>
      <c r="AD160" s="31" t="s">
        <v>25</v>
      </c>
      <c r="AE160" s="32" t="str">
        <f t="shared" si="12"/>
        <v>✓ OK</v>
      </c>
      <c r="AF160" s="33" t="s">
        <v>27</v>
      </c>
      <c r="AG160" s="33" t="s">
        <v>23</v>
      </c>
      <c r="AH160" s="33" t="s">
        <v>1352</v>
      </c>
      <c r="AI160" s="33" t="s">
        <v>25</v>
      </c>
      <c r="AJ160" s="33" t="s">
        <v>1352</v>
      </c>
      <c r="AK160" s="33" t="s">
        <v>24</v>
      </c>
      <c r="AL160" s="27"/>
      <c r="AM160" s="34" t="s">
        <v>25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8" customHeight="1" x14ac:dyDescent="0.3">
      <c r="A161" s="23">
        <v>157</v>
      </c>
      <c r="B161" s="24" t="s">
        <v>5511</v>
      </c>
      <c r="C161" s="25" t="s">
        <v>5512</v>
      </c>
      <c r="D161" s="23" t="s">
        <v>5200</v>
      </c>
      <c r="E161" s="43">
        <v>46125</v>
      </c>
      <c r="F161" s="26" t="s">
        <v>23</v>
      </c>
      <c r="G161" s="44" t="s">
        <v>1352</v>
      </c>
      <c r="H161" s="26" t="s">
        <v>25</v>
      </c>
      <c r="I161" s="44" t="s">
        <v>1352</v>
      </c>
      <c r="J161" s="26" t="s">
        <v>24</v>
      </c>
      <c r="K161" s="27"/>
      <c r="L161" s="28" t="s">
        <v>25</v>
      </c>
      <c r="M161" s="29" t="str">
        <f t="shared" si="10"/>
        <v>✓ OK</v>
      </c>
      <c r="N161" s="43">
        <v>46196</v>
      </c>
      <c r="O161" s="26" t="s">
        <v>23</v>
      </c>
      <c r="P161" s="44" t="s">
        <v>1352</v>
      </c>
      <c r="Q161" s="26" t="s">
        <v>25</v>
      </c>
      <c r="R161" s="44" t="s">
        <v>1352</v>
      </c>
      <c r="S161" s="26" t="s">
        <v>24</v>
      </c>
      <c r="T161" s="27"/>
      <c r="U161" s="28" t="s">
        <v>25</v>
      </c>
      <c r="V161" s="29" t="str">
        <f t="shared" si="11"/>
        <v>✓ OK</v>
      </c>
      <c r="W161" s="45">
        <v>46248</v>
      </c>
      <c r="X161" s="30" t="s">
        <v>23</v>
      </c>
      <c r="Y161" s="30" t="s">
        <v>1352</v>
      </c>
      <c r="Z161" s="30" t="s">
        <v>25</v>
      </c>
      <c r="AA161" s="30" t="s">
        <v>1352</v>
      </c>
      <c r="AB161" s="30" t="s">
        <v>24</v>
      </c>
      <c r="AC161" s="27"/>
      <c r="AD161" s="31" t="s">
        <v>25</v>
      </c>
      <c r="AE161" s="32" t="str">
        <f t="shared" si="12"/>
        <v>✓ OK</v>
      </c>
      <c r="AF161" s="33" t="s">
        <v>27</v>
      </c>
      <c r="AG161" s="33" t="s">
        <v>23</v>
      </c>
      <c r="AH161" s="33" t="s">
        <v>1352</v>
      </c>
      <c r="AI161" s="33" t="s">
        <v>25</v>
      </c>
      <c r="AJ161" s="33" t="s">
        <v>1352</v>
      </c>
      <c r="AK161" s="33" t="s">
        <v>24</v>
      </c>
      <c r="AL161" s="27"/>
      <c r="AM161" s="34" t="s">
        <v>25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8" customHeight="1" x14ac:dyDescent="0.3">
      <c r="A162" s="39">
        <v>158</v>
      </c>
      <c r="B162" s="40" t="s">
        <v>5513</v>
      </c>
      <c r="C162" s="41" t="s">
        <v>5514</v>
      </c>
      <c r="D162" s="39" t="s">
        <v>5200</v>
      </c>
      <c r="E162" s="43">
        <v>46125</v>
      </c>
      <c r="F162" s="26" t="s">
        <v>23</v>
      </c>
      <c r="G162" s="44" t="s">
        <v>1352</v>
      </c>
      <c r="H162" s="26" t="s">
        <v>25</v>
      </c>
      <c r="I162" s="44" t="s">
        <v>1352</v>
      </c>
      <c r="J162" s="26" t="s">
        <v>24</v>
      </c>
      <c r="K162" s="27"/>
      <c r="L162" s="28" t="s">
        <v>25</v>
      </c>
      <c r="M162" s="29" t="str">
        <f t="shared" si="10"/>
        <v>✓ OK</v>
      </c>
      <c r="N162" s="43">
        <v>46196</v>
      </c>
      <c r="O162" s="26" t="s">
        <v>23</v>
      </c>
      <c r="P162" s="44" t="s">
        <v>1352</v>
      </c>
      <c r="Q162" s="26" t="s">
        <v>25</v>
      </c>
      <c r="R162" s="44" t="s">
        <v>1352</v>
      </c>
      <c r="S162" s="26" t="s">
        <v>24</v>
      </c>
      <c r="T162" s="27"/>
      <c r="U162" s="28" t="s">
        <v>25</v>
      </c>
      <c r="V162" s="29" t="str">
        <f t="shared" si="11"/>
        <v>✓ OK</v>
      </c>
      <c r="W162" s="45">
        <v>46248</v>
      </c>
      <c r="X162" s="30" t="s">
        <v>23</v>
      </c>
      <c r="Y162" s="30" t="s">
        <v>1352</v>
      </c>
      <c r="Z162" s="30" t="s">
        <v>25</v>
      </c>
      <c r="AA162" s="30" t="s">
        <v>1352</v>
      </c>
      <c r="AB162" s="30" t="s">
        <v>24</v>
      </c>
      <c r="AC162" s="27"/>
      <c r="AD162" s="31" t="s">
        <v>25</v>
      </c>
      <c r="AE162" s="32" t="str">
        <f t="shared" si="12"/>
        <v>✓ OK</v>
      </c>
      <c r="AF162" s="33" t="s">
        <v>27</v>
      </c>
      <c r="AG162" s="33" t="s">
        <v>23</v>
      </c>
      <c r="AH162" s="33" t="s">
        <v>1352</v>
      </c>
      <c r="AI162" s="33" t="s">
        <v>25</v>
      </c>
      <c r="AJ162" s="33" t="s">
        <v>1352</v>
      </c>
      <c r="AK162" s="33" t="s">
        <v>24</v>
      </c>
      <c r="AL162" s="27"/>
      <c r="AM162" s="34" t="s">
        <v>25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8" customHeight="1" x14ac:dyDescent="0.3">
      <c r="A163" s="23">
        <v>159</v>
      </c>
      <c r="B163" s="24" t="s">
        <v>5515</v>
      </c>
      <c r="C163" s="25" t="s">
        <v>5516</v>
      </c>
      <c r="D163" s="23" t="s">
        <v>5200</v>
      </c>
      <c r="E163" s="43">
        <v>46125</v>
      </c>
      <c r="F163" s="26" t="s">
        <v>23</v>
      </c>
      <c r="G163" s="44" t="s">
        <v>24</v>
      </c>
      <c r="H163" s="26" t="s">
        <v>25</v>
      </c>
      <c r="I163" s="44" t="s">
        <v>26</v>
      </c>
      <c r="J163" s="26" t="s">
        <v>24</v>
      </c>
      <c r="K163" s="27"/>
      <c r="L163" s="28" t="s">
        <v>25</v>
      </c>
      <c r="M163" s="29" t="str">
        <f t="shared" si="10"/>
        <v>✓ OK</v>
      </c>
      <c r="N163" s="43">
        <v>46196</v>
      </c>
      <c r="O163" s="26" t="s">
        <v>23</v>
      </c>
      <c r="P163" s="44" t="s">
        <v>24</v>
      </c>
      <c r="Q163" s="26" t="s">
        <v>25</v>
      </c>
      <c r="R163" s="44" t="s">
        <v>26</v>
      </c>
      <c r="S163" s="26" t="s">
        <v>24</v>
      </c>
      <c r="T163" s="27"/>
      <c r="U163" s="28" t="s">
        <v>25</v>
      </c>
      <c r="V163" s="29" t="str">
        <f t="shared" si="11"/>
        <v>✓ OK</v>
      </c>
      <c r="W163" s="45">
        <v>46248</v>
      </c>
      <c r="X163" s="30" t="s">
        <v>23</v>
      </c>
      <c r="Y163" s="30" t="s">
        <v>24</v>
      </c>
      <c r="Z163" s="30" t="s">
        <v>25</v>
      </c>
      <c r="AA163" s="30" t="s">
        <v>26</v>
      </c>
      <c r="AB163" s="30" t="s">
        <v>24</v>
      </c>
      <c r="AC163" s="27"/>
      <c r="AD163" s="31" t="s">
        <v>25</v>
      </c>
      <c r="AE163" s="32" t="str">
        <f t="shared" si="12"/>
        <v>✓ OK</v>
      </c>
      <c r="AF163" s="33" t="s">
        <v>27</v>
      </c>
      <c r="AG163" s="33" t="s">
        <v>23</v>
      </c>
      <c r="AH163" s="33" t="s">
        <v>24</v>
      </c>
      <c r="AI163" s="33" t="s">
        <v>25</v>
      </c>
      <c r="AJ163" s="33" t="s">
        <v>26</v>
      </c>
      <c r="AK163" s="33" t="s">
        <v>24</v>
      </c>
      <c r="AL163" s="27"/>
      <c r="AM163" s="34" t="s">
        <v>25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8" customHeight="1" x14ac:dyDescent="0.3">
      <c r="A164" s="39">
        <v>160</v>
      </c>
      <c r="B164" s="40" t="s">
        <v>5517</v>
      </c>
      <c r="C164" s="41" t="s">
        <v>5518</v>
      </c>
      <c r="D164" s="39" t="s">
        <v>5200</v>
      </c>
      <c r="E164" s="43">
        <v>46125</v>
      </c>
      <c r="F164" s="26" t="s">
        <v>23</v>
      </c>
      <c r="G164" s="44" t="s">
        <v>1352</v>
      </c>
      <c r="H164" s="26" t="s">
        <v>25</v>
      </c>
      <c r="I164" s="44" t="s">
        <v>1352</v>
      </c>
      <c r="J164" s="26" t="s">
        <v>24</v>
      </c>
      <c r="K164" s="27"/>
      <c r="L164" s="28" t="s">
        <v>25</v>
      </c>
      <c r="M164" s="29" t="str">
        <f t="shared" si="10"/>
        <v>✓ OK</v>
      </c>
      <c r="N164" s="43">
        <v>46196</v>
      </c>
      <c r="O164" s="26" t="s">
        <v>23</v>
      </c>
      <c r="P164" s="44" t="s">
        <v>1352</v>
      </c>
      <c r="Q164" s="26" t="s">
        <v>25</v>
      </c>
      <c r="R164" s="44" t="s">
        <v>1352</v>
      </c>
      <c r="S164" s="26" t="s">
        <v>24</v>
      </c>
      <c r="T164" s="27"/>
      <c r="U164" s="28" t="s">
        <v>25</v>
      </c>
      <c r="V164" s="29" t="str">
        <f t="shared" si="11"/>
        <v>✓ OK</v>
      </c>
      <c r="W164" s="45">
        <v>46248</v>
      </c>
      <c r="X164" s="30" t="s">
        <v>23</v>
      </c>
      <c r="Y164" s="30" t="s">
        <v>1352</v>
      </c>
      <c r="Z164" s="30" t="s">
        <v>25</v>
      </c>
      <c r="AA164" s="30" t="s">
        <v>1352</v>
      </c>
      <c r="AB164" s="30" t="s">
        <v>24</v>
      </c>
      <c r="AC164" s="27"/>
      <c r="AD164" s="31" t="s">
        <v>25</v>
      </c>
      <c r="AE164" s="32" t="str">
        <f t="shared" si="12"/>
        <v>✓ OK</v>
      </c>
      <c r="AF164" s="33" t="s">
        <v>27</v>
      </c>
      <c r="AG164" s="33" t="s">
        <v>23</v>
      </c>
      <c r="AH164" s="33" t="s">
        <v>1352</v>
      </c>
      <c r="AI164" s="33" t="s">
        <v>25</v>
      </c>
      <c r="AJ164" s="33" t="s">
        <v>1352</v>
      </c>
      <c r="AK164" s="33" t="s">
        <v>24</v>
      </c>
      <c r="AL164" s="27"/>
      <c r="AM164" s="34" t="s">
        <v>25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8" customHeight="1" x14ac:dyDescent="0.3">
      <c r="A165" s="23">
        <v>161</v>
      </c>
      <c r="B165" s="24" t="s">
        <v>5519</v>
      </c>
      <c r="C165" s="25" t="s">
        <v>5520</v>
      </c>
      <c r="D165" s="23" t="s">
        <v>5200</v>
      </c>
      <c r="E165" s="43">
        <v>46125</v>
      </c>
      <c r="F165" s="26" t="s">
        <v>23</v>
      </c>
      <c r="G165" s="44" t="s">
        <v>1352</v>
      </c>
      <c r="H165" s="26" t="s">
        <v>25</v>
      </c>
      <c r="I165" s="44" t="s">
        <v>1352</v>
      </c>
      <c r="J165" s="26" t="s">
        <v>24</v>
      </c>
      <c r="K165" s="27"/>
      <c r="L165" s="28" t="s">
        <v>25</v>
      </c>
      <c r="M165" s="29" t="str">
        <f t="shared" si="10"/>
        <v>✓ OK</v>
      </c>
      <c r="N165" s="43">
        <v>46196</v>
      </c>
      <c r="O165" s="26" t="s">
        <v>23</v>
      </c>
      <c r="P165" s="44" t="s">
        <v>1352</v>
      </c>
      <c r="Q165" s="26" t="s">
        <v>25</v>
      </c>
      <c r="R165" s="44" t="s">
        <v>1352</v>
      </c>
      <c r="S165" s="26" t="s">
        <v>24</v>
      </c>
      <c r="T165" s="27"/>
      <c r="U165" s="28" t="s">
        <v>25</v>
      </c>
      <c r="V165" s="29" t="str">
        <f t="shared" si="11"/>
        <v>✓ OK</v>
      </c>
      <c r="W165" s="45">
        <v>46248</v>
      </c>
      <c r="X165" s="30" t="s">
        <v>23</v>
      </c>
      <c r="Y165" s="30" t="s">
        <v>1352</v>
      </c>
      <c r="Z165" s="30" t="s">
        <v>25</v>
      </c>
      <c r="AA165" s="30" t="s">
        <v>1352</v>
      </c>
      <c r="AB165" s="30" t="s">
        <v>24</v>
      </c>
      <c r="AC165" s="27"/>
      <c r="AD165" s="31" t="s">
        <v>25</v>
      </c>
      <c r="AE165" s="32" t="str">
        <f t="shared" si="12"/>
        <v>✓ OK</v>
      </c>
      <c r="AF165" s="33" t="s">
        <v>27</v>
      </c>
      <c r="AG165" s="33" t="s">
        <v>23</v>
      </c>
      <c r="AH165" s="33" t="s">
        <v>1352</v>
      </c>
      <c r="AI165" s="33" t="s">
        <v>25</v>
      </c>
      <c r="AJ165" s="33" t="s">
        <v>1352</v>
      </c>
      <c r="AK165" s="33" t="s">
        <v>24</v>
      </c>
      <c r="AL165" s="27"/>
      <c r="AM165" s="34" t="s">
        <v>25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8" customHeight="1" x14ac:dyDescent="0.3">
      <c r="A166" s="39">
        <v>162</v>
      </c>
      <c r="B166" s="40" t="s">
        <v>5521</v>
      </c>
      <c r="C166" s="41" t="s">
        <v>5522</v>
      </c>
      <c r="D166" s="39" t="s">
        <v>5200</v>
      </c>
      <c r="E166" s="43">
        <v>46125</v>
      </c>
      <c r="F166" s="26" t="s">
        <v>23</v>
      </c>
      <c r="G166" s="44" t="s">
        <v>1352</v>
      </c>
      <c r="H166" s="26" t="s">
        <v>25</v>
      </c>
      <c r="I166" s="44" t="s">
        <v>1352</v>
      </c>
      <c r="J166" s="26" t="s">
        <v>24</v>
      </c>
      <c r="K166" s="27"/>
      <c r="L166" s="28" t="s">
        <v>25</v>
      </c>
      <c r="M166" s="29" t="str">
        <f t="shared" si="10"/>
        <v>✓ OK</v>
      </c>
      <c r="N166" s="43">
        <v>46196</v>
      </c>
      <c r="O166" s="26" t="s">
        <v>23</v>
      </c>
      <c r="P166" s="44" t="s">
        <v>1352</v>
      </c>
      <c r="Q166" s="26" t="s">
        <v>25</v>
      </c>
      <c r="R166" s="44" t="s">
        <v>1352</v>
      </c>
      <c r="S166" s="26" t="s">
        <v>24</v>
      </c>
      <c r="T166" s="27"/>
      <c r="U166" s="28" t="s">
        <v>25</v>
      </c>
      <c r="V166" s="29" t="str">
        <f t="shared" si="11"/>
        <v>✓ OK</v>
      </c>
      <c r="W166" s="45">
        <v>46248</v>
      </c>
      <c r="X166" s="30" t="s">
        <v>23</v>
      </c>
      <c r="Y166" s="30" t="s">
        <v>1352</v>
      </c>
      <c r="Z166" s="30" t="s">
        <v>25</v>
      </c>
      <c r="AA166" s="30" t="s">
        <v>1352</v>
      </c>
      <c r="AB166" s="30" t="s">
        <v>24</v>
      </c>
      <c r="AC166" s="27"/>
      <c r="AD166" s="31" t="s">
        <v>25</v>
      </c>
      <c r="AE166" s="32" t="str">
        <f t="shared" si="12"/>
        <v>✓ OK</v>
      </c>
      <c r="AF166" s="33" t="s">
        <v>27</v>
      </c>
      <c r="AG166" s="33" t="s">
        <v>23</v>
      </c>
      <c r="AH166" s="33" t="s">
        <v>1352</v>
      </c>
      <c r="AI166" s="33" t="s">
        <v>25</v>
      </c>
      <c r="AJ166" s="33" t="s">
        <v>1352</v>
      </c>
      <c r="AK166" s="33" t="s">
        <v>24</v>
      </c>
      <c r="AL166" s="27"/>
      <c r="AM166" s="34" t="s">
        <v>25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8" customHeight="1" x14ac:dyDescent="0.3">
      <c r="A167" s="23">
        <v>163</v>
      </c>
      <c r="B167" s="24" t="s">
        <v>5523</v>
      </c>
      <c r="C167" s="25" t="s">
        <v>5524</v>
      </c>
      <c r="D167" s="23" t="s">
        <v>5200</v>
      </c>
      <c r="E167" s="43">
        <v>46125</v>
      </c>
      <c r="F167" s="26" t="s">
        <v>23</v>
      </c>
      <c r="G167" s="44" t="s">
        <v>1352</v>
      </c>
      <c r="H167" s="26" t="s">
        <v>25</v>
      </c>
      <c r="I167" s="44" t="s">
        <v>1352</v>
      </c>
      <c r="J167" s="26" t="s">
        <v>24</v>
      </c>
      <c r="K167" s="27"/>
      <c r="L167" s="28" t="s">
        <v>25</v>
      </c>
      <c r="M167" s="29" t="str">
        <f t="shared" si="10"/>
        <v>✓ OK</v>
      </c>
      <c r="N167" s="43">
        <v>46196</v>
      </c>
      <c r="O167" s="26" t="s">
        <v>23</v>
      </c>
      <c r="P167" s="44" t="s">
        <v>1352</v>
      </c>
      <c r="Q167" s="26" t="s">
        <v>25</v>
      </c>
      <c r="R167" s="44" t="s">
        <v>1352</v>
      </c>
      <c r="S167" s="26" t="s">
        <v>24</v>
      </c>
      <c r="T167" s="27"/>
      <c r="U167" s="28" t="s">
        <v>25</v>
      </c>
      <c r="V167" s="29" t="str">
        <f t="shared" si="11"/>
        <v>✓ OK</v>
      </c>
      <c r="W167" s="45">
        <v>46248</v>
      </c>
      <c r="X167" s="30" t="s">
        <v>23</v>
      </c>
      <c r="Y167" s="30" t="s">
        <v>1352</v>
      </c>
      <c r="Z167" s="30" t="s">
        <v>25</v>
      </c>
      <c r="AA167" s="30" t="s">
        <v>1352</v>
      </c>
      <c r="AB167" s="30" t="s">
        <v>24</v>
      </c>
      <c r="AC167" s="27"/>
      <c r="AD167" s="31" t="s">
        <v>25</v>
      </c>
      <c r="AE167" s="32" t="str">
        <f t="shared" si="12"/>
        <v>✓ OK</v>
      </c>
      <c r="AF167" s="33" t="s">
        <v>27</v>
      </c>
      <c r="AG167" s="33" t="s">
        <v>23</v>
      </c>
      <c r="AH167" s="33" t="s">
        <v>1352</v>
      </c>
      <c r="AI167" s="33" t="s">
        <v>25</v>
      </c>
      <c r="AJ167" s="33" t="s">
        <v>1352</v>
      </c>
      <c r="AK167" s="33" t="s">
        <v>24</v>
      </c>
      <c r="AL167" s="27"/>
      <c r="AM167" s="34" t="s">
        <v>25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8" customHeight="1" x14ac:dyDescent="0.3">
      <c r="A168" s="39">
        <v>164</v>
      </c>
      <c r="B168" s="40" t="s">
        <v>5525</v>
      </c>
      <c r="C168" s="41" t="s">
        <v>5526</v>
      </c>
      <c r="D168" s="39" t="s">
        <v>5200</v>
      </c>
      <c r="E168" s="43">
        <v>46125</v>
      </c>
      <c r="F168" s="26" t="s">
        <v>23</v>
      </c>
      <c r="G168" s="44" t="s">
        <v>24</v>
      </c>
      <c r="H168" s="26" t="s">
        <v>25</v>
      </c>
      <c r="I168" s="44" t="s">
        <v>26</v>
      </c>
      <c r="J168" s="26" t="s">
        <v>24</v>
      </c>
      <c r="K168" s="27"/>
      <c r="L168" s="28" t="s">
        <v>25</v>
      </c>
      <c r="M168" s="29" t="str">
        <f t="shared" si="10"/>
        <v>✓ OK</v>
      </c>
      <c r="N168" s="43">
        <v>46196</v>
      </c>
      <c r="O168" s="26" t="s">
        <v>23</v>
      </c>
      <c r="P168" s="44" t="s">
        <v>24</v>
      </c>
      <c r="Q168" s="26" t="s">
        <v>25</v>
      </c>
      <c r="R168" s="44" t="s">
        <v>26</v>
      </c>
      <c r="S168" s="26" t="s">
        <v>24</v>
      </c>
      <c r="T168" s="27"/>
      <c r="U168" s="28" t="s">
        <v>25</v>
      </c>
      <c r="V168" s="29" t="str">
        <f t="shared" si="11"/>
        <v>✓ OK</v>
      </c>
      <c r="W168" s="45">
        <v>46248</v>
      </c>
      <c r="X168" s="30" t="s">
        <v>23</v>
      </c>
      <c r="Y168" s="30" t="s">
        <v>24</v>
      </c>
      <c r="Z168" s="30" t="s">
        <v>25</v>
      </c>
      <c r="AA168" s="30" t="s">
        <v>26</v>
      </c>
      <c r="AB168" s="30" t="s">
        <v>24</v>
      </c>
      <c r="AC168" s="27"/>
      <c r="AD168" s="31" t="s">
        <v>25</v>
      </c>
      <c r="AE168" s="32" t="str">
        <f t="shared" si="12"/>
        <v>✓ OK</v>
      </c>
      <c r="AF168" s="33" t="s">
        <v>27</v>
      </c>
      <c r="AG168" s="33" t="s">
        <v>23</v>
      </c>
      <c r="AH168" s="33" t="s">
        <v>24</v>
      </c>
      <c r="AI168" s="33" t="s">
        <v>25</v>
      </c>
      <c r="AJ168" s="33" t="s">
        <v>26</v>
      </c>
      <c r="AK168" s="33" t="s">
        <v>24</v>
      </c>
      <c r="AL168" s="27"/>
      <c r="AM168" s="34" t="s">
        <v>25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8" customHeight="1" x14ac:dyDescent="0.3">
      <c r="A169" s="23">
        <v>165</v>
      </c>
      <c r="B169" s="24" t="s">
        <v>5527</v>
      </c>
      <c r="C169" s="25" t="s">
        <v>5528</v>
      </c>
      <c r="D169" s="23" t="s">
        <v>5200</v>
      </c>
      <c r="E169" s="43">
        <v>46125</v>
      </c>
      <c r="F169" s="26" t="s">
        <v>23</v>
      </c>
      <c r="G169" s="44" t="s">
        <v>1352</v>
      </c>
      <c r="H169" s="26" t="s">
        <v>25</v>
      </c>
      <c r="I169" s="44" t="s">
        <v>1352</v>
      </c>
      <c r="J169" s="26" t="s">
        <v>24</v>
      </c>
      <c r="K169" s="27"/>
      <c r="L169" s="28" t="s">
        <v>25</v>
      </c>
      <c r="M169" s="29" t="str">
        <f t="shared" si="10"/>
        <v>✓ OK</v>
      </c>
      <c r="N169" s="43">
        <v>46196</v>
      </c>
      <c r="O169" s="26" t="s">
        <v>23</v>
      </c>
      <c r="P169" s="44" t="s">
        <v>1352</v>
      </c>
      <c r="Q169" s="26" t="s">
        <v>25</v>
      </c>
      <c r="R169" s="44" t="s">
        <v>1352</v>
      </c>
      <c r="S169" s="26" t="s">
        <v>24</v>
      </c>
      <c r="T169" s="27"/>
      <c r="U169" s="28" t="s">
        <v>25</v>
      </c>
      <c r="V169" s="29" t="str">
        <f t="shared" si="11"/>
        <v>✓ OK</v>
      </c>
      <c r="W169" s="45">
        <v>46248</v>
      </c>
      <c r="X169" s="30" t="s">
        <v>23</v>
      </c>
      <c r="Y169" s="30" t="s">
        <v>1352</v>
      </c>
      <c r="Z169" s="30" t="s">
        <v>25</v>
      </c>
      <c r="AA169" s="30" t="s">
        <v>1352</v>
      </c>
      <c r="AB169" s="30" t="s">
        <v>24</v>
      </c>
      <c r="AC169" s="27"/>
      <c r="AD169" s="31" t="s">
        <v>25</v>
      </c>
      <c r="AE169" s="32" t="str">
        <f t="shared" si="12"/>
        <v>✓ OK</v>
      </c>
      <c r="AF169" s="33" t="s">
        <v>27</v>
      </c>
      <c r="AG169" s="33" t="s">
        <v>23</v>
      </c>
      <c r="AH169" s="33" t="s">
        <v>1352</v>
      </c>
      <c r="AI169" s="33" t="s">
        <v>25</v>
      </c>
      <c r="AJ169" s="33" t="s">
        <v>1352</v>
      </c>
      <c r="AK169" s="33" t="s">
        <v>24</v>
      </c>
      <c r="AL169" s="27"/>
      <c r="AM169" s="34" t="s">
        <v>25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8" customHeight="1" x14ac:dyDescent="0.3">
      <c r="A170" s="39">
        <v>166</v>
      </c>
      <c r="B170" s="40" t="s">
        <v>5529</v>
      </c>
      <c r="C170" s="41" t="s">
        <v>5530</v>
      </c>
      <c r="D170" s="39" t="s">
        <v>5200</v>
      </c>
      <c r="E170" s="43">
        <v>46125</v>
      </c>
      <c r="F170" s="26" t="s">
        <v>23</v>
      </c>
      <c r="G170" s="44" t="s">
        <v>1352</v>
      </c>
      <c r="H170" s="26" t="s">
        <v>25</v>
      </c>
      <c r="I170" s="44" t="s">
        <v>1352</v>
      </c>
      <c r="J170" s="26" t="s">
        <v>24</v>
      </c>
      <c r="K170" s="27"/>
      <c r="L170" s="28" t="s">
        <v>25</v>
      </c>
      <c r="M170" s="29" t="str">
        <f t="shared" si="10"/>
        <v>✓ OK</v>
      </c>
      <c r="N170" s="43">
        <v>46196</v>
      </c>
      <c r="O170" s="26" t="s">
        <v>23</v>
      </c>
      <c r="P170" s="44" t="s">
        <v>1352</v>
      </c>
      <c r="Q170" s="26" t="s">
        <v>25</v>
      </c>
      <c r="R170" s="44" t="s">
        <v>1352</v>
      </c>
      <c r="S170" s="26" t="s">
        <v>24</v>
      </c>
      <c r="T170" s="27"/>
      <c r="U170" s="28" t="s">
        <v>25</v>
      </c>
      <c r="V170" s="29" t="str">
        <f t="shared" si="11"/>
        <v>✓ OK</v>
      </c>
      <c r="W170" s="45">
        <v>46248</v>
      </c>
      <c r="X170" s="30" t="s">
        <v>23</v>
      </c>
      <c r="Y170" s="30" t="s">
        <v>1352</v>
      </c>
      <c r="Z170" s="30" t="s">
        <v>25</v>
      </c>
      <c r="AA170" s="30" t="s">
        <v>1352</v>
      </c>
      <c r="AB170" s="30" t="s">
        <v>24</v>
      </c>
      <c r="AC170" s="27"/>
      <c r="AD170" s="31" t="s">
        <v>25</v>
      </c>
      <c r="AE170" s="32" t="str">
        <f t="shared" si="12"/>
        <v>✓ OK</v>
      </c>
      <c r="AF170" s="33" t="s">
        <v>27</v>
      </c>
      <c r="AG170" s="33" t="s">
        <v>23</v>
      </c>
      <c r="AH170" s="33" t="s">
        <v>1352</v>
      </c>
      <c r="AI170" s="33" t="s">
        <v>25</v>
      </c>
      <c r="AJ170" s="33" t="s">
        <v>1352</v>
      </c>
      <c r="AK170" s="33" t="s">
        <v>24</v>
      </c>
      <c r="AL170" s="27"/>
      <c r="AM170" s="34" t="s">
        <v>25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8" customHeight="1" x14ac:dyDescent="0.3">
      <c r="A171" s="23">
        <v>167</v>
      </c>
      <c r="B171" s="24" t="s">
        <v>5531</v>
      </c>
      <c r="C171" s="25" t="s">
        <v>5532</v>
      </c>
      <c r="D171" s="23" t="s">
        <v>5200</v>
      </c>
      <c r="E171" s="43">
        <v>46125</v>
      </c>
      <c r="F171" s="26" t="s">
        <v>23</v>
      </c>
      <c r="G171" s="44" t="s">
        <v>1352</v>
      </c>
      <c r="H171" s="26" t="s">
        <v>25</v>
      </c>
      <c r="I171" s="44" t="s">
        <v>1352</v>
      </c>
      <c r="J171" s="26" t="s">
        <v>24</v>
      </c>
      <c r="K171" s="27"/>
      <c r="L171" s="28" t="s">
        <v>25</v>
      </c>
      <c r="M171" s="29" t="str">
        <f t="shared" si="10"/>
        <v>✓ OK</v>
      </c>
      <c r="N171" s="43">
        <v>46196</v>
      </c>
      <c r="O171" s="26" t="s">
        <v>23</v>
      </c>
      <c r="P171" s="44" t="s">
        <v>1352</v>
      </c>
      <c r="Q171" s="26" t="s">
        <v>25</v>
      </c>
      <c r="R171" s="44" t="s">
        <v>1352</v>
      </c>
      <c r="S171" s="26" t="s">
        <v>24</v>
      </c>
      <c r="T171" s="27"/>
      <c r="U171" s="28" t="s">
        <v>25</v>
      </c>
      <c r="V171" s="29" t="str">
        <f t="shared" si="11"/>
        <v>✓ OK</v>
      </c>
      <c r="W171" s="45">
        <v>46248</v>
      </c>
      <c r="X171" s="30" t="s">
        <v>23</v>
      </c>
      <c r="Y171" s="30" t="s">
        <v>1352</v>
      </c>
      <c r="Z171" s="30" t="s">
        <v>25</v>
      </c>
      <c r="AA171" s="30" t="s">
        <v>1352</v>
      </c>
      <c r="AB171" s="30" t="s">
        <v>24</v>
      </c>
      <c r="AC171" s="27"/>
      <c r="AD171" s="31" t="s">
        <v>25</v>
      </c>
      <c r="AE171" s="32" t="str">
        <f t="shared" si="12"/>
        <v>✓ OK</v>
      </c>
      <c r="AF171" s="33" t="s">
        <v>27</v>
      </c>
      <c r="AG171" s="33" t="s">
        <v>23</v>
      </c>
      <c r="AH171" s="33" t="s">
        <v>1352</v>
      </c>
      <c r="AI171" s="33" t="s">
        <v>25</v>
      </c>
      <c r="AJ171" s="33" t="s">
        <v>1352</v>
      </c>
      <c r="AK171" s="33" t="s">
        <v>24</v>
      </c>
      <c r="AL171" s="27"/>
      <c r="AM171" s="34" t="s">
        <v>25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8" customHeight="1" x14ac:dyDescent="0.3">
      <c r="A172" s="39">
        <v>168</v>
      </c>
      <c r="B172" s="40" t="s">
        <v>5533</v>
      </c>
      <c r="C172" s="41" t="s">
        <v>5534</v>
      </c>
      <c r="D172" s="39" t="s">
        <v>5200</v>
      </c>
      <c r="E172" s="43">
        <v>46125</v>
      </c>
      <c r="F172" s="26" t="s">
        <v>23</v>
      </c>
      <c r="G172" s="44" t="s">
        <v>1352</v>
      </c>
      <c r="H172" s="26" t="s">
        <v>25</v>
      </c>
      <c r="I172" s="44" t="s">
        <v>1352</v>
      </c>
      <c r="J172" s="26" t="s">
        <v>24</v>
      </c>
      <c r="K172" s="27"/>
      <c r="L172" s="28" t="s">
        <v>25</v>
      </c>
      <c r="M172" s="29" t="str">
        <f t="shared" si="10"/>
        <v>✓ OK</v>
      </c>
      <c r="N172" s="43">
        <v>46196</v>
      </c>
      <c r="O172" s="26" t="s">
        <v>23</v>
      </c>
      <c r="P172" s="44" t="s">
        <v>1352</v>
      </c>
      <c r="Q172" s="26" t="s">
        <v>25</v>
      </c>
      <c r="R172" s="44" t="s">
        <v>1352</v>
      </c>
      <c r="S172" s="26" t="s">
        <v>24</v>
      </c>
      <c r="T172" s="27"/>
      <c r="U172" s="28" t="s">
        <v>25</v>
      </c>
      <c r="V172" s="29" t="str">
        <f t="shared" si="11"/>
        <v>✓ OK</v>
      </c>
      <c r="W172" s="45">
        <v>46248</v>
      </c>
      <c r="X172" s="30" t="s">
        <v>23</v>
      </c>
      <c r="Y172" s="30" t="s">
        <v>1352</v>
      </c>
      <c r="Z172" s="30" t="s">
        <v>25</v>
      </c>
      <c r="AA172" s="30" t="s">
        <v>1352</v>
      </c>
      <c r="AB172" s="30" t="s">
        <v>24</v>
      </c>
      <c r="AC172" s="27"/>
      <c r="AD172" s="31" t="s">
        <v>25</v>
      </c>
      <c r="AE172" s="32" t="str">
        <f t="shared" si="12"/>
        <v>✓ OK</v>
      </c>
      <c r="AF172" s="33" t="s">
        <v>27</v>
      </c>
      <c r="AG172" s="33" t="s">
        <v>23</v>
      </c>
      <c r="AH172" s="33" t="s">
        <v>1352</v>
      </c>
      <c r="AI172" s="33" t="s">
        <v>25</v>
      </c>
      <c r="AJ172" s="33" t="s">
        <v>1352</v>
      </c>
      <c r="AK172" s="33" t="s">
        <v>24</v>
      </c>
      <c r="AL172" s="27"/>
      <c r="AM172" s="34" t="s">
        <v>25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8" customHeight="1" x14ac:dyDescent="0.3">
      <c r="A173" s="23">
        <v>169</v>
      </c>
      <c r="B173" s="24" t="s">
        <v>5535</v>
      </c>
      <c r="C173" s="25" t="s">
        <v>5536</v>
      </c>
      <c r="D173" s="23" t="s">
        <v>5200</v>
      </c>
      <c r="E173" s="43">
        <v>46125</v>
      </c>
      <c r="F173" s="26" t="s">
        <v>23</v>
      </c>
      <c r="G173" s="44" t="s">
        <v>1352</v>
      </c>
      <c r="H173" s="26" t="s">
        <v>25</v>
      </c>
      <c r="I173" s="44" t="s">
        <v>1352</v>
      </c>
      <c r="J173" s="26" t="s">
        <v>24</v>
      </c>
      <c r="K173" s="27"/>
      <c r="L173" s="28" t="s">
        <v>25</v>
      </c>
      <c r="M173" s="29" t="str">
        <f t="shared" si="10"/>
        <v>✓ OK</v>
      </c>
      <c r="N173" s="43">
        <v>46196</v>
      </c>
      <c r="O173" s="26" t="s">
        <v>23</v>
      </c>
      <c r="P173" s="44" t="s">
        <v>1352</v>
      </c>
      <c r="Q173" s="26" t="s">
        <v>25</v>
      </c>
      <c r="R173" s="44" t="s">
        <v>1352</v>
      </c>
      <c r="S173" s="26" t="s">
        <v>24</v>
      </c>
      <c r="T173" s="27"/>
      <c r="U173" s="28" t="s">
        <v>25</v>
      </c>
      <c r="V173" s="29" t="str">
        <f t="shared" si="11"/>
        <v>✓ OK</v>
      </c>
      <c r="W173" s="45">
        <v>46248</v>
      </c>
      <c r="X173" s="30" t="s">
        <v>23</v>
      </c>
      <c r="Y173" s="30" t="s">
        <v>1352</v>
      </c>
      <c r="Z173" s="30" t="s">
        <v>25</v>
      </c>
      <c r="AA173" s="30" t="s">
        <v>1352</v>
      </c>
      <c r="AB173" s="30" t="s">
        <v>24</v>
      </c>
      <c r="AC173" s="27"/>
      <c r="AD173" s="31" t="s">
        <v>25</v>
      </c>
      <c r="AE173" s="32" t="str">
        <f t="shared" si="12"/>
        <v>✓ OK</v>
      </c>
      <c r="AF173" s="33" t="s">
        <v>27</v>
      </c>
      <c r="AG173" s="33" t="s">
        <v>23</v>
      </c>
      <c r="AH173" s="33" t="s">
        <v>1352</v>
      </c>
      <c r="AI173" s="33" t="s">
        <v>25</v>
      </c>
      <c r="AJ173" s="33" t="s">
        <v>1352</v>
      </c>
      <c r="AK173" s="33" t="s">
        <v>24</v>
      </c>
      <c r="AL173" s="27"/>
      <c r="AM173" s="34" t="s">
        <v>25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8" customHeight="1" x14ac:dyDescent="0.3">
      <c r="A174" s="39">
        <v>170</v>
      </c>
      <c r="B174" s="40" t="s">
        <v>5537</v>
      </c>
      <c r="C174" s="41" t="s">
        <v>5538</v>
      </c>
      <c r="D174" s="39" t="s">
        <v>5200</v>
      </c>
      <c r="E174" s="43">
        <v>46125</v>
      </c>
      <c r="F174" s="26" t="s">
        <v>23</v>
      </c>
      <c r="G174" s="44" t="s">
        <v>1352</v>
      </c>
      <c r="H174" s="26" t="s">
        <v>25</v>
      </c>
      <c r="I174" s="44" t="s">
        <v>1352</v>
      </c>
      <c r="J174" s="26" t="s">
        <v>24</v>
      </c>
      <c r="K174" s="27"/>
      <c r="L174" s="28" t="s">
        <v>25</v>
      </c>
      <c r="M174" s="29" t="str">
        <f t="shared" si="10"/>
        <v>✓ OK</v>
      </c>
      <c r="N174" s="43">
        <v>46196</v>
      </c>
      <c r="O174" s="26" t="s">
        <v>23</v>
      </c>
      <c r="P174" s="44" t="s">
        <v>1352</v>
      </c>
      <c r="Q174" s="26" t="s">
        <v>25</v>
      </c>
      <c r="R174" s="44" t="s">
        <v>1352</v>
      </c>
      <c r="S174" s="26" t="s">
        <v>24</v>
      </c>
      <c r="T174" s="27"/>
      <c r="U174" s="28" t="s">
        <v>25</v>
      </c>
      <c r="V174" s="29" t="str">
        <f t="shared" si="11"/>
        <v>✓ OK</v>
      </c>
      <c r="W174" s="45">
        <v>46248</v>
      </c>
      <c r="X174" s="30" t="s">
        <v>23</v>
      </c>
      <c r="Y174" s="30" t="s">
        <v>1352</v>
      </c>
      <c r="Z174" s="30" t="s">
        <v>25</v>
      </c>
      <c r="AA174" s="30" t="s">
        <v>1352</v>
      </c>
      <c r="AB174" s="30" t="s">
        <v>24</v>
      </c>
      <c r="AC174" s="27"/>
      <c r="AD174" s="31" t="s">
        <v>25</v>
      </c>
      <c r="AE174" s="32" t="str">
        <f t="shared" si="12"/>
        <v>✓ OK</v>
      </c>
      <c r="AF174" s="33" t="s">
        <v>27</v>
      </c>
      <c r="AG174" s="33" t="s">
        <v>23</v>
      </c>
      <c r="AH174" s="33" t="s">
        <v>1352</v>
      </c>
      <c r="AI174" s="33" t="s">
        <v>25</v>
      </c>
      <c r="AJ174" s="33" t="s">
        <v>1352</v>
      </c>
      <c r="AK174" s="33" t="s">
        <v>24</v>
      </c>
      <c r="AL174" s="27"/>
      <c r="AM174" s="34" t="s">
        <v>25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8" customHeight="1" x14ac:dyDescent="0.3">
      <c r="A175" s="23">
        <v>171</v>
      </c>
      <c r="B175" s="24" t="s">
        <v>5539</v>
      </c>
      <c r="C175" s="25" t="s">
        <v>5540</v>
      </c>
      <c r="D175" s="23" t="s">
        <v>5200</v>
      </c>
      <c r="E175" s="43">
        <v>46125</v>
      </c>
      <c r="F175" s="26" t="s">
        <v>23</v>
      </c>
      <c r="G175" s="44" t="s">
        <v>1352</v>
      </c>
      <c r="H175" s="26" t="s">
        <v>25</v>
      </c>
      <c r="I175" s="44" t="s">
        <v>1352</v>
      </c>
      <c r="J175" s="26" t="s">
        <v>24</v>
      </c>
      <c r="K175" s="27"/>
      <c r="L175" s="28" t="s">
        <v>25</v>
      </c>
      <c r="M175" s="29" t="str">
        <f t="shared" si="10"/>
        <v>✓ OK</v>
      </c>
      <c r="N175" s="43">
        <v>46196</v>
      </c>
      <c r="O175" s="26" t="s">
        <v>23</v>
      </c>
      <c r="P175" s="44" t="s">
        <v>1352</v>
      </c>
      <c r="Q175" s="26" t="s">
        <v>25</v>
      </c>
      <c r="R175" s="44" t="s">
        <v>1352</v>
      </c>
      <c r="S175" s="26" t="s">
        <v>24</v>
      </c>
      <c r="T175" s="27"/>
      <c r="U175" s="28" t="s">
        <v>25</v>
      </c>
      <c r="V175" s="29" t="str">
        <f t="shared" si="11"/>
        <v>✓ OK</v>
      </c>
      <c r="W175" s="45">
        <v>46248</v>
      </c>
      <c r="X175" s="30" t="s">
        <v>23</v>
      </c>
      <c r="Y175" s="30" t="s">
        <v>1352</v>
      </c>
      <c r="Z175" s="30" t="s">
        <v>25</v>
      </c>
      <c r="AA175" s="30" t="s">
        <v>1352</v>
      </c>
      <c r="AB175" s="30" t="s">
        <v>24</v>
      </c>
      <c r="AC175" s="27"/>
      <c r="AD175" s="31" t="s">
        <v>25</v>
      </c>
      <c r="AE175" s="32" t="str">
        <f t="shared" si="12"/>
        <v>✓ OK</v>
      </c>
      <c r="AF175" s="33" t="s">
        <v>27</v>
      </c>
      <c r="AG175" s="33" t="s">
        <v>23</v>
      </c>
      <c r="AH175" s="33" t="s">
        <v>1352</v>
      </c>
      <c r="AI175" s="33" t="s">
        <v>25</v>
      </c>
      <c r="AJ175" s="33" t="s">
        <v>1352</v>
      </c>
      <c r="AK175" s="33" t="s">
        <v>24</v>
      </c>
      <c r="AL175" s="27"/>
      <c r="AM175" s="34" t="s">
        <v>25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8" customHeight="1" x14ac:dyDescent="0.3">
      <c r="A176" s="39">
        <v>172</v>
      </c>
      <c r="B176" s="40" t="s">
        <v>5541</v>
      </c>
      <c r="C176" s="41" t="s">
        <v>5542</v>
      </c>
      <c r="D176" s="39" t="s">
        <v>5200</v>
      </c>
      <c r="E176" s="43">
        <v>46125</v>
      </c>
      <c r="F176" s="26" t="s">
        <v>23</v>
      </c>
      <c r="G176" s="44" t="s">
        <v>24</v>
      </c>
      <c r="H176" s="26" t="s">
        <v>25</v>
      </c>
      <c r="I176" s="44" t="s">
        <v>26</v>
      </c>
      <c r="J176" s="26" t="s">
        <v>24</v>
      </c>
      <c r="K176" s="27"/>
      <c r="L176" s="28" t="s">
        <v>25</v>
      </c>
      <c r="M176" s="29" t="str">
        <f t="shared" si="10"/>
        <v>✓ OK</v>
      </c>
      <c r="N176" s="43">
        <v>46196</v>
      </c>
      <c r="O176" s="26" t="s">
        <v>23</v>
      </c>
      <c r="P176" s="44" t="s">
        <v>24</v>
      </c>
      <c r="Q176" s="26" t="s">
        <v>25</v>
      </c>
      <c r="R176" s="44" t="s">
        <v>26</v>
      </c>
      <c r="S176" s="26" t="s">
        <v>24</v>
      </c>
      <c r="T176" s="27"/>
      <c r="U176" s="28" t="s">
        <v>25</v>
      </c>
      <c r="V176" s="29" t="str">
        <f t="shared" si="11"/>
        <v>✓ OK</v>
      </c>
      <c r="W176" s="45">
        <v>46248</v>
      </c>
      <c r="X176" s="30" t="s">
        <v>23</v>
      </c>
      <c r="Y176" s="30" t="s">
        <v>24</v>
      </c>
      <c r="Z176" s="30" t="s">
        <v>25</v>
      </c>
      <c r="AA176" s="30" t="s">
        <v>26</v>
      </c>
      <c r="AB176" s="30" t="s">
        <v>24</v>
      </c>
      <c r="AC176" s="27"/>
      <c r="AD176" s="31" t="s">
        <v>25</v>
      </c>
      <c r="AE176" s="32" t="str">
        <f t="shared" si="12"/>
        <v>✓ OK</v>
      </c>
      <c r="AF176" s="33" t="s">
        <v>27</v>
      </c>
      <c r="AG176" s="33" t="s">
        <v>23</v>
      </c>
      <c r="AH176" s="33" t="s">
        <v>24</v>
      </c>
      <c r="AI176" s="33" t="s">
        <v>25</v>
      </c>
      <c r="AJ176" s="33" t="s">
        <v>26</v>
      </c>
      <c r="AK176" s="33" t="s">
        <v>24</v>
      </c>
      <c r="AL176" s="27"/>
      <c r="AM176" s="34" t="s">
        <v>25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8" customHeight="1" x14ac:dyDescent="0.3">
      <c r="A177" s="23">
        <v>173</v>
      </c>
      <c r="B177" s="24" t="s">
        <v>5543</v>
      </c>
      <c r="C177" s="25" t="s">
        <v>5544</v>
      </c>
      <c r="D177" s="23" t="s">
        <v>5200</v>
      </c>
      <c r="E177" s="43">
        <v>46125</v>
      </c>
      <c r="F177" s="26" t="s">
        <v>23</v>
      </c>
      <c r="G177" s="44" t="s">
        <v>24</v>
      </c>
      <c r="H177" s="26" t="s">
        <v>25</v>
      </c>
      <c r="I177" s="44" t="s">
        <v>26</v>
      </c>
      <c r="J177" s="26" t="s">
        <v>24</v>
      </c>
      <c r="K177" s="27"/>
      <c r="L177" s="28" t="s">
        <v>25</v>
      </c>
      <c r="M177" s="29" t="str">
        <f t="shared" si="10"/>
        <v>✓ OK</v>
      </c>
      <c r="N177" s="43">
        <v>46196</v>
      </c>
      <c r="O177" s="26" t="s">
        <v>23</v>
      </c>
      <c r="P177" s="44" t="s">
        <v>24</v>
      </c>
      <c r="Q177" s="26" t="s">
        <v>25</v>
      </c>
      <c r="R177" s="44" t="s">
        <v>26</v>
      </c>
      <c r="S177" s="26" t="s">
        <v>24</v>
      </c>
      <c r="T177" s="27"/>
      <c r="U177" s="28" t="s">
        <v>25</v>
      </c>
      <c r="V177" s="29" t="str">
        <f t="shared" si="11"/>
        <v>✓ OK</v>
      </c>
      <c r="W177" s="45">
        <v>46248</v>
      </c>
      <c r="X177" s="30" t="s">
        <v>23</v>
      </c>
      <c r="Y177" s="30" t="s">
        <v>24</v>
      </c>
      <c r="Z177" s="30" t="s">
        <v>25</v>
      </c>
      <c r="AA177" s="30" t="s">
        <v>26</v>
      </c>
      <c r="AB177" s="30" t="s">
        <v>24</v>
      </c>
      <c r="AC177" s="27"/>
      <c r="AD177" s="31" t="s">
        <v>25</v>
      </c>
      <c r="AE177" s="32" t="str">
        <f t="shared" si="12"/>
        <v>✓ OK</v>
      </c>
      <c r="AF177" s="33" t="s">
        <v>27</v>
      </c>
      <c r="AG177" s="33" t="s">
        <v>23</v>
      </c>
      <c r="AH177" s="33" t="s">
        <v>24</v>
      </c>
      <c r="AI177" s="33" t="s">
        <v>25</v>
      </c>
      <c r="AJ177" s="33" t="s">
        <v>26</v>
      </c>
      <c r="AK177" s="33" t="s">
        <v>24</v>
      </c>
      <c r="AL177" s="27"/>
      <c r="AM177" s="34" t="s">
        <v>25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8" customHeight="1" x14ac:dyDescent="0.3">
      <c r="A178" s="39">
        <v>174</v>
      </c>
      <c r="B178" s="40" t="s">
        <v>5545</v>
      </c>
      <c r="C178" s="41" t="s">
        <v>5546</v>
      </c>
      <c r="D178" s="39" t="s">
        <v>5200</v>
      </c>
      <c r="E178" s="43">
        <v>46125</v>
      </c>
      <c r="F178" s="26" t="s">
        <v>23</v>
      </c>
      <c r="G178" s="44" t="s">
        <v>1352</v>
      </c>
      <c r="H178" s="26" t="s">
        <v>25</v>
      </c>
      <c r="I178" s="44" t="s">
        <v>1352</v>
      </c>
      <c r="J178" s="26" t="s">
        <v>24</v>
      </c>
      <c r="K178" s="27"/>
      <c r="L178" s="28" t="s">
        <v>25</v>
      </c>
      <c r="M178" s="29" t="str">
        <f t="shared" si="10"/>
        <v>✓ OK</v>
      </c>
      <c r="N178" s="43">
        <v>46196</v>
      </c>
      <c r="O178" s="26" t="s">
        <v>23</v>
      </c>
      <c r="P178" s="44" t="s">
        <v>1352</v>
      </c>
      <c r="Q178" s="26" t="s">
        <v>25</v>
      </c>
      <c r="R178" s="44" t="s">
        <v>1352</v>
      </c>
      <c r="S178" s="26" t="s">
        <v>24</v>
      </c>
      <c r="T178" s="27"/>
      <c r="U178" s="28" t="s">
        <v>25</v>
      </c>
      <c r="V178" s="29" t="str">
        <f t="shared" si="11"/>
        <v>✓ OK</v>
      </c>
      <c r="W178" s="45">
        <v>46248</v>
      </c>
      <c r="X178" s="30" t="s">
        <v>23</v>
      </c>
      <c r="Y178" s="30" t="s">
        <v>1352</v>
      </c>
      <c r="Z178" s="30" t="s">
        <v>25</v>
      </c>
      <c r="AA178" s="30" t="s">
        <v>1352</v>
      </c>
      <c r="AB178" s="30" t="s">
        <v>24</v>
      </c>
      <c r="AC178" s="27"/>
      <c r="AD178" s="31" t="s">
        <v>25</v>
      </c>
      <c r="AE178" s="32" t="str">
        <f t="shared" si="12"/>
        <v>✓ OK</v>
      </c>
      <c r="AF178" s="33" t="s">
        <v>27</v>
      </c>
      <c r="AG178" s="33" t="s">
        <v>23</v>
      </c>
      <c r="AH178" s="33" t="s">
        <v>1352</v>
      </c>
      <c r="AI178" s="33" t="s">
        <v>25</v>
      </c>
      <c r="AJ178" s="33" t="s">
        <v>1352</v>
      </c>
      <c r="AK178" s="33" t="s">
        <v>24</v>
      </c>
      <c r="AL178" s="27"/>
      <c r="AM178" s="34" t="s">
        <v>25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8" customHeight="1" x14ac:dyDescent="0.3">
      <c r="A179" s="23">
        <v>175</v>
      </c>
      <c r="B179" s="24" t="s">
        <v>5547</v>
      </c>
      <c r="C179" s="25" t="s">
        <v>5548</v>
      </c>
      <c r="D179" s="23" t="s">
        <v>5200</v>
      </c>
      <c r="E179" s="43">
        <v>46125</v>
      </c>
      <c r="F179" s="26" t="s">
        <v>23</v>
      </c>
      <c r="G179" s="44" t="s">
        <v>1352</v>
      </c>
      <c r="H179" s="26" t="s">
        <v>25</v>
      </c>
      <c r="I179" s="44" t="s">
        <v>1352</v>
      </c>
      <c r="J179" s="26" t="s">
        <v>24</v>
      </c>
      <c r="K179" s="27"/>
      <c r="L179" s="28" t="s">
        <v>25</v>
      </c>
      <c r="M179" s="29" t="str">
        <f t="shared" si="10"/>
        <v>✓ OK</v>
      </c>
      <c r="N179" s="43">
        <v>46196</v>
      </c>
      <c r="O179" s="26" t="s">
        <v>23</v>
      </c>
      <c r="P179" s="44" t="s">
        <v>1352</v>
      </c>
      <c r="Q179" s="26" t="s">
        <v>25</v>
      </c>
      <c r="R179" s="44" t="s">
        <v>1352</v>
      </c>
      <c r="S179" s="26" t="s">
        <v>24</v>
      </c>
      <c r="T179" s="27"/>
      <c r="U179" s="28" t="s">
        <v>25</v>
      </c>
      <c r="V179" s="29" t="str">
        <f t="shared" si="11"/>
        <v>✓ OK</v>
      </c>
      <c r="W179" s="45">
        <v>46248</v>
      </c>
      <c r="X179" s="30" t="s">
        <v>23</v>
      </c>
      <c r="Y179" s="30" t="s">
        <v>1352</v>
      </c>
      <c r="Z179" s="30" t="s">
        <v>25</v>
      </c>
      <c r="AA179" s="30" t="s">
        <v>1352</v>
      </c>
      <c r="AB179" s="30" t="s">
        <v>24</v>
      </c>
      <c r="AC179" s="27"/>
      <c r="AD179" s="31" t="s">
        <v>25</v>
      </c>
      <c r="AE179" s="32" t="str">
        <f t="shared" si="12"/>
        <v>✓ OK</v>
      </c>
      <c r="AF179" s="33" t="s">
        <v>27</v>
      </c>
      <c r="AG179" s="33" t="s">
        <v>23</v>
      </c>
      <c r="AH179" s="33" t="s">
        <v>1352</v>
      </c>
      <c r="AI179" s="33" t="s">
        <v>25</v>
      </c>
      <c r="AJ179" s="33" t="s">
        <v>1352</v>
      </c>
      <c r="AK179" s="33" t="s">
        <v>24</v>
      </c>
      <c r="AL179" s="27"/>
      <c r="AM179" s="34" t="s">
        <v>25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8" customHeight="1" x14ac:dyDescent="0.3">
      <c r="A180" s="39">
        <v>176</v>
      </c>
      <c r="B180" s="40" t="s">
        <v>5549</v>
      </c>
      <c r="C180" s="41" t="s">
        <v>5550</v>
      </c>
      <c r="D180" s="39" t="s">
        <v>5200</v>
      </c>
      <c r="E180" s="43">
        <v>46125</v>
      </c>
      <c r="F180" s="26" t="s">
        <v>23</v>
      </c>
      <c r="G180" s="44" t="s">
        <v>1352</v>
      </c>
      <c r="H180" s="26" t="s">
        <v>25</v>
      </c>
      <c r="I180" s="44" t="s">
        <v>1352</v>
      </c>
      <c r="J180" s="26" t="s">
        <v>24</v>
      </c>
      <c r="K180" s="27"/>
      <c r="L180" s="28" t="s">
        <v>25</v>
      </c>
      <c r="M180" s="29" t="str">
        <f t="shared" si="10"/>
        <v>✓ OK</v>
      </c>
      <c r="N180" s="43">
        <v>46196</v>
      </c>
      <c r="O180" s="26" t="s">
        <v>23</v>
      </c>
      <c r="P180" s="44" t="s">
        <v>1352</v>
      </c>
      <c r="Q180" s="26" t="s">
        <v>25</v>
      </c>
      <c r="R180" s="44" t="s">
        <v>1352</v>
      </c>
      <c r="S180" s="26" t="s">
        <v>24</v>
      </c>
      <c r="T180" s="27"/>
      <c r="U180" s="28" t="s">
        <v>25</v>
      </c>
      <c r="V180" s="29" t="str">
        <f t="shared" si="11"/>
        <v>✓ OK</v>
      </c>
      <c r="W180" s="45">
        <v>46248</v>
      </c>
      <c r="X180" s="30" t="s">
        <v>23</v>
      </c>
      <c r="Y180" s="30" t="s">
        <v>1352</v>
      </c>
      <c r="Z180" s="30" t="s">
        <v>25</v>
      </c>
      <c r="AA180" s="30" t="s">
        <v>1352</v>
      </c>
      <c r="AB180" s="30" t="s">
        <v>24</v>
      </c>
      <c r="AC180" s="27"/>
      <c r="AD180" s="31" t="s">
        <v>25</v>
      </c>
      <c r="AE180" s="32" t="str">
        <f t="shared" si="12"/>
        <v>✓ OK</v>
      </c>
      <c r="AF180" s="33" t="s">
        <v>27</v>
      </c>
      <c r="AG180" s="33" t="s">
        <v>23</v>
      </c>
      <c r="AH180" s="33" t="s">
        <v>1352</v>
      </c>
      <c r="AI180" s="33" t="s">
        <v>25</v>
      </c>
      <c r="AJ180" s="33" t="s">
        <v>1352</v>
      </c>
      <c r="AK180" s="33" t="s">
        <v>24</v>
      </c>
      <c r="AL180" s="27"/>
      <c r="AM180" s="34" t="s">
        <v>25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8" customHeight="1" x14ac:dyDescent="0.3">
      <c r="A181" s="23">
        <v>177</v>
      </c>
      <c r="B181" s="24" t="s">
        <v>5551</v>
      </c>
      <c r="C181" s="25" t="s">
        <v>5552</v>
      </c>
      <c r="D181" s="23" t="s">
        <v>5200</v>
      </c>
      <c r="E181" s="43">
        <v>46125</v>
      </c>
      <c r="F181" s="26" t="s">
        <v>23</v>
      </c>
      <c r="G181" s="44" t="s">
        <v>1352</v>
      </c>
      <c r="H181" s="26" t="s">
        <v>25</v>
      </c>
      <c r="I181" s="44" t="s">
        <v>1352</v>
      </c>
      <c r="J181" s="26" t="s">
        <v>24</v>
      </c>
      <c r="K181" s="27"/>
      <c r="L181" s="28" t="s">
        <v>25</v>
      </c>
      <c r="M181" s="29" t="str">
        <f t="shared" si="10"/>
        <v>✓ OK</v>
      </c>
      <c r="N181" s="43">
        <v>46196</v>
      </c>
      <c r="O181" s="26" t="s">
        <v>23</v>
      </c>
      <c r="P181" s="44" t="s">
        <v>1352</v>
      </c>
      <c r="Q181" s="26" t="s">
        <v>25</v>
      </c>
      <c r="R181" s="44" t="s">
        <v>1352</v>
      </c>
      <c r="S181" s="26" t="s">
        <v>24</v>
      </c>
      <c r="T181" s="27"/>
      <c r="U181" s="28" t="s">
        <v>25</v>
      </c>
      <c r="V181" s="29" t="str">
        <f t="shared" si="11"/>
        <v>✓ OK</v>
      </c>
      <c r="W181" s="45">
        <v>46248</v>
      </c>
      <c r="X181" s="30" t="s">
        <v>23</v>
      </c>
      <c r="Y181" s="30" t="s">
        <v>1352</v>
      </c>
      <c r="Z181" s="30" t="s">
        <v>25</v>
      </c>
      <c r="AA181" s="30" t="s">
        <v>1352</v>
      </c>
      <c r="AB181" s="30" t="s">
        <v>24</v>
      </c>
      <c r="AC181" s="27"/>
      <c r="AD181" s="31" t="s">
        <v>25</v>
      </c>
      <c r="AE181" s="32" t="str">
        <f t="shared" si="12"/>
        <v>✓ OK</v>
      </c>
      <c r="AF181" s="33" t="s">
        <v>27</v>
      </c>
      <c r="AG181" s="33" t="s">
        <v>23</v>
      </c>
      <c r="AH181" s="33" t="s">
        <v>1352</v>
      </c>
      <c r="AI181" s="33" t="s">
        <v>25</v>
      </c>
      <c r="AJ181" s="33" t="s">
        <v>1352</v>
      </c>
      <c r="AK181" s="33" t="s">
        <v>24</v>
      </c>
      <c r="AL181" s="27"/>
      <c r="AM181" s="34" t="s">
        <v>25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8" customHeight="1" x14ac:dyDescent="0.3">
      <c r="A182" s="39">
        <v>178</v>
      </c>
      <c r="B182" s="40" t="s">
        <v>5553</v>
      </c>
      <c r="C182" s="41" t="s">
        <v>5554</v>
      </c>
      <c r="D182" s="39" t="s">
        <v>5200</v>
      </c>
      <c r="E182" s="43">
        <v>46125</v>
      </c>
      <c r="F182" s="26" t="s">
        <v>23</v>
      </c>
      <c r="G182" s="44" t="s">
        <v>1352</v>
      </c>
      <c r="H182" s="26" t="s">
        <v>25</v>
      </c>
      <c r="I182" s="44" t="s">
        <v>1352</v>
      </c>
      <c r="J182" s="26" t="s">
        <v>24</v>
      </c>
      <c r="K182" s="27"/>
      <c r="L182" s="28" t="s">
        <v>25</v>
      </c>
      <c r="M182" s="29" t="str">
        <f t="shared" si="10"/>
        <v>✓ OK</v>
      </c>
      <c r="N182" s="43">
        <v>46196</v>
      </c>
      <c r="O182" s="26" t="s">
        <v>23</v>
      </c>
      <c r="P182" s="44" t="s">
        <v>1352</v>
      </c>
      <c r="Q182" s="26" t="s">
        <v>25</v>
      </c>
      <c r="R182" s="44" t="s">
        <v>1352</v>
      </c>
      <c r="S182" s="26" t="s">
        <v>24</v>
      </c>
      <c r="T182" s="27"/>
      <c r="U182" s="28" t="s">
        <v>25</v>
      </c>
      <c r="V182" s="29" t="str">
        <f t="shared" si="11"/>
        <v>✓ OK</v>
      </c>
      <c r="W182" s="45">
        <v>46248</v>
      </c>
      <c r="X182" s="30" t="s">
        <v>23</v>
      </c>
      <c r="Y182" s="30" t="s">
        <v>1352</v>
      </c>
      <c r="Z182" s="30" t="s">
        <v>25</v>
      </c>
      <c r="AA182" s="30" t="s">
        <v>1352</v>
      </c>
      <c r="AB182" s="30" t="s">
        <v>24</v>
      </c>
      <c r="AC182" s="27"/>
      <c r="AD182" s="31" t="s">
        <v>25</v>
      </c>
      <c r="AE182" s="32" t="str">
        <f t="shared" si="12"/>
        <v>✓ OK</v>
      </c>
      <c r="AF182" s="33" t="s">
        <v>27</v>
      </c>
      <c r="AG182" s="33" t="s">
        <v>23</v>
      </c>
      <c r="AH182" s="33" t="s">
        <v>1352</v>
      </c>
      <c r="AI182" s="33" t="s">
        <v>25</v>
      </c>
      <c r="AJ182" s="33" t="s">
        <v>1352</v>
      </c>
      <c r="AK182" s="33" t="s">
        <v>24</v>
      </c>
      <c r="AL182" s="27"/>
      <c r="AM182" s="34" t="s">
        <v>25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8" customHeight="1" x14ac:dyDescent="0.3">
      <c r="A183" s="23">
        <v>179</v>
      </c>
      <c r="B183" s="24" t="s">
        <v>5555</v>
      </c>
      <c r="C183" s="25" t="s">
        <v>5556</v>
      </c>
      <c r="D183" s="23" t="s">
        <v>5200</v>
      </c>
      <c r="E183" s="43">
        <v>46125</v>
      </c>
      <c r="F183" s="26" t="s">
        <v>23</v>
      </c>
      <c r="G183" s="44" t="s">
        <v>1352</v>
      </c>
      <c r="H183" s="26" t="s">
        <v>25</v>
      </c>
      <c r="I183" s="44" t="s">
        <v>1352</v>
      </c>
      <c r="J183" s="26" t="s">
        <v>24</v>
      </c>
      <c r="K183" s="27"/>
      <c r="L183" s="28" t="s">
        <v>25</v>
      </c>
      <c r="M183" s="29" t="str">
        <f t="shared" si="10"/>
        <v>✓ OK</v>
      </c>
      <c r="N183" s="43">
        <v>46196</v>
      </c>
      <c r="O183" s="26" t="s">
        <v>23</v>
      </c>
      <c r="P183" s="44" t="s">
        <v>1352</v>
      </c>
      <c r="Q183" s="26" t="s">
        <v>25</v>
      </c>
      <c r="R183" s="44" t="s">
        <v>1352</v>
      </c>
      <c r="S183" s="26" t="s">
        <v>24</v>
      </c>
      <c r="T183" s="27"/>
      <c r="U183" s="28" t="s">
        <v>25</v>
      </c>
      <c r="V183" s="29" t="str">
        <f t="shared" si="11"/>
        <v>✓ OK</v>
      </c>
      <c r="W183" s="45">
        <v>46248</v>
      </c>
      <c r="X183" s="30" t="s">
        <v>23</v>
      </c>
      <c r="Y183" s="30" t="s">
        <v>1352</v>
      </c>
      <c r="Z183" s="30" t="s">
        <v>25</v>
      </c>
      <c r="AA183" s="30" t="s">
        <v>1352</v>
      </c>
      <c r="AB183" s="30" t="s">
        <v>24</v>
      </c>
      <c r="AC183" s="27"/>
      <c r="AD183" s="31" t="s">
        <v>25</v>
      </c>
      <c r="AE183" s="32" t="str">
        <f t="shared" si="12"/>
        <v>✓ OK</v>
      </c>
      <c r="AF183" s="33" t="s">
        <v>27</v>
      </c>
      <c r="AG183" s="33" t="s">
        <v>23</v>
      </c>
      <c r="AH183" s="33" t="s">
        <v>1352</v>
      </c>
      <c r="AI183" s="33" t="s">
        <v>25</v>
      </c>
      <c r="AJ183" s="33" t="s">
        <v>1352</v>
      </c>
      <c r="AK183" s="33" t="s">
        <v>24</v>
      </c>
      <c r="AL183" s="27"/>
      <c r="AM183" s="34" t="s">
        <v>25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8" customHeight="1" x14ac:dyDescent="0.3">
      <c r="A184" s="39">
        <v>180</v>
      </c>
      <c r="B184" s="40" t="s">
        <v>5557</v>
      </c>
      <c r="C184" s="41" t="s">
        <v>5558</v>
      </c>
      <c r="D184" s="39" t="s">
        <v>5200</v>
      </c>
      <c r="E184" s="43">
        <v>46125</v>
      </c>
      <c r="F184" s="26" t="s">
        <v>23</v>
      </c>
      <c r="G184" s="44" t="s">
        <v>1352</v>
      </c>
      <c r="H184" s="26" t="s">
        <v>25</v>
      </c>
      <c r="I184" s="44" t="s">
        <v>1352</v>
      </c>
      <c r="J184" s="26" t="s">
        <v>24</v>
      </c>
      <c r="K184" s="27"/>
      <c r="L184" s="28" t="s">
        <v>25</v>
      </c>
      <c r="M184" s="29" t="str">
        <f t="shared" si="10"/>
        <v>✓ OK</v>
      </c>
      <c r="N184" s="43">
        <v>46196</v>
      </c>
      <c r="O184" s="26" t="s">
        <v>23</v>
      </c>
      <c r="P184" s="44" t="s">
        <v>1352</v>
      </c>
      <c r="Q184" s="26" t="s">
        <v>25</v>
      </c>
      <c r="R184" s="44" t="s">
        <v>1352</v>
      </c>
      <c r="S184" s="26" t="s">
        <v>24</v>
      </c>
      <c r="T184" s="27"/>
      <c r="U184" s="28" t="s">
        <v>25</v>
      </c>
      <c r="V184" s="29" t="str">
        <f t="shared" si="11"/>
        <v>✓ OK</v>
      </c>
      <c r="W184" s="45">
        <v>46248</v>
      </c>
      <c r="X184" s="30" t="s">
        <v>23</v>
      </c>
      <c r="Y184" s="30" t="s">
        <v>1352</v>
      </c>
      <c r="Z184" s="30" t="s">
        <v>25</v>
      </c>
      <c r="AA184" s="30" t="s">
        <v>1352</v>
      </c>
      <c r="AB184" s="30" t="s">
        <v>24</v>
      </c>
      <c r="AC184" s="27"/>
      <c r="AD184" s="31" t="s">
        <v>25</v>
      </c>
      <c r="AE184" s="32" t="str">
        <f t="shared" si="12"/>
        <v>✓ OK</v>
      </c>
      <c r="AF184" s="33" t="s">
        <v>27</v>
      </c>
      <c r="AG184" s="33" t="s">
        <v>23</v>
      </c>
      <c r="AH184" s="33" t="s">
        <v>1352</v>
      </c>
      <c r="AI184" s="33" t="s">
        <v>25</v>
      </c>
      <c r="AJ184" s="33" t="s">
        <v>1352</v>
      </c>
      <c r="AK184" s="33" t="s">
        <v>24</v>
      </c>
      <c r="AL184" s="27"/>
      <c r="AM184" s="34" t="s">
        <v>25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8" customHeight="1" x14ac:dyDescent="0.3">
      <c r="A185" s="23">
        <v>181</v>
      </c>
      <c r="B185" s="24" t="s">
        <v>5559</v>
      </c>
      <c r="C185" s="25" t="s">
        <v>5560</v>
      </c>
      <c r="D185" s="23" t="s">
        <v>5200</v>
      </c>
      <c r="E185" s="43">
        <v>46125</v>
      </c>
      <c r="F185" s="26" t="s">
        <v>23</v>
      </c>
      <c r="G185" s="44" t="s">
        <v>1352</v>
      </c>
      <c r="H185" s="26" t="s">
        <v>25</v>
      </c>
      <c r="I185" s="44" t="s">
        <v>1352</v>
      </c>
      <c r="J185" s="26" t="s">
        <v>24</v>
      </c>
      <c r="K185" s="27"/>
      <c r="L185" s="28" t="s">
        <v>25</v>
      </c>
      <c r="M185" s="29" t="str">
        <f t="shared" si="10"/>
        <v>✓ OK</v>
      </c>
      <c r="N185" s="43">
        <v>46196</v>
      </c>
      <c r="O185" s="26" t="s">
        <v>23</v>
      </c>
      <c r="P185" s="44" t="s">
        <v>1352</v>
      </c>
      <c r="Q185" s="26" t="s">
        <v>25</v>
      </c>
      <c r="R185" s="44" t="s">
        <v>1352</v>
      </c>
      <c r="S185" s="26" t="s">
        <v>24</v>
      </c>
      <c r="T185" s="27"/>
      <c r="U185" s="28" t="s">
        <v>25</v>
      </c>
      <c r="V185" s="29" t="str">
        <f t="shared" si="11"/>
        <v>✓ OK</v>
      </c>
      <c r="W185" s="45">
        <v>46248</v>
      </c>
      <c r="X185" s="30" t="s">
        <v>23</v>
      </c>
      <c r="Y185" s="30" t="s">
        <v>1352</v>
      </c>
      <c r="Z185" s="30" t="s">
        <v>25</v>
      </c>
      <c r="AA185" s="30" t="s">
        <v>1352</v>
      </c>
      <c r="AB185" s="30" t="s">
        <v>24</v>
      </c>
      <c r="AC185" s="27"/>
      <c r="AD185" s="31" t="s">
        <v>25</v>
      </c>
      <c r="AE185" s="32" t="str">
        <f t="shared" si="12"/>
        <v>✓ OK</v>
      </c>
      <c r="AF185" s="33" t="s">
        <v>27</v>
      </c>
      <c r="AG185" s="33" t="s">
        <v>23</v>
      </c>
      <c r="AH185" s="33" t="s">
        <v>1352</v>
      </c>
      <c r="AI185" s="33" t="s">
        <v>25</v>
      </c>
      <c r="AJ185" s="33" t="s">
        <v>1352</v>
      </c>
      <c r="AK185" s="33" t="s">
        <v>24</v>
      </c>
      <c r="AL185" s="27"/>
      <c r="AM185" s="34" t="s">
        <v>25</v>
      </c>
      <c r="AN185" s="35" t="str">
        <f t="shared" si="13"/>
        <v>✓ OK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8" customHeight="1" x14ac:dyDescent="0.3">
      <c r="A186" s="39">
        <v>182</v>
      </c>
      <c r="B186" s="40" t="s">
        <v>5561</v>
      </c>
      <c r="C186" s="41" t="s">
        <v>5562</v>
      </c>
      <c r="D186" s="39" t="s">
        <v>5200</v>
      </c>
      <c r="E186" s="43">
        <v>46125</v>
      </c>
      <c r="F186" s="26" t="s">
        <v>23</v>
      </c>
      <c r="G186" s="44" t="s">
        <v>1352</v>
      </c>
      <c r="H186" s="26" t="s">
        <v>25</v>
      </c>
      <c r="I186" s="44" t="s">
        <v>1352</v>
      </c>
      <c r="J186" s="26" t="s">
        <v>24</v>
      </c>
      <c r="K186" s="27"/>
      <c r="L186" s="28" t="s">
        <v>25</v>
      </c>
      <c r="M186" s="29" t="str">
        <f t="shared" si="10"/>
        <v>✓ OK</v>
      </c>
      <c r="N186" s="43">
        <v>46196</v>
      </c>
      <c r="O186" s="26" t="s">
        <v>23</v>
      </c>
      <c r="P186" s="44" t="s">
        <v>1352</v>
      </c>
      <c r="Q186" s="26" t="s">
        <v>25</v>
      </c>
      <c r="R186" s="44" t="s">
        <v>1352</v>
      </c>
      <c r="S186" s="26" t="s">
        <v>24</v>
      </c>
      <c r="T186" s="27"/>
      <c r="U186" s="28" t="s">
        <v>25</v>
      </c>
      <c r="V186" s="29" t="str">
        <f t="shared" si="11"/>
        <v>✓ OK</v>
      </c>
      <c r="W186" s="45">
        <v>46248</v>
      </c>
      <c r="X186" s="30" t="s">
        <v>23</v>
      </c>
      <c r="Y186" s="30" t="s">
        <v>1352</v>
      </c>
      <c r="Z186" s="30" t="s">
        <v>25</v>
      </c>
      <c r="AA186" s="30" t="s">
        <v>1352</v>
      </c>
      <c r="AB186" s="30" t="s">
        <v>24</v>
      </c>
      <c r="AC186" s="27"/>
      <c r="AD186" s="31" t="s">
        <v>25</v>
      </c>
      <c r="AE186" s="32" t="str">
        <f t="shared" si="12"/>
        <v>✓ OK</v>
      </c>
      <c r="AF186" s="33" t="s">
        <v>27</v>
      </c>
      <c r="AG186" s="33" t="s">
        <v>23</v>
      </c>
      <c r="AH186" s="33" t="s">
        <v>1352</v>
      </c>
      <c r="AI186" s="33" t="s">
        <v>25</v>
      </c>
      <c r="AJ186" s="33" t="s">
        <v>1352</v>
      </c>
      <c r="AK186" s="33" t="s">
        <v>24</v>
      </c>
      <c r="AL186" s="27"/>
      <c r="AM186" s="34" t="s">
        <v>25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8" customHeight="1" x14ac:dyDescent="0.3">
      <c r="A187" s="23">
        <v>183</v>
      </c>
      <c r="B187" s="24" t="s">
        <v>5563</v>
      </c>
      <c r="C187" s="25" t="s">
        <v>5564</v>
      </c>
      <c r="D187" s="23" t="s">
        <v>5200</v>
      </c>
      <c r="E187" s="43">
        <v>46125</v>
      </c>
      <c r="F187" s="26" t="s">
        <v>23</v>
      </c>
      <c r="G187" s="44" t="s">
        <v>1352</v>
      </c>
      <c r="H187" s="26" t="s">
        <v>25</v>
      </c>
      <c r="I187" s="44" t="s">
        <v>1352</v>
      </c>
      <c r="J187" s="26" t="s">
        <v>24</v>
      </c>
      <c r="K187" s="27"/>
      <c r="L187" s="28" t="s">
        <v>25</v>
      </c>
      <c r="M187" s="29" t="str">
        <f t="shared" si="10"/>
        <v>✓ OK</v>
      </c>
      <c r="N187" s="43">
        <v>46196</v>
      </c>
      <c r="O187" s="26" t="s">
        <v>23</v>
      </c>
      <c r="P187" s="44" t="s">
        <v>1352</v>
      </c>
      <c r="Q187" s="26" t="s">
        <v>25</v>
      </c>
      <c r="R187" s="44" t="s">
        <v>1352</v>
      </c>
      <c r="S187" s="26" t="s">
        <v>24</v>
      </c>
      <c r="T187" s="27"/>
      <c r="U187" s="28" t="s">
        <v>25</v>
      </c>
      <c r="V187" s="29" t="str">
        <f t="shared" si="11"/>
        <v>✓ OK</v>
      </c>
      <c r="W187" s="45">
        <v>46248</v>
      </c>
      <c r="X187" s="30" t="s">
        <v>23</v>
      </c>
      <c r="Y187" s="30" t="s">
        <v>1352</v>
      </c>
      <c r="Z187" s="30" t="s">
        <v>25</v>
      </c>
      <c r="AA187" s="30" t="s">
        <v>1352</v>
      </c>
      <c r="AB187" s="30" t="s">
        <v>24</v>
      </c>
      <c r="AC187" s="27"/>
      <c r="AD187" s="31" t="s">
        <v>25</v>
      </c>
      <c r="AE187" s="32" t="str">
        <f t="shared" si="12"/>
        <v>✓ OK</v>
      </c>
      <c r="AF187" s="33" t="s">
        <v>27</v>
      </c>
      <c r="AG187" s="33" t="s">
        <v>23</v>
      </c>
      <c r="AH187" s="33" t="s">
        <v>1352</v>
      </c>
      <c r="AI187" s="33" t="s">
        <v>25</v>
      </c>
      <c r="AJ187" s="33" t="s">
        <v>1352</v>
      </c>
      <c r="AK187" s="33" t="s">
        <v>24</v>
      </c>
      <c r="AL187" s="27"/>
      <c r="AM187" s="34" t="s">
        <v>25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8" customHeight="1" x14ac:dyDescent="0.3">
      <c r="A188" s="39">
        <v>184</v>
      </c>
      <c r="B188" s="40" t="s">
        <v>5565</v>
      </c>
      <c r="C188" s="41" t="s">
        <v>5566</v>
      </c>
      <c r="D188" s="39" t="s">
        <v>5200</v>
      </c>
      <c r="E188" s="43">
        <v>46125</v>
      </c>
      <c r="F188" s="26" t="s">
        <v>23</v>
      </c>
      <c r="G188" s="44" t="s">
        <v>1352</v>
      </c>
      <c r="H188" s="26" t="s">
        <v>25</v>
      </c>
      <c r="I188" s="44" t="s">
        <v>1352</v>
      </c>
      <c r="J188" s="26" t="s">
        <v>24</v>
      </c>
      <c r="K188" s="27"/>
      <c r="L188" s="28" t="s">
        <v>25</v>
      </c>
      <c r="M188" s="29" t="str">
        <f t="shared" si="10"/>
        <v>✓ OK</v>
      </c>
      <c r="N188" s="43">
        <v>46196</v>
      </c>
      <c r="O188" s="26" t="s">
        <v>23</v>
      </c>
      <c r="P188" s="44" t="s">
        <v>1352</v>
      </c>
      <c r="Q188" s="26" t="s">
        <v>25</v>
      </c>
      <c r="R188" s="44" t="s">
        <v>1352</v>
      </c>
      <c r="S188" s="26" t="s">
        <v>24</v>
      </c>
      <c r="T188" s="27"/>
      <c r="U188" s="28" t="s">
        <v>25</v>
      </c>
      <c r="V188" s="29" t="str">
        <f t="shared" si="11"/>
        <v>✓ OK</v>
      </c>
      <c r="W188" s="45">
        <v>46248</v>
      </c>
      <c r="X188" s="30" t="s">
        <v>23</v>
      </c>
      <c r="Y188" s="30" t="s">
        <v>1352</v>
      </c>
      <c r="Z188" s="30" t="s">
        <v>25</v>
      </c>
      <c r="AA188" s="30" t="s">
        <v>1352</v>
      </c>
      <c r="AB188" s="30" t="s">
        <v>24</v>
      </c>
      <c r="AC188" s="27"/>
      <c r="AD188" s="31" t="s">
        <v>25</v>
      </c>
      <c r="AE188" s="32" t="str">
        <f t="shared" si="12"/>
        <v>✓ OK</v>
      </c>
      <c r="AF188" s="33" t="s">
        <v>27</v>
      </c>
      <c r="AG188" s="33" t="s">
        <v>23</v>
      </c>
      <c r="AH188" s="33" t="s">
        <v>1352</v>
      </c>
      <c r="AI188" s="33" t="s">
        <v>25</v>
      </c>
      <c r="AJ188" s="33" t="s">
        <v>1352</v>
      </c>
      <c r="AK188" s="33" t="s">
        <v>24</v>
      </c>
      <c r="AL188" s="27"/>
      <c r="AM188" s="34" t="s">
        <v>25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8" customHeight="1" x14ac:dyDescent="0.3">
      <c r="A189" s="23">
        <v>185</v>
      </c>
      <c r="B189" s="24" t="s">
        <v>5567</v>
      </c>
      <c r="C189" s="25" t="s">
        <v>5568</v>
      </c>
      <c r="D189" s="23" t="s">
        <v>5200</v>
      </c>
      <c r="E189" s="43">
        <v>46125</v>
      </c>
      <c r="F189" s="26" t="s">
        <v>23</v>
      </c>
      <c r="G189" s="44" t="s">
        <v>1352</v>
      </c>
      <c r="H189" s="26" t="s">
        <v>25</v>
      </c>
      <c r="I189" s="44" t="s">
        <v>1352</v>
      </c>
      <c r="J189" s="26" t="s">
        <v>24</v>
      </c>
      <c r="K189" s="27"/>
      <c r="L189" s="28" t="s">
        <v>25</v>
      </c>
      <c r="M189" s="29" t="str">
        <f t="shared" si="10"/>
        <v>✓ OK</v>
      </c>
      <c r="N189" s="43">
        <v>46196</v>
      </c>
      <c r="O189" s="26" t="s">
        <v>23</v>
      </c>
      <c r="P189" s="44" t="s">
        <v>1352</v>
      </c>
      <c r="Q189" s="26" t="s">
        <v>25</v>
      </c>
      <c r="R189" s="44" t="s">
        <v>1352</v>
      </c>
      <c r="S189" s="26" t="s">
        <v>24</v>
      </c>
      <c r="T189" s="27"/>
      <c r="U189" s="28" t="s">
        <v>25</v>
      </c>
      <c r="V189" s="29" t="str">
        <f t="shared" si="11"/>
        <v>✓ OK</v>
      </c>
      <c r="W189" s="45">
        <v>46248</v>
      </c>
      <c r="X189" s="30" t="s">
        <v>23</v>
      </c>
      <c r="Y189" s="30" t="s">
        <v>1352</v>
      </c>
      <c r="Z189" s="30" t="s">
        <v>25</v>
      </c>
      <c r="AA189" s="30" t="s">
        <v>1352</v>
      </c>
      <c r="AB189" s="30" t="s">
        <v>24</v>
      </c>
      <c r="AC189" s="27"/>
      <c r="AD189" s="31" t="s">
        <v>25</v>
      </c>
      <c r="AE189" s="32" t="str">
        <f t="shared" si="12"/>
        <v>✓ OK</v>
      </c>
      <c r="AF189" s="33" t="s">
        <v>27</v>
      </c>
      <c r="AG189" s="33" t="s">
        <v>23</v>
      </c>
      <c r="AH189" s="33" t="s">
        <v>1352</v>
      </c>
      <c r="AI189" s="33" t="s">
        <v>25</v>
      </c>
      <c r="AJ189" s="33" t="s">
        <v>1352</v>
      </c>
      <c r="AK189" s="33" t="s">
        <v>24</v>
      </c>
      <c r="AL189" s="27"/>
      <c r="AM189" s="34" t="s">
        <v>25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8" customHeight="1" x14ac:dyDescent="0.3">
      <c r="A190" s="39">
        <v>186</v>
      </c>
      <c r="B190" s="40" t="s">
        <v>5569</v>
      </c>
      <c r="C190" s="41" t="s">
        <v>5570</v>
      </c>
      <c r="D190" s="39" t="s">
        <v>5200</v>
      </c>
      <c r="E190" s="43">
        <v>46125</v>
      </c>
      <c r="F190" s="26" t="s">
        <v>23</v>
      </c>
      <c r="G190" s="44" t="s">
        <v>1352</v>
      </c>
      <c r="H190" s="26" t="s">
        <v>25</v>
      </c>
      <c r="I190" s="44" t="s">
        <v>1352</v>
      </c>
      <c r="J190" s="26" t="s">
        <v>24</v>
      </c>
      <c r="K190" s="27"/>
      <c r="L190" s="28" t="s">
        <v>25</v>
      </c>
      <c r="M190" s="29" t="str">
        <f t="shared" si="10"/>
        <v>✓ OK</v>
      </c>
      <c r="N190" s="43">
        <v>46196</v>
      </c>
      <c r="O190" s="26" t="s">
        <v>23</v>
      </c>
      <c r="P190" s="44" t="s">
        <v>1352</v>
      </c>
      <c r="Q190" s="26" t="s">
        <v>25</v>
      </c>
      <c r="R190" s="44" t="s">
        <v>1352</v>
      </c>
      <c r="S190" s="26" t="s">
        <v>24</v>
      </c>
      <c r="T190" s="27"/>
      <c r="U190" s="28" t="s">
        <v>25</v>
      </c>
      <c r="V190" s="29" t="str">
        <f t="shared" si="11"/>
        <v>✓ OK</v>
      </c>
      <c r="W190" s="45">
        <v>46248</v>
      </c>
      <c r="X190" s="30" t="s">
        <v>23</v>
      </c>
      <c r="Y190" s="30" t="s">
        <v>1352</v>
      </c>
      <c r="Z190" s="30" t="s">
        <v>25</v>
      </c>
      <c r="AA190" s="30" t="s">
        <v>1352</v>
      </c>
      <c r="AB190" s="30" t="s">
        <v>24</v>
      </c>
      <c r="AC190" s="27"/>
      <c r="AD190" s="31" t="s">
        <v>25</v>
      </c>
      <c r="AE190" s="32" t="str">
        <f t="shared" si="12"/>
        <v>✓ OK</v>
      </c>
      <c r="AF190" s="33" t="s">
        <v>27</v>
      </c>
      <c r="AG190" s="33" t="s">
        <v>23</v>
      </c>
      <c r="AH190" s="33" t="s">
        <v>1352</v>
      </c>
      <c r="AI190" s="33" t="s">
        <v>25</v>
      </c>
      <c r="AJ190" s="33" t="s">
        <v>1352</v>
      </c>
      <c r="AK190" s="33" t="s">
        <v>24</v>
      </c>
      <c r="AL190" s="27"/>
      <c r="AM190" s="34" t="s">
        <v>25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8" customHeight="1" x14ac:dyDescent="0.3">
      <c r="A191" s="23">
        <v>187</v>
      </c>
      <c r="B191" s="24" t="s">
        <v>5571</v>
      </c>
      <c r="C191" s="25" t="s">
        <v>5572</v>
      </c>
      <c r="D191" s="23" t="s">
        <v>5200</v>
      </c>
      <c r="E191" s="43">
        <v>46125</v>
      </c>
      <c r="F191" s="26" t="s">
        <v>23</v>
      </c>
      <c r="G191" s="44" t="s">
        <v>1352</v>
      </c>
      <c r="H191" s="26" t="s">
        <v>25</v>
      </c>
      <c r="I191" s="44" t="s">
        <v>1352</v>
      </c>
      <c r="J191" s="26" t="s">
        <v>24</v>
      </c>
      <c r="K191" s="27"/>
      <c r="L191" s="28" t="s">
        <v>25</v>
      </c>
      <c r="M191" s="29" t="str">
        <f t="shared" si="10"/>
        <v>✓ OK</v>
      </c>
      <c r="N191" s="43">
        <v>46196</v>
      </c>
      <c r="O191" s="26" t="s">
        <v>23</v>
      </c>
      <c r="P191" s="44" t="s">
        <v>1352</v>
      </c>
      <c r="Q191" s="26" t="s">
        <v>25</v>
      </c>
      <c r="R191" s="44" t="s">
        <v>1352</v>
      </c>
      <c r="S191" s="26" t="s">
        <v>24</v>
      </c>
      <c r="T191" s="27"/>
      <c r="U191" s="28" t="s">
        <v>25</v>
      </c>
      <c r="V191" s="29" t="str">
        <f t="shared" si="11"/>
        <v>✓ OK</v>
      </c>
      <c r="W191" s="45">
        <v>46248</v>
      </c>
      <c r="X191" s="30" t="s">
        <v>23</v>
      </c>
      <c r="Y191" s="30" t="s">
        <v>1352</v>
      </c>
      <c r="Z191" s="30" t="s">
        <v>25</v>
      </c>
      <c r="AA191" s="30" t="s">
        <v>1352</v>
      </c>
      <c r="AB191" s="30" t="s">
        <v>24</v>
      </c>
      <c r="AC191" s="27"/>
      <c r="AD191" s="31" t="s">
        <v>25</v>
      </c>
      <c r="AE191" s="32" t="str">
        <f t="shared" si="12"/>
        <v>✓ OK</v>
      </c>
      <c r="AF191" s="33" t="s">
        <v>27</v>
      </c>
      <c r="AG191" s="33" t="s">
        <v>23</v>
      </c>
      <c r="AH191" s="33" t="s">
        <v>1352</v>
      </c>
      <c r="AI191" s="33" t="s">
        <v>25</v>
      </c>
      <c r="AJ191" s="33" t="s">
        <v>1352</v>
      </c>
      <c r="AK191" s="33" t="s">
        <v>24</v>
      </c>
      <c r="AL191" s="27"/>
      <c r="AM191" s="34" t="s">
        <v>25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8" customHeight="1" x14ac:dyDescent="0.3">
      <c r="A192" s="39">
        <v>188</v>
      </c>
      <c r="B192" s="40" t="s">
        <v>5573</v>
      </c>
      <c r="C192" s="41" t="s">
        <v>5574</v>
      </c>
      <c r="D192" s="39" t="s">
        <v>5200</v>
      </c>
      <c r="E192" s="43">
        <v>46125</v>
      </c>
      <c r="F192" s="26" t="s">
        <v>23</v>
      </c>
      <c r="G192" s="44" t="s">
        <v>24</v>
      </c>
      <c r="H192" s="26" t="s">
        <v>25</v>
      </c>
      <c r="I192" s="44" t="s">
        <v>26</v>
      </c>
      <c r="J192" s="26" t="s">
        <v>24</v>
      </c>
      <c r="K192" s="27"/>
      <c r="L192" s="28" t="s">
        <v>25</v>
      </c>
      <c r="M192" s="29" t="str">
        <f t="shared" si="10"/>
        <v>✓ OK</v>
      </c>
      <c r="N192" s="43">
        <v>46196</v>
      </c>
      <c r="O192" s="26" t="s">
        <v>23</v>
      </c>
      <c r="P192" s="44" t="s">
        <v>24</v>
      </c>
      <c r="Q192" s="26" t="s">
        <v>25</v>
      </c>
      <c r="R192" s="44" t="s">
        <v>26</v>
      </c>
      <c r="S192" s="26" t="s">
        <v>24</v>
      </c>
      <c r="T192" s="27"/>
      <c r="U192" s="28" t="s">
        <v>25</v>
      </c>
      <c r="V192" s="29" t="str">
        <f t="shared" si="11"/>
        <v>✓ OK</v>
      </c>
      <c r="W192" s="45">
        <v>46248</v>
      </c>
      <c r="X192" s="30" t="s">
        <v>23</v>
      </c>
      <c r="Y192" s="30" t="s">
        <v>24</v>
      </c>
      <c r="Z192" s="30" t="s">
        <v>25</v>
      </c>
      <c r="AA192" s="30" t="s">
        <v>26</v>
      </c>
      <c r="AB192" s="30" t="s">
        <v>24</v>
      </c>
      <c r="AC192" s="27"/>
      <c r="AD192" s="31" t="s">
        <v>25</v>
      </c>
      <c r="AE192" s="32" t="str">
        <f t="shared" si="12"/>
        <v>✓ OK</v>
      </c>
      <c r="AF192" s="33" t="s">
        <v>27</v>
      </c>
      <c r="AG192" s="33" t="s">
        <v>23</v>
      </c>
      <c r="AH192" s="33" t="s">
        <v>24</v>
      </c>
      <c r="AI192" s="33" t="s">
        <v>25</v>
      </c>
      <c r="AJ192" s="33" t="s">
        <v>26</v>
      </c>
      <c r="AK192" s="33" t="s">
        <v>24</v>
      </c>
      <c r="AL192" s="27"/>
      <c r="AM192" s="34" t="s">
        <v>25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8" customHeight="1" x14ac:dyDescent="0.3">
      <c r="A193" s="23">
        <v>189</v>
      </c>
      <c r="B193" s="24" t="s">
        <v>5575</v>
      </c>
      <c r="C193" s="25" t="s">
        <v>5576</v>
      </c>
      <c r="D193" s="23" t="s">
        <v>5200</v>
      </c>
      <c r="E193" s="43">
        <v>46125</v>
      </c>
      <c r="F193" s="26" t="s">
        <v>23</v>
      </c>
      <c r="G193" s="44" t="s">
        <v>1352</v>
      </c>
      <c r="H193" s="26" t="s">
        <v>25</v>
      </c>
      <c r="I193" s="44" t="s">
        <v>1352</v>
      </c>
      <c r="J193" s="26" t="s">
        <v>24</v>
      </c>
      <c r="K193" s="27"/>
      <c r="L193" s="28" t="s">
        <v>25</v>
      </c>
      <c r="M193" s="29" t="str">
        <f t="shared" si="10"/>
        <v>✓ OK</v>
      </c>
      <c r="N193" s="43">
        <v>46196</v>
      </c>
      <c r="O193" s="26" t="s">
        <v>23</v>
      </c>
      <c r="P193" s="44" t="s">
        <v>1352</v>
      </c>
      <c r="Q193" s="26" t="s">
        <v>25</v>
      </c>
      <c r="R193" s="44" t="s">
        <v>1352</v>
      </c>
      <c r="S193" s="26" t="s">
        <v>24</v>
      </c>
      <c r="T193" s="27"/>
      <c r="U193" s="28" t="s">
        <v>25</v>
      </c>
      <c r="V193" s="29" t="str">
        <f t="shared" si="11"/>
        <v>✓ OK</v>
      </c>
      <c r="W193" s="45">
        <v>46248</v>
      </c>
      <c r="X193" s="30" t="s">
        <v>23</v>
      </c>
      <c r="Y193" s="30" t="s">
        <v>1352</v>
      </c>
      <c r="Z193" s="30" t="s">
        <v>25</v>
      </c>
      <c r="AA193" s="30" t="s">
        <v>1352</v>
      </c>
      <c r="AB193" s="30" t="s">
        <v>24</v>
      </c>
      <c r="AC193" s="27"/>
      <c r="AD193" s="31" t="s">
        <v>25</v>
      </c>
      <c r="AE193" s="32" t="str">
        <f t="shared" si="12"/>
        <v>✓ OK</v>
      </c>
      <c r="AF193" s="33" t="s">
        <v>27</v>
      </c>
      <c r="AG193" s="33" t="s">
        <v>23</v>
      </c>
      <c r="AH193" s="33" t="s">
        <v>1352</v>
      </c>
      <c r="AI193" s="33" t="s">
        <v>25</v>
      </c>
      <c r="AJ193" s="33" t="s">
        <v>1352</v>
      </c>
      <c r="AK193" s="33" t="s">
        <v>24</v>
      </c>
      <c r="AL193" s="27"/>
      <c r="AM193" s="34" t="s">
        <v>25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8" customHeight="1" x14ac:dyDescent="0.3">
      <c r="A194" s="39">
        <v>190</v>
      </c>
      <c r="B194" s="40" t="s">
        <v>5577</v>
      </c>
      <c r="C194" s="41" t="s">
        <v>5578</v>
      </c>
      <c r="D194" s="39" t="s">
        <v>5200</v>
      </c>
      <c r="E194" s="43">
        <v>46125</v>
      </c>
      <c r="F194" s="26" t="s">
        <v>23</v>
      </c>
      <c r="G194" s="44" t="s">
        <v>1352</v>
      </c>
      <c r="H194" s="26" t="s">
        <v>25</v>
      </c>
      <c r="I194" s="44" t="s">
        <v>1352</v>
      </c>
      <c r="J194" s="26" t="s">
        <v>24</v>
      </c>
      <c r="K194" s="27"/>
      <c r="L194" s="28" t="s">
        <v>25</v>
      </c>
      <c r="M194" s="29" t="str">
        <f t="shared" si="10"/>
        <v>✓ OK</v>
      </c>
      <c r="N194" s="43">
        <v>46196</v>
      </c>
      <c r="O194" s="26" t="s">
        <v>23</v>
      </c>
      <c r="P194" s="44" t="s">
        <v>1352</v>
      </c>
      <c r="Q194" s="26" t="s">
        <v>25</v>
      </c>
      <c r="R194" s="44" t="s">
        <v>1352</v>
      </c>
      <c r="S194" s="26" t="s">
        <v>24</v>
      </c>
      <c r="T194" s="27"/>
      <c r="U194" s="28" t="s">
        <v>25</v>
      </c>
      <c r="V194" s="29" t="str">
        <f t="shared" si="11"/>
        <v>✓ OK</v>
      </c>
      <c r="W194" s="45">
        <v>46248</v>
      </c>
      <c r="X194" s="30" t="s">
        <v>23</v>
      </c>
      <c r="Y194" s="30" t="s">
        <v>1352</v>
      </c>
      <c r="Z194" s="30" t="s">
        <v>25</v>
      </c>
      <c r="AA194" s="30" t="s">
        <v>1352</v>
      </c>
      <c r="AB194" s="30" t="s">
        <v>24</v>
      </c>
      <c r="AC194" s="27"/>
      <c r="AD194" s="31" t="s">
        <v>25</v>
      </c>
      <c r="AE194" s="32" t="str">
        <f t="shared" si="12"/>
        <v>✓ OK</v>
      </c>
      <c r="AF194" s="33" t="s">
        <v>27</v>
      </c>
      <c r="AG194" s="33" t="s">
        <v>23</v>
      </c>
      <c r="AH194" s="33" t="s">
        <v>1352</v>
      </c>
      <c r="AI194" s="33" t="s">
        <v>25</v>
      </c>
      <c r="AJ194" s="33" t="s">
        <v>1352</v>
      </c>
      <c r="AK194" s="33" t="s">
        <v>24</v>
      </c>
      <c r="AL194" s="27"/>
      <c r="AM194" s="34" t="s">
        <v>25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8" customHeight="1" x14ac:dyDescent="0.3">
      <c r="A195" s="23">
        <v>191</v>
      </c>
      <c r="B195" s="24" t="s">
        <v>5579</v>
      </c>
      <c r="C195" s="25" t="s">
        <v>5580</v>
      </c>
      <c r="D195" s="23" t="s">
        <v>5200</v>
      </c>
      <c r="E195" s="43">
        <v>46125</v>
      </c>
      <c r="F195" s="26" t="s">
        <v>23</v>
      </c>
      <c r="G195" s="44" t="s">
        <v>1352</v>
      </c>
      <c r="H195" s="26" t="s">
        <v>25</v>
      </c>
      <c r="I195" s="44" t="s">
        <v>1352</v>
      </c>
      <c r="J195" s="26" t="s">
        <v>24</v>
      </c>
      <c r="K195" s="27"/>
      <c r="L195" s="28" t="s">
        <v>25</v>
      </c>
      <c r="M195" s="29" t="str">
        <f t="shared" si="10"/>
        <v>✓ OK</v>
      </c>
      <c r="N195" s="43">
        <v>46196</v>
      </c>
      <c r="O195" s="26" t="s">
        <v>23</v>
      </c>
      <c r="P195" s="44" t="s">
        <v>1352</v>
      </c>
      <c r="Q195" s="26" t="s">
        <v>25</v>
      </c>
      <c r="R195" s="44" t="s">
        <v>1352</v>
      </c>
      <c r="S195" s="26" t="s">
        <v>24</v>
      </c>
      <c r="T195" s="27"/>
      <c r="U195" s="28" t="s">
        <v>25</v>
      </c>
      <c r="V195" s="29" t="str">
        <f t="shared" si="11"/>
        <v>✓ OK</v>
      </c>
      <c r="W195" s="45">
        <v>46248</v>
      </c>
      <c r="X195" s="30" t="s">
        <v>23</v>
      </c>
      <c r="Y195" s="30" t="s">
        <v>1352</v>
      </c>
      <c r="Z195" s="30" t="s">
        <v>25</v>
      </c>
      <c r="AA195" s="30" t="s">
        <v>1352</v>
      </c>
      <c r="AB195" s="30" t="s">
        <v>24</v>
      </c>
      <c r="AC195" s="27"/>
      <c r="AD195" s="31" t="s">
        <v>25</v>
      </c>
      <c r="AE195" s="32" t="str">
        <f t="shared" si="12"/>
        <v>✓ OK</v>
      </c>
      <c r="AF195" s="33" t="s">
        <v>27</v>
      </c>
      <c r="AG195" s="33" t="s">
        <v>23</v>
      </c>
      <c r="AH195" s="33" t="s">
        <v>1352</v>
      </c>
      <c r="AI195" s="33" t="s">
        <v>25</v>
      </c>
      <c r="AJ195" s="33" t="s">
        <v>1352</v>
      </c>
      <c r="AK195" s="33" t="s">
        <v>24</v>
      </c>
      <c r="AL195" s="27"/>
      <c r="AM195" s="34" t="s">
        <v>25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8" customHeight="1" x14ac:dyDescent="0.3">
      <c r="A196" s="39">
        <v>192</v>
      </c>
      <c r="B196" s="40" t="s">
        <v>5581</v>
      </c>
      <c r="C196" s="41" t="s">
        <v>5582</v>
      </c>
      <c r="D196" s="39" t="s">
        <v>5200</v>
      </c>
      <c r="E196" s="43">
        <v>46125</v>
      </c>
      <c r="F196" s="26" t="s">
        <v>23</v>
      </c>
      <c r="G196" s="44" t="s">
        <v>1352</v>
      </c>
      <c r="H196" s="26" t="s">
        <v>25</v>
      </c>
      <c r="I196" s="44" t="s">
        <v>1352</v>
      </c>
      <c r="J196" s="26" t="s">
        <v>24</v>
      </c>
      <c r="K196" s="27"/>
      <c r="L196" s="28" t="s">
        <v>25</v>
      </c>
      <c r="M196" s="29" t="str">
        <f t="shared" si="10"/>
        <v>✓ OK</v>
      </c>
      <c r="N196" s="43">
        <v>46196</v>
      </c>
      <c r="O196" s="26" t="s">
        <v>23</v>
      </c>
      <c r="P196" s="44" t="s">
        <v>1352</v>
      </c>
      <c r="Q196" s="26" t="s">
        <v>25</v>
      </c>
      <c r="R196" s="44" t="s">
        <v>1352</v>
      </c>
      <c r="S196" s="26" t="s">
        <v>24</v>
      </c>
      <c r="T196" s="27"/>
      <c r="U196" s="28" t="s">
        <v>25</v>
      </c>
      <c r="V196" s="29" t="str">
        <f t="shared" si="11"/>
        <v>✓ OK</v>
      </c>
      <c r="W196" s="45">
        <v>46248</v>
      </c>
      <c r="X196" s="30" t="s">
        <v>23</v>
      </c>
      <c r="Y196" s="30" t="s">
        <v>1352</v>
      </c>
      <c r="Z196" s="30" t="s">
        <v>25</v>
      </c>
      <c r="AA196" s="30" t="s">
        <v>1352</v>
      </c>
      <c r="AB196" s="30" t="s">
        <v>24</v>
      </c>
      <c r="AC196" s="27"/>
      <c r="AD196" s="31" t="s">
        <v>25</v>
      </c>
      <c r="AE196" s="32" t="str">
        <f t="shared" si="12"/>
        <v>✓ OK</v>
      </c>
      <c r="AF196" s="33" t="s">
        <v>27</v>
      </c>
      <c r="AG196" s="33" t="s">
        <v>23</v>
      </c>
      <c r="AH196" s="33" t="s">
        <v>1352</v>
      </c>
      <c r="AI196" s="33" t="s">
        <v>25</v>
      </c>
      <c r="AJ196" s="33" t="s">
        <v>1352</v>
      </c>
      <c r="AK196" s="33" t="s">
        <v>24</v>
      </c>
      <c r="AL196" s="27"/>
      <c r="AM196" s="34" t="s">
        <v>25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8" customHeight="1" x14ac:dyDescent="0.3">
      <c r="A197" s="23">
        <v>193</v>
      </c>
      <c r="B197" s="24" t="s">
        <v>5583</v>
      </c>
      <c r="C197" s="25" t="s">
        <v>5584</v>
      </c>
      <c r="D197" s="23" t="s">
        <v>5200</v>
      </c>
      <c r="E197" s="43">
        <v>46125</v>
      </c>
      <c r="F197" s="26" t="s">
        <v>23</v>
      </c>
      <c r="G197" s="44" t="s">
        <v>24</v>
      </c>
      <c r="H197" s="26" t="s">
        <v>25</v>
      </c>
      <c r="I197" s="44" t="s">
        <v>26</v>
      </c>
      <c r="J197" s="26" t="s">
        <v>24</v>
      </c>
      <c r="K197" s="27"/>
      <c r="L197" s="28" t="s">
        <v>25</v>
      </c>
      <c r="M197" s="29" t="str">
        <f t="shared" ref="M197:M260" si="15">IF(E197="","",IF(H197="Yes","❌ Disc",IF(G197="No","⚠ Missing",IF(J197="Yes","✓ OK","⚠ Check"))))</f>
        <v>✓ OK</v>
      </c>
      <c r="N197" s="43">
        <v>46196</v>
      </c>
      <c r="O197" s="26" t="s">
        <v>23</v>
      </c>
      <c r="P197" s="44" t="s">
        <v>24</v>
      </c>
      <c r="Q197" s="26" t="s">
        <v>25</v>
      </c>
      <c r="R197" s="44" t="s">
        <v>26</v>
      </c>
      <c r="S197" s="26" t="s">
        <v>24</v>
      </c>
      <c r="T197" s="27"/>
      <c r="U197" s="28" t="s">
        <v>25</v>
      </c>
      <c r="V197" s="29" t="str">
        <f t="shared" ref="V197:V260" si="16">IF(N197="","",IF(Q197="Yes","❌ Disc",IF(P197="No","⚠ Missing",IF(S197="Yes","✓ OK","⚠ Check"))))</f>
        <v>✓ OK</v>
      </c>
      <c r="W197" s="45">
        <v>46248</v>
      </c>
      <c r="X197" s="30" t="s">
        <v>23</v>
      </c>
      <c r="Y197" s="30" t="s">
        <v>24</v>
      </c>
      <c r="Z197" s="30" t="s">
        <v>25</v>
      </c>
      <c r="AA197" s="30" t="s">
        <v>26</v>
      </c>
      <c r="AB197" s="30" t="s">
        <v>24</v>
      </c>
      <c r="AC197" s="27"/>
      <c r="AD197" s="31" t="s">
        <v>25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27</v>
      </c>
      <c r="AG197" s="33" t="s">
        <v>23</v>
      </c>
      <c r="AH197" s="33" t="s">
        <v>24</v>
      </c>
      <c r="AI197" s="33" t="s">
        <v>25</v>
      </c>
      <c r="AJ197" s="33" t="s">
        <v>26</v>
      </c>
      <c r="AK197" s="33" t="s">
        <v>24</v>
      </c>
      <c r="AL197" s="27"/>
      <c r="AM197" s="34" t="s">
        <v>25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9">
        <v>194</v>
      </c>
      <c r="B198" s="40" t="s">
        <v>5585</v>
      </c>
      <c r="C198" s="41" t="s">
        <v>5586</v>
      </c>
      <c r="D198" s="39" t="s">
        <v>5200</v>
      </c>
      <c r="E198" s="43">
        <v>46125</v>
      </c>
      <c r="F198" s="26" t="s">
        <v>23</v>
      </c>
      <c r="G198" s="44" t="s">
        <v>1352</v>
      </c>
      <c r="H198" s="26" t="s">
        <v>25</v>
      </c>
      <c r="I198" s="44" t="s">
        <v>1352</v>
      </c>
      <c r="J198" s="26" t="s">
        <v>24</v>
      </c>
      <c r="K198" s="27"/>
      <c r="L198" s="28" t="s">
        <v>25</v>
      </c>
      <c r="M198" s="29" t="str">
        <f t="shared" si="15"/>
        <v>✓ OK</v>
      </c>
      <c r="N198" s="43">
        <v>46196</v>
      </c>
      <c r="O198" s="26" t="s">
        <v>23</v>
      </c>
      <c r="P198" s="44" t="s">
        <v>1352</v>
      </c>
      <c r="Q198" s="26" t="s">
        <v>25</v>
      </c>
      <c r="R198" s="44" t="s">
        <v>1352</v>
      </c>
      <c r="S198" s="26" t="s">
        <v>24</v>
      </c>
      <c r="T198" s="27"/>
      <c r="U198" s="28" t="s">
        <v>25</v>
      </c>
      <c r="V198" s="29" t="str">
        <f t="shared" si="16"/>
        <v>✓ OK</v>
      </c>
      <c r="W198" s="45">
        <v>46248</v>
      </c>
      <c r="X198" s="30" t="s">
        <v>23</v>
      </c>
      <c r="Y198" s="30" t="s">
        <v>1352</v>
      </c>
      <c r="Z198" s="30" t="s">
        <v>25</v>
      </c>
      <c r="AA198" s="30" t="s">
        <v>1352</v>
      </c>
      <c r="AB198" s="30" t="s">
        <v>24</v>
      </c>
      <c r="AC198" s="27"/>
      <c r="AD198" s="31" t="s">
        <v>25</v>
      </c>
      <c r="AE198" s="32" t="str">
        <f t="shared" si="17"/>
        <v>✓ OK</v>
      </c>
      <c r="AF198" s="33" t="s">
        <v>27</v>
      </c>
      <c r="AG198" s="33" t="s">
        <v>23</v>
      </c>
      <c r="AH198" s="33" t="s">
        <v>1352</v>
      </c>
      <c r="AI198" s="33" t="s">
        <v>25</v>
      </c>
      <c r="AJ198" s="33" t="s">
        <v>1352</v>
      </c>
      <c r="AK198" s="33" t="s">
        <v>24</v>
      </c>
      <c r="AL198" s="27"/>
      <c r="AM198" s="34" t="s">
        <v>25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8" customHeight="1" x14ac:dyDescent="0.3">
      <c r="A199" s="23">
        <v>195</v>
      </c>
      <c r="B199" s="24" t="s">
        <v>5587</v>
      </c>
      <c r="C199" s="25" t="s">
        <v>5588</v>
      </c>
      <c r="D199" s="23" t="s">
        <v>5200</v>
      </c>
      <c r="E199" s="43">
        <v>46125</v>
      </c>
      <c r="F199" s="26" t="s">
        <v>23</v>
      </c>
      <c r="G199" s="44" t="s">
        <v>1352</v>
      </c>
      <c r="H199" s="26" t="s">
        <v>25</v>
      </c>
      <c r="I199" s="44" t="s">
        <v>1352</v>
      </c>
      <c r="J199" s="26" t="s">
        <v>24</v>
      </c>
      <c r="K199" s="27"/>
      <c r="L199" s="28" t="s">
        <v>25</v>
      </c>
      <c r="M199" s="29" t="str">
        <f t="shared" si="15"/>
        <v>✓ OK</v>
      </c>
      <c r="N199" s="43">
        <v>46196</v>
      </c>
      <c r="O199" s="26" t="s">
        <v>23</v>
      </c>
      <c r="P199" s="44" t="s">
        <v>1352</v>
      </c>
      <c r="Q199" s="26" t="s">
        <v>25</v>
      </c>
      <c r="R199" s="44" t="s">
        <v>1352</v>
      </c>
      <c r="S199" s="26" t="s">
        <v>24</v>
      </c>
      <c r="T199" s="27"/>
      <c r="U199" s="28" t="s">
        <v>25</v>
      </c>
      <c r="V199" s="29" t="str">
        <f t="shared" si="16"/>
        <v>✓ OK</v>
      </c>
      <c r="W199" s="45">
        <v>46248</v>
      </c>
      <c r="X199" s="30" t="s">
        <v>23</v>
      </c>
      <c r="Y199" s="30" t="s">
        <v>1352</v>
      </c>
      <c r="Z199" s="30" t="s">
        <v>25</v>
      </c>
      <c r="AA199" s="30" t="s">
        <v>1352</v>
      </c>
      <c r="AB199" s="30" t="s">
        <v>24</v>
      </c>
      <c r="AC199" s="27"/>
      <c r="AD199" s="31" t="s">
        <v>25</v>
      </c>
      <c r="AE199" s="32" t="str">
        <f t="shared" si="17"/>
        <v>✓ OK</v>
      </c>
      <c r="AF199" s="33" t="s">
        <v>27</v>
      </c>
      <c r="AG199" s="33" t="s">
        <v>23</v>
      </c>
      <c r="AH199" s="33" t="s">
        <v>1352</v>
      </c>
      <c r="AI199" s="33" t="s">
        <v>25</v>
      </c>
      <c r="AJ199" s="33" t="s">
        <v>1352</v>
      </c>
      <c r="AK199" s="33" t="s">
        <v>24</v>
      </c>
      <c r="AL199" s="27"/>
      <c r="AM199" s="34" t="s">
        <v>25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8" customHeight="1" x14ac:dyDescent="0.3">
      <c r="A200" s="39">
        <v>196</v>
      </c>
      <c r="B200" s="40" t="s">
        <v>5589</v>
      </c>
      <c r="C200" s="41" t="s">
        <v>5590</v>
      </c>
      <c r="D200" s="39" t="s">
        <v>5200</v>
      </c>
      <c r="E200" s="43">
        <v>46125</v>
      </c>
      <c r="F200" s="26" t="s">
        <v>23</v>
      </c>
      <c r="G200" s="44" t="s">
        <v>1352</v>
      </c>
      <c r="H200" s="26" t="s">
        <v>25</v>
      </c>
      <c r="I200" s="44" t="s">
        <v>1352</v>
      </c>
      <c r="J200" s="26" t="s">
        <v>24</v>
      </c>
      <c r="K200" s="27"/>
      <c r="L200" s="28" t="s">
        <v>25</v>
      </c>
      <c r="M200" s="29" t="str">
        <f t="shared" si="15"/>
        <v>✓ OK</v>
      </c>
      <c r="N200" s="43">
        <v>46196</v>
      </c>
      <c r="O200" s="26" t="s">
        <v>23</v>
      </c>
      <c r="P200" s="44" t="s">
        <v>1352</v>
      </c>
      <c r="Q200" s="26" t="s">
        <v>25</v>
      </c>
      <c r="R200" s="44" t="s">
        <v>1352</v>
      </c>
      <c r="S200" s="26" t="s">
        <v>24</v>
      </c>
      <c r="T200" s="27"/>
      <c r="U200" s="28" t="s">
        <v>25</v>
      </c>
      <c r="V200" s="29" t="str">
        <f t="shared" si="16"/>
        <v>✓ OK</v>
      </c>
      <c r="W200" s="45">
        <v>46248</v>
      </c>
      <c r="X200" s="30" t="s">
        <v>23</v>
      </c>
      <c r="Y200" s="30" t="s">
        <v>1352</v>
      </c>
      <c r="Z200" s="30" t="s">
        <v>25</v>
      </c>
      <c r="AA200" s="30" t="s">
        <v>1352</v>
      </c>
      <c r="AB200" s="30" t="s">
        <v>24</v>
      </c>
      <c r="AC200" s="27"/>
      <c r="AD200" s="31" t="s">
        <v>25</v>
      </c>
      <c r="AE200" s="32" t="str">
        <f t="shared" si="17"/>
        <v>✓ OK</v>
      </c>
      <c r="AF200" s="33" t="s">
        <v>27</v>
      </c>
      <c r="AG200" s="33" t="s">
        <v>23</v>
      </c>
      <c r="AH200" s="33" t="s">
        <v>1352</v>
      </c>
      <c r="AI200" s="33" t="s">
        <v>25</v>
      </c>
      <c r="AJ200" s="33" t="s">
        <v>1352</v>
      </c>
      <c r="AK200" s="33" t="s">
        <v>24</v>
      </c>
      <c r="AL200" s="27"/>
      <c r="AM200" s="34" t="s">
        <v>25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8" customHeight="1" x14ac:dyDescent="0.3">
      <c r="A201" s="23">
        <v>197</v>
      </c>
      <c r="B201" s="24" t="s">
        <v>5591</v>
      </c>
      <c r="C201" s="25" t="s">
        <v>5592</v>
      </c>
      <c r="D201" s="23" t="s">
        <v>5200</v>
      </c>
      <c r="E201" s="43">
        <v>46125</v>
      </c>
      <c r="F201" s="26" t="s">
        <v>23</v>
      </c>
      <c r="G201" s="44" t="s">
        <v>24</v>
      </c>
      <c r="H201" s="26" t="s">
        <v>25</v>
      </c>
      <c r="I201" s="44" t="s">
        <v>26</v>
      </c>
      <c r="J201" s="26" t="s">
        <v>24</v>
      </c>
      <c r="K201" s="27"/>
      <c r="L201" s="28" t="s">
        <v>25</v>
      </c>
      <c r="M201" s="29" t="str">
        <f t="shared" si="15"/>
        <v>✓ OK</v>
      </c>
      <c r="N201" s="43">
        <v>46196</v>
      </c>
      <c r="O201" s="26" t="s">
        <v>23</v>
      </c>
      <c r="P201" s="44" t="s">
        <v>24</v>
      </c>
      <c r="Q201" s="26" t="s">
        <v>25</v>
      </c>
      <c r="R201" s="44" t="s">
        <v>26</v>
      </c>
      <c r="S201" s="26" t="s">
        <v>24</v>
      </c>
      <c r="T201" s="27"/>
      <c r="U201" s="28" t="s">
        <v>25</v>
      </c>
      <c r="V201" s="29" t="str">
        <f t="shared" si="16"/>
        <v>✓ OK</v>
      </c>
      <c r="W201" s="45">
        <v>46248</v>
      </c>
      <c r="X201" s="30" t="s">
        <v>23</v>
      </c>
      <c r="Y201" s="30" t="s">
        <v>24</v>
      </c>
      <c r="Z201" s="30" t="s">
        <v>25</v>
      </c>
      <c r="AA201" s="30" t="s">
        <v>26</v>
      </c>
      <c r="AB201" s="30" t="s">
        <v>24</v>
      </c>
      <c r="AC201" s="27"/>
      <c r="AD201" s="31" t="s">
        <v>25</v>
      </c>
      <c r="AE201" s="32" t="str">
        <f t="shared" si="17"/>
        <v>✓ OK</v>
      </c>
      <c r="AF201" s="33" t="s">
        <v>27</v>
      </c>
      <c r="AG201" s="33" t="s">
        <v>23</v>
      </c>
      <c r="AH201" s="33" t="s">
        <v>24</v>
      </c>
      <c r="AI201" s="33" t="s">
        <v>25</v>
      </c>
      <c r="AJ201" s="33" t="s">
        <v>26</v>
      </c>
      <c r="AK201" s="33" t="s">
        <v>24</v>
      </c>
      <c r="AL201" s="27"/>
      <c r="AM201" s="34" t="s">
        <v>25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8" customHeight="1" x14ac:dyDescent="0.3">
      <c r="A202" s="39">
        <v>198</v>
      </c>
      <c r="B202" s="40" t="s">
        <v>5593</v>
      </c>
      <c r="C202" s="41" t="s">
        <v>5594</v>
      </c>
      <c r="D202" s="39" t="s">
        <v>5200</v>
      </c>
      <c r="E202" s="43">
        <v>46125</v>
      </c>
      <c r="F202" s="26" t="s">
        <v>23</v>
      </c>
      <c r="G202" s="44" t="s">
        <v>1352</v>
      </c>
      <c r="H202" s="26" t="s">
        <v>25</v>
      </c>
      <c r="I202" s="44" t="s">
        <v>1352</v>
      </c>
      <c r="J202" s="26" t="s">
        <v>24</v>
      </c>
      <c r="K202" s="27"/>
      <c r="L202" s="28" t="s">
        <v>25</v>
      </c>
      <c r="M202" s="29" t="str">
        <f t="shared" si="15"/>
        <v>✓ OK</v>
      </c>
      <c r="N202" s="43">
        <v>46196</v>
      </c>
      <c r="O202" s="26" t="s">
        <v>23</v>
      </c>
      <c r="P202" s="44" t="s">
        <v>1352</v>
      </c>
      <c r="Q202" s="26" t="s">
        <v>25</v>
      </c>
      <c r="R202" s="44" t="s">
        <v>1352</v>
      </c>
      <c r="S202" s="26" t="s">
        <v>24</v>
      </c>
      <c r="T202" s="27"/>
      <c r="U202" s="28" t="s">
        <v>25</v>
      </c>
      <c r="V202" s="29" t="str">
        <f t="shared" si="16"/>
        <v>✓ OK</v>
      </c>
      <c r="W202" s="45">
        <v>46248</v>
      </c>
      <c r="X202" s="30" t="s">
        <v>23</v>
      </c>
      <c r="Y202" s="30" t="s">
        <v>1352</v>
      </c>
      <c r="Z202" s="30" t="s">
        <v>25</v>
      </c>
      <c r="AA202" s="30" t="s">
        <v>1352</v>
      </c>
      <c r="AB202" s="30" t="s">
        <v>24</v>
      </c>
      <c r="AC202" s="27"/>
      <c r="AD202" s="31" t="s">
        <v>25</v>
      </c>
      <c r="AE202" s="32" t="str">
        <f t="shared" si="17"/>
        <v>✓ OK</v>
      </c>
      <c r="AF202" s="33" t="s">
        <v>27</v>
      </c>
      <c r="AG202" s="33" t="s">
        <v>23</v>
      </c>
      <c r="AH202" s="33" t="s">
        <v>1352</v>
      </c>
      <c r="AI202" s="33" t="s">
        <v>25</v>
      </c>
      <c r="AJ202" s="33" t="s">
        <v>1352</v>
      </c>
      <c r="AK202" s="33" t="s">
        <v>24</v>
      </c>
      <c r="AL202" s="27"/>
      <c r="AM202" s="34" t="s">
        <v>25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8" customHeight="1" x14ac:dyDescent="0.3">
      <c r="A203" s="23">
        <v>199</v>
      </c>
      <c r="B203" s="24" t="s">
        <v>5595</v>
      </c>
      <c r="C203" s="25" t="s">
        <v>5596</v>
      </c>
      <c r="D203" s="23" t="s">
        <v>5200</v>
      </c>
      <c r="E203" s="43">
        <v>46125</v>
      </c>
      <c r="F203" s="26" t="s">
        <v>23</v>
      </c>
      <c r="G203" s="44" t="s">
        <v>1352</v>
      </c>
      <c r="H203" s="26" t="s">
        <v>25</v>
      </c>
      <c r="I203" s="44" t="s">
        <v>1352</v>
      </c>
      <c r="J203" s="26" t="s">
        <v>24</v>
      </c>
      <c r="K203" s="27"/>
      <c r="L203" s="28" t="s">
        <v>25</v>
      </c>
      <c r="M203" s="29" t="str">
        <f t="shared" si="15"/>
        <v>✓ OK</v>
      </c>
      <c r="N203" s="43">
        <v>46196</v>
      </c>
      <c r="O203" s="26" t="s">
        <v>23</v>
      </c>
      <c r="P203" s="44" t="s">
        <v>1352</v>
      </c>
      <c r="Q203" s="26" t="s">
        <v>25</v>
      </c>
      <c r="R203" s="44" t="s">
        <v>1352</v>
      </c>
      <c r="S203" s="26" t="s">
        <v>24</v>
      </c>
      <c r="T203" s="27"/>
      <c r="U203" s="28" t="s">
        <v>25</v>
      </c>
      <c r="V203" s="29" t="str">
        <f t="shared" si="16"/>
        <v>✓ OK</v>
      </c>
      <c r="W203" s="45">
        <v>46248</v>
      </c>
      <c r="X203" s="30" t="s">
        <v>23</v>
      </c>
      <c r="Y203" s="30" t="s">
        <v>1352</v>
      </c>
      <c r="Z203" s="30" t="s">
        <v>25</v>
      </c>
      <c r="AA203" s="30" t="s">
        <v>1352</v>
      </c>
      <c r="AB203" s="30" t="s">
        <v>24</v>
      </c>
      <c r="AC203" s="27"/>
      <c r="AD203" s="31" t="s">
        <v>25</v>
      </c>
      <c r="AE203" s="32" t="str">
        <f t="shared" si="17"/>
        <v>✓ OK</v>
      </c>
      <c r="AF203" s="33" t="s">
        <v>27</v>
      </c>
      <c r="AG203" s="33" t="s">
        <v>23</v>
      </c>
      <c r="AH203" s="33" t="s">
        <v>1352</v>
      </c>
      <c r="AI203" s="33" t="s">
        <v>25</v>
      </c>
      <c r="AJ203" s="33" t="s">
        <v>1352</v>
      </c>
      <c r="AK203" s="33" t="s">
        <v>24</v>
      </c>
      <c r="AL203" s="27"/>
      <c r="AM203" s="34" t="s">
        <v>25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8" customHeight="1" x14ac:dyDescent="0.3">
      <c r="A204" s="39">
        <v>200</v>
      </c>
      <c r="B204" s="40" t="s">
        <v>5597</v>
      </c>
      <c r="C204" s="41" t="s">
        <v>5598</v>
      </c>
      <c r="D204" s="39" t="s">
        <v>5200</v>
      </c>
      <c r="E204" s="43">
        <v>46125</v>
      </c>
      <c r="F204" s="26" t="s">
        <v>23</v>
      </c>
      <c r="G204" s="44" t="s">
        <v>24</v>
      </c>
      <c r="H204" s="26" t="s">
        <v>25</v>
      </c>
      <c r="I204" s="44" t="s">
        <v>26</v>
      </c>
      <c r="J204" s="26" t="s">
        <v>24</v>
      </c>
      <c r="K204" s="27"/>
      <c r="L204" s="28" t="s">
        <v>25</v>
      </c>
      <c r="M204" s="29" t="str">
        <f t="shared" si="15"/>
        <v>✓ OK</v>
      </c>
      <c r="N204" s="43">
        <v>46196</v>
      </c>
      <c r="O204" s="26" t="s">
        <v>23</v>
      </c>
      <c r="P204" s="44" t="s">
        <v>24</v>
      </c>
      <c r="Q204" s="26" t="s">
        <v>25</v>
      </c>
      <c r="R204" s="44" t="s">
        <v>26</v>
      </c>
      <c r="S204" s="26" t="s">
        <v>24</v>
      </c>
      <c r="T204" s="27"/>
      <c r="U204" s="28" t="s">
        <v>25</v>
      </c>
      <c r="V204" s="29" t="str">
        <f t="shared" si="16"/>
        <v>✓ OK</v>
      </c>
      <c r="W204" s="45">
        <v>46248</v>
      </c>
      <c r="X204" s="30" t="s">
        <v>23</v>
      </c>
      <c r="Y204" s="30" t="s">
        <v>24</v>
      </c>
      <c r="Z204" s="30" t="s">
        <v>25</v>
      </c>
      <c r="AA204" s="30" t="s">
        <v>26</v>
      </c>
      <c r="AB204" s="30" t="s">
        <v>24</v>
      </c>
      <c r="AC204" s="27"/>
      <c r="AD204" s="31" t="s">
        <v>25</v>
      </c>
      <c r="AE204" s="32" t="str">
        <f t="shared" si="17"/>
        <v>✓ OK</v>
      </c>
      <c r="AF204" s="33" t="s">
        <v>27</v>
      </c>
      <c r="AG204" s="33" t="s">
        <v>23</v>
      </c>
      <c r="AH204" s="33" t="s">
        <v>24</v>
      </c>
      <c r="AI204" s="33" t="s">
        <v>25</v>
      </c>
      <c r="AJ204" s="33" t="s">
        <v>26</v>
      </c>
      <c r="AK204" s="33" t="s">
        <v>24</v>
      </c>
      <c r="AL204" s="27"/>
      <c r="AM204" s="34" t="s">
        <v>25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8" customHeight="1" x14ac:dyDescent="0.3">
      <c r="A205" s="23">
        <v>201</v>
      </c>
      <c r="B205" s="24" t="s">
        <v>5599</v>
      </c>
      <c r="C205" s="25" t="s">
        <v>5600</v>
      </c>
      <c r="D205" s="23" t="s">
        <v>5200</v>
      </c>
      <c r="E205" s="43">
        <v>46125</v>
      </c>
      <c r="F205" s="26" t="s">
        <v>23</v>
      </c>
      <c r="G205" s="44" t="s">
        <v>1352</v>
      </c>
      <c r="H205" s="26" t="s">
        <v>25</v>
      </c>
      <c r="I205" s="44" t="s">
        <v>1352</v>
      </c>
      <c r="J205" s="26" t="s">
        <v>24</v>
      </c>
      <c r="K205" s="27"/>
      <c r="L205" s="28" t="s">
        <v>25</v>
      </c>
      <c r="M205" s="29" t="str">
        <f t="shared" si="15"/>
        <v>✓ OK</v>
      </c>
      <c r="N205" s="43">
        <v>46196</v>
      </c>
      <c r="O205" s="26" t="s">
        <v>23</v>
      </c>
      <c r="P205" s="44" t="s">
        <v>1352</v>
      </c>
      <c r="Q205" s="26" t="s">
        <v>25</v>
      </c>
      <c r="R205" s="44" t="s">
        <v>1352</v>
      </c>
      <c r="S205" s="26" t="s">
        <v>24</v>
      </c>
      <c r="T205" s="27"/>
      <c r="U205" s="28" t="s">
        <v>25</v>
      </c>
      <c r="V205" s="29" t="str">
        <f t="shared" si="16"/>
        <v>✓ OK</v>
      </c>
      <c r="W205" s="45">
        <v>46248</v>
      </c>
      <c r="X205" s="30" t="s">
        <v>23</v>
      </c>
      <c r="Y205" s="30" t="s">
        <v>1352</v>
      </c>
      <c r="Z205" s="30" t="s">
        <v>25</v>
      </c>
      <c r="AA205" s="30" t="s">
        <v>1352</v>
      </c>
      <c r="AB205" s="30" t="s">
        <v>24</v>
      </c>
      <c r="AC205" s="27"/>
      <c r="AD205" s="31" t="s">
        <v>25</v>
      </c>
      <c r="AE205" s="32" t="str">
        <f t="shared" si="17"/>
        <v>✓ OK</v>
      </c>
      <c r="AF205" s="33" t="s">
        <v>27</v>
      </c>
      <c r="AG205" s="33" t="s">
        <v>23</v>
      </c>
      <c r="AH205" s="33" t="s">
        <v>1352</v>
      </c>
      <c r="AI205" s="33" t="s">
        <v>25</v>
      </c>
      <c r="AJ205" s="33" t="s">
        <v>1352</v>
      </c>
      <c r="AK205" s="33" t="s">
        <v>24</v>
      </c>
      <c r="AL205" s="27"/>
      <c r="AM205" s="34" t="s">
        <v>25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8" customHeight="1" x14ac:dyDescent="0.3">
      <c r="A206" s="39">
        <v>202</v>
      </c>
      <c r="B206" s="40" t="s">
        <v>5601</v>
      </c>
      <c r="C206" s="41" t="s">
        <v>5602</v>
      </c>
      <c r="D206" s="39" t="s">
        <v>5200</v>
      </c>
      <c r="E206" s="43">
        <v>46125</v>
      </c>
      <c r="F206" s="26" t="s">
        <v>23</v>
      </c>
      <c r="G206" s="44" t="s">
        <v>1352</v>
      </c>
      <c r="H206" s="26" t="s">
        <v>25</v>
      </c>
      <c r="I206" s="44" t="s">
        <v>1352</v>
      </c>
      <c r="J206" s="26" t="s">
        <v>24</v>
      </c>
      <c r="K206" s="27"/>
      <c r="L206" s="28" t="s">
        <v>25</v>
      </c>
      <c r="M206" s="29" t="str">
        <f t="shared" si="15"/>
        <v>✓ OK</v>
      </c>
      <c r="N206" s="43">
        <v>46196</v>
      </c>
      <c r="O206" s="26" t="s">
        <v>23</v>
      </c>
      <c r="P206" s="44" t="s">
        <v>1352</v>
      </c>
      <c r="Q206" s="26" t="s">
        <v>25</v>
      </c>
      <c r="R206" s="44" t="s">
        <v>1352</v>
      </c>
      <c r="S206" s="26" t="s">
        <v>24</v>
      </c>
      <c r="T206" s="27"/>
      <c r="U206" s="28" t="s">
        <v>25</v>
      </c>
      <c r="V206" s="29" t="str">
        <f t="shared" si="16"/>
        <v>✓ OK</v>
      </c>
      <c r="W206" s="45">
        <v>46248</v>
      </c>
      <c r="X206" s="30" t="s">
        <v>23</v>
      </c>
      <c r="Y206" s="30" t="s">
        <v>1352</v>
      </c>
      <c r="Z206" s="30" t="s">
        <v>25</v>
      </c>
      <c r="AA206" s="30" t="s">
        <v>1352</v>
      </c>
      <c r="AB206" s="30" t="s">
        <v>24</v>
      </c>
      <c r="AC206" s="27"/>
      <c r="AD206" s="31" t="s">
        <v>25</v>
      </c>
      <c r="AE206" s="32" t="str">
        <f t="shared" si="17"/>
        <v>✓ OK</v>
      </c>
      <c r="AF206" s="33" t="s">
        <v>27</v>
      </c>
      <c r="AG206" s="33" t="s">
        <v>23</v>
      </c>
      <c r="AH206" s="33" t="s">
        <v>1352</v>
      </c>
      <c r="AI206" s="33" t="s">
        <v>25</v>
      </c>
      <c r="AJ206" s="33" t="s">
        <v>1352</v>
      </c>
      <c r="AK206" s="33" t="s">
        <v>24</v>
      </c>
      <c r="AL206" s="27"/>
      <c r="AM206" s="34" t="s">
        <v>25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8" customHeight="1" x14ac:dyDescent="0.3">
      <c r="A207" s="23">
        <v>203</v>
      </c>
      <c r="B207" s="24" t="s">
        <v>5603</v>
      </c>
      <c r="C207" s="25" t="s">
        <v>5604</v>
      </c>
      <c r="D207" s="23" t="s">
        <v>5200</v>
      </c>
      <c r="E207" s="43">
        <v>46125</v>
      </c>
      <c r="F207" s="26" t="s">
        <v>23</v>
      </c>
      <c r="G207" s="44" t="s">
        <v>1352</v>
      </c>
      <c r="H207" s="26" t="s">
        <v>25</v>
      </c>
      <c r="I207" s="44" t="s">
        <v>1352</v>
      </c>
      <c r="J207" s="26" t="s">
        <v>24</v>
      </c>
      <c r="K207" s="27"/>
      <c r="L207" s="28" t="s">
        <v>25</v>
      </c>
      <c r="M207" s="29" t="str">
        <f t="shared" si="15"/>
        <v>✓ OK</v>
      </c>
      <c r="N207" s="43">
        <v>46196</v>
      </c>
      <c r="O207" s="26" t="s">
        <v>23</v>
      </c>
      <c r="P207" s="44" t="s">
        <v>1352</v>
      </c>
      <c r="Q207" s="26" t="s">
        <v>25</v>
      </c>
      <c r="R207" s="44" t="s">
        <v>1352</v>
      </c>
      <c r="S207" s="26" t="s">
        <v>24</v>
      </c>
      <c r="T207" s="27"/>
      <c r="U207" s="28" t="s">
        <v>25</v>
      </c>
      <c r="V207" s="29" t="str">
        <f t="shared" si="16"/>
        <v>✓ OK</v>
      </c>
      <c r="W207" s="45">
        <v>46248</v>
      </c>
      <c r="X207" s="30" t="s">
        <v>23</v>
      </c>
      <c r="Y207" s="30" t="s">
        <v>1352</v>
      </c>
      <c r="Z207" s="30" t="s">
        <v>25</v>
      </c>
      <c r="AA207" s="30" t="s">
        <v>1352</v>
      </c>
      <c r="AB207" s="30" t="s">
        <v>24</v>
      </c>
      <c r="AC207" s="27"/>
      <c r="AD207" s="31" t="s">
        <v>25</v>
      </c>
      <c r="AE207" s="32" t="str">
        <f t="shared" si="17"/>
        <v>✓ OK</v>
      </c>
      <c r="AF207" s="33" t="s">
        <v>27</v>
      </c>
      <c r="AG207" s="33" t="s">
        <v>23</v>
      </c>
      <c r="AH207" s="33" t="s">
        <v>1352</v>
      </c>
      <c r="AI207" s="33" t="s">
        <v>25</v>
      </c>
      <c r="AJ207" s="33" t="s">
        <v>1352</v>
      </c>
      <c r="AK207" s="33" t="s">
        <v>24</v>
      </c>
      <c r="AL207" s="27"/>
      <c r="AM207" s="34" t="s">
        <v>25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8" customHeight="1" x14ac:dyDescent="0.3">
      <c r="A208" s="39">
        <v>204</v>
      </c>
      <c r="B208" s="40" t="s">
        <v>5605</v>
      </c>
      <c r="C208" s="41" t="s">
        <v>5606</v>
      </c>
      <c r="D208" s="39" t="s">
        <v>5200</v>
      </c>
      <c r="E208" s="43">
        <v>46125</v>
      </c>
      <c r="F208" s="26" t="s">
        <v>23</v>
      </c>
      <c r="G208" s="44" t="s">
        <v>1352</v>
      </c>
      <c r="H208" s="26" t="s">
        <v>25</v>
      </c>
      <c r="I208" s="44" t="s">
        <v>1352</v>
      </c>
      <c r="J208" s="26" t="s">
        <v>24</v>
      </c>
      <c r="K208" s="27"/>
      <c r="L208" s="28" t="s">
        <v>25</v>
      </c>
      <c r="M208" s="29" t="str">
        <f t="shared" si="15"/>
        <v>✓ OK</v>
      </c>
      <c r="N208" s="43">
        <v>46196</v>
      </c>
      <c r="O208" s="26" t="s">
        <v>23</v>
      </c>
      <c r="P208" s="44" t="s">
        <v>1352</v>
      </c>
      <c r="Q208" s="26" t="s">
        <v>25</v>
      </c>
      <c r="R208" s="44" t="s">
        <v>1352</v>
      </c>
      <c r="S208" s="26" t="s">
        <v>24</v>
      </c>
      <c r="T208" s="27"/>
      <c r="U208" s="28" t="s">
        <v>25</v>
      </c>
      <c r="V208" s="29" t="str">
        <f t="shared" si="16"/>
        <v>✓ OK</v>
      </c>
      <c r="W208" s="45">
        <v>46248</v>
      </c>
      <c r="X208" s="30" t="s">
        <v>23</v>
      </c>
      <c r="Y208" s="30" t="s">
        <v>1352</v>
      </c>
      <c r="Z208" s="30" t="s">
        <v>25</v>
      </c>
      <c r="AA208" s="30" t="s">
        <v>1352</v>
      </c>
      <c r="AB208" s="30" t="s">
        <v>24</v>
      </c>
      <c r="AC208" s="27"/>
      <c r="AD208" s="31" t="s">
        <v>25</v>
      </c>
      <c r="AE208" s="32" t="str">
        <f t="shared" si="17"/>
        <v>✓ OK</v>
      </c>
      <c r="AF208" s="33" t="s">
        <v>27</v>
      </c>
      <c r="AG208" s="33" t="s">
        <v>23</v>
      </c>
      <c r="AH208" s="33" t="s">
        <v>1352</v>
      </c>
      <c r="AI208" s="33" t="s">
        <v>25</v>
      </c>
      <c r="AJ208" s="33" t="s">
        <v>1352</v>
      </c>
      <c r="AK208" s="33" t="s">
        <v>24</v>
      </c>
      <c r="AL208" s="27"/>
      <c r="AM208" s="34" t="s">
        <v>25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8" customHeight="1" x14ac:dyDescent="0.3">
      <c r="A209" s="23">
        <v>205</v>
      </c>
      <c r="B209" s="24" t="s">
        <v>5607</v>
      </c>
      <c r="C209" s="25" t="s">
        <v>5608</v>
      </c>
      <c r="D209" s="23" t="s">
        <v>5200</v>
      </c>
      <c r="E209" s="43">
        <v>46125</v>
      </c>
      <c r="F209" s="26" t="s">
        <v>23</v>
      </c>
      <c r="G209" s="44" t="s">
        <v>1352</v>
      </c>
      <c r="H209" s="26" t="s">
        <v>25</v>
      </c>
      <c r="I209" s="44" t="s">
        <v>1352</v>
      </c>
      <c r="J209" s="26" t="s">
        <v>24</v>
      </c>
      <c r="K209" s="27"/>
      <c r="L209" s="28" t="s">
        <v>25</v>
      </c>
      <c r="M209" s="29" t="str">
        <f t="shared" si="15"/>
        <v>✓ OK</v>
      </c>
      <c r="N209" s="43">
        <v>46196</v>
      </c>
      <c r="O209" s="26" t="s">
        <v>23</v>
      </c>
      <c r="P209" s="44" t="s">
        <v>1352</v>
      </c>
      <c r="Q209" s="26" t="s">
        <v>25</v>
      </c>
      <c r="R209" s="44" t="s">
        <v>1352</v>
      </c>
      <c r="S209" s="26" t="s">
        <v>24</v>
      </c>
      <c r="T209" s="27"/>
      <c r="U209" s="28" t="s">
        <v>25</v>
      </c>
      <c r="V209" s="29" t="str">
        <f t="shared" si="16"/>
        <v>✓ OK</v>
      </c>
      <c r="W209" s="45">
        <v>46248</v>
      </c>
      <c r="X209" s="30" t="s">
        <v>23</v>
      </c>
      <c r="Y209" s="30" t="s">
        <v>1352</v>
      </c>
      <c r="Z209" s="30" t="s">
        <v>25</v>
      </c>
      <c r="AA209" s="30" t="s">
        <v>1352</v>
      </c>
      <c r="AB209" s="30" t="s">
        <v>24</v>
      </c>
      <c r="AC209" s="27"/>
      <c r="AD209" s="31" t="s">
        <v>25</v>
      </c>
      <c r="AE209" s="32" t="str">
        <f t="shared" si="17"/>
        <v>✓ OK</v>
      </c>
      <c r="AF209" s="33" t="s">
        <v>27</v>
      </c>
      <c r="AG209" s="33" t="s">
        <v>23</v>
      </c>
      <c r="AH209" s="33" t="s">
        <v>1352</v>
      </c>
      <c r="AI209" s="33" t="s">
        <v>25</v>
      </c>
      <c r="AJ209" s="33" t="s">
        <v>1352</v>
      </c>
      <c r="AK209" s="33" t="s">
        <v>24</v>
      </c>
      <c r="AL209" s="27"/>
      <c r="AM209" s="34" t="s">
        <v>25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8" customHeight="1" x14ac:dyDescent="0.3">
      <c r="A210" s="39">
        <v>206</v>
      </c>
      <c r="B210" s="40" t="s">
        <v>5609</v>
      </c>
      <c r="C210" s="41" t="s">
        <v>5610</v>
      </c>
      <c r="D210" s="39" t="s">
        <v>5200</v>
      </c>
      <c r="E210" s="43">
        <v>46125</v>
      </c>
      <c r="F210" s="26" t="s">
        <v>23</v>
      </c>
      <c r="G210" s="44" t="s">
        <v>1352</v>
      </c>
      <c r="H210" s="26" t="s">
        <v>25</v>
      </c>
      <c r="I210" s="44" t="s">
        <v>1352</v>
      </c>
      <c r="J210" s="26" t="s">
        <v>24</v>
      </c>
      <c r="K210" s="27"/>
      <c r="L210" s="28" t="s">
        <v>25</v>
      </c>
      <c r="M210" s="29" t="str">
        <f t="shared" si="15"/>
        <v>✓ OK</v>
      </c>
      <c r="N210" s="43">
        <v>46196</v>
      </c>
      <c r="O210" s="26" t="s">
        <v>23</v>
      </c>
      <c r="P210" s="44" t="s">
        <v>1352</v>
      </c>
      <c r="Q210" s="26" t="s">
        <v>25</v>
      </c>
      <c r="R210" s="44" t="s">
        <v>1352</v>
      </c>
      <c r="S210" s="26" t="s">
        <v>24</v>
      </c>
      <c r="T210" s="27"/>
      <c r="U210" s="28" t="s">
        <v>25</v>
      </c>
      <c r="V210" s="29" t="str">
        <f t="shared" si="16"/>
        <v>✓ OK</v>
      </c>
      <c r="W210" s="45">
        <v>46248</v>
      </c>
      <c r="X210" s="30" t="s">
        <v>23</v>
      </c>
      <c r="Y210" s="30" t="s">
        <v>1352</v>
      </c>
      <c r="Z210" s="30" t="s">
        <v>25</v>
      </c>
      <c r="AA210" s="30" t="s">
        <v>1352</v>
      </c>
      <c r="AB210" s="30" t="s">
        <v>24</v>
      </c>
      <c r="AC210" s="27"/>
      <c r="AD210" s="31" t="s">
        <v>25</v>
      </c>
      <c r="AE210" s="32" t="str">
        <f t="shared" si="17"/>
        <v>✓ OK</v>
      </c>
      <c r="AF210" s="33" t="s">
        <v>27</v>
      </c>
      <c r="AG210" s="33" t="s">
        <v>23</v>
      </c>
      <c r="AH210" s="33" t="s">
        <v>1352</v>
      </c>
      <c r="AI210" s="33" t="s">
        <v>25</v>
      </c>
      <c r="AJ210" s="33" t="s">
        <v>1352</v>
      </c>
      <c r="AK210" s="33" t="s">
        <v>24</v>
      </c>
      <c r="AL210" s="27"/>
      <c r="AM210" s="34" t="s">
        <v>25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8" customHeight="1" x14ac:dyDescent="0.3">
      <c r="A211" s="23">
        <v>207</v>
      </c>
      <c r="B211" s="24" t="s">
        <v>5611</v>
      </c>
      <c r="C211" s="25" t="s">
        <v>5612</v>
      </c>
      <c r="D211" s="23" t="s">
        <v>5200</v>
      </c>
      <c r="E211" s="43">
        <v>46125</v>
      </c>
      <c r="F211" s="26" t="s">
        <v>23</v>
      </c>
      <c r="G211" s="44" t="s">
        <v>24</v>
      </c>
      <c r="H211" s="26" t="s">
        <v>25</v>
      </c>
      <c r="I211" s="44" t="s">
        <v>26</v>
      </c>
      <c r="J211" s="26" t="s">
        <v>24</v>
      </c>
      <c r="K211" s="27"/>
      <c r="L211" s="28" t="s">
        <v>25</v>
      </c>
      <c r="M211" s="29" t="str">
        <f t="shared" si="15"/>
        <v>✓ OK</v>
      </c>
      <c r="N211" s="43">
        <v>46196</v>
      </c>
      <c r="O211" s="26" t="s">
        <v>23</v>
      </c>
      <c r="P211" s="44" t="s">
        <v>24</v>
      </c>
      <c r="Q211" s="26" t="s">
        <v>25</v>
      </c>
      <c r="R211" s="44" t="s">
        <v>26</v>
      </c>
      <c r="S211" s="26" t="s">
        <v>24</v>
      </c>
      <c r="T211" s="27"/>
      <c r="U211" s="28" t="s">
        <v>25</v>
      </c>
      <c r="V211" s="29" t="str">
        <f t="shared" si="16"/>
        <v>✓ OK</v>
      </c>
      <c r="W211" s="45">
        <v>46248</v>
      </c>
      <c r="X211" s="30" t="s">
        <v>23</v>
      </c>
      <c r="Y211" s="30" t="s">
        <v>24</v>
      </c>
      <c r="Z211" s="30" t="s">
        <v>25</v>
      </c>
      <c r="AA211" s="30" t="s">
        <v>26</v>
      </c>
      <c r="AB211" s="30" t="s">
        <v>24</v>
      </c>
      <c r="AC211" s="27"/>
      <c r="AD211" s="31" t="s">
        <v>25</v>
      </c>
      <c r="AE211" s="32" t="str">
        <f t="shared" si="17"/>
        <v>✓ OK</v>
      </c>
      <c r="AF211" s="33" t="s">
        <v>27</v>
      </c>
      <c r="AG211" s="33" t="s">
        <v>23</v>
      </c>
      <c r="AH211" s="33" t="s">
        <v>24</v>
      </c>
      <c r="AI211" s="33" t="s">
        <v>25</v>
      </c>
      <c r="AJ211" s="33" t="s">
        <v>26</v>
      </c>
      <c r="AK211" s="33" t="s">
        <v>24</v>
      </c>
      <c r="AL211" s="27"/>
      <c r="AM211" s="34" t="s">
        <v>25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8" customHeight="1" x14ac:dyDescent="0.3">
      <c r="A212" s="39">
        <v>208</v>
      </c>
      <c r="B212" s="40" t="s">
        <v>5613</v>
      </c>
      <c r="C212" s="41" t="s">
        <v>5614</v>
      </c>
      <c r="D212" s="39" t="s">
        <v>5200</v>
      </c>
      <c r="E212" s="43">
        <v>46125</v>
      </c>
      <c r="F212" s="26" t="s">
        <v>23</v>
      </c>
      <c r="G212" s="44" t="s">
        <v>24</v>
      </c>
      <c r="H212" s="26" t="s">
        <v>25</v>
      </c>
      <c r="I212" s="44" t="s">
        <v>731</v>
      </c>
      <c r="J212" s="26" t="s">
        <v>25</v>
      </c>
      <c r="K212" s="27" t="s">
        <v>5615</v>
      </c>
      <c r="L212" s="28" t="s">
        <v>24</v>
      </c>
      <c r="M212" s="29" t="str">
        <f t="shared" si="15"/>
        <v>⚠ Check</v>
      </c>
      <c r="N212" s="43">
        <v>46196</v>
      </c>
      <c r="O212" s="26" t="s">
        <v>23</v>
      </c>
      <c r="P212" s="44" t="s">
        <v>24</v>
      </c>
      <c r="Q212" s="26" t="s">
        <v>25</v>
      </c>
      <c r="R212" s="44" t="s">
        <v>731</v>
      </c>
      <c r="S212" s="26" t="s">
        <v>25</v>
      </c>
      <c r="T212" s="27" t="s">
        <v>5615</v>
      </c>
      <c r="U212" s="28" t="s">
        <v>24</v>
      </c>
      <c r="V212" s="29" t="str">
        <f t="shared" si="16"/>
        <v>⚠ Check</v>
      </c>
      <c r="W212" s="45">
        <v>46248</v>
      </c>
      <c r="X212" s="30" t="s">
        <v>23</v>
      </c>
      <c r="Y212" s="30" t="s">
        <v>24</v>
      </c>
      <c r="Z212" s="30" t="s">
        <v>25</v>
      </c>
      <c r="AA212" s="30" t="s">
        <v>731</v>
      </c>
      <c r="AB212" s="30" t="s">
        <v>25</v>
      </c>
      <c r="AC212" s="27" t="s">
        <v>5615</v>
      </c>
      <c r="AD212" s="31" t="s">
        <v>24</v>
      </c>
      <c r="AE212" s="32" t="str">
        <f t="shared" si="17"/>
        <v>⚠ Check</v>
      </c>
      <c r="AF212" s="33" t="s">
        <v>27</v>
      </c>
      <c r="AG212" s="33" t="s">
        <v>23</v>
      </c>
      <c r="AH212" s="33" t="s">
        <v>24</v>
      </c>
      <c r="AI212" s="33" t="s">
        <v>25</v>
      </c>
      <c r="AJ212" s="33" t="s">
        <v>26</v>
      </c>
      <c r="AK212" s="33" t="s">
        <v>24</v>
      </c>
      <c r="AL212" s="27" t="s">
        <v>5615</v>
      </c>
      <c r="AM212" s="34" t="s">
        <v>25</v>
      </c>
      <c r="AN212" s="35" t="str">
        <f t="shared" si="18"/>
        <v>✓ OK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8" customHeight="1" x14ac:dyDescent="0.3">
      <c r="A213" s="23">
        <v>209</v>
      </c>
      <c r="B213" s="24" t="s">
        <v>5616</v>
      </c>
      <c r="C213" s="25" t="s">
        <v>5617</v>
      </c>
      <c r="D213" s="23" t="s">
        <v>5200</v>
      </c>
      <c r="E213" s="43">
        <v>46125</v>
      </c>
      <c r="F213" s="26" t="s">
        <v>23</v>
      </c>
      <c r="G213" s="44" t="s">
        <v>1352</v>
      </c>
      <c r="H213" s="26" t="s">
        <v>25</v>
      </c>
      <c r="I213" s="44" t="s">
        <v>1352</v>
      </c>
      <c r="J213" s="26" t="s">
        <v>24</v>
      </c>
      <c r="K213" s="27"/>
      <c r="L213" s="28" t="s">
        <v>25</v>
      </c>
      <c r="M213" s="29" t="str">
        <f t="shared" si="15"/>
        <v>✓ OK</v>
      </c>
      <c r="N213" s="43">
        <v>46196</v>
      </c>
      <c r="O213" s="26" t="s">
        <v>23</v>
      </c>
      <c r="P213" s="44" t="s">
        <v>1352</v>
      </c>
      <c r="Q213" s="26" t="s">
        <v>25</v>
      </c>
      <c r="R213" s="44" t="s">
        <v>1352</v>
      </c>
      <c r="S213" s="26" t="s">
        <v>24</v>
      </c>
      <c r="T213" s="27"/>
      <c r="U213" s="28" t="s">
        <v>25</v>
      </c>
      <c r="V213" s="29" t="str">
        <f t="shared" si="16"/>
        <v>✓ OK</v>
      </c>
      <c r="W213" s="45">
        <v>46248</v>
      </c>
      <c r="X213" s="30" t="s">
        <v>23</v>
      </c>
      <c r="Y213" s="30" t="s">
        <v>1352</v>
      </c>
      <c r="Z213" s="30" t="s">
        <v>25</v>
      </c>
      <c r="AA213" s="30" t="s">
        <v>1352</v>
      </c>
      <c r="AB213" s="30" t="s">
        <v>24</v>
      </c>
      <c r="AC213" s="27"/>
      <c r="AD213" s="31" t="s">
        <v>25</v>
      </c>
      <c r="AE213" s="32" t="str">
        <f t="shared" si="17"/>
        <v>✓ OK</v>
      </c>
      <c r="AF213" s="33" t="s">
        <v>27</v>
      </c>
      <c r="AG213" s="33" t="s">
        <v>23</v>
      </c>
      <c r="AH213" s="33" t="s">
        <v>1352</v>
      </c>
      <c r="AI213" s="33" t="s">
        <v>25</v>
      </c>
      <c r="AJ213" s="33" t="s">
        <v>1352</v>
      </c>
      <c r="AK213" s="33" t="s">
        <v>24</v>
      </c>
      <c r="AL213" s="27"/>
      <c r="AM213" s="34" t="s">
        <v>25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8" customHeight="1" x14ac:dyDescent="0.3">
      <c r="A214" s="39">
        <v>210</v>
      </c>
      <c r="B214" s="40" t="s">
        <v>5618</v>
      </c>
      <c r="C214" s="41" t="s">
        <v>5619</v>
      </c>
      <c r="D214" s="39" t="s">
        <v>5200</v>
      </c>
      <c r="E214" s="43">
        <v>46125</v>
      </c>
      <c r="F214" s="26" t="s">
        <v>23</v>
      </c>
      <c r="G214" s="44" t="s">
        <v>1352</v>
      </c>
      <c r="H214" s="26" t="s">
        <v>25</v>
      </c>
      <c r="I214" s="44" t="s">
        <v>1352</v>
      </c>
      <c r="J214" s="26" t="s">
        <v>24</v>
      </c>
      <c r="K214" s="27"/>
      <c r="L214" s="28" t="s">
        <v>25</v>
      </c>
      <c r="M214" s="29" t="str">
        <f t="shared" si="15"/>
        <v>✓ OK</v>
      </c>
      <c r="N214" s="43">
        <v>46196</v>
      </c>
      <c r="O214" s="26" t="s">
        <v>23</v>
      </c>
      <c r="P214" s="44" t="s">
        <v>1352</v>
      </c>
      <c r="Q214" s="26" t="s">
        <v>25</v>
      </c>
      <c r="R214" s="44" t="s">
        <v>1352</v>
      </c>
      <c r="S214" s="26" t="s">
        <v>24</v>
      </c>
      <c r="T214" s="27"/>
      <c r="U214" s="28" t="s">
        <v>25</v>
      </c>
      <c r="V214" s="29" t="str">
        <f t="shared" si="16"/>
        <v>✓ OK</v>
      </c>
      <c r="W214" s="45">
        <v>46248</v>
      </c>
      <c r="X214" s="30" t="s">
        <v>23</v>
      </c>
      <c r="Y214" s="30" t="s">
        <v>1352</v>
      </c>
      <c r="Z214" s="30" t="s">
        <v>25</v>
      </c>
      <c r="AA214" s="30" t="s">
        <v>1352</v>
      </c>
      <c r="AB214" s="30" t="s">
        <v>24</v>
      </c>
      <c r="AC214" s="27"/>
      <c r="AD214" s="31" t="s">
        <v>25</v>
      </c>
      <c r="AE214" s="32" t="str">
        <f t="shared" si="17"/>
        <v>✓ OK</v>
      </c>
      <c r="AF214" s="33" t="s">
        <v>27</v>
      </c>
      <c r="AG214" s="33" t="s">
        <v>23</v>
      </c>
      <c r="AH214" s="33" t="s">
        <v>1352</v>
      </c>
      <c r="AI214" s="33" t="s">
        <v>25</v>
      </c>
      <c r="AJ214" s="33" t="s">
        <v>1352</v>
      </c>
      <c r="AK214" s="33" t="s">
        <v>24</v>
      </c>
      <c r="AL214" s="27"/>
      <c r="AM214" s="34" t="s">
        <v>25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8" customHeight="1" x14ac:dyDescent="0.3">
      <c r="A215" s="23">
        <v>211</v>
      </c>
      <c r="B215" s="24" t="s">
        <v>5620</v>
      </c>
      <c r="C215" s="25" t="s">
        <v>5621</v>
      </c>
      <c r="D215" s="23" t="s">
        <v>5200</v>
      </c>
      <c r="E215" s="43">
        <v>46125</v>
      </c>
      <c r="F215" s="26" t="s">
        <v>23</v>
      </c>
      <c r="G215" s="44" t="s">
        <v>1352</v>
      </c>
      <c r="H215" s="26" t="s">
        <v>25</v>
      </c>
      <c r="I215" s="44" t="s">
        <v>1352</v>
      </c>
      <c r="J215" s="26" t="s">
        <v>24</v>
      </c>
      <c r="K215" s="27"/>
      <c r="L215" s="28" t="s">
        <v>25</v>
      </c>
      <c r="M215" s="29" t="str">
        <f t="shared" si="15"/>
        <v>✓ OK</v>
      </c>
      <c r="N215" s="43">
        <v>46196</v>
      </c>
      <c r="O215" s="26" t="s">
        <v>23</v>
      </c>
      <c r="P215" s="44" t="s">
        <v>1352</v>
      </c>
      <c r="Q215" s="26" t="s">
        <v>25</v>
      </c>
      <c r="R215" s="44" t="s">
        <v>1352</v>
      </c>
      <c r="S215" s="26" t="s">
        <v>24</v>
      </c>
      <c r="T215" s="27"/>
      <c r="U215" s="28" t="s">
        <v>25</v>
      </c>
      <c r="V215" s="29" t="str">
        <f t="shared" si="16"/>
        <v>✓ OK</v>
      </c>
      <c r="W215" s="45">
        <v>46248</v>
      </c>
      <c r="X215" s="30" t="s">
        <v>23</v>
      </c>
      <c r="Y215" s="30" t="s">
        <v>1352</v>
      </c>
      <c r="Z215" s="30" t="s">
        <v>25</v>
      </c>
      <c r="AA215" s="30" t="s">
        <v>1352</v>
      </c>
      <c r="AB215" s="30" t="s">
        <v>24</v>
      </c>
      <c r="AC215" s="27"/>
      <c r="AD215" s="31" t="s">
        <v>25</v>
      </c>
      <c r="AE215" s="32" t="str">
        <f t="shared" si="17"/>
        <v>✓ OK</v>
      </c>
      <c r="AF215" s="33" t="s">
        <v>27</v>
      </c>
      <c r="AG215" s="33" t="s">
        <v>23</v>
      </c>
      <c r="AH215" s="33" t="s">
        <v>1352</v>
      </c>
      <c r="AI215" s="33" t="s">
        <v>25</v>
      </c>
      <c r="AJ215" s="33" t="s">
        <v>1352</v>
      </c>
      <c r="AK215" s="33" t="s">
        <v>24</v>
      </c>
      <c r="AL215" s="27"/>
      <c r="AM215" s="34" t="s">
        <v>25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8" customHeight="1" x14ac:dyDescent="0.3">
      <c r="A216" s="39">
        <v>212</v>
      </c>
      <c r="B216" s="40" t="s">
        <v>5622</v>
      </c>
      <c r="C216" s="41" t="s">
        <v>5623</v>
      </c>
      <c r="D216" s="39" t="s">
        <v>5200</v>
      </c>
      <c r="E216" s="43">
        <v>46125</v>
      </c>
      <c r="F216" s="26" t="s">
        <v>23</v>
      </c>
      <c r="G216" s="44" t="s">
        <v>24</v>
      </c>
      <c r="H216" s="26" t="s">
        <v>25</v>
      </c>
      <c r="I216" s="44" t="s">
        <v>26</v>
      </c>
      <c r="J216" s="26" t="s">
        <v>24</v>
      </c>
      <c r="K216" s="27"/>
      <c r="L216" s="28" t="s">
        <v>25</v>
      </c>
      <c r="M216" s="29" t="str">
        <f t="shared" si="15"/>
        <v>✓ OK</v>
      </c>
      <c r="N216" s="43">
        <v>46196</v>
      </c>
      <c r="O216" s="26" t="s">
        <v>23</v>
      </c>
      <c r="P216" s="44" t="s">
        <v>24</v>
      </c>
      <c r="Q216" s="26" t="s">
        <v>25</v>
      </c>
      <c r="R216" s="44" t="s">
        <v>26</v>
      </c>
      <c r="S216" s="26" t="s">
        <v>24</v>
      </c>
      <c r="T216" s="27"/>
      <c r="U216" s="28" t="s">
        <v>25</v>
      </c>
      <c r="V216" s="29" t="str">
        <f t="shared" si="16"/>
        <v>✓ OK</v>
      </c>
      <c r="W216" s="45">
        <v>46248</v>
      </c>
      <c r="X216" s="30" t="s">
        <v>23</v>
      </c>
      <c r="Y216" s="30" t="s">
        <v>24</v>
      </c>
      <c r="Z216" s="30" t="s">
        <v>25</v>
      </c>
      <c r="AA216" s="30" t="s">
        <v>26</v>
      </c>
      <c r="AB216" s="30" t="s">
        <v>24</v>
      </c>
      <c r="AC216" s="27"/>
      <c r="AD216" s="31" t="s">
        <v>25</v>
      </c>
      <c r="AE216" s="32" t="str">
        <f t="shared" si="17"/>
        <v>✓ OK</v>
      </c>
      <c r="AF216" s="33" t="s">
        <v>27</v>
      </c>
      <c r="AG216" s="33" t="s">
        <v>23</v>
      </c>
      <c r="AH216" s="33" t="s">
        <v>24</v>
      </c>
      <c r="AI216" s="33" t="s">
        <v>25</v>
      </c>
      <c r="AJ216" s="33" t="s">
        <v>26</v>
      </c>
      <c r="AK216" s="33" t="s">
        <v>24</v>
      </c>
      <c r="AL216" s="27"/>
      <c r="AM216" s="34" t="s">
        <v>25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8" customHeight="1" x14ac:dyDescent="0.3">
      <c r="A217" s="23">
        <v>213</v>
      </c>
      <c r="B217" s="24" t="s">
        <v>5624</v>
      </c>
      <c r="C217" s="25" t="s">
        <v>5625</v>
      </c>
      <c r="D217" s="23" t="s">
        <v>5200</v>
      </c>
      <c r="E217" s="43">
        <v>46125</v>
      </c>
      <c r="F217" s="26" t="s">
        <v>23</v>
      </c>
      <c r="G217" s="44" t="s">
        <v>1352</v>
      </c>
      <c r="H217" s="26" t="s">
        <v>25</v>
      </c>
      <c r="I217" s="44" t="s">
        <v>1352</v>
      </c>
      <c r="J217" s="26" t="s">
        <v>24</v>
      </c>
      <c r="K217" s="27"/>
      <c r="L217" s="28" t="s">
        <v>25</v>
      </c>
      <c r="M217" s="29" t="str">
        <f t="shared" si="15"/>
        <v>✓ OK</v>
      </c>
      <c r="N217" s="43">
        <v>46196</v>
      </c>
      <c r="O217" s="26" t="s">
        <v>23</v>
      </c>
      <c r="P217" s="44" t="s">
        <v>1352</v>
      </c>
      <c r="Q217" s="26" t="s">
        <v>25</v>
      </c>
      <c r="R217" s="44" t="s">
        <v>1352</v>
      </c>
      <c r="S217" s="26" t="s">
        <v>24</v>
      </c>
      <c r="T217" s="27"/>
      <c r="U217" s="28" t="s">
        <v>25</v>
      </c>
      <c r="V217" s="29" t="str">
        <f t="shared" si="16"/>
        <v>✓ OK</v>
      </c>
      <c r="W217" s="45">
        <v>46248</v>
      </c>
      <c r="X217" s="30" t="s">
        <v>23</v>
      </c>
      <c r="Y217" s="30" t="s">
        <v>1352</v>
      </c>
      <c r="Z217" s="30" t="s">
        <v>25</v>
      </c>
      <c r="AA217" s="30" t="s">
        <v>1352</v>
      </c>
      <c r="AB217" s="30" t="s">
        <v>24</v>
      </c>
      <c r="AC217" s="27"/>
      <c r="AD217" s="31" t="s">
        <v>25</v>
      </c>
      <c r="AE217" s="32" t="str">
        <f t="shared" si="17"/>
        <v>✓ OK</v>
      </c>
      <c r="AF217" s="33" t="s">
        <v>27</v>
      </c>
      <c r="AG217" s="33" t="s">
        <v>23</v>
      </c>
      <c r="AH217" s="33" t="s">
        <v>1352</v>
      </c>
      <c r="AI217" s="33" t="s">
        <v>25</v>
      </c>
      <c r="AJ217" s="33" t="s">
        <v>1352</v>
      </c>
      <c r="AK217" s="33" t="s">
        <v>24</v>
      </c>
      <c r="AL217" s="27"/>
      <c r="AM217" s="34" t="s">
        <v>25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8" customHeight="1" x14ac:dyDescent="0.3">
      <c r="A218" s="39">
        <v>214</v>
      </c>
      <c r="B218" s="40" t="s">
        <v>5626</v>
      </c>
      <c r="C218" s="41" t="s">
        <v>5627</v>
      </c>
      <c r="D218" s="39" t="s">
        <v>5200</v>
      </c>
      <c r="E218" s="43">
        <v>46125</v>
      </c>
      <c r="F218" s="26" t="s">
        <v>23</v>
      </c>
      <c r="G218" s="44" t="s">
        <v>1352</v>
      </c>
      <c r="H218" s="26" t="s">
        <v>25</v>
      </c>
      <c r="I218" s="44" t="s">
        <v>1352</v>
      </c>
      <c r="J218" s="26" t="s">
        <v>24</v>
      </c>
      <c r="K218" s="27"/>
      <c r="L218" s="28" t="s">
        <v>25</v>
      </c>
      <c r="M218" s="29" t="str">
        <f t="shared" si="15"/>
        <v>✓ OK</v>
      </c>
      <c r="N218" s="43">
        <v>46196</v>
      </c>
      <c r="O218" s="26" t="s">
        <v>23</v>
      </c>
      <c r="P218" s="44" t="s">
        <v>1352</v>
      </c>
      <c r="Q218" s="26" t="s">
        <v>25</v>
      </c>
      <c r="R218" s="44" t="s">
        <v>1352</v>
      </c>
      <c r="S218" s="26" t="s">
        <v>24</v>
      </c>
      <c r="T218" s="27"/>
      <c r="U218" s="28" t="s">
        <v>25</v>
      </c>
      <c r="V218" s="29" t="str">
        <f t="shared" si="16"/>
        <v>✓ OK</v>
      </c>
      <c r="W218" s="45">
        <v>46248</v>
      </c>
      <c r="X218" s="30" t="s">
        <v>23</v>
      </c>
      <c r="Y218" s="30" t="s">
        <v>1352</v>
      </c>
      <c r="Z218" s="30" t="s">
        <v>25</v>
      </c>
      <c r="AA218" s="30" t="s">
        <v>1352</v>
      </c>
      <c r="AB218" s="30" t="s">
        <v>24</v>
      </c>
      <c r="AC218" s="27"/>
      <c r="AD218" s="31" t="s">
        <v>25</v>
      </c>
      <c r="AE218" s="32" t="str">
        <f t="shared" si="17"/>
        <v>✓ OK</v>
      </c>
      <c r="AF218" s="33" t="s">
        <v>27</v>
      </c>
      <c r="AG218" s="33" t="s">
        <v>23</v>
      </c>
      <c r="AH218" s="33" t="s">
        <v>1352</v>
      </c>
      <c r="AI218" s="33" t="s">
        <v>25</v>
      </c>
      <c r="AJ218" s="33" t="s">
        <v>1352</v>
      </c>
      <c r="AK218" s="33" t="s">
        <v>24</v>
      </c>
      <c r="AL218" s="27"/>
      <c r="AM218" s="34" t="s">
        <v>25</v>
      </c>
      <c r="AN218" s="35" t="str">
        <f t="shared" si="18"/>
        <v>✓ OK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8" customHeight="1" x14ac:dyDescent="0.3">
      <c r="A219" s="23">
        <v>215</v>
      </c>
      <c r="B219" s="24" t="s">
        <v>5628</v>
      </c>
      <c r="C219" s="25" t="s">
        <v>5629</v>
      </c>
      <c r="D219" s="23" t="s">
        <v>5200</v>
      </c>
      <c r="E219" s="43">
        <v>46125</v>
      </c>
      <c r="F219" s="26" t="s">
        <v>23</v>
      </c>
      <c r="G219" s="44" t="s">
        <v>1352</v>
      </c>
      <c r="H219" s="26" t="s">
        <v>25</v>
      </c>
      <c r="I219" s="44" t="s">
        <v>1352</v>
      </c>
      <c r="J219" s="26" t="s">
        <v>24</v>
      </c>
      <c r="K219" s="27"/>
      <c r="L219" s="28" t="s">
        <v>25</v>
      </c>
      <c r="M219" s="29" t="str">
        <f t="shared" si="15"/>
        <v>✓ OK</v>
      </c>
      <c r="N219" s="43">
        <v>46196</v>
      </c>
      <c r="O219" s="26" t="s">
        <v>23</v>
      </c>
      <c r="P219" s="44" t="s">
        <v>1352</v>
      </c>
      <c r="Q219" s="26" t="s">
        <v>25</v>
      </c>
      <c r="R219" s="44" t="s">
        <v>1352</v>
      </c>
      <c r="S219" s="26" t="s">
        <v>24</v>
      </c>
      <c r="T219" s="27"/>
      <c r="U219" s="28" t="s">
        <v>25</v>
      </c>
      <c r="V219" s="29" t="str">
        <f t="shared" si="16"/>
        <v>✓ OK</v>
      </c>
      <c r="W219" s="45">
        <v>46248</v>
      </c>
      <c r="X219" s="30" t="s">
        <v>23</v>
      </c>
      <c r="Y219" s="30" t="s">
        <v>1352</v>
      </c>
      <c r="Z219" s="30" t="s">
        <v>25</v>
      </c>
      <c r="AA219" s="30" t="s">
        <v>1352</v>
      </c>
      <c r="AB219" s="30" t="s">
        <v>24</v>
      </c>
      <c r="AC219" s="27"/>
      <c r="AD219" s="31" t="s">
        <v>25</v>
      </c>
      <c r="AE219" s="32" t="str">
        <f t="shared" si="17"/>
        <v>✓ OK</v>
      </c>
      <c r="AF219" s="33" t="s">
        <v>27</v>
      </c>
      <c r="AG219" s="33" t="s">
        <v>23</v>
      </c>
      <c r="AH219" s="33" t="s">
        <v>1352</v>
      </c>
      <c r="AI219" s="33" t="s">
        <v>25</v>
      </c>
      <c r="AJ219" s="33" t="s">
        <v>1352</v>
      </c>
      <c r="AK219" s="33" t="s">
        <v>24</v>
      </c>
      <c r="AL219" s="27"/>
      <c r="AM219" s="34" t="s">
        <v>25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8" customHeight="1" x14ac:dyDescent="0.3">
      <c r="A220" s="39">
        <v>216</v>
      </c>
      <c r="B220" s="40" t="s">
        <v>5630</v>
      </c>
      <c r="C220" s="41" t="s">
        <v>5631</v>
      </c>
      <c r="D220" s="39" t="s">
        <v>5200</v>
      </c>
      <c r="E220" s="43">
        <v>46125</v>
      </c>
      <c r="F220" s="26" t="s">
        <v>23</v>
      </c>
      <c r="G220" s="44" t="s">
        <v>1352</v>
      </c>
      <c r="H220" s="26" t="s">
        <v>25</v>
      </c>
      <c r="I220" s="44" t="s">
        <v>1352</v>
      </c>
      <c r="J220" s="26" t="s">
        <v>24</v>
      </c>
      <c r="K220" s="27"/>
      <c r="L220" s="28" t="s">
        <v>25</v>
      </c>
      <c r="M220" s="29" t="str">
        <f t="shared" si="15"/>
        <v>✓ OK</v>
      </c>
      <c r="N220" s="43">
        <v>46196</v>
      </c>
      <c r="O220" s="26" t="s">
        <v>23</v>
      </c>
      <c r="P220" s="44" t="s">
        <v>1352</v>
      </c>
      <c r="Q220" s="26" t="s">
        <v>25</v>
      </c>
      <c r="R220" s="44" t="s">
        <v>1352</v>
      </c>
      <c r="S220" s="26" t="s">
        <v>24</v>
      </c>
      <c r="T220" s="27"/>
      <c r="U220" s="28" t="s">
        <v>25</v>
      </c>
      <c r="V220" s="29" t="str">
        <f t="shared" si="16"/>
        <v>✓ OK</v>
      </c>
      <c r="W220" s="45">
        <v>46248</v>
      </c>
      <c r="X220" s="30" t="s">
        <v>23</v>
      </c>
      <c r="Y220" s="30" t="s">
        <v>1352</v>
      </c>
      <c r="Z220" s="30" t="s">
        <v>25</v>
      </c>
      <c r="AA220" s="30" t="s">
        <v>1352</v>
      </c>
      <c r="AB220" s="30" t="s">
        <v>24</v>
      </c>
      <c r="AC220" s="27"/>
      <c r="AD220" s="31" t="s">
        <v>25</v>
      </c>
      <c r="AE220" s="32" t="str">
        <f t="shared" si="17"/>
        <v>✓ OK</v>
      </c>
      <c r="AF220" s="33" t="s">
        <v>27</v>
      </c>
      <c r="AG220" s="33" t="s">
        <v>23</v>
      </c>
      <c r="AH220" s="33" t="s">
        <v>1352</v>
      </c>
      <c r="AI220" s="33" t="s">
        <v>25</v>
      </c>
      <c r="AJ220" s="33" t="s">
        <v>1352</v>
      </c>
      <c r="AK220" s="33" t="s">
        <v>24</v>
      </c>
      <c r="AL220" s="27"/>
      <c r="AM220" s="34" t="s">
        <v>25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8" customHeight="1" x14ac:dyDescent="0.3">
      <c r="A221" s="23">
        <v>217</v>
      </c>
      <c r="B221" s="24" t="s">
        <v>5632</v>
      </c>
      <c r="C221" s="25" t="s">
        <v>5633</v>
      </c>
      <c r="D221" s="23" t="s">
        <v>5200</v>
      </c>
      <c r="E221" s="43">
        <v>46125</v>
      </c>
      <c r="F221" s="26" t="s">
        <v>23</v>
      </c>
      <c r="G221" s="44" t="s">
        <v>1352</v>
      </c>
      <c r="H221" s="26" t="s">
        <v>25</v>
      </c>
      <c r="I221" s="44" t="s">
        <v>1352</v>
      </c>
      <c r="J221" s="26" t="s">
        <v>24</v>
      </c>
      <c r="K221" s="27"/>
      <c r="L221" s="28" t="s">
        <v>25</v>
      </c>
      <c r="M221" s="29" t="str">
        <f t="shared" si="15"/>
        <v>✓ OK</v>
      </c>
      <c r="N221" s="43">
        <v>46196</v>
      </c>
      <c r="O221" s="26" t="s">
        <v>23</v>
      </c>
      <c r="P221" s="44" t="s">
        <v>1352</v>
      </c>
      <c r="Q221" s="26" t="s">
        <v>25</v>
      </c>
      <c r="R221" s="44" t="s">
        <v>1352</v>
      </c>
      <c r="S221" s="26" t="s">
        <v>24</v>
      </c>
      <c r="T221" s="27"/>
      <c r="U221" s="28" t="s">
        <v>25</v>
      </c>
      <c r="V221" s="29" t="str">
        <f t="shared" si="16"/>
        <v>✓ OK</v>
      </c>
      <c r="W221" s="45">
        <v>46248</v>
      </c>
      <c r="X221" s="30" t="s">
        <v>23</v>
      </c>
      <c r="Y221" s="30" t="s">
        <v>1352</v>
      </c>
      <c r="Z221" s="30" t="s">
        <v>25</v>
      </c>
      <c r="AA221" s="30" t="s">
        <v>1352</v>
      </c>
      <c r="AB221" s="30" t="s">
        <v>24</v>
      </c>
      <c r="AC221" s="27"/>
      <c r="AD221" s="31" t="s">
        <v>25</v>
      </c>
      <c r="AE221" s="32" t="str">
        <f t="shared" si="17"/>
        <v>✓ OK</v>
      </c>
      <c r="AF221" s="33" t="s">
        <v>27</v>
      </c>
      <c r="AG221" s="33" t="s">
        <v>23</v>
      </c>
      <c r="AH221" s="33" t="s">
        <v>1352</v>
      </c>
      <c r="AI221" s="33" t="s">
        <v>25</v>
      </c>
      <c r="AJ221" s="33" t="s">
        <v>1352</v>
      </c>
      <c r="AK221" s="33" t="s">
        <v>24</v>
      </c>
      <c r="AL221" s="27"/>
      <c r="AM221" s="34" t="s">
        <v>25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8" customHeight="1" x14ac:dyDescent="0.3">
      <c r="A222" s="39">
        <v>218</v>
      </c>
      <c r="B222" s="40" t="s">
        <v>5634</v>
      </c>
      <c r="C222" s="41" t="s">
        <v>5635</v>
      </c>
      <c r="D222" s="39" t="s">
        <v>5200</v>
      </c>
      <c r="E222" s="43">
        <v>46125</v>
      </c>
      <c r="F222" s="26" t="s">
        <v>23</v>
      </c>
      <c r="G222" s="44" t="s">
        <v>1352</v>
      </c>
      <c r="H222" s="26" t="s">
        <v>25</v>
      </c>
      <c r="I222" s="44" t="s">
        <v>1352</v>
      </c>
      <c r="J222" s="26" t="s">
        <v>24</v>
      </c>
      <c r="K222" s="27"/>
      <c r="L222" s="28" t="s">
        <v>25</v>
      </c>
      <c r="M222" s="29" t="str">
        <f t="shared" si="15"/>
        <v>✓ OK</v>
      </c>
      <c r="N222" s="43">
        <v>46196</v>
      </c>
      <c r="O222" s="26" t="s">
        <v>23</v>
      </c>
      <c r="P222" s="44" t="s">
        <v>1352</v>
      </c>
      <c r="Q222" s="26" t="s">
        <v>25</v>
      </c>
      <c r="R222" s="44" t="s">
        <v>1352</v>
      </c>
      <c r="S222" s="26" t="s">
        <v>24</v>
      </c>
      <c r="T222" s="27"/>
      <c r="U222" s="28" t="s">
        <v>25</v>
      </c>
      <c r="V222" s="29" t="str">
        <f t="shared" si="16"/>
        <v>✓ OK</v>
      </c>
      <c r="W222" s="45">
        <v>46248</v>
      </c>
      <c r="X222" s="30" t="s">
        <v>23</v>
      </c>
      <c r="Y222" s="30" t="s">
        <v>1352</v>
      </c>
      <c r="Z222" s="30" t="s">
        <v>25</v>
      </c>
      <c r="AA222" s="30" t="s">
        <v>1352</v>
      </c>
      <c r="AB222" s="30" t="s">
        <v>24</v>
      </c>
      <c r="AC222" s="27"/>
      <c r="AD222" s="31" t="s">
        <v>25</v>
      </c>
      <c r="AE222" s="32" t="str">
        <f t="shared" si="17"/>
        <v>✓ OK</v>
      </c>
      <c r="AF222" s="33" t="s">
        <v>27</v>
      </c>
      <c r="AG222" s="33" t="s">
        <v>23</v>
      </c>
      <c r="AH222" s="33" t="s">
        <v>1352</v>
      </c>
      <c r="AI222" s="33" t="s">
        <v>25</v>
      </c>
      <c r="AJ222" s="33" t="s">
        <v>1352</v>
      </c>
      <c r="AK222" s="33" t="s">
        <v>24</v>
      </c>
      <c r="AL222" s="27"/>
      <c r="AM222" s="34" t="s">
        <v>25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8" customHeight="1" x14ac:dyDescent="0.3">
      <c r="A223" s="23">
        <v>219</v>
      </c>
      <c r="B223" s="24" t="s">
        <v>5636</v>
      </c>
      <c r="C223" s="25" t="s">
        <v>5637</v>
      </c>
      <c r="D223" s="23" t="s">
        <v>5200</v>
      </c>
      <c r="E223" s="43">
        <v>46125</v>
      </c>
      <c r="F223" s="26" t="s">
        <v>23</v>
      </c>
      <c r="G223" s="44" t="s">
        <v>1352</v>
      </c>
      <c r="H223" s="26" t="s">
        <v>25</v>
      </c>
      <c r="I223" s="44" t="s">
        <v>1352</v>
      </c>
      <c r="J223" s="26" t="s">
        <v>24</v>
      </c>
      <c r="K223" s="27"/>
      <c r="L223" s="28" t="s">
        <v>25</v>
      </c>
      <c r="M223" s="29" t="str">
        <f t="shared" si="15"/>
        <v>✓ OK</v>
      </c>
      <c r="N223" s="43">
        <v>46196</v>
      </c>
      <c r="O223" s="26" t="s">
        <v>23</v>
      </c>
      <c r="P223" s="44" t="s">
        <v>1352</v>
      </c>
      <c r="Q223" s="26" t="s">
        <v>25</v>
      </c>
      <c r="R223" s="44" t="s">
        <v>1352</v>
      </c>
      <c r="S223" s="26" t="s">
        <v>24</v>
      </c>
      <c r="T223" s="27"/>
      <c r="U223" s="28" t="s">
        <v>25</v>
      </c>
      <c r="V223" s="29" t="str">
        <f t="shared" si="16"/>
        <v>✓ OK</v>
      </c>
      <c r="W223" s="45">
        <v>46248</v>
      </c>
      <c r="X223" s="30" t="s">
        <v>23</v>
      </c>
      <c r="Y223" s="30" t="s">
        <v>1352</v>
      </c>
      <c r="Z223" s="30" t="s">
        <v>25</v>
      </c>
      <c r="AA223" s="30" t="s">
        <v>1352</v>
      </c>
      <c r="AB223" s="30" t="s">
        <v>24</v>
      </c>
      <c r="AC223" s="27"/>
      <c r="AD223" s="31" t="s">
        <v>25</v>
      </c>
      <c r="AE223" s="32" t="str">
        <f t="shared" si="17"/>
        <v>✓ OK</v>
      </c>
      <c r="AF223" s="33" t="s">
        <v>27</v>
      </c>
      <c r="AG223" s="33" t="s">
        <v>23</v>
      </c>
      <c r="AH223" s="33" t="s">
        <v>1352</v>
      </c>
      <c r="AI223" s="33" t="s">
        <v>25</v>
      </c>
      <c r="AJ223" s="33" t="s">
        <v>1352</v>
      </c>
      <c r="AK223" s="33" t="s">
        <v>24</v>
      </c>
      <c r="AL223" s="27"/>
      <c r="AM223" s="34" t="s">
        <v>25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8" customHeight="1" x14ac:dyDescent="0.3">
      <c r="A224" s="39">
        <v>220</v>
      </c>
      <c r="B224" s="40" t="s">
        <v>5638</v>
      </c>
      <c r="C224" s="41" t="s">
        <v>5639</v>
      </c>
      <c r="D224" s="39" t="s">
        <v>5200</v>
      </c>
      <c r="E224" s="43">
        <v>46125</v>
      </c>
      <c r="F224" s="26" t="s">
        <v>23</v>
      </c>
      <c r="G224" s="44" t="s">
        <v>24</v>
      </c>
      <c r="H224" s="26" t="s">
        <v>25</v>
      </c>
      <c r="I224" s="44" t="s">
        <v>26</v>
      </c>
      <c r="J224" s="26" t="s">
        <v>24</v>
      </c>
      <c r="K224" s="27"/>
      <c r="L224" s="28" t="s">
        <v>25</v>
      </c>
      <c r="M224" s="29" t="str">
        <f t="shared" si="15"/>
        <v>✓ OK</v>
      </c>
      <c r="N224" s="43">
        <v>46196</v>
      </c>
      <c r="O224" s="26" t="s">
        <v>23</v>
      </c>
      <c r="P224" s="44" t="s">
        <v>24</v>
      </c>
      <c r="Q224" s="26" t="s">
        <v>25</v>
      </c>
      <c r="R224" s="44" t="s">
        <v>26</v>
      </c>
      <c r="S224" s="26" t="s">
        <v>24</v>
      </c>
      <c r="T224" s="27"/>
      <c r="U224" s="28" t="s">
        <v>25</v>
      </c>
      <c r="V224" s="29" t="str">
        <f t="shared" si="16"/>
        <v>✓ OK</v>
      </c>
      <c r="W224" s="45">
        <v>46248</v>
      </c>
      <c r="X224" s="30" t="s">
        <v>23</v>
      </c>
      <c r="Y224" s="30" t="s">
        <v>24</v>
      </c>
      <c r="Z224" s="30" t="s">
        <v>25</v>
      </c>
      <c r="AA224" s="30" t="s">
        <v>26</v>
      </c>
      <c r="AB224" s="30" t="s">
        <v>24</v>
      </c>
      <c r="AC224" s="27"/>
      <c r="AD224" s="31" t="s">
        <v>25</v>
      </c>
      <c r="AE224" s="32" t="str">
        <f t="shared" si="17"/>
        <v>✓ OK</v>
      </c>
      <c r="AF224" s="33" t="s">
        <v>27</v>
      </c>
      <c r="AG224" s="33" t="s">
        <v>23</v>
      </c>
      <c r="AH224" s="33" t="s">
        <v>24</v>
      </c>
      <c r="AI224" s="33" t="s">
        <v>25</v>
      </c>
      <c r="AJ224" s="33" t="s">
        <v>26</v>
      </c>
      <c r="AK224" s="33" t="s">
        <v>24</v>
      </c>
      <c r="AL224" s="27"/>
      <c r="AM224" s="34" t="s">
        <v>25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8" customHeight="1" x14ac:dyDescent="0.3">
      <c r="A225" s="23">
        <v>221</v>
      </c>
      <c r="B225" s="24" t="s">
        <v>5640</v>
      </c>
      <c r="C225" s="25" t="s">
        <v>5641</v>
      </c>
      <c r="D225" s="23" t="s">
        <v>5200</v>
      </c>
      <c r="E225" s="43">
        <v>46125</v>
      </c>
      <c r="F225" s="26" t="s">
        <v>23</v>
      </c>
      <c r="G225" s="44" t="s">
        <v>1352</v>
      </c>
      <c r="H225" s="26" t="s">
        <v>25</v>
      </c>
      <c r="I225" s="44" t="s">
        <v>1352</v>
      </c>
      <c r="J225" s="26" t="s">
        <v>24</v>
      </c>
      <c r="K225" s="27"/>
      <c r="L225" s="28" t="s">
        <v>25</v>
      </c>
      <c r="M225" s="29" t="str">
        <f t="shared" si="15"/>
        <v>✓ OK</v>
      </c>
      <c r="N225" s="43">
        <v>46196</v>
      </c>
      <c r="O225" s="26" t="s">
        <v>23</v>
      </c>
      <c r="P225" s="44" t="s">
        <v>1352</v>
      </c>
      <c r="Q225" s="26" t="s">
        <v>25</v>
      </c>
      <c r="R225" s="44" t="s">
        <v>1352</v>
      </c>
      <c r="S225" s="26" t="s">
        <v>24</v>
      </c>
      <c r="T225" s="27"/>
      <c r="U225" s="28" t="s">
        <v>25</v>
      </c>
      <c r="V225" s="29" t="str">
        <f t="shared" si="16"/>
        <v>✓ OK</v>
      </c>
      <c r="W225" s="45">
        <v>46248</v>
      </c>
      <c r="X225" s="30" t="s">
        <v>23</v>
      </c>
      <c r="Y225" s="30" t="s">
        <v>1352</v>
      </c>
      <c r="Z225" s="30" t="s">
        <v>25</v>
      </c>
      <c r="AA225" s="30" t="s">
        <v>1352</v>
      </c>
      <c r="AB225" s="30" t="s">
        <v>24</v>
      </c>
      <c r="AC225" s="27"/>
      <c r="AD225" s="31" t="s">
        <v>25</v>
      </c>
      <c r="AE225" s="32" t="str">
        <f t="shared" si="17"/>
        <v>✓ OK</v>
      </c>
      <c r="AF225" s="33" t="s">
        <v>27</v>
      </c>
      <c r="AG225" s="33" t="s">
        <v>23</v>
      </c>
      <c r="AH225" s="33" t="s">
        <v>1352</v>
      </c>
      <c r="AI225" s="33" t="s">
        <v>25</v>
      </c>
      <c r="AJ225" s="33" t="s">
        <v>1352</v>
      </c>
      <c r="AK225" s="33" t="s">
        <v>24</v>
      </c>
      <c r="AL225" s="27"/>
      <c r="AM225" s="34" t="s">
        <v>25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8" customHeight="1" x14ac:dyDescent="0.3">
      <c r="A226" s="39">
        <v>222</v>
      </c>
      <c r="B226" s="40" t="s">
        <v>5642</v>
      </c>
      <c r="C226" s="41" t="s">
        <v>5643</v>
      </c>
      <c r="D226" s="39" t="s">
        <v>5200</v>
      </c>
      <c r="E226" s="43">
        <v>46125</v>
      </c>
      <c r="F226" s="26" t="s">
        <v>23</v>
      </c>
      <c r="G226" s="44" t="s">
        <v>1352</v>
      </c>
      <c r="H226" s="26" t="s">
        <v>25</v>
      </c>
      <c r="I226" s="44" t="s">
        <v>1352</v>
      </c>
      <c r="J226" s="26" t="s">
        <v>24</v>
      </c>
      <c r="K226" s="27"/>
      <c r="L226" s="28" t="s">
        <v>25</v>
      </c>
      <c r="M226" s="29" t="str">
        <f t="shared" si="15"/>
        <v>✓ OK</v>
      </c>
      <c r="N226" s="43">
        <v>46196</v>
      </c>
      <c r="O226" s="26" t="s">
        <v>23</v>
      </c>
      <c r="P226" s="44" t="s">
        <v>1352</v>
      </c>
      <c r="Q226" s="26" t="s">
        <v>25</v>
      </c>
      <c r="R226" s="44" t="s">
        <v>1352</v>
      </c>
      <c r="S226" s="26" t="s">
        <v>24</v>
      </c>
      <c r="T226" s="27"/>
      <c r="U226" s="28" t="s">
        <v>25</v>
      </c>
      <c r="V226" s="29" t="str">
        <f t="shared" si="16"/>
        <v>✓ OK</v>
      </c>
      <c r="W226" s="45">
        <v>46248</v>
      </c>
      <c r="X226" s="30" t="s">
        <v>23</v>
      </c>
      <c r="Y226" s="30" t="s">
        <v>1352</v>
      </c>
      <c r="Z226" s="30" t="s">
        <v>25</v>
      </c>
      <c r="AA226" s="30" t="s">
        <v>1352</v>
      </c>
      <c r="AB226" s="30" t="s">
        <v>24</v>
      </c>
      <c r="AC226" s="27"/>
      <c r="AD226" s="31" t="s">
        <v>25</v>
      </c>
      <c r="AE226" s="32" t="str">
        <f t="shared" si="17"/>
        <v>✓ OK</v>
      </c>
      <c r="AF226" s="33" t="s">
        <v>27</v>
      </c>
      <c r="AG226" s="33" t="s">
        <v>23</v>
      </c>
      <c r="AH226" s="33" t="s">
        <v>1352</v>
      </c>
      <c r="AI226" s="33" t="s">
        <v>25</v>
      </c>
      <c r="AJ226" s="33" t="s">
        <v>1352</v>
      </c>
      <c r="AK226" s="33" t="s">
        <v>24</v>
      </c>
      <c r="AL226" s="27"/>
      <c r="AM226" s="34" t="s">
        <v>25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8" customHeight="1" x14ac:dyDescent="0.3">
      <c r="A227" s="23">
        <v>223</v>
      </c>
      <c r="B227" s="24" t="s">
        <v>5644</v>
      </c>
      <c r="C227" s="25" t="s">
        <v>5645</v>
      </c>
      <c r="D227" s="23" t="s">
        <v>5200</v>
      </c>
      <c r="E227" s="43">
        <v>46125</v>
      </c>
      <c r="F227" s="26" t="s">
        <v>23</v>
      </c>
      <c r="G227" s="44" t="s">
        <v>1352</v>
      </c>
      <c r="H227" s="26" t="s">
        <v>25</v>
      </c>
      <c r="I227" s="44" t="s">
        <v>1352</v>
      </c>
      <c r="J227" s="26" t="s">
        <v>24</v>
      </c>
      <c r="K227" s="27"/>
      <c r="L227" s="28" t="s">
        <v>25</v>
      </c>
      <c r="M227" s="29" t="str">
        <f t="shared" si="15"/>
        <v>✓ OK</v>
      </c>
      <c r="N227" s="43">
        <v>46196</v>
      </c>
      <c r="O227" s="26" t="s">
        <v>23</v>
      </c>
      <c r="P227" s="44" t="s">
        <v>1352</v>
      </c>
      <c r="Q227" s="26" t="s">
        <v>25</v>
      </c>
      <c r="R227" s="44" t="s">
        <v>1352</v>
      </c>
      <c r="S227" s="26" t="s">
        <v>24</v>
      </c>
      <c r="T227" s="27"/>
      <c r="U227" s="28" t="s">
        <v>25</v>
      </c>
      <c r="V227" s="29" t="str">
        <f t="shared" si="16"/>
        <v>✓ OK</v>
      </c>
      <c r="W227" s="45">
        <v>46248</v>
      </c>
      <c r="X227" s="30" t="s">
        <v>23</v>
      </c>
      <c r="Y227" s="30" t="s">
        <v>1352</v>
      </c>
      <c r="Z227" s="30" t="s">
        <v>25</v>
      </c>
      <c r="AA227" s="30" t="s">
        <v>1352</v>
      </c>
      <c r="AB227" s="30" t="s">
        <v>24</v>
      </c>
      <c r="AC227" s="27"/>
      <c r="AD227" s="31" t="s">
        <v>25</v>
      </c>
      <c r="AE227" s="32" t="str">
        <f t="shared" si="17"/>
        <v>✓ OK</v>
      </c>
      <c r="AF227" s="33" t="s">
        <v>27</v>
      </c>
      <c r="AG227" s="33" t="s">
        <v>23</v>
      </c>
      <c r="AH227" s="33" t="s">
        <v>1352</v>
      </c>
      <c r="AI227" s="33" t="s">
        <v>25</v>
      </c>
      <c r="AJ227" s="33" t="s">
        <v>1352</v>
      </c>
      <c r="AK227" s="33" t="s">
        <v>24</v>
      </c>
      <c r="AL227" s="27"/>
      <c r="AM227" s="34" t="s">
        <v>25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8" customHeight="1" x14ac:dyDescent="0.3">
      <c r="A228" s="39">
        <v>224</v>
      </c>
      <c r="B228" s="40" t="s">
        <v>5646</v>
      </c>
      <c r="C228" s="41" t="s">
        <v>5647</v>
      </c>
      <c r="D228" s="39" t="s">
        <v>5200</v>
      </c>
      <c r="E228" s="43">
        <v>46125</v>
      </c>
      <c r="F228" s="26" t="s">
        <v>23</v>
      </c>
      <c r="G228" s="44" t="s">
        <v>24</v>
      </c>
      <c r="H228" s="26" t="s">
        <v>25</v>
      </c>
      <c r="I228" s="44" t="s">
        <v>26</v>
      </c>
      <c r="J228" s="26" t="s">
        <v>24</v>
      </c>
      <c r="K228" s="27"/>
      <c r="L228" s="28" t="s">
        <v>25</v>
      </c>
      <c r="M228" s="29" t="str">
        <f t="shared" si="15"/>
        <v>✓ OK</v>
      </c>
      <c r="N228" s="43">
        <v>46196</v>
      </c>
      <c r="O228" s="26" t="s">
        <v>23</v>
      </c>
      <c r="P228" s="44" t="s">
        <v>24</v>
      </c>
      <c r="Q228" s="26" t="s">
        <v>25</v>
      </c>
      <c r="R228" s="44" t="s">
        <v>26</v>
      </c>
      <c r="S228" s="26" t="s">
        <v>24</v>
      </c>
      <c r="T228" s="27"/>
      <c r="U228" s="28" t="s">
        <v>25</v>
      </c>
      <c r="V228" s="29" t="str">
        <f t="shared" si="16"/>
        <v>✓ OK</v>
      </c>
      <c r="W228" s="45">
        <v>46248</v>
      </c>
      <c r="X228" s="30" t="s">
        <v>23</v>
      </c>
      <c r="Y228" s="30" t="s">
        <v>24</v>
      </c>
      <c r="Z228" s="30" t="s">
        <v>25</v>
      </c>
      <c r="AA228" s="30" t="s">
        <v>26</v>
      </c>
      <c r="AB228" s="30" t="s">
        <v>24</v>
      </c>
      <c r="AC228" s="27"/>
      <c r="AD228" s="31" t="s">
        <v>25</v>
      </c>
      <c r="AE228" s="32" t="str">
        <f t="shared" si="17"/>
        <v>✓ OK</v>
      </c>
      <c r="AF228" s="33" t="s">
        <v>27</v>
      </c>
      <c r="AG228" s="33" t="s">
        <v>23</v>
      </c>
      <c r="AH228" s="33" t="s">
        <v>24</v>
      </c>
      <c r="AI228" s="33" t="s">
        <v>25</v>
      </c>
      <c r="AJ228" s="33" t="s">
        <v>26</v>
      </c>
      <c r="AK228" s="33" t="s">
        <v>24</v>
      </c>
      <c r="AL228" s="27"/>
      <c r="AM228" s="34" t="s">
        <v>25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8" customHeight="1" x14ac:dyDescent="0.3">
      <c r="A229" s="23">
        <v>225</v>
      </c>
      <c r="B229" s="24" t="s">
        <v>5648</v>
      </c>
      <c r="C229" s="25" t="s">
        <v>5649</v>
      </c>
      <c r="D229" s="23" t="s">
        <v>5200</v>
      </c>
      <c r="E229" s="43">
        <v>46125</v>
      </c>
      <c r="F229" s="26" t="s">
        <v>23</v>
      </c>
      <c r="G229" s="44" t="s">
        <v>1352</v>
      </c>
      <c r="H229" s="26" t="s">
        <v>25</v>
      </c>
      <c r="I229" s="44" t="s">
        <v>1352</v>
      </c>
      <c r="J229" s="26" t="s">
        <v>24</v>
      </c>
      <c r="K229" s="27"/>
      <c r="L229" s="28" t="s">
        <v>25</v>
      </c>
      <c r="M229" s="29" t="str">
        <f t="shared" si="15"/>
        <v>✓ OK</v>
      </c>
      <c r="N229" s="43">
        <v>46196</v>
      </c>
      <c r="O229" s="26" t="s">
        <v>23</v>
      </c>
      <c r="P229" s="44" t="s">
        <v>1352</v>
      </c>
      <c r="Q229" s="26" t="s">
        <v>25</v>
      </c>
      <c r="R229" s="44" t="s">
        <v>1352</v>
      </c>
      <c r="S229" s="26" t="s">
        <v>24</v>
      </c>
      <c r="T229" s="27"/>
      <c r="U229" s="28" t="s">
        <v>25</v>
      </c>
      <c r="V229" s="29" t="str">
        <f t="shared" si="16"/>
        <v>✓ OK</v>
      </c>
      <c r="W229" s="45">
        <v>46248</v>
      </c>
      <c r="X229" s="30" t="s">
        <v>23</v>
      </c>
      <c r="Y229" s="30" t="s">
        <v>1352</v>
      </c>
      <c r="Z229" s="30" t="s">
        <v>25</v>
      </c>
      <c r="AA229" s="30" t="s">
        <v>1352</v>
      </c>
      <c r="AB229" s="30" t="s">
        <v>24</v>
      </c>
      <c r="AC229" s="27"/>
      <c r="AD229" s="31" t="s">
        <v>25</v>
      </c>
      <c r="AE229" s="32" t="str">
        <f t="shared" si="17"/>
        <v>✓ OK</v>
      </c>
      <c r="AF229" s="33" t="s">
        <v>27</v>
      </c>
      <c r="AG229" s="33" t="s">
        <v>23</v>
      </c>
      <c r="AH229" s="33" t="s">
        <v>1352</v>
      </c>
      <c r="AI229" s="33" t="s">
        <v>25</v>
      </c>
      <c r="AJ229" s="33" t="s">
        <v>1352</v>
      </c>
      <c r="AK229" s="33" t="s">
        <v>24</v>
      </c>
      <c r="AL229" s="27"/>
      <c r="AM229" s="34" t="s">
        <v>25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8" customHeight="1" x14ac:dyDescent="0.3">
      <c r="A230" s="39">
        <v>226</v>
      </c>
      <c r="B230" s="40" t="s">
        <v>5650</v>
      </c>
      <c r="C230" s="41" t="s">
        <v>5651</v>
      </c>
      <c r="D230" s="39" t="s">
        <v>5200</v>
      </c>
      <c r="E230" s="43">
        <v>46125</v>
      </c>
      <c r="F230" s="26" t="s">
        <v>23</v>
      </c>
      <c r="G230" s="44" t="s">
        <v>1352</v>
      </c>
      <c r="H230" s="26" t="s">
        <v>25</v>
      </c>
      <c r="I230" s="44" t="s">
        <v>1352</v>
      </c>
      <c r="J230" s="26" t="s">
        <v>24</v>
      </c>
      <c r="K230" s="27"/>
      <c r="L230" s="28" t="s">
        <v>25</v>
      </c>
      <c r="M230" s="29" t="str">
        <f t="shared" si="15"/>
        <v>✓ OK</v>
      </c>
      <c r="N230" s="43">
        <v>46196</v>
      </c>
      <c r="O230" s="26" t="s">
        <v>23</v>
      </c>
      <c r="P230" s="44" t="s">
        <v>1352</v>
      </c>
      <c r="Q230" s="26" t="s">
        <v>25</v>
      </c>
      <c r="R230" s="44" t="s">
        <v>1352</v>
      </c>
      <c r="S230" s="26" t="s">
        <v>24</v>
      </c>
      <c r="T230" s="27"/>
      <c r="U230" s="28" t="s">
        <v>25</v>
      </c>
      <c r="V230" s="29" t="str">
        <f t="shared" si="16"/>
        <v>✓ OK</v>
      </c>
      <c r="W230" s="45">
        <v>46248</v>
      </c>
      <c r="X230" s="30" t="s">
        <v>23</v>
      </c>
      <c r="Y230" s="30" t="s">
        <v>1352</v>
      </c>
      <c r="Z230" s="30" t="s">
        <v>25</v>
      </c>
      <c r="AA230" s="30" t="s">
        <v>1352</v>
      </c>
      <c r="AB230" s="30" t="s">
        <v>24</v>
      </c>
      <c r="AC230" s="27"/>
      <c r="AD230" s="31" t="s">
        <v>25</v>
      </c>
      <c r="AE230" s="32" t="str">
        <f t="shared" si="17"/>
        <v>✓ OK</v>
      </c>
      <c r="AF230" s="33" t="s">
        <v>27</v>
      </c>
      <c r="AG230" s="33" t="s">
        <v>23</v>
      </c>
      <c r="AH230" s="33" t="s">
        <v>1352</v>
      </c>
      <c r="AI230" s="33" t="s">
        <v>25</v>
      </c>
      <c r="AJ230" s="33" t="s">
        <v>1352</v>
      </c>
      <c r="AK230" s="33" t="s">
        <v>24</v>
      </c>
      <c r="AL230" s="27"/>
      <c r="AM230" s="34" t="s">
        <v>25</v>
      </c>
      <c r="AN230" s="35" t="str">
        <f t="shared" si="18"/>
        <v>✓ OK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8" customHeight="1" x14ac:dyDescent="0.3">
      <c r="A231" s="23">
        <v>227</v>
      </c>
      <c r="B231" s="24" t="s">
        <v>5652</v>
      </c>
      <c r="C231" s="25" t="s">
        <v>5653</v>
      </c>
      <c r="D231" s="23" t="s">
        <v>5200</v>
      </c>
      <c r="E231" s="43">
        <v>46125</v>
      </c>
      <c r="F231" s="26" t="s">
        <v>23</v>
      </c>
      <c r="G231" s="44" t="s">
        <v>1352</v>
      </c>
      <c r="H231" s="26" t="s">
        <v>25</v>
      </c>
      <c r="I231" s="44" t="s">
        <v>1352</v>
      </c>
      <c r="J231" s="26" t="s">
        <v>24</v>
      </c>
      <c r="K231" s="27"/>
      <c r="L231" s="28" t="s">
        <v>25</v>
      </c>
      <c r="M231" s="29" t="str">
        <f t="shared" si="15"/>
        <v>✓ OK</v>
      </c>
      <c r="N231" s="43">
        <v>46196</v>
      </c>
      <c r="O231" s="26" t="s">
        <v>23</v>
      </c>
      <c r="P231" s="44" t="s">
        <v>1352</v>
      </c>
      <c r="Q231" s="26" t="s">
        <v>25</v>
      </c>
      <c r="R231" s="44" t="s">
        <v>1352</v>
      </c>
      <c r="S231" s="26" t="s">
        <v>24</v>
      </c>
      <c r="T231" s="27"/>
      <c r="U231" s="28" t="s">
        <v>25</v>
      </c>
      <c r="V231" s="29" t="str">
        <f t="shared" si="16"/>
        <v>✓ OK</v>
      </c>
      <c r="W231" s="45">
        <v>46248</v>
      </c>
      <c r="X231" s="30" t="s">
        <v>23</v>
      </c>
      <c r="Y231" s="30" t="s">
        <v>1352</v>
      </c>
      <c r="Z231" s="30" t="s">
        <v>25</v>
      </c>
      <c r="AA231" s="30" t="s">
        <v>1352</v>
      </c>
      <c r="AB231" s="30" t="s">
        <v>24</v>
      </c>
      <c r="AC231" s="27"/>
      <c r="AD231" s="31" t="s">
        <v>25</v>
      </c>
      <c r="AE231" s="32" t="str">
        <f t="shared" si="17"/>
        <v>✓ OK</v>
      </c>
      <c r="AF231" s="33" t="s">
        <v>27</v>
      </c>
      <c r="AG231" s="33" t="s">
        <v>23</v>
      </c>
      <c r="AH231" s="33" t="s">
        <v>1352</v>
      </c>
      <c r="AI231" s="33" t="s">
        <v>25</v>
      </c>
      <c r="AJ231" s="33" t="s">
        <v>1352</v>
      </c>
      <c r="AK231" s="33" t="s">
        <v>24</v>
      </c>
      <c r="AL231" s="27"/>
      <c r="AM231" s="34" t="s">
        <v>25</v>
      </c>
      <c r="AN231" s="35" t="str">
        <f t="shared" si="18"/>
        <v>✓ OK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8" customHeight="1" x14ac:dyDescent="0.3">
      <c r="A232" s="39">
        <v>228</v>
      </c>
      <c r="B232" s="40" t="s">
        <v>5654</v>
      </c>
      <c r="C232" s="41" t="s">
        <v>5655</v>
      </c>
      <c r="D232" s="39" t="s">
        <v>5200</v>
      </c>
      <c r="E232" s="43">
        <v>46125</v>
      </c>
      <c r="F232" s="26" t="s">
        <v>23</v>
      </c>
      <c r="G232" s="44" t="s">
        <v>24</v>
      </c>
      <c r="H232" s="26" t="s">
        <v>25</v>
      </c>
      <c r="I232" s="44" t="s">
        <v>26</v>
      </c>
      <c r="J232" s="26" t="s">
        <v>24</v>
      </c>
      <c r="K232" s="27"/>
      <c r="L232" s="28" t="s">
        <v>25</v>
      </c>
      <c r="M232" s="29" t="str">
        <f t="shared" si="15"/>
        <v>✓ OK</v>
      </c>
      <c r="N232" s="43">
        <v>46196</v>
      </c>
      <c r="O232" s="26" t="s">
        <v>23</v>
      </c>
      <c r="P232" s="44" t="s">
        <v>24</v>
      </c>
      <c r="Q232" s="26" t="s">
        <v>25</v>
      </c>
      <c r="R232" s="44" t="s">
        <v>26</v>
      </c>
      <c r="S232" s="26" t="s">
        <v>24</v>
      </c>
      <c r="T232" s="27"/>
      <c r="U232" s="28" t="s">
        <v>25</v>
      </c>
      <c r="V232" s="29" t="str">
        <f t="shared" si="16"/>
        <v>✓ OK</v>
      </c>
      <c r="W232" s="45">
        <v>46248</v>
      </c>
      <c r="X232" s="30" t="s">
        <v>23</v>
      </c>
      <c r="Y232" s="30" t="s">
        <v>24</v>
      </c>
      <c r="Z232" s="30" t="s">
        <v>25</v>
      </c>
      <c r="AA232" s="30" t="s">
        <v>26</v>
      </c>
      <c r="AB232" s="30" t="s">
        <v>24</v>
      </c>
      <c r="AC232" s="27"/>
      <c r="AD232" s="31" t="s">
        <v>25</v>
      </c>
      <c r="AE232" s="32" t="str">
        <f t="shared" si="17"/>
        <v>✓ OK</v>
      </c>
      <c r="AF232" s="33" t="s">
        <v>27</v>
      </c>
      <c r="AG232" s="33" t="s">
        <v>23</v>
      </c>
      <c r="AH232" s="33" t="s">
        <v>24</v>
      </c>
      <c r="AI232" s="33" t="s">
        <v>25</v>
      </c>
      <c r="AJ232" s="33" t="s">
        <v>26</v>
      </c>
      <c r="AK232" s="33" t="s">
        <v>24</v>
      </c>
      <c r="AL232" s="27"/>
      <c r="AM232" s="34" t="s">
        <v>25</v>
      </c>
      <c r="AN232" s="35" t="str">
        <f t="shared" si="18"/>
        <v>✓ OK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8" customHeight="1" x14ac:dyDescent="0.3">
      <c r="A233" s="23">
        <v>229</v>
      </c>
      <c r="B233" s="24" t="s">
        <v>5656</v>
      </c>
      <c r="C233" s="25" t="s">
        <v>5657</v>
      </c>
      <c r="D233" s="23" t="s">
        <v>5200</v>
      </c>
      <c r="E233" s="43">
        <v>46125</v>
      </c>
      <c r="F233" s="26" t="s">
        <v>23</v>
      </c>
      <c r="G233" s="44" t="s">
        <v>1352</v>
      </c>
      <c r="H233" s="26" t="s">
        <v>25</v>
      </c>
      <c r="I233" s="44" t="s">
        <v>1352</v>
      </c>
      <c r="J233" s="26" t="s">
        <v>24</v>
      </c>
      <c r="K233" s="27"/>
      <c r="L233" s="28" t="s">
        <v>25</v>
      </c>
      <c r="M233" s="29" t="str">
        <f t="shared" si="15"/>
        <v>✓ OK</v>
      </c>
      <c r="N233" s="43">
        <v>46196</v>
      </c>
      <c r="O233" s="26" t="s">
        <v>23</v>
      </c>
      <c r="P233" s="44" t="s">
        <v>1352</v>
      </c>
      <c r="Q233" s="26" t="s">
        <v>25</v>
      </c>
      <c r="R233" s="44" t="s">
        <v>1352</v>
      </c>
      <c r="S233" s="26" t="s">
        <v>24</v>
      </c>
      <c r="T233" s="27"/>
      <c r="U233" s="28" t="s">
        <v>25</v>
      </c>
      <c r="V233" s="29" t="str">
        <f t="shared" si="16"/>
        <v>✓ OK</v>
      </c>
      <c r="W233" s="45">
        <v>46248</v>
      </c>
      <c r="X233" s="30" t="s">
        <v>23</v>
      </c>
      <c r="Y233" s="30" t="s">
        <v>1352</v>
      </c>
      <c r="Z233" s="30" t="s">
        <v>25</v>
      </c>
      <c r="AA233" s="30" t="s">
        <v>1352</v>
      </c>
      <c r="AB233" s="30" t="s">
        <v>24</v>
      </c>
      <c r="AC233" s="27"/>
      <c r="AD233" s="31" t="s">
        <v>25</v>
      </c>
      <c r="AE233" s="32" t="str">
        <f t="shared" si="17"/>
        <v>✓ OK</v>
      </c>
      <c r="AF233" s="33" t="s">
        <v>27</v>
      </c>
      <c r="AG233" s="33" t="s">
        <v>23</v>
      </c>
      <c r="AH233" s="33" t="s">
        <v>1352</v>
      </c>
      <c r="AI233" s="33" t="s">
        <v>25</v>
      </c>
      <c r="AJ233" s="33" t="s">
        <v>1352</v>
      </c>
      <c r="AK233" s="33" t="s">
        <v>24</v>
      </c>
      <c r="AL233" s="27"/>
      <c r="AM233" s="34" t="s">
        <v>25</v>
      </c>
      <c r="AN233" s="35" t="str">
        <f t="shared" si="18"/>
        <v>✓ OK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8" customHeight="1" x14ac:dyDescent="0.3">
      <c r="A234" s="39">
        <v>230</v>
      </c>
      <c r="B234" s="40" t="s">
        <v>5658</v>
      </c>
      <c r="C234" s="41" t="s">
        <v>5659</v>
      </c>
      <c r="D234" s="39" t="s">
        <v>5200</v>
      </c>
      <c r="E234" s="43">
        <v>46125</v>
      </c>
      <c r="F234" s="26" t="s">
        <v>23</v>
      </c>
      <c r="G234" s="44" t="s">
        <v>1352</v>
      </c>
      <c r="H234" s="26" t="s">
        <v>25</v>
      </c>
      <c r="I234" s="44" t="s">
        <v>1352</v>
      </c>
      <c r="J234" s="26" t="s">
        <v>24</v>
      </c>
      <c r="K234" s="27"/>
      <c r="L234" s="28" t="s">
        <v>25</v>
      </c>
      <c r="M234" s="29" t="str">
        <f t="shared" si="15"/>
        <v>✓ OK</v>
      </c>
      <c r="N234" s="43">
        <v>46196</v>
      </c>
      <c r="O234" s="26" t="s">
        <v>23</v>
      </c>
      <c r="P234" s="44" t="s">
        <v>1352</v>
      </c>
      <c r="Q234" s="26" t="s">
        <v>25</v>
      </c>
      <c r="R234" s="44" t="s">
        <v>1352</v>
      </c>
      <c r="S234" s="26" t="s">
        <v>24</v>
      </c>
      <c r="T234" s="27"/>
      <c r="U234" s="28" t="s">
        <v>25</v>
      </c>
      <c r="V234" s="29" t="str">
        <f t="shared" si="16"/>
        <v>✓ OK</v>
      </c>
      <c r="W234" s="45">
        <v>46248</v>
      </c>
      <c r="X234" s="30" t="s">
        <v>23</v>
      </c>
      <c r="Y234" s="30" t="s">
        <v>1352</v>
      </c>
      <c r="Z234" s="30" t="s">
        <v>25</v>
      </c>
      <c r="AA234" s="30" t="s">
        <v>1352</v>
      </c>
      <c r="AB234" s="30" t="s">
        <v>24</v>
      </c>
      <c r="AC234" s="27"/>
      <c r="AD234" s="31" t="s">
        <v>25</v>
      </c>
      <c r="AE234" s="32" t="str">
        <f t="shared" si="17"/>
        <v>✓ OK</v>
      </c>
      <c r="AF234" s="33" t="s">
        <v>27</v>
      </c>
      <c r="AG234" s="33" t="s">
        <v>23</v>
      </c>
      <c r="AH234" s="33" t="s">
        <v>1352</v>
      </c>
      <c r="AI234" s="33" t="s">
        <v>25</v>
      </c>
      <c r="AJ234" s="33" t="s">
        <v>1352</v>
      </c>
      <c r="AK234" s="33" t="s">
        <v>24</v>
      </c>
      <c r="AL234" s="27"/>
      <c r="AM234" s="34" t="s">
        <v>25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8" customHeight="1" x14ac:dyDescent="0.3">
      <c r="A235" s="23">
        <v>231</v>
      </c>
      <c r="B235" s="24" t="s">
        <v>5660</v>
      </c>
      <c r="C235" s="25" t="s">
        <v>5661</v>
      </c>
      <c r="D235" s="23" t="s">
        <v>5200</v>
      </c>
      <c r="E235" s="43">
        <v>46125</v>
      </c>
      <c r="F235" s="26" t="s">
        <v>23</v>
      </c>
      <c r="G235" s="44" t="s">
        <v>1352</v>
      </c>
      <c r="H235" s="26" t="s">
        <v>25</v>
      </c>
      <c r="I235" s="44" t="s">
        <v>1352</v>
      </c>
      <c r="J235" s="26" t="s">
        <v>24</v>
      </c>
      <c r="K235" s="27"/>
      <c r="L235" s="28" t="s">
        <v>25</v>
      </c>
      <c r="M235" s="29" t="str">
        <f t="shared" si="15"/>
        <v>✓ OK</v>
      </c>
      <c r="N235" s="43">
        <v>46196</v>
      </c>
      <c r="O235" s="26" t="s">
        <v>23</v>
      </c>
      <c r="P235" s="44" t="s">
        <v>1352</v>
      </c>
      <c r="Q235" s="26" t="s">
        <v>25</v>
      </c>
      <c r="R235" s="44" t="s">
        <v>1352</v>
      </c>
      <c r="S235" s="26" t="s">
        <v>24</v>
      </c>
      <c r="T235" s="27"/>
      <c r="U235" s="28" t="s">
        <v>25</v>
      </c>
      <c r="V235" s="29" t="str">
        <f t="shared" si="16"/>
        <v>✓ OK</v>
      </c>
      <c r="W235" s="45">
        <v>46248</v>
      </c>
      <c r="X235" s="30" t="s">
        <v>23</v>
      </c>
      <c r="Y235" s="30" t="s">
        <v>1352</v>
      </c>
      <c r="Z235" s="30" t="s">
        <v>25</v>
      </c>
      <c r="AA235" s="30" t="s">
        <v>1352</v>
      </c>
      <c r="AB235" s="30" t="s">
        <v>24</v>
      </c>
      <c r="AC235" s="27"/>
      <c r="AD235" s="31" t="s">
        <v>25</v>
      </c>
      <c r="AE235" s="32" t="str">
        <f t="shared" si="17"/>
        <v>✓ OK</v>
      </c>
      <c r="AF235" s="33" t="s">
        <v>27</v>
      </c>
      <c r="AG235" s="33" t="s">
        <v>23</v>
      </c>
      <c r="AH235" s="33" t="s">
        <v>1352</v>
      </c>
      <c r="AI235" s="33" t="s">
        <v>25</v>
      </c>
      <c r="AJ235" s="33" t="s">
        <v>1352</v>
      </c>
      <c r="AK235" s="33" t="s">
        <v>24</v>
      </c>
      <c r="AL235" s="27"/>
      <c r="AM235" s="34" t="s">
        <v>25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8" customHeight="1" x14ac:dyDescent="0.3">
      <c r="A236" s="39">
        <v>232</v>
      </c>
      <c r="B236" s="40" t="s">
        <v>5662</v>
      </c>
      <c r="C236" s="41" t="s">
        <v>5663</v>
      </c>
      <c r="D236" s="39" t="s">
        <v>5200</v>
      </c>
      <c r="E236" s="43">
        <v>46125</v>
      </c>
      <c r="F236" s="26" t="s">
        <v>23</v>
      </c>
      <c r="G236" s="44" t="s">
        <v>1352</v>
      </c>
      <c r="H236" s="26" t="s">
        <v>25</v>
      </c>
      <c r="I236" s="44" t="s">
        <v>1352</v>
      </c>
      <c r="J236" s="26" t="s">
        <v>24</v>
      </c>
      <c r="K236" s="27"/>
      <c r="L236" s="28" t="s">
        <v>25</v>
      </c>
      <c r="M236" s="29" t="str">
        <f t="shared" si="15"/>
        <v>✓ OK</v>
      </c>
      <c r="N236" s="43">
        <v>46196</v>
      </c>
      <c r="O236" s="26" t="s">
        <v>23</v>
      </c>
      <c r="P236" s="44" t="s">
        <v>1352</v>
      </c>
      <c r="Q236" s="26" t="s">
        <v>25</v>
      </c>
      <c r="R236" s="44" t="s">
        <v>1352</v>
      </c>
      <c r="S236" s="26" t="s">
        <v>24</v>
      </c>
      <c r="T236" s="27"/>
      <c r="U236" s="28" t="s">
        <v>25</v>
      </c>
      <c r="V236" s="29" t="str">
        <f t="shared" si="16"/>
        <v>✓ OK</v>
      </c>
      <c r="W236" s="45">
        <v>46248</v>
      </c>
      <c r="X236" s="30" t="s">
        <v>23</v>
      </c>
      <c r="Y236" s="30" t="s">
        <v>1352</v>
      </c>
      <c r="Z236" s="30" t="s">
        <v>25</v>
      </c>
      <c r="AA236" s="30" t="s">
        <v>1352</v>
      </c>
      <c r="AB236" s="30" t="s">
        <v>24</v>
      </c>
      <c r="AC236" s="27"/>
      <c r="AD236" s="31" t="s">
        <v>25</v>
      </c>
      <c r="AE236" s="32" t="str">
        <f t="shared" si="17"/>
        <v>✓ OK</v>
      </c>
      <c r="AF236" s="33" t="s">
        <v>27</v>
      </c>
      <c r="AG236" s="33" t="s">
        <v>23</v>
      </c>
      <c r="AH236" s="33" t="s">
        <v>1352</v>
      </c>
      <c r="AI236" s="33" t="s">
        <v>25</v>
      </c>
      <c r="AJ236" s="33" t="s">
        <v>1352</v>
      </c>
      <c r="AK236" s="33" t="s">
        <v>24</v>
      </c>
      <c r="AL236" s="27"/>
      <c r="AM236" s="34" t="s">
        <v>25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8" customHeight="1" x14ac:dyDescent="0.3">
      <c r="A237" s="23">
        <v>233</v>
      </c>
      <c r="B237" s="24" t="s">
        <v>5664</v>
      </c>
      <c r="C237" s="25" t="s">
        <v>5665</v>
      </c>
      <c r="D237" s="23" t="s">
        <v>5200</v>
      </c>
      <c r="E237" s="43">
        <v>46125</v>
      </c>
      <c r="F237" s="26" t="s">
        <v>23</v>
      </c>
      <c r="G237" s="44" t="s">
        <v>1352</v>
      </c>
      <c r="H237" s="26" t="s">
        <v>25</v>
      </c>
      <c r="I237" s="44" t="s">
        <v>1352</v>
      </c>
      <c r="J237" s="26" t="s">
        <v>24</v>
      </c>
      <c r="K237" s="27"/>
      <c r="L237" s="28" t="s">
        <v>25</v>
      </c>
      <c r="M237" s="29" t="str">
        <f t="shared" si="15"/>
        <v>✓ OK</v>
      </c>
      <c r="N237" s="43">
        <v>46196</v>
      </c>
      <c r="O237" s="26" t="s">
        <v>23</v>
      </c>
      <c r="P237" s="44" t="s">
        <v>1352</v>
      </c>
      <c r="Q237" s="26" t="s">
        <v>25</v>
      </c>
      <c r="R237" s="44" t="s">
        <v>1352</v>
      </c>
      <c r="S237" s="26" t="s">
        <v>24</v>
      </c>
      <c r="T237" s="27"/>
      <c r="U237" s="28" t="s">
        <v>25</v>
      </c>
      <c r="V237" s="29" t="str">
        <f t="shared" si="16"/>
        <v>✓ OK</v>
      </c>
      <c r="W237" s="45">
        <v>46248</v>
      </c>
      <c r="X237" s="30" t="s">
        <v>23</v>
      </c>
      <c r="Y237" s="30" t="s">
        <v>1352</v>
      </c>
      <c r="Z237" s="30" t="s">
        <v>25</v>
      </c>
      <c r="AA237" s="30" t="s">
        <v>1352</v>
      </c>
      <c r="AB237" s="30" t="s">
        <v>24</v>
      </c>
      <c r="AC237" s="27"/>
      <c r="AD237" s="31" t="s">
        <v>25</v>
      </c>
      <c r="AE237" s="32" t="str">
        <f t="shared" si="17"/>
        <v>✓ OK</v>
      </c>
      <c r="AF237" s="33" t="s">
        <v>27</v>
      </c>
      <c r="AG237" s="33" t="s">
        <v>23</v>
      </c>
      <c r="AH237" s="33" t="s">
        <v>1352</v>
      </c>
      <c r="AI237" s="33" t="s">
        <v>25</v>
      </c>
      <c r="AJ237" s="33" t="s">
        <v>1352</v>
      </c>
      <c r="AK237" s="33" t="s">
        <v>24</v>
      </c>
      <c r="AL237" s="27"/>
      <c r="AM237" s="34" t="s">
        <v>25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8" customHeight="1" x14ac:dyDescent="0.3">
      <c r="A238" s="39">
        <v>234</v>
      </c>
      <c r="B238" s="40" t="s">
        <v>5666</v>
      </c>
      <c r="C238" s="41" t="s">
        <v>5667</v>
      </c>
      <c r="D238" s="39" t="s">
        <v>5200</v>
      </c>
      <c r="E238" s="43">
        <v>46125</v>
      </c>
      <c r="F238" s="26" t="s">
        <v>23</v>
      </c>
      <c r="G238" s="44" t="s">
        <v>1352</v>
      </c>
      <c r="H238" s="26" t="s">
        <v>25</v>
      </c>
      <c r="I238" s="44" t="s">
        <v>1352</v>
      </c>
      <c r="J238" s="26" t="s">
        <v>24</v>
      </c>
      <c r="K238" s="27"/>
      <c r="L238" s="28" t="s">
        <v>25</v>
      </c>
      <c r="M238" s="29" t="str">
        <f t="shared" si="15"/>
        <v>✓ OK</v>
      </c>
      <c r="N238" s="43">
        <v>46196</v>
      </c>
      <c r="O238" s="26" t="s">
        <v>23</v>
      </c>
      <c r="P238" s="44" t="s">
        <v>1352</v>
      </c>
      <c r="Q238" s="26" t="s">
        <v>25</v>
      </c>
      <c r="R238" s="44" t="s">
        <v>1352</v>
      </c>
      <c r="S238" s="26" t="s">
        <v>24</v>
      </c>
      <c r="T238" s="27"/>
      <c r="U238" s="28" t="s">
        <v>25</v>
      </c>
      <c r="V238" s="29" t="str">
        <f t="shared" si="16"/>
        <v>✓ OK</v>
      </c>
      <c r="W238" s="45">
        <v>46248</v>
      </c>
      <c r="X238" s="30" t="s">
        <v>23</v>
      </c>
      <c r="Y238" s="30" t="s">
        <v>1352</v>
      </c>
      <c r="Z238" s="30" t="s">
        <v>25</v>
      </c>
      <c r="AA238" s="30" t="s">
        <v>1352</v>
      </c>
      <c r="AB238" s="30" t="s">
        <v>24</v>
      </c>
      <c r="AC238" s="27"/>
      <c r="AD238" s="31" t="s">
        <v>25</v>
      </c>
      <c r="AE238" s="32" t="str">
        <f t="shared" si="17"/>
        <v>✓ OK</v>
      </c>
      <c r="AF238" s="33" t="s">
        <v>27</v>
      </c>
      <c r="AG238" s="33" t="s">
        <v>23</v>
      </c>
      <c r="AH238" s="33" t="s">
        <v>1352</v>
      </c>
      <c r="AI238" s="33" t="s">
        <v>25</v>
      </c>
      <c r="AJ238" s="33" t="s">
        <v>1352</v>
      </c>
      <c r="AK238" s="33" t="s">
        <v>24</v>
      </c>
      <c r="AL238" s="27"/>
      <c r="AM238" s="34" t="s">
        <v>25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8" customHeight="1" x14ac:dyDescent="0.3">
      <c r="A239" s="23">
        <v>235</v>
      </c>
      <c r="B239" s="24" t="s">
        <v>5668</v>
      </c>
      <c r="C239" s="25" t="s">
        <v>5669</v>
      </c>
      <c r="D239" s="23" t="s">
        <v>5200</v>
      </c>
      <c r="E239" s="43">
        <v>46125</v>
      </c>
      <c r="F239" s="26" t="s">
        <v>23</v>
      </c>
      <c r="G239" s="44" t="s">
        <v>1352</v>
      </c>
      <c r="H239" s="26" t="s">
        <v>25</v>
      </c>
      <c r="I239" s="44" t="s">
        <v>1352</v>
      </c>
      <c r="J239" s="26" t="s">
        <v>24</v>
      </c>
      <c r="K239" s="27"/>
      <c r="L239" s="28" t="s">
        <v>25</v>
      </c>
      <c r="M239" s="29" t="str">
        <f t="shared" si="15"/>
        <v>✓ OK</v>
      </c>
      <c r="N239" s="43">
        <v>46196</v>
      </c>
      <c r="O239" s="26" t="s">
        <v>23</v>
      </c>
      <c r="P239" s="44" t="s">
        <v>1352</v>
      </c>
      <c r="Q239" s="26" t="s">
        <v>25</v>
      </c>
      <c r="R239" s="44" t="s">
        <v>1352</v>
      </c>
      <c r="S239" s="26" t="s">
        <v>24</v>
      </c>
      <c r="T239" s="27"/>
      <c r="U239" s="28" t="s">
        <v>25</v>
      </c>
      <c r="V239" s="29" t="str">
        <f t="shared" si="16"/>
        <v>✓ OK</v>
      </c>
      <c r="W239" s="45">
        <v>46248</v>
      </c>
      <c r="X239" s="30" t="s">
        <v>23</v>
      </c>
      <c r="Y239" s="30" t="s">
        <v>1352</v>
      </c>
      <c r="Z239" s="30" t="s">
        <v>25</v>
      </c>
      <c r="AA239" s="30" t="s">
        <v>1352</v>
      </c>
      <c r="AB239" s="30" t="s">
        <v>24</v>
      </c>
      <c r="AC239" s="27"/>
      <c r="AD239" s="31" t="s">
        <v>25</v>
      </c>
      <c r="AE239" s="32" t="str">
        <f t="shared" si="17"/>
        <v>✓ OK</v>
      </c>
      <c r="AF239" s="33" t="s">
        <v>27</v>
      </c>
      <c r="AG239" s="33" t="s">
        <v>23</v>
      </c>
      <c r="AH239" s="33" t="s">
        <v>1352</v>
      </c>
      <c r="AI239" s="33" t="s">
        <v>25</v>
      </c>
      <c r="AJ239" s="33" t="s">
        <v>1352</v>
      </c>
      <c r="AK239" s="33" t="s">
        <v>24</v>
      </c>
      <c r="AL239" s="27"/>
      <c r="AM239" s="34" t="s">
        <v>25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8" customHeight="1" x14ac:dyDescent="0.3">
      <c r="A240" s="39">
        <v>236</v>
      </c>
      <c r="B240" s="40" t="s">
        <v>5670</v>
      </c>
      <c r="C240" s="41" t="s">
        <v>5671</v>
      </c>
      <c r="D240" s="39" t="s">
        <v>5200</v>
      </c>
      <c r="E240" s="43">
        <v>46125</v>
      </c>
      <c r="F240" s="26" t="s">
        <v>23</v>
      </c>
      <c r="G240" s="44" t="s">
        <v>1352</v>
      </c>
      <c r="H240" s="26" t="s">
        <v>25</v>
      </c>
      <c r="I240" s="44" t="s">
        <v>1352</v>
      </c>
      <c r="J240" s="26" t="s">
        <v>24</v>
      </c>
      <c r="K240" s="27"/>
      <c r="L240" s="28" t="s">
        <v>25</v>
      </c>
      <c r="M240" s="29" t="str">
        <f t="shared" si="15"/>
        <v>✓ OK</v>
      </c>
      <c r="N240" s="43">
        <v>46196</v>
      </c>
      <c r="O240" s="26" t="s">
        <v>23</v>
      </c>
      <c r="P240" s="44" t="s">
        <v>1352</v>
      </c>
      <c r="Q240" s="26" t="s">
        <v>25</v>
      </c>
      <c r="R240" s="44" t="s">
        <v>1352</v>
      </c>
      <c r="S240" s="26" t="s">
        <v>24</v>
      </c>
      <c r="T240" s="27"/>
      <c r="U240" s="28" t="s">
        <v>25</v>
      </c>
      <c r="V240" s="29" t="str">
        <f t="shared" si="16"/>
        <v>✓ OK</v>
      </c>
      <c r="W240" s="45">
        <v>46248</v>
      </c>
      <c r="X240" s="30" t="s">
        <v>23</v>
      </c>
      <c r="Y240" s="30" t="s">
        <v>1352</v>
      </c>
      <c r="Z240" s="30" t="s">
        <v>25</v>
      </c>
      <c r="AA240" s="30" t="s">
        <v>1352</v>
      </c>
      <c r="AB240" s="30" t="s">
        <v>24</v>
      </c>
      <c r="AC240" s="27"/>
      <c r="AD240" s="31" t="s">
        <v>25</v>
      </c>
      <c r="AE240" s="32" t="str">
        <f t="shared" si="17"/>
        <v>✓ OK</v>
      </c>
      <c r="AF240" s="33" t="s">
        <v>27</v>
      </c>
      <c r="AG240" s="33" t="s">
        <v>23</v>
      </c>
      <c r="AH240" s="33" t="s">
        <v>1352</v>
      </c>
      <c r="AI240" s="33" t="s">
        <v>25</v>
      </c>
      <c r="AJ240" s="33" t="s">
        <v>1352</v>
      </c>
      <c r="AK240" s="33" t="s">
        <v>24</v>
      </c>
      <c r="AL240" s="27"/>
      <c r="AM240" s="34" t="s">
        <v>25</v>
      </c>
      <c r="AN240" s="35" t="str">
        <f t="shared" si="18"/>
        <v>✓ OK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8" customHeight="1" x14ac:dyDescent="0.3">
      <c r="A241" s="23">
        <v>237</v>
      </c>
      <c r="B241" s="24" t="s">
        <v>5672</v>
      </c>
      <c r="C241" s="25" t="s">
        <v>5673</v>
      </c>
      <c r="D241" s="23" t="s">
        <v>5200</v>
      </c>
      <c r="E241" s="43">
        <v>46125</v>
      </c>
      <c r="F241" s="26" t="s">
        <v>23</v>
      </c>
      <c r="G241" s="44" t="s">
        <v>1352</v>
      </c>
      <c r="H241" s="26" t="s">
        <v>25</v>
      </c>
      <c r="I241" s="44" t="s">
        <v>1352</v>
      </c>
      <c r="J241" s="26" t="s">
        <v>24</v>
      </c>
      <c r="K241" s="27"/>
      <c r="L241" s="28" t="s">
        <v>25</v>
      </c>
      <c r="M241" s="29" t="str">
        <f t="shared" si="15"/>
        <v>✓ OK</v>
      </c>
      <c r="N241" s="43">
        <v>46196</v>
      </c>
      <c r="O241" s="26" t="s">
        <v>23</v>
      </c>
      <c r="P241" s="44" t="s">
        <v>1352</v>
      </c>
      <c r="Q241" s="26" t="s">
        <v>25</v>
      </c>
      <c r="R241" s="44" t="s">
        <v>1352</v>
      </c>
      <c r="S241" s="26" t="s">
        <v>24</v>
      </c>
      <c r="T241" s="27"/>
      <c r="U241" s="28" t="s">
        <v>25</v>
      </c>
      <c r="V241" s="29" t="str">
        <f t="shared" si="16"/>
        <v>✓ OK</v>
      </c>
      <c r="W241" s="45">
        <v>46248</v>
      </c>
      <c r="X241" s="30" t="s">
        <v>23</v>
      </c>
      <c r="Y241" s="30" t="s">
        <v>1352</v>
      </c>
      <c r="Z241" s="30" t="s">
        <v>25</v>
      </c>
      <c r="AA241" s="30" t="s">
        <v>1352</v>
      </c>
      <c r="AB241" s="30" t="s">
        <v>24</v>
      </c>
      <c r="AC241" s="27"/>
      <c r="AD241" s="31" t="s">
        <v>25</v>
      </c>
      <c r="AE241" s="32" t="str">
        <f t="shared" si="17"/>
        <v>✓ OK</v>
      </c>
      <c r="AF241" s="33" t="s">
        <v>27</v>
      </c>
      <c r="AG241" s="33" t="s">
        <v>23</v>
      </c>
      <c r="AH241" s="33" t="s">
        <v>1352</v>
      </c>
      <c r="AI241" s="33" t="s">
        <v>25</v>
      </c>
      <c r="AJ241" s="33" t="s">
        <v>1352</v>
      </c>
      <c r="AK241" s="33" t="s">
        <v>24</v>
      </c>
      <c r="AL241" s="27"/>
      <c r="AM241" s="34" t="s">
        <v>25</v>
      </c>
      <c r="AN241" s="35" t="str">
        <f t="shared" si="18"/>
        <v>✓ OK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8" customHeight="1" x14ac:dyDescent="0.3">
      <c r="A242" s="39">
        <v>238</v>
      </c>
      <c r="B242" s="40" t="s">
        <v>5674</v>
      </c>
      <c r="C242" s="41" t="s">
        <v>5675</v>
      </c>
      <c r="D242" s="39" t="s">
        <v>5200</v>
      </c>
      <c r="E242" s="43">
        <v>46125</v>
      </c>
      <c r="F242" s="26" t="s">
        <v>23</v>
      </c>
      <c r="G242" s="44" t="s">
        <v>1352</v>
      </c>
      <c r="H242" s="26" t="s">
        <v>25</v>
      </c>
      <c r="I242" s="44" t="s">
        <v>1352</v>
      </c>
      <c r="J242" s="26" t="s">
        <v>24</v>
      </c>
      <c r="K242" s="27"/>
      <c r="L242" s="28" t="s">
        <v>25</v>
      </c>
      <c r="M242" s="29" t="str">
        <f t="shared" si="15"/>
        <v>✓ OK</v>
      </c>
      <c r="N242" s="43">
        <v>46196</v>
      </c>
      <c r="O242" s="26" t="s">
        <v>23</v>
      </c>
      <c r="P242" s="44" t="s">
        <v>1352</v>
      </c>
      <c r="Q242" s="26" t="s">
        <v>25</v>
      </c>
      <c r="R242" s="44" t="s">
        <v>1352</v>
      </c>
      <c r="S242" s="26" t="s">
        <v>24</v>
      </c>
      <c r="T242" s="27"/>
      <c r="U242" s="28" t="s">
        <v>25</v>
      </c>
      <c r="V242" s="29" t="str">
        <f t="shared" si="16"/>
        <v>✓ OK</v>
      </c>
      <c r="W242" s="45">
        <v>46248</v>
      </c>
      <c r="X242" s="30" t="s">
        <v>23</v>
      </c>
      <c r="Y242" s="30" t="s">
        <v>1352</v>
      </c>
      <c r="Z242" s="30" t="s">
        <v>25</v>
      </c>
      <c r="AA242" s="30" t="s">
        <v>1352</v>
      </c>
      <c r="AB242" s="30" t="s">
        <v>24</v>
      </c>
      <c r="AC242" s="27"/>
      <c r="AD242" s="31" t="s">
        <v>25</v>
      </c>
      <c r="AE242" s="32" t="str">
        <f t="shared" si="17"/>
        <v>✓ OK</v>
      </c>
      <c r="AF242" s="33" t="s">
        <v>27</v>
      </c>
      <c r="AG242" s="33" t="s">
        <v>23</v>
      </c>
      <c r="AH242" s="33" t="s">
        <v>1352</v>
      </c>
      <c r="AI242" s="33" t="s">
        <v>25</v>
      </c>
      <c r="AJ242" s="33" t="s">
        <v>1352</v>
      </c>
      <c r="AK242" s="33" t="s">
        <v>24</v>
      </c>
      <c r="AL242" s="27"/>
      <c r="AM242" s="34" t="s">
        <v>25</v>
      </c>
      <c r="AN242" s="35" t="str">
        <f t="shared" si="18"/>
        <v>✓ OK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8" customHeight="1" x14ac:dyDescent="0.3">
      <c r="A243" s="23">
        <v>239</v>
      </c>
      <c r="B243" s="24" t="s">
        <v>5676</v>
      </c>
      <c r="C243" s="25" t="s">
        <v>5677</v>
      </c>
      <c r="D243" s="23" t="s">
        <v>5200</v>
      </c>
      <c r="E243" s="43">
        <v>46125</v>
      </c>
      <c r="F243" s="26" t="s">
        <v>23</v>
      </c>
      <c r="G243" s="44" t="s">
        <v>1352</v>
      </c>
      <c r="H243" s="26" t="s">
        <v>25</v>
      </c>
      <c r="I243" s="44" t="s">
        <v>1352</v>
      </c>
      <c r="J243" s="26" t="s">
        <v>24</v>
      </c>
      <c r="K243" s="27"/>
      <c r="L243" s="28" t="s">
        <v>25</v>
      </c>
      <c r="M243" s="29" t="str">
        <f t="shared" si="15"/>
        <v>✓ OK</v>
      </c>
      <c r="N243" s="43">
        <v>46196</v>
      </c>
      <c r="O243" s="26" t="s">
        <v>23</v>
      </c>
      <c r="P243" s="44" t="s">
        <v>1352</v>
      </c>
      <c r="Q243" s="26" t="s">
        <v>25</v>
      </c>
      <c r="R243" s="44" t="s">
        <v>1352</v>
      </c>
      <c r="S243" s="26" t="s">
        <v>24</v>
      </c>
      <c r="T243" s="27"/>
      <c r="U243" s="28" t="s">
        <v>25</v>
      </c>
      <c r="V243" s="29" t="str">
        <f t="shared" si="16"/>
        <v>✓ OK</v>
      </c>
      <c r="W243" s="45">
        <v>46248</v>
      </c>
      <c r="X243" s="30" t="s">
        <v>23</v>
      </c>
      <c r="Y243" s="30" t="s">
        <v>1352</v>
      </c>
      <c r="Z243" s="30" t="s">
        <v>25</v>
      </c>
      <c r="AA243" s="30" t="s">
        <v>1352</v>
      </c>
      <c r="AB243" s="30" t="s">
        <v>24</v>
      </c>
      <c r="AC243" s="27"/>
      <c r="AD243" s="31" t="s">
        <v>25</v>
      </c>
      <c r="AE243" s="32" t="str">
        <f t="shared" si="17"/>
        <v>✓ OK</v>
      </c>
      <c r="AF243" s="33" t="s">
        <v>27</v>
      </c>
      <c r="AG243" s="33" t="s">
        <v>23</v>
      </c>
      <c r="AH243" s="33" t="s">
        <v>1352</v>
      </c>
      <c r="AI243" s="33" t="s">
        <v>25</v>
      </c>
      <c r="AJ243" s="33" t="s">
        <v>1352</v>
      </c>
      <c r="AK243" s="33" t="s">
        <v>24</v>
      </c>
      <c r="AL243" s="27"/>
      <c r="AM243" s="34" t="s">
        <v>25</v>
      </c>
      <c r="AN243" s="35" t="str">
        <f t="shared" si="18"/>
        <v>✓ OK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8" customHeight="1" x14ac:dyDescent="0.3">
      <c r="A244" s="39">
        <v>240</v>
      </c>
      <c r="B244" s="40" t="s">
        <v>5678</v>
      </c>
      <c r="C244" s="41" t="s">
        <v>5679</v>
      </c>
      <c r="D244" s="39" t="s">
        <v>5200</v>
      </c>
      <c r="E244" s="43">
        <v>46125</v>
      </c>
      <c r="F244" s="26" t="s">
        <v>23</v>
      </c>
      <c r="G244" s="44" t="s">
        <v>24</v>
      </c>
      <c r="H244" s="26" t="s">
        <v>25</v>
      </c>
      <c r="I244" s="44" t="s">
        <v>26</v>
      </c>
      <c r="J244" s="26" t="s">
        <v>24</v>
      </c>
      <c r="K244" s="27"/>
      <c r="L244" s="28" t="s">
        <v>25</v>
      </c>
      <c r="M244" s="29" t="str">
        <f t="shared" si="15"/>
        <v>✓ OK</v>
      </c>
      <c r="N244" s="43">
        <v>46196</v>
      </c>
      <c r="O244" s="26" t="s">
        <v>23</v>
      </c>
      <c r="P244" s="44" t="s">
        <v>24</v>
      </c>
      <c r="Q244" s="26" t="s">
        <v>25</v>
      </c>
      <c r="R244" s="44" t="s">
        <v>26</v>
      </c>
      <c r="S244" s="26" t="s">
        <v>24</v>
      </c>
      <c r="T244" s="27"/>
      <c r="U244" s="28" t="s">
        <v>25</v>
      </c>
      <c r="V244" s="29" t="str">
        <f t="shared" si="16"/>
        <v>✓ OK</v>
      </c>
      <c r="W244" s="45">
        <v>46248</v>
      </c>
      <c r="X244" s="30" t="s">
        <v>23</v>
      </c>
      <c r="Y244" s="30" t="s">
        <v>24</v>
      </c>
      <c r="Z244" s="30" t="s">
        <v>25</v>
      </c>
      <c r="AA244" s="30" t="s">
        <v>26</v>
      </c>
      <c r="AB244" s="30" t="s">
        <v>24</v>
      </c>
      <c r="AC244" s="27"/>
      <c r="AD244" s="31" t="s">
        <v>25</v>
      </c>
      <c r="AE244" s="32" t="str">
        <f t="shared" si="17"/>
        <v>✓ OK</v>
      </c>
      <c r="AF244" s="33" t="s">
        <v>27</v>
      </c>
      <c r="AG244" s="33" t="s">
        <v>23</v>
      </c>
      <c r="AH244" s="33" t="s">
        <v>24</v>
      </c>
      <c r="AI244" s="33" t="s">
        <v>25</v>
      </c>
      <c r="AJ244" s="33" t="s">
        <v>26</v>
      </c>
      <c r="AK244" s="33" t="s">
        <v>24</v>
      </c>
      <c r="AL244" s="27"/>
      <c r="AM244" s="34" t="s">
        <v>25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8" customHeight="1" x14ac:dyDescent="0.3">
      <c r="A245" s="23">
        <v>241</v>
      </c>
      <c r="B245" s="24" t="s">
        <v>5680</v>
      </c>
      <c r="C245" s="25" t="s">
        <v>5681</v>
      </c>
      <c r="D245" s="23" t="s">
        <v>5200</v>
      </c>
      <c r="E245" s="43">
        <v>46125</v>
      </c>
      <c r="F245" s="26" t="s">
        <v>23</v>
      </c>
      <c r="G245" s="44" t="s">
        <v>1352</v>
      </c>
      <c r="H245" s="26" t="s">
        <v>25</v>
      </c>
      <c r="I245" s="44" t="s">
        <v>1352</v>
      </c>
      <c r="J245" s="26" t="s">
        <v>24</v>
      </c>
      <c r="K245" s="27"/>
      <c r="L245" s="28" t="s">
        <v>25</v>
      </c>
      <c r="M245" s="29" t="str">
        <f t="shared" si="15"/>
        <v>✓ OK</v>
      </c>
      <c r="N245" s="43">
        <v>46196</v>
      </c>
      <c r="O245" s="26" t="s">
        <v>23</v>
      </c>
      <c r="P245" s="44" t="s">
        <v>1352</v>
      </c>
      <c r="Q245" s="26" t="s">
        <v>25</v>
      </c>
      <c r="R245" s="44" t="s">
        <v>1352</v>
      </c>
      <c r="S245" s="26" t="s">
        <v>24</v>
      </c>
      <c r="T245" s="27"/>
      <c r="U245" s="28" t="s">
        <v>25</v>
      </c>
      <c r="V245" s="29" t="str">
        <f t="shared" si="16"/>
        <v>✓ OK</v>
      </c>
      <c r="W245" s="45">
        <v>46248</v>
      </c>
      <c r="X245" s="30" t="s">
        <v>23</v>
      </c>
      <c r="Y245" s="30" t="s">
        <v>1352</v>
      </c>
      <c r="Z245" s="30" t="s">
        <v>25</v>
      </c>
      <c r="AA245" s="30" t="s">
        <v>1352</v>
      </c>
      <c r="AB245" s="30" t="s">
        <v>24</v>
      </c>
      <c r="AC245" s="27"/>
      <c r="AD245" s="31" t="s">
        <v>25</v>
      </c>
      <c r="AE245" s="32" t="str">
        <f t="shared" si="17"/>
        <v>✓ OK</v>
      </c>
      <c r="AF245" s="33" t="s">
        <v>27</v>
      </c>
      <c r="AG245" s="33" t="s">
        <v>23</v>
      </c>
      <c r="AH245" s="33" t="s">
        <v>1352</v>
      </c>
      <c r="AI245" s="33" t="s">
        <v>25</v>
      </c>
      <c r="AJ245" s="33" t="s">
        <v>1352</v>
      </c>
      <c r="AK245" s="33" t="s">
        <v>24</v>
      </c>
      <c r="AL245" s="27"/>
      <c r="AM245" s="34" t="s">
        <v>25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8" customHeight="1" x14ac:dyDescent="0.3">
      <c r="A246" s="39">
        <v>242</v>
      </c>
      <c r="B246" s="40" t="s">
        <v>5682</v>
      </c>
      <c r="C246" s="41" t="s">
        <v>5683</v>
      </c>
      <c r="D246" s="39" t="s">
        <v>5200</v>
      </c>
      <c r="E246" s="43">
        <v>46125</v>
      </c>
      <c r="F246" s="26" t="s">
        <v>23</v>
      </c>
      <c r="G246" s="44" t="s">
        <v>1352</v>
      </c>
      <c r="H246" s="26" t="s">
        <v>25</v>
      </c>
      <c r="I246" s="44" t="s">
        <v>1352</v>
      </c>
      <c r="J246" s="26" t="s">
        <v>24</v>
      </c>
      <c r="K246" s="27"/>
      <c r="L246" s="28" t="s">
        <v>25</v>
      </c>
      <c r="M246" s="29" t="str">
        <f t="shared" si="15"/>
        <v>✓ OK</v>
      </c>
      <c r="N246" s="43">
        <v>46196</v>
      </c>
      <c r="O246" s="26" t="s">
        <v>23</v>
      </c>
      <c r="P246" s="44" t="s">
        <v>1352</v>
      </c>
      <c r="Q246" s="26" t="s">
        <v>25</v>
      </c>
      <c r="R246" s="44" t="s">
        <v>1352</v>
      </c>
      <c r="S246" s="26" t="s">
        <v>24</v>
      </c>
      <c r="T246" s="27"/>
      <c r="U246" s="28" t="s">
        <v>25</v>
      </c>
      <c r="V246" s="29" t="str">
        <f t="shared" si="16"/>
        <v>✓ OK</v>
      </c>
      <c r="W246" s="45">
        <v>46248</v>
      </c>
      <c r="X246" s="30" t="s">
        <v>23</v>
      </c>
      <c r="Y246" s="30" t="s">
        <v>1352</v>
      </c>
      <c r="Z246" s="30" t="s">
        <v>25</v>
      </c>
      <c r="AA246" s="30" t="s">
        <v>1352</v>
      </c>
      <c r="AB246" s="30" t="s">
        <v>24</v>
      </c>
      <c r="AC246" s="27"/>
      <c r="AD246" s="31" t="s">
        <v>25</v>
      </c>
      <c r="AE246" s="32" t="str">
        <f t="shared" si="17"/>
        <v>✓ OK</v>
      </c>
      <c r="AF246" s="33" t="s">
        <v>27</v>
      </c>
      <c r="AG246" s="33" t="s">
        <v>23</v>
      </c>
      <c r="AH246" s="33" t="s">
        <v>1352</v>
      </c>
      <c r="AI246" s="33" t="s">
        <v>25</v>
      </c>
      <c r="AJ246" s="33" t="s">
        <v>1352</v>
      </c>
      <c r="AK246" s="33" t="s">
        <v>24</v>
      </c>
      <c r="AL246" s="27"/>
      <c r="AM246" s="34" t="s">
        <v>25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8" customHeight="1" x14ac:dyDescent="0.3">
      <c r="A247" s="23">
        <v>243</v>
      </c>
      <c r="B247" s="24" t="s">
        <v>5684</v>
      </c>
      <c r="C247" s="25" t="s">
        <v>5685</v>
      </c>
      <c r="D247" s="23" t="s">
        <v>5200</v>
      </c>
      <c r="E247" s="43">
        <v>46125</v>
      </c>
      <c r="F247" s="26" t="s">
        <v>23</v>
      </c>
      <c r="G247" s="44" t="s">
        <v>1352</v>
      </c>
      <c r="H247" s="26" t="s">
        <v>25</v>
      </c>
      <c r="I247" s="44" t="s">
        <v>1352</v>
      </c>
      <c r="J247" s="26" t="s">
        <v>24</v>
      </c>
      <c r="K247" s="27"/>
      <c r="L247" s="28" t="s">
        <v>25</v>
      </c>
      <c r="M247" s="29" t="str">
        <f t="shared" si="15"/>
        <v>✓ OK</v>
      </c>
      <c r="N247" s="43">
        <v>46196</v>
      </c>
      <c r="O247" s="26" t="s">
        <v>23</v>
      </c>
      <c r="P247" s="44" t="s">
        <v>1352</v>
      </c>
      <c r="Q247" s="26" t="s">
        <v>25</v>
      </c>
      <c r="R247" s="44" t="s">
        <v>1352</v>
      </c>
      <c r="S247" s="26" t="s">
        <v>24</v>
      </c>
      <c r="T247" s="27"/>
      <c r="U247" s="28" t="s">
        <v>25</v>
      </c>
      <c r="V247" s="29" t="str">
        <f t="shared" si="16"/>
        <v>✓ OK</v>
      </c>
      <c r="W247" s="45">
        <v>46248</v>
      </c>
      <c r="X247" s="30" t="s">
        <v>23</v>
      </c>
      <c r="Y247" s="30" t="s">
        <v>1352</v>
      </c>
      <c r="Z247" s="30" t="s">
        <v>25</v>
      </c>
      <c r="AA247" s="30" t="s">
        <v>1352</v>
      </c>
      <c r="AB247" s="30" t="s">
        <v>24</v>
      </c>
      <c r="AC247" s="27"/>
      <c r="AD247" s="31" t="s">
        <v>25</v>
      </c>
      <c r="AE247" s="32" t="str">
        <f t="shared" si="17"/>
        <v>✓ OK</v>
      </c>
      <c r="AF247" s="33" t="s">
        <v>27</v>
      </c>
      <c r="AG247" s="33" t="s">
        <v>23</v>
      </c>
      <c r="AH247" s="33" t="s">
        <v>1352</v>
      </c>
      <c r="AI247" s="33" t="s">
        <v>25</v>
      </c>
      <c r="AJ247" s="33" t="s">
        <v>1352</v>
      </c>
      <c r="AK247" s="33" t="s">
        <v>24</v>
      </c>
      <c r="AL247" s="27"/>
      <c r="AM247" s="34" t="s">
        <v>25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8" customHeight="1" x14ac:dyDescent="0.3">
      <c r="A248" s="39">
        <v>244</v>
      </c>
      <c r="B248" s="40" t="s">
        <v>5686</v>
      </c>
      <c r="C248" s="41" t="s">
        <v>5687</v>
      </c>
      <c r="D248" s="39" t="s">
        <v>5200</v>
      </c>
      <c r="E248" s="43">
        <v>46125</v>
      </c>
      <c r="F248" s="26" t="s">
        <v>23</v>
      </c>
      <c r="G248" s="44" t="s">
        <v>1352</v>
      </c>
      <c r="H248" s="26" t="s">
        <v>25</v>
      </c>
      <c r="I248" s="44" t="s">
        <v>1352</v>
      </c>
      <c r="J248" s="26" t="s">
        <v>24</v>
      </c>
      <c r="K248" s="27"/>
      <c r="L248" s="28" t="s">
        <v>25</v>
      </c>
      <c r="M248" s="29" t="str">
        <f t="shared" si="15"/>
        <v>✓ OK</v>
      </c>
      <c r="N248" s="43">
        <v>46196</v>
      </c>
      <c r="O248" s="26" t="s">
        <v>23</v>
      </c>
      <c r="P248" s="44" t="s">
        <v>1352</v>
      </c>
      <c r="Q248" s="26" t="s">
        <v>25</v>
      </c>
      <c r="R248" s="44" t="s">
        <v>1352</v>
      </c>
      <c r="S248" s="26" t="s">
        <v>24</v>
      </c>
      <c r="T248" s="27"/>
      <c r="U248" s="28" t="s">
        <v>25</v>
      </c>
      <c r="V248" s="29" t="str">
        <f t="shared" si="16"/>
        <v>✓ OK</v>
      </c>
      <c r="W248" s="45">
        <v>46248</v>
      </c>
      <c r="X248" s="30" t="s">
        <v>23</v>
      </c>
      <c r="Y248" s="30" t="s">
        <v>1352</v>
      </c>
      <c r="Z248" s="30" t="s">
        <v>25</v>
      </c>
      <c r="AA248" s="30" t="s">
        <v>1352</v>
      </c>
      <c r="AB248" s="30" t="s">
        <v>24</v>
      </c>
      <c r="AC248" s="27"/>
      <c r="AD248" s="31" t="s">
        <v>25</v>
      </c>
      <c r="AE248" s="32" t="str">
        <f t="shared" si="17"/>
        <v>✓ OK</v>
      </c>
      <c r="AF248" s="33" t="s">
        <v>27</v>
      </c>
      <c r="AG248" s="33" t="s">
        <v>23</v>
      </c>
      <c r="AH248" s="33" t="s">
        <v>1352</v>
      </c>
      <c r="AI248" s="33" t="s">
        <v>25</v>
      </c>
      <c r="AJ248" s="33" t="s">
        <v>1352</v>
      </c>
      <c r="AK248" s="33" t="s">
        <v>24</v>
      </c>
      <c r="AL248" s="27"/>
      <c r="AM248" s="34" t="s">
        <v>25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8" customHeight="1" x14ac:dyDescent="0.3">
      <c r="A249" s="23">
        <v>245</v>
      </c>
      <c r="B249" s="24" t="s">
        <v>5688</v>
      </c>
      <c r="C249" s="25" t="s">
        <v>5689</v>
      </c>
      <c r="D249" s="23" t="s">
        <v>5200</v>
      </c>
      <c r="E249" s="43">
        <v>46125</v>
      </c>
      <c r="F249" s="26" t="s">
        <v>23</v>
      </c>
      <c r="G249" s="44" t="s">
        <v>1352</v>
      </c>
      <c r="H249" s="26" t="s">
        <v>25</v>
      </c>
      <c r="I249" s="44" t="s">
        <v>1352</v>
      </c>
      <c r="J249" s="26" t="s">
        <v>24</v>
      </c>
      <c r="K249" s="27"/>
      <c r="L249" s="28" t="s">
        <v>25</v>
      </c>
      <c r="M249" s="29" t="str">
        <f t="shared" si="15"/>
        <v>✓ OK</v>
      </c>
      <c r="N249" s="43">
        <v>46196</v>
      </c>
      <c r="O249" s="26" t="s">
        <v>23</v>
      </c>
      <c r="P249" s="44" t="s">
        <v>1352</v>
      </c>
      <c r="Q249" s="26" t="s">
        <v>25</v>
      </c>
      <c r="R249" s="44" t="s">
        <v>1352</v>
      </c>
      <c r="S249" s="26" t="s">
        <v>24</v>
      </c>
      <c r="T249" s="27"/>
      <c r="U249" s="28" t="s">
        <v>25</v>
      </c>
      <c r="V249" s="29" t="str">
        <f t="shared" si="16"/>
        <v>✓ OK</v>
      </c>
      <c r="W249" s="45">
        <v>46248</v>
      </c>
      <c r="X249" s="30" t="s">
        <v>23</v>
      </c>
      <c r="Y249" s="30" t="s">
        <v>1352</v>
      </c>
      <c r="Z249" s="30" t="s">
        <v>25</v>
      </c>
      <c r="AA249" s="30" t="s">
        <v>1352</v>
      </c>
      <c r="AB249" s="30" t="s">
        <v>24</v>
      </c>
      <c r="AC249" s="27"/>
      <c r="AD249" s="31" t="s">
        <v>25</v>
      </c>
      <c r="AE249" s="32" t="str">
        <f t="shared" si="17"/>
        <v>✓ OK</v>
      </c>
      <c r="AF249" s="33" t="s">
        <v>27</v>
      </c>
      <c r="AG249" s="33" t="s">
        <v>23</v>
      </c>
      <c r="AH249" s="33" t="s">
        <v>1352</v>
      </c>
      <c r="AI249" s="33" t="s">
        <v>25</v>
      </c>
      <c r="AJ249" s="33" t="s">
        <v>1352</v>
      </c>
      <c r="AK249" s="33" t="s">
        <v>24</v>
      </c>
      <c r="AL249" s="27"/>
      <c r="AM249" s="34" t="s">
        <v>25</v>
      </c>
      <c r="AN249" s="35" t="str">
        <f t="shared" si="18"/>
        <v>✓ OK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8" customHeight="1" x14ac:dyDescent="0.3">
      <c r="A250" s="39">
        <v>246</v>
      </c>
      <c r="B250" s="40" t="s">
        <v>5690</v>
      </c>
      <c r="C250" s="41" t="s">
        <v>5691</v>
      </c>
      <c r="D250" s="39" t="s">
        <v>5200</v>
      </c>
      <c r="E250" s="43">
        <v>46125</v>
      </c>
      <c r="F250" s="26" t="s">
        <v>23</v>
      </c>
      <c r="G250" s="44" t="s">
        <v>1352</v>
      </c>
      <c r="H250" s="26" t="s">
        <v>25</v>
      </c>
      <c r="I250" s="44" t="s">
        <v>1352</v>
      </c>
      <c r="J250" s="26" t="s">
        <v>24</v>
      </c>
      <c r="K250" s="27"/>
      <c r="L250" s="28" t="s">
        <v>25</v>
      </c>
      <c r="M250" s="29" t="str">
        <f t="shared" si="15"/>
        <v>✓ OK</v>
      </c>
      <c r="N250" s="43">
        <v>46196</v>
      </c>
      <c r="O250" s="26" t="s">
        <v>23</v>
      </c>
      <c r="P250" s="44" t="s">
        <v>1352</v>
      </c>
      <c r="Q250" s="26" t="s">
        <v>25</v>
      </c>
      <c r="R250" s="44" t="s">
        <v>1352</v>
      </c>
      <c r="S250" s="26" t="s">
        <v>24</v>
      </c>
      <c r="T250" s="27"/>
      <c r="U250" s="28" t="s">
        <v>25</v>
      </c>
      <c r="V250" s="29" t="str">
        <f t="shared" si="16"/>
        <v>✓ OK</v>
      </c>
      <c r="W250" s="45">
        <v>46248</v>
      </c>
      <c r="X250" s="30" t="s">
        <v>23</v>
      </c>
      <c r="Y250" s="30" t="s">
        <v>1352</v>
      </c>
      <c r="Z250" s="30" t="s">
        <v>25</v>
      </c>
      <c r="AA250" s="30" t="s">
        <v>1352</v>
      </c>
      <c r="AB250" s="30" t="s">
        <v>24</v>
      </c>
      <c r="AC250" s="27"/>
      <c r="AD250" s="31" t="s">
        <v>25</v>
      </c>
      <c r="AE250" s="32" t="str">
        <f t="shared" si="17"/>
        <v>✓ OK</v>
      </c>
      <c r="AF250" s="33" t="s">
        <v>27</v>
      </c>
      <c r="AG250" s="33" t="s">
        <v>23</v>
      </c>
      <c r="AH250" s="33" t="s">
        <v>1352</v>
      </c>
      <c r="AI250" s="33" t="s">
        <v>25</v>
      </c>
      <c r="AJ250" s="33" t="s">
        <v>1352</v>
      </c>
      <c r="AK250" s="33" t="s">
        <v>24</v>
      </c>
      <c r="AL250" s="27"/>
      <c r="AM250" s="34" t="s">
        <v>25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8" customHeight="1" x14ac:dyDescent="0.3">
      <c r="A251" s="23">
        <v>247</v>
      </c>
      <c r="B251" s="24" t="s">
        <v>5692</v>
      </c>
      <c r="C251" s="25" t="s">
        <v>5693</v>
      </c>
      <c r="D251" s="23" t="s">
        <v>5200</v>
      </c>
      <c r="E251" s="43">
        <v>46125</v>
      </c>
      <c r="F251" s="26" t="s">
        <v>23</v>
      </c>
      <c r="G251" s="44" t="s">
        <v>24</v>
      </c>
      <c r="H251" s="26" t="s">
        <v>25</v>
      </c>
      <c r="I251" s="44" t="s">
        <v>26</v>
      </c>
      <c r="J251" s="26" t="s">
        <v>24</v>
      </c>
      <c r="K251" s="27"/>
      <c r="L251" s="28" t="s">
        <v>25</v>
      </c>
      <c r="M251" s="29" t="str">
        <f t="shared" si="15"/>
        <v>✓ OK</v>
      </c>
      <c r="N251" s="43">
        <v>46196</v>
      </c>
      <c r="O251" s="26" t="s">
        <v>23</v>
      </c>
      <c r="P251" s="44" t="s">
        <v>24</v>
      </c>
      <c r="Q251" s="26" t="s">
        <v>25</v>
      </c>
      <c r="R251" s="44" t="s">
        <v>26</v>
      </c>
      <c r="S251" s="26" t="s">
        <v>24</v>
      </c>
      <c r="T251" s="27"/>
      <c r="U251" s="28" t="s">
        <v>25</v>
      </c>
      <c r="V251" s="29" t="str">
        <f t="shared" si="16"/>
        <v>✓ OK</v>
      </c>
      <c r="W251" s="45">
        <v>46248</v>
      </c>
      <c r="X251" s="30" t="s">
        <v>23</v>
      </c>
      <c r="Y251" s="30" t="s">
        <v>24</v>
      </c>
      <c r="Z251" s="30" t="s">
        <v>25</v>
      </c>
      <c r="AA251" s="30" t="s">
        <v>26</v>
      </c>
      <c r="AB251" s="30" t="s">
        <v>24</v>
      </c>
      <c r="AC251" s="27"/>
      <c r="AD251" s="31" t="s">
        <v>25</v>
      </c>
      <c r="AE251" s="32" t="str">
        <f t="shared" si="17"/>
        <v>✓ OK</v>
      </c>
      <c r="AF251" s="33" t="s">
        <v>27</v>
      </c>
      <c r="AG251" s="33" t="s">
        <v>23</v>
      </c>
      <c r="AH251" s="33" t="s">
        <v>24</v>
      </c>
      <c r="AI251" s="33" t="s">
        <v>25</v>
      </c>
      <c r="AJ251" s="33" t="s">
        <v>26</v>
      </c>
      <c r="AK251" s="33" t="s">
        <v>24</v>
      </c>
      <c r="AL251" s="27"/>
      <c r="AM251" s="34" t="s">
        <v>25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8" customHeight="1" x14ac:dyDescent="0.3">
      <c r="A252" s="39">
        <v>248</v>
      </c>
      <c r="B252" s="40" t="s">
        <v>5694</v>
      </c>
      <c r="C252" s="41" t="s">
        <v>5695</v>
      </c>
      <c r="D252" s="39" t="s">
        <v>5200</v>
      </c>
      <c r="E252" s="43">
        <v>46125</v>
      </c>
      <c r="F252" s="26" t="s">
        <v>23</v>
      </c>
      <c r="G252" s="44" t="s">
        <v>1352</v>
      </c>
      <c r="H252" s="26" t="s">
        <v>25</v>
      </c>
      <c r="I252" s="44" t="s">
        <v>1352</v>
      </c>
      <c r="J252" s="26" t="s">
        <v>24</v>
      </c>
      <c r="K252" s="27"/>
      <c r="L252" s="28" t="s">
        <v>25</v>
      </c>
      <c r="M252" s="29" t="str">
        <f t="shared" si="15"/>
        <v>✓ OK</v>
      </c>
      <c r="N252" s="43">
        <v>46196</v>
      </c>
      <c r="O252" s="26" t="s">
        <v>23</v>
      </c>
      <c r="P252" s="44" t="s">
        <v>1352</v>
      </c>
      <c r="Q252" s="26" t="s">
        <v>25</v>
      </c>
      <c r="R252" s="44" t="s">
        <v>1352</v>
      </c>
      <c r="S252" s="26" t="s">
        <v>24</v>
      </c>
      <c r="T252" s="27"/>
      <c r="U252" s="28" t="s">
        <v>25</v>
      </c>
      <c r="V252" s="29" t="str">
        <f t="shared" si="16"/>
        <v>✓ OK</v>
      </c>
      <c r="W252" s="45">
        <v>46248</v>
      </c>
      <c r="X252" s="30" t="s">
        <v>23</v>
      </c>
      <c r="Y252" s="30" t="s">
        <v>1352</v>
      </c>
      <c r="Z252" s="30" t="s">
        <v>25</v>
      </c>
      <c r="AA252" s="30" t="s">
        <v>1352</v>
      </c>
      <c r="AB252" s="30" t="s">
        <v>24</v>
      </c>
      <c r="AC252" s="27"/>
      <c r="AD252" s="31" t="s">
        <v>25</v>
      </c>
      <c r="AE252" s="32" t="str">
        <f t="shared" si="17"/>
        <v>✓ OK</v>
      </c>
      <c r="AF252" s="33" t="s">
        <v>27</v>
      </c>
      <c r="AG252" s="33" t="s">
        <v>23</v>
      </c>
      <c r="AH252" s="33" t="s">
        <v>1352</v>
      </c>
      <c r="AI252" s="33" t="s">
        <v>25</v>
      </c>
      <c r="AJ252" s="33" t="s">
        <v>1352</v>
      </c>
      <c r="AK252" s="33" t="s">
        <v>24</v>
      </c>
      <c r="AL252" s="27"/>
      <c r="AM252" s="34" t="s">
        <v>25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8" customHeight="1" x14ac:dyDescent="0.3">
      <c r="A253" s="23">
        <v>249</v>
      </c>
      <c r="B253" s="24" t="s">
        <v>5696</v>
      </c>
      <c r="C253" s="25" t="s">
        <v>5697</v>
      </c>
      <c r="D253" s="23" t="s">
        <v>5200</v>
      </c>
      <c r="E253" s="43">
        <v>46125</v>
      </c>
      <c r="F253" s="26" t="s">
        <v>23</v>
      </c>
      <c r="G253" s="44" t="s">
        <v>1352</v>
      </c>
      <c r="H253" s="26" t="s">
        <v>25</v>
      </c>
      <c r="I253" s="44" t="s">
        <v>1352</v>
      </c>
      <c r="J253" s="26" t="s">
        <v>24</v>
      </c>
      <c r="K253" s="27"/>
      <c r="L253" s="28" t="s">
        <v>25</v>
      </c>
      <c r="M253" s="29" t="str">
        <f t="shared" si="15"/>
        <v>✓ OK</v>
      </c>
      <c r="N253" s="43">
        <v>46196</v>
      </c>
      <c r="O253" s="26" t="s">
        <v>23</v>
      </c>
      <c r="P253" s="44" t="s">
        <v>1352</v>
      </c>
      <c r="Q253" s="26" t="s">
        <v>25</v>
      </c>
      <c r="R253" s="44" t="s">
        <v>1352</v>
      </c>
      <c r="S253" s="26" t="s">
        <v>24</v>
      </c>
      <c r="T253" s="27"/>
      <c r="U253" s="28" t="s">
        <v>25</v>
      </c>
      <c r="V253" s="29" t="str">
        <f t="shared" si="16"/>
        <v>✓ OK</v>
      </c>
      <c r="W253" s="45">
        <v>46248</v>
      </c>
      <c r="X253" s="30" t="s">
        <v>23</v>
      </c>
      <c r="Y253" s="30" t="s">
        <v>1352</v>
      </c>
      <c r="Z253" s="30" t="s">
        <v>25</v>
      </c>
      <c r="AA253" s="30" t="s">
        <v>1352</v>
      </c>
      <c r="AB253" s="30" t="s">
        <v>24</v>
      </c>
      <c r="AC253" s="27"/>
      <c r="AD253" s="31" t="s">
        <v>25</v>
      </c>
      <c r="AE253" s="32" t="str">
        <f t="shared" si="17"/>
        <v>✓ OK</v>
      </c>
      <c r="AF253" s="33" t="s">
        <v>27</v>
      </c>
      <c r="AG253" s="33" t="s">
        <v>23</v>
      </c>
      <c r="AH253" s="33" t="s">
        <v>1352</v>
      </c>
      <c r="AI253" s="33" t="s">
        <v>25</v>
      </c>
      <c r="AJ253" s="33" t="s">
        <v>1352</v>
      </c>
      <c r="AK253" s="33" t="s">
        <v>24</v>
      </c>
      <c r="AL253" s="27"/>
      <c r="AM253" s="34" t="s">
        <v>25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8" customHeight="1" x14ac:dyDescent="0.3">
      <c r="A254" s="39">
        <v>250</v>
      </c>
      <c r="B254" s="40" t="s">
        <v>5698</v>
      </c>
      <c r="C254" s="41" t="s">
        <v>5699</v>
      </c>
      <c r="D254" s="39" t="s">
        <v>5200</v>
      </c>
      <c r="E254" s="43">
        <v>46125</v>
      </c>
      <c r="F254" s="26" t="s">
        <v>23</v>
      </c>
      <c r="G254" s="44" t="s">
        <v>1352</v>
      </c>
      <c r="H254" s="26" t="s">
        <v>25</v>
      </c>
      <c r="I254" s="44" t="s">
        <v>1352</v>
      </c>
      <c r="J254" s="26" t="s">
        <v>24</v>
      </c>
      <c r="K254" s="27"/>
      <c r="L254" s="28" t="s">
        <v>25</v>
      </c>
      <c r="M254" s="29" t="str">
        <f t="shared" si="15"/>
        <v>✓ OK</v>
      </c>
      <c r="N254" s="43">
        <v>46196</v>
      </c>
      <c r="O254" s="26" t="s">
        <v>23</v>
      </c>
      <c r="P254" s="44" t="s">
        <v>1352</v>
      </c>
      <c r="Q254" s="26" t="s">
        <v>25</v>
      </c>
      <c r="R254" s="44" t="s">
        <v>1352</v>
      </c>
      <c r="S254" s="26" t="s">
        <v>24</v>
      </c>
      <c r="T254" s="27"/>
      <c r="U254" s="28" t="s">
        <v>25</v>
      </c>
      <c r="V254" s="29" t="str">
        <f t="shared" si="16"/>
        <v>✓ OK</v>
      </c>
      <c r="W254" s="45">
        <v>46248</v>
      </c>
      <c r="X254" s="30" t="s">
        <v>23</v>
      </c>
      <c r="Y254" s="30" t="s">
        <v>1352</v>
      </c>
      <c r="Z254" s="30" t="s">
        <v>25</v>
      </c>
      <c r="AA254" s="30" t="s">
        <v>1352</v>
      </c>
      <c r="AB254" s="30" t="s">
        <v>24</v>
      </c>
      <c r="AC254" s="27"/>
      <c r="AD254" s="31" t="s">
        <v>25</v>
      </c>
      <c r="AE254" s="32" t="str">
        <f t="shared" si="17"/>
        <v>✓ OK</v>
      </c>
      <c r="AF254" s="33" t="s">
        <v>27</v>
      </c>
      <c r="AG254" s="33" t="s">
        <v>23</v>
      </c>
      <c r="AH254" s="33" t="s">
        <v>1352</v>
      </c>
      <c r="AI254" s="33" t="s">
        <v>25</v>
      </c>
      <c r="AJ254" s="33" t="s">
        <v>1352</v>
      </c>
      <c r="AK254" s="33" t="s">
        <v>24</v>
      </c>
      <c r="AL254" s="27"/>
      <c r="AM254" s="34" t="s">
        <v>25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8" customHeight="1" x14ac:dyDescent="0.3">
      <c r="A255" s="23">
        <v>251</v>
      </c>
      <c r="B255" s="24" t="s">
        <v>5700</v>
      </c>
      <c r="C255" s="25" t="s">
        <v>5701</v>
      </c>
      <c r="D255" s="23" t="s">
        <v>5200</v>
      </c>
      <c r="E255" s="43">
        <v>46125</v>
      </c>
      <c r="F255" s="26" t="s">
        <v>23</v>
      </c>
      <c r="G255" s="44" t="s">
        <v>1352</v>
      </c>
      <c r="H255" s="26" t="s">
        <v>25</v>
      </c>
      <c r="I255" s="44" t="s">
        <v>1352</v>
      </c>
      <c r="J255" s="26" t="s">
        <v>24</v>
      </c>
      <c r="K255" s="27"/>
      <c r="L255" s="28" t="s">
        <v>25</v>
      </c>
      <c r="M255" s="29" t="str">
        <f t="shared" si="15"/>
        <v>✓ OK</v>
      </c>
      <c r="N255" s="43">
        <v>46196</v>
      </c>
      <c r="O255" s="26" t="s">
        <v>23</v>
      </c>
      <c r="P255" s="44" t="s">
        <v>1352</v>
      </c>
      <c r="Q255" s="26" t="s">
        <v>25</v>
      </c>
      <c r="R255" s="44" t="s">
        <v>1352</v>
      </c>
      <c r="S255" s="26" t="s">
        <v>24</v>
      </c>
      <c r="T255" s="27"/>
      <c r="U255" s="28" t="s">
        <v>25</v>
      </c>
      <c r="V255" s="29" t="str">
        <f t="shared" si="16"/>
        <v>✓ OK</v>
      </c>
      <c r="W255" s="45">
        <v>46248</v>
      </c>
      <c r="X255" s="30" t="s">
        <v>23</v>
      </c>
      <c r="Y255" s="30" t="s">
        <v>1352</v>
      </c>
      <c r="Z255" s="30" t="s">
        <v>25</v>
      </c>
      <c r="AA255" s="30" t="s">
        <v>1352</v>
      </c>
      <c r="AB255" s="30" t="s">
        <v>24</v>
      </c>
      <c r="AC255" s="27"/>
      <c r="AD255" s="31" t="s">
        <v>25</v>
      </c>
      <c r="AE255" s="32" t="str">
        <f t="shared" si="17"/>
        <v>✓ OK</v>
      </c>
      <c r="AF255" s="33" t="s">
        <v>27</v>
      </c>
      <c r="AG255" s="33" t="s">
        <v>23</v>
      </c>
      <c r="AH255" s="33" t="s">
        <v>1352</v>
      </c>
      <c r="AI255" s="33" t="s">
        <v>25</v>
      </c>
      <c r="AJ255" s="33" t="s">
        <v>1352</v>
      </c>
      <c r="AK255" s="33" t="s">
        <v>24</v>
      </c>
      <c r="AL255" s="27"/>
      <c r="AM255" s="34" t="s">
        <v>25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8" customHeight="1" x14ac:dyDescent="0.3">
      <c r="A256" s="39">
        <v>252</v>
      </c>
      <c r="B256" s="40" t="s">
        <v>5702</v>
      </c>
      <c r="C256" s="41" t="s">
        <v>5703</v>
      </c>
      <c r="D256" s="39" t="s">
        <v>5200</v>
      </c>
      <c r="E256" s="43">
        <v>46125</v>
      </c>
      <c r="F256" s="26" t="s">
        <v>23</v>
      </c>
      <c r="G256" s="44" t="s">
        <v>1352</v>
      </c>
      <c r="H256" s="26" t="s">
        <v>25</v>
      </c>
      <c r="I256" s="44" t="s">
        <v>1352</v>
      </c>
      <c r="J256" s="26" t="s">
        <v>24</v>
      </c>
      <c r="K256" s="27"/>
      <c r="L256" s="28" t="s">
        <v>25</v>
      </c>
      <c r="M256" s="29" t="str">
        <f t="shared" si="15"/>
        <v>✓ OK</v>
      </c>
      <c r="N256" s="43">
        <v>46196</v>
      </c>
      <c r="O256" s="26" t="s">
        <v>23</v>
      </c>
      <c r="P256" s="44" t="s">
        <v>1352</v>
      </c>
      <c r="Q256" s="26" t="s">
        <v>25</v>
      </c>
      <c r="R256" s="44" t="s">
        <v>1352</v>
      </c>
      <c r="S256" s="26" t="s">
        <v>24</v>
      </c>
      <c r="T256" s="27"/>
      <c r="U256" s="28" t="s">
        <v>25</v>
      </c>
      <c r="V256" s="29" t="str">
        <f t="shared" si="16"/>
        <v>✓ OK</v>
      </c>
      <c r="W256" s="45">
        <v>46248</v>
      </c>
      <c r="X256" s="30" t="s">
        <v>23</v>
      </c>
      <c r="Y256" s="30" t="s">
        <v>1352</v>
      </c>
      <c r="Z256" s="30" t="s">
        <v>25</v>
      </c>
      <c r="AA256" s="30" t="s">
        <v>1352</v>
      </c>
      <c r="AB256" s="30" t="s">
        <v>24</v>
      </c>
      <c r="AC256" s="27"/>
      <c r="AD256" s="31" t="s">
        <v>25</v>
      </c>
      <c r="AE256" s="32" t="str">
        <f t="shared" si="17"/>
        <v>✓ OK</v>
      </c>
      <c r="AF256" s="33" t="s">
        <v>27</v>
      </c>
      <c r="AG256" s="33" t="s">
        <v>23</v>
      </c>
      <c r="AH256" s="33" t="s">
        <v>1352</v>
      </c>
      <c r="AI256" s="33" t="s">
        <v>25</v>
      </c>
      <c r="AJ256" s="33" t="s">
        <v>1352</v>
      </c>
      <c r="AK256" s="33" t="s">
        <v>24</v>
      </c>
      <c r="AL256" s="27"/>
      <c r="AM256" s="34" t="s">
        <v>25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8" customHeight="1" x14ac:dyDescent="0.3">
      <c r="A257" s="23">
        <v>253</v>
      </c>
      <c r="B257" s="24" t="s">
        <v>5704</v>
      </c>
      <c r="C257" s="25" t="s">
        <v>5705</v>
      </c>
      <c r="D257" s="23" t="s">
        <v>5200</v>
      </c>
      <c r="E257" s="43">
        <v>46125</v>
      </c>
      <c r="F257" s="26" t="s">
        <v>23</v>
      </c>
      <c r="G257" s="44" t="s">
        <v>1352</v>
      </c>
      <c r="H257" s="26" t="s">
        <v>25</v>
      </c>
      <c r="I257" s="44" t="s">
        <v>1352</v>
      </c>
      <c r="J257" s="26" t="s">
        <v>24</v>
      </c>
      <c r="K257" s="27"/>
      <c r="L257" s="28" t="s">
        <v>25</v>
      </c>
      <c r="M257" s="29" t="str">
        <f t="shared" si="15"/>
        <v>✓ OK</v>
      </c>
      <c r="N257" s="43">
        <v>46196</v>
      </c>
      <c r="O257" s="26" t="s">
        <v>23</v>
      </c>
      <c r="P257" s="44" t="s">
        <v>1352</v>
      </c>
      <c r="Q257" s="26" t="s">
        <v>25</v>
      </c>
      <c r="R257" s="44" t="s">
        <v>1352</v>
      </c>
      <c r="S257" s="26" t="s">
        <v>24</v>
      </c>
      <c r="T257" s="27"/>
      <c r="U257" s="28" t="s">
        <v>25</v>
      </c>
      <c r="V257" s="29" t="str">
        <f t="shared" si="16"/>
        <v>✓ OK</v>
      </c>
      <c r="W257" s="45">
        <v>46248</v>
      </c>
      <c r="X257" s="30" t="s">
        <v>23</v>
      </c>
      <c r="Y257" s="30" t="s">
        <v>1352</v>
      </c>
      <c r="Z257" s="30" t="s">
        <v>25</v>
      </c>
      <c r="AA257" s="30" t="s">
        <v>1352</v>
      </c>
      <c r="AB257" s="30" t="s">
        <v>24</v>
      </c>
      <c r="AC257" s="27"/>
      <c r="AD257" s="31" t="s">
        <v>25</v>
      </c>
      <c r="AE257" s="32" t="str">
        <f t="shared" si="17"/>
        <v>✓ OK</v>
      </c>
      <c r="AF257" s="33" t="s">
        <v>27</v>
      </c>
      <c r="AG257" s="33" t="s">
        <v>23</v>
      </c>
      <c r="AH257" s="33" t="s">
        <v>1352</v>
      </c>
      <c r="AI257" s="33" t="s">
        <v>25</v>
      </c>
      <c r="AJ257" s="33" t="s">
        <v>1352</v>
      </c>
      <c r="AK257" s="33" t="s">
        <v>24</v>
      </c>
      <c r="AL257" s="27"/>
      <c r="AM257" s="34" t="s">
        <v>25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8" customHeight="1" x14ac:dyDescent="0.3">
      <c r="A258" s="39">
        <v>254</v>
      </c>
      <c r="B258" s="40" t="s">
        <v>5706</v>
      </c>
      <c r="C258" s="41" t="s">
        <v>5707</v>
      </c>
      <c r="D258" s="39" t="s">
        <v>5200</v>
      </c>
      <c r="E258" s="43">
        <v>46125</v>
      </c>
      <c r="F258" s="26" t="s">
        <v>23</v>
      </c>
      <c r="G258" s="44" t="s">
        <v>1352</v>
      </c>
      <c r="H258" s="26" t="s">
        <v>25</v>
      </c>
      <c r="I258" s="44" t="s">
        <v>1352</v>
      </c>
      <c r="J258" s="26" t="s">
        <v>24</v>
      </c>
      <c r="K258" s="27"/>
      <c r="L258" s="28" t="s">
        <v>25</v>
      </c>
      <c r="M258" s="29" t="str">
        <f t="shared" si="15"/>
        <v>✓ OK</v>
      </c>
      <c r="N258" s="43">
        <v>46196</v>
      </c>
      <c r="O258" s="26" t="s">
        <v>23</v>
      </c>
      <c r="P258" s="44" t="s">
        <v>1352</v>
      </c>
      <c r="Q258" s="26" t="s">
        <v>25</v>
      </c>
      <c r="R258" s="44" t="s">
        <v>1352</v>
      </c>
      <c r="S258" s="26" t="s">
        <v>24</v>
      </c>
      <c r="T258" s="27"/>
      <c r="U258" s="28" t="s">
        <v>25</v>
      </c>
      <c r="V258" s="29" t="str">
        <f t="shared" si="16"/>
        <v>✓ OK</v>
      </c>
      <c r="W258" s="45">
        <v>46248</v>
      </c>
      <c r="X258" s="30" t="s">
        <v>23</v>
      </c>
      <c r="Y258" s="30" t="s">
        <v>1352</v>
      </c>
      <c r="Z258" s="30" t="s">
        <v>25</v>
      </c>
      <c r="AA258" s="30" t="s">
        <v>1352</v>
      </c>
      <c r="AB258" s="30" t="s">
        <v>24</v>
      </c>
      <c r="AC258" s="27"/>
      <c r="AD258" s="31" t="s">
        <v>25</v>
      </c>
      <c r="AE258" s="32" t="str">
        <f t="shared" si="17"/>
        <v>✓ OK</v>
      </c>
      <c r="AF258" s="33" t="s">
        <v>27</v>
      </c>
      <c r="AG258" s="33" t="s">
        <v>23</v>
      </c>
      <c r="AH258" s="33" t="s">
        <v>1352</v>
      </c>
      <c r="AI258" s="33" t="s">
        <v>25</v>
      </c>
      <c r="AJ258" s="33" t="s">
        <v>1352</v>
      </c>
      <c r="AK258" s="33" t="s">
        <v>24</v>
      </c>
      <c r="AL258" s="27"/>
      <c r="AM258" s="34" t="s">
        <v>25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8" customHeight="1" x14ac:dyDescent="0.3">
      <c r="A259" s="23">
        <v>255</v>
      </c>
      <c r="B259" s="24" t="s">
        <v>5708</v>
      </c>
      <c r="C259" s="25" t="s">
        <v>5709</v>
      </c>
      <c r="D259" s="23" t="s">
        <v>5200</v>
      </c>
      <c r="E259" s="43">
        <v>46125</v>
      </c>
      <c r="F259" s="26" t="s">
        <v>23</v>
      </c>
      <c r="G259" s="44" t="s">
        <v>1352</v>
      </c>
      <c r="H259" s="26" t="s">
        <v>25</v>
      </c>
      <c r="I259" s="44" t="s">
        <v>1352</v>
      </c>
      <c r="J259" s="26" t="s">
        <v>24</v>
      </c>
      <c r="K259" s="27"/>
      <c r="L259" s="28" t="s">
        <v>25</v>
      </c>
      <c r="M259" s="29" t="str">
        <f t="shared" si="15"/>
        <v>✓ OK</v>
      </c>
      <c r="N259" s="43">
        <v>46196</v>
      </c>
      <c r="O259" s="26" t="s">
        <v>23</v>
      </c>
      <c r="P259" s="44" t="s">
        <v>1352</v>
      </c>
      <c r="Q259" s="26" t="s">
        <v>25</v>
      </c>
      <c r="R259" s="44" t="s">
        <v>1352</v>
      </c>
      <c r="S259" s="26" t="s">
        <v>24</v>
      </c>
      <c r="T259" s="27"/>
      <c r="U259" s="28" t="s">
        <v>25</v>
      </c>
      <c r="V259" s="29" t="str">
        <f t="shared" si="16"/>
        <v>✓ OK</v>
      </c>
      <c r="W259" s="45">
        <v>46248</v>
      </c>
      <c r="X259" s="30" t="s">
        <v>23</v>
      </c>
      <c r="Y259" s="30" t="s">
        <v>1352</v>
      </c>
      <c r="Z259" s="30" t="s">
        <v>25</v>
      </c>
      <c r="AA259" s="30" t="s">
        <v>1352</v>
      </c>
      <c r="AB259" s="30" t="s">
        <v>24</v>
      </c>
      <c r="AC259" s="27"/>
      <c r="AD259" s="31" t="s">
        <v>25</v>
      </c>
      <c r="AE259" s="32" t="str">
        <f t="shared" si="17"/>
        <v>✓ OK</v>
      </c>
      <c r="AF259" s="33" t="s">
        <v>27</v>
      </c>
      <c r="AG259" s="33" t="s">
        <v>23</v>
      </c>
      <c r="AH259" s="33" t="s">
        <v>1352</v>
      </c>
      <c r="AI259" s="33" t="s">
        <v>25</v>
      </c>
      <c r="AJ259" s="33" t="s">
        <v>1352</v>
      </c>
      <c r="AK259" s="33" t="s">
        <v>24</v>
      </c>
      <c r="AL259" s="27"/>
      <c r="AM259" s="34" t="s">
        <v>25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8" customHeight="1" x14ac:dyDescent="0.3">
      <c r="A260" s="39">
        <v>256</v>
      </c>
      <c r="B260" s="40" t="s">
        <v>5710</v>
      </c>
      <c r="C260" s="41" t="s">
        <v>5711</v>
      </c>
      <c r="D260" s="39" t="s">
        <v>5200</v>
      </c>
      <c r="E260" s="43">
        <v>46125</v>
      </c>
      <c r="F260" s="26" t="s">
        <v>23</v>
      </c>
      <c r="G260" s="44" t="s">
        <v>1352</v>
      </c>
      <c r="H260" s="26" t="s">
        <v>25</v>
      </c>
      <c r="I260" s="44" t="s">
        <v>1352</v>
      </c>
      <c r="J260" s="26" t="s">
        <v>24</v>
      </c>
      <c r="K260" s="27"/>
      <c r="L260" s="28" t="s">
        <v>25</v>
      </c>
      <c r="M260" s="29" t="str">
        <f t="shared" si="15"/>
        <v>✓ OK</v>
      </c>
      <c r="N260" s="43">
        <v>46196</v>
      </c>
      <c r="O260" s="26" t="s">
        <v>23</v>
      </c>
      <c r="P260" s="44" t="s">
        <v>1352</v>
      </c>
      <c r="Q260" s="26" t="s">
        <v>25</v>
      </c>
      <c r="R260" s="44" t="s">
        <v>1352</v>
      </c>
      <c r="S260" s="26" t="s">
        <v>24</v>
      </c>
      <c r="T260" s="27"/>
      <c r="U260" s="28" t="s">
        <v>25</v>
      </c>
      <c r="V260" s="29" t="str">
        <f t="shared" si="16"/>
        <v>✓ OK</v>
      </c>
      <c r="W260" s="45">
        <v>46248</v>
      </c>
      <c r="X260" s="30" t="s">
        <v>23</v>
      </c>
      <c r="Y260" s="30" t="s">
        <v>1352</v>
      </c>
      <c r="Z260" s="30" t="s">
        <v>25</v>
      </c>
      <c r="AA260" s="30" t="s">
        <v>1352</v>
      </c>
      <c r="AB260" s="30" t="s">
        <v>24</v>
      </c>
      <c r="AC260" s="27"/>
      <c r="AD260" s="31" t="s">
        <v>25</v>
      </c>
      <c r="AE260" s="32" t="str">
        <f t="shared" si="17"/>
        <v>✓ OK</v>
      </c>
      <c r="AF260" s="33" t="s">
        <v>27</v>
      </c>
      <c r="AG260" s="33" t="s">
        <v>23</v>
      </c>
      <c r="AH260" s="33" t="s">
        <v>1352</v>
      </c>
      <c r="AI260" s="33" t="s">
        <v>25</v>
      </c>
      <c r="AJ260" s="33" t="s">
        <v>1352</v>
      </c>
      <c r="AK260" s="33" t="s">
        <v>24</v>
      </c>
      <c r="AL260" s="27"/>
      <c r="AM260" s="34" t="s">
        <v>25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8" customHeight="1" x14ac:dyDescent="0.3">
      <c r="A261" s="23">
        <v>257</v>
      </c>
      <c r="B261" s="24" t="s">
        <v>5712</v>
      </c>
      <c r="C261" s="25" t="s">
        <v>5713</v>
      </c>
      <c r="D261" s="23" t="s">
        <v>5200</v>
      </c>
      <c r="E261" s="43">
        <v>46125</v>
      </c>
      <c r="F261" s="26" t="s">
        <v>23</v>
      </c>
      <c r="G261" s="44" t="s">
        <v>1352</v>
      </c>
      <c r="H261" s="26" t="s">
        <v>25</v>
      </c>
      <c r="I261" s="44" t="s">
        <v>1352</v>
      </c>
      <c r="J261" s="26" t="s">
        <v>24</v>
      </c>
      <c r="K261" s="27"/>
      <c r="L261" s="28" t="s">
        <v>25</v>
      </c>
      <c r="M261" s="29" t="str">
        <f t="shared" ref="M261:M324" si="20">IF(E261="","",IF(H261="Yes","❌ Disc",IF(G261="No","⚠ Missing",IF(J261="Yes","✓ OK","⚠ Check"))))</f>
        <v>✓ OK</v>
      </c>
      <c r="N261" s="43">
        <v>46196</v>
      </c>
      <c r="O261" s="26" t="s">
        <v>23</v>
      </c>
      <c r="P261" s="44" t="s">
        <v>1352</v>
      </c>
      <c r="Q261" s="26" t="s">
        <v>25</v>
      </c>
      <c r="R261" s="44" t="s">
        <v>1352</v>
      </c>
      <c r="S261" s="26" t="s">
        <v>24</v>
      </c>
      <c r="T261" s="27"/>
      <c r="U261" s="28" t="s">
        <v>25</v>
      </c>
      <c r="V261" s="29" t="str">
        <f t="shared" ref="V261:V324" si="21">IF(N261="","",IF(Q261="Yes","❌ Disc",IF(P261="No","⚠ Missing",IF(S261="Yes","✓ OK","⚠ Check"))))</f>
        <v>✓ OK</v>
      </c>
      <c r="W261" s="45">
        <v>46248</v>
      </c>
      <c r="X261" s="30" t="s">
        <v>23</v>
      </c>
      <c r="Y261" s="30" t="s">
        <v>1352</v>
      </c>
      <c r="Z261" s="30" t="s">
        <v>25</v>
      </c>
      <c r="AA261" s="30" t="s">
        <v>1352</v>
      </c>
      <c r="AB261" s="30" t="s">
        <v>24</v>
      </c>
      <c r="AC261" s="27"/>
      <c r="AD261" s="31" t="s">
        <v>25</v>
      </c>
      <c r="AE261" s="32" t="str">
        <f t="shared" ref="AE261:AE324" si="22">IF(W261="","",IF(Z261="Yes","❌ Disc",IF(Y261="No","⚠ Missing",IF(AB261="Yes","✓ OK","⚠ Check"))))</f>
        <v>✓ OK</v>
      </c>
      <c r="AF261" s="33" t="s">
        <v>27</v>
      </c>
      <c r="AG261" s="33" t="s">
        <v>23</v>
      </c>
      <c r="AH261" s="33" t="s">
        <v>1352</v>
      </c>
      <c r="AI261" s="33" t="s">
        <v>25</v>
      </c>
      <c r="AJ261" s="33" t="s">
        <v>1352</v>
      </c>
      <c r="AK261" s="33" t="s">
        <v>24</v>
      </c>
      <c r="AL261" s="27"/>
      <c r="AM261" s="34" t="s">
        <v>25</v>
      </c>
      <c r="AN261" s="35" t="str">
        <f t="shared" ref="AN261:AN324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324" si="24">IF(AO261="","",IF(AR261="Yes","❌ Disc",IF(AQ261="No","⚠ Missing",IF(AT261="Yes","✓ OK","⚠ Check"))))</f>
        <v/>
      </c>
    </row>
    <row r="262" spans="1:49" ht="18" customHeight="1" x14ac:dyDescent="0.3">
      <c r="A262" s="39">
        <v>258</v>
      </c>
      <c r="B262" s="40" t="s">
        <v>5714</v>
      </c>
      <c r="C262" s="41" t="s">
        <v>5715</v>
      </c>
      <c r="D262" s="39" t="s">
        <v>5200</v>
      </c>
      <c r="E262" s="43">
        <v>46125</v>
      </c>
      <c r="F262" s="26" t="s">
        <v>23</v>
      </c>
      <c r="G262" s="44" t="s">
        <v>1352</v>
      </c>
      <c r="H262" s="26" t="s">
        <v>25</v>
      </c>
      <c r="I262" s="44" t="s">
        <v>1352</v>
      </c>
      <c r="J262" s="26" t="s">
        <v>24</v>
      </c>
      <c r="K262" s="27"/>
      <c r="L262" s="28" t="s">
        <v>25</v>
      </c>
      <c r="M262" s="29" t="str">
        <f t="shared" si="20"/>
        <v>✓ OK</v>
      </c>
      <c r="N262" s="43">
        <v>46196</v>
      </c>
      <c r="O262" s="26" t="s">
        <v>23</v>
      </c>
      <c r="P262" s="44" t="s">
        <v>1352</v>
      </c>
      <c r="Q262" s="26" t="s">
        <v>25</v>
      </c>
      <c r="R262" s="44" t="s">
        <v>1352</v>
      </c>
      <c r="S262" s="26" t="s">
        <v>24</v>
      </c>
      <c r="T262" s="27"/>
      <c r="U262" s="28" t="s">
        <v>25</v>
      </c>
      <c r="V262" s="29" t="str">
        <f t="shared" si="21"/>
        <v>✓ OK</v>
      </c>
      <c r="W262" s="45">
        <v>46248</v>
      </c>
      <c r="X262" s="30" t="s">
        <v>23</v>
      </c>
      <c r="Y262" s="30" t="s">
        <v>1352</v>
      </c>
      <c r="Z262" s="30" t="s">
        <v>25</v>
      </c>
      <c r="AA262" s="30" t="s">
        <v>1352</v>
      </c>
      <c r="AB262" s="30" t="s">
        <v>24</v>
      </c>
      <c r="AC262" s="27"/>
      <c r="AD262" s="31" t="s">
        <v>25</v>
      </c>
      <c r="AE262" s="32" t="str">
        <f t="shared" si="22"/>
        <v>✓ OK</v>
      </c>
      <c r="AF262" s="33" t="s">
        <v>27</v>
      </c>
      <c r="AG262" s="33" t="s">
        <v>23</v>
      </c>
      <c r="AH262" s="33" t="s">
        <v>1352</v>
      </c>
      <c r="AI262" s="33" t="s">
        <v>25</v>
      </c>
      <c r="AJ262" s="33" t="s">
        <v>1352</v>
      </c>
      <c r="AK262" s="33" t="s">
        <v>24</v>
      </c>
      <c r="AL262" s="27"/>
      <c r="AM262" s="34" t="s">
        <v>25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8" customHeight="1" x14ac:dyDescent="0.3">
      <c r="A263" s="23">
        <v>259</v>
      </c>
      <c r="B263" s="24" t="s">
        <v>5716</v>
      </c>
      <c r="C263" s="25" t="s">
        <v>5717</v>
      </c>
      <c r="D263" s="23" t="s">
        <v>5200</v>
      </c>
      <c r="E263" s="43">
        <v>46125</v>
      </c>
      <c r="F263" s="26" t="s">
        <v>23</v>
      </c>
      <c r="G263" s="44" t="s">
        <v>1352</v>
      </c>
      <c r="H263" s="26" t="s">
        <v>25</v>
      </c>
      <c r="I263" s="44" t="s">
        <v>1352</v>
      </c>
      <c r="J263" s="26" t="s">
        <v>24</v>
      </c>
      <c r="K263" s="27"/>
      <c r="L263" s="28" t="s">
        <v>25</v>
      </c>
      <c r="M263" s="29" t="str">
        <f t="shared" si="20"/>
        <v>✓ OK</v>
      </c>
      <c r="N263" s="43">
        <v>46196</v>
      </c>
      <c r="O263" s="26" t="s">
        <v>23</v>
      </c>
      <c r="P263" s="44" t="s">
        <v>1352</v>
      </c>
      <c r="Q263" s="26" t="s">
        <v>25</v>
      </c>
      <c r="R263" s="44" t="s">
        <v>1352</v>
      </c>
      <c r="S263" s="26" t="s">
        <v>24</v>
      </c>
      <c r="T263" s="27"/>
      <c r="U263" s="28" t="s">
        <v>25</v>
      </c>
      <c r="V263" s="29" t="str">
        <f t="shared" si="21"/>
        <v>✓ OK</v>
      </c>
      <c r="W263" s="45">
        <v>46248</v>
      </c>
      <c r="X263" s="30" t="s">
        <v>23</v>
      </c>
      <c r="Y263" s="30" t="s">
        <v>1352</v>
      </c>
      <c r="Z263" s="30" t="s">
        <v>25</v>
      </c>
      <c r="AA263" s="30" t="s">
        <v>1352</v>
      </c>
      <c r="AB263" s="30" t="s">
        <v>24</v>
      </c>
      <c r="AC263" s="27"/>
      <c r="AD263" s="31" t="s">
        <v>25</v>
      </c>
      <c r="AE263" s="32" t="str">
        <f t="shared" si="22"/>
        <v>✓ OK</v>
      </c>
      <c r="AF263" s="33" t="s">
        <v>27</v>
      </c>
      <c r="AG263" s="33" t="s">
        <v>23</v>
      </c>
      <c r="AH263" s="33" t="s">
        <v>1352</v>
      </c>
      <c r="AI263" s="33" t="s">
        <v>25</v>
      </c>
      <c r="AJ263" s="33" t="s">
        <v>1352</v>
      </c>
      <c r="AK263" s="33" t="s">
        <v>24</v>
      </c>
      <c r="AL263" s="27"/>
      <c r="AM263" s="34" t="s">
        <v>25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8" customHeight="1" x14ac:dyDescent="0.3">
      <c r="A264" s="39">
        <v>260</v>
      </c>
      <c r="B264" s="40" t="s">
        <v>5718</v>
      </c>
      <c r="C264" s="41" t="s">
        <v>5719</v>
      </c>
      <c r="D264" s="39" t="s">
        <v>5200</v>
      </c>
      <c r="E264" s="43">
        <v>46125</v>
      </c>
      <c r="F264" s="26" t="s">
        <v>23</v>
      </c>
      <c r="G264" s="44" t="s">
        <v>1352</v>
      </c>
      <c r="H264" s="26" t="s">
        <v>25</v>
      </c>
      <c r="I264" s="44" t="s">
        <v>1352</v>
      </c>
      <c r="J264" s="26" t="s">
        <v>24</v>
      </c>
      <c r="K264" s="27"/>
      <c r="L264" s="28" t="s">
        <v>25</v>
      </c>
      <c r="M264" s="29" t="str">
        <f t="shared" si="20"/>
        <v>✓ OK</v>
      </c>
      <c r="N264" s="43">
        <v>46196</v>
      </c>
      <c r="O264" s="26" t="s">
        <v>23</v>
      </c>
      <c r="P264" s="44" t="s">
        <v>1352</v>
      </c>
      <c r="Q264" s="26" t="s">
        <v>25</v>
      </c>
      <c r="R264" s="44" t="s">
        <v>1352</v>
      </c>
      <c r="S264" s="26" t="s">
        <v>24</v>
      </c>
      <c r="T264" s="27"/>
      <c r="U264" s="28" t="s">
        <v>25</v>
      </c>
      <c r="V264" s="29" t="str">
        <f t="shared" si="21"/>
        <v>✓ OK</v>
      </c>
      <c r="W264" s="45">
        <v>46248</v>
      </c>
      <c r="X264" s="30" t="s">
        <v>23</v>
      </c>
      <c r="Y264" s="30" t="s">
        <v>1352</v>
      </c>
      <c r="Z264" s="30" t="s">
        <v>25</v>
      </c>
      <c r="AA264" s="30" t="s">
        <v>1352</v>
      </c>
      <c r="AB264" s="30" t="s">
        <v>24</v>
      </c>
      <c r="AC264" s="27"/>
      <c r="AD264" s="31" t="s">
        <v>25</v>
      </c>
      <c r="AE264" s="32" t="str">
        <f t="shared" si="22"/>
        <v>✓ OK</v>
      </c>
      <c r="AF264" s="33" t="s">
        <v>27</v>
      </c>
      <c r="AG264" s="33" t="s">
        <v>23</v>
      </c>
      <c r="AH264" s="33" t="s">
        <v>1352</v>
      </c>
      <c r="AI264" s="33" t="s">
        <v>25</v>
      </c>
      <c r="AJ264" s="33" t="s">
        <v>1352</v>
      </c>
      <c r="AK264" s="33" t="s">
        <v>24</v>
      </c>
      <c r="AL264" s="27"/>
      <c r="AM264" s="34" t="s">
        <v>25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8" customHeight="1" x14ac:dyDescent="0.3">
      <c r="A265" s="23">
        <v>261</v>
      </c>
      <c r="B265" s="24" t="s">
        <v>5720</v>
      </c>
      <c r="C265" s="25" t="s">
        <v>5721</v>
      </c>
      <c r="D265" s="23" t="s">
        <v>5200</v>
      </c>
      <c r="E265" s="43">
        <v>46125</v>
      </c>
      <c r="F265" s="26" t="s">
        <v>23</v>
      </c>
      <c r="G265" s="44" t="s">
        <v>1352</v>
      </c>
      <c r="H265" s="26" t="s">
        <v>25</v>
      </c>
      <c r="I265" s="44" t="s">
        <v>1352</v>
      </c>
      <c r="J265" s="26" t="s">
        <v>24</v>
      </c>
      <c r="K265" s="27"/>
      <c r="L265" s="28" t="s">
        <v>25</v>
      </c>
      <c r="M265" s="29" t="str">
        <f t="shared" si="20"/>
        <v>✓ OK</v>
      </c>
      <c r="N265" s="43">
        <v>46196</v>
      </c>
      <c r="O265" s="26" t="s">
        <v>23</v>
      </c>
      <c r="P265" s="44" t="s">
        <v>1352</v>
      </c>
      <c r="Q265" s="26" t="s">
        <v>25</v>
      </c>
      <c r="R265" s="44" t="s">
        <v>1352</v>
      </c>
      <c r="S265" s="26" t="s">
        <v>24</v>
      </c>
      <c r="T265" s="27"/>
      <c r="U265" s="28" t="s">
        <v>25</v>
      </c>
      <c r="V265" s="29" t="str">
        <f t="shared" si="21"/>
        <v>✓ OK</v>
      </c>
      <c r="W265" s="45">
        <v>46248</v>
      </c>
      <c r="X265" s="30" t="s">
        <v>23</v>
      </c>
      <c r="Y265" s="30" t="s">
        <v>1352</v>
      </c>
      <c r="Z265" s="30" t="s">
        <v>25</v>
      </c>
      <c r="AA265" s="30" t="s">
        <v>1352</v>
      </c>
      <c r="AB265" s="30" t="s">
        <v>24</v>
      </c>
      <c r="AC265" s="27"/>
      <c r="AD265" s="31" t="s">
        <v>25</v>
      </c>
      <c r="AE265" s="32" t="str">
        <f t="shared" si="22"/>
        <v>✓ OK</v>
      </c>
      <c r="AF265" s="33" t="s">
        <v>27</v>
      </c>
      <c r="AG265" s="33" t="s">
        <v>23</v>
      </c>
      <c r="AH265" s="33" t="s">
        <v>1352</v>
      </c>
      <c r="AI265" s="33" t="s">
        <v>25</v>
      </c>
      <c r="AJ265" s="33" t="s">
        <v>1352</v>
      </c>
      <c r="AK265" s="33" t="s">
        <v>24</v>
      </c>
      <c r="AL265" s="27"/>
      <c r="AM265" s="34" t="s">
        <v>25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8" customHeight="1" x14ac:dyDescent="0.3">
      <c r="A266" s="39">
        <v>262</v>
      </c>
      <c r="B266" s="40" t="s">
        <v>5722</v>
      </c>
      <c r="C266" s="41" t="s">
        <v>5723</v>
      </c>
      <c r="D266" s="39" t="s">
        <v>5200</v>
      </c>
      <c r="E266" s="43">
        <v>46125</v>
      </c>
      <c r="F266" s="26" t="s">
        <v>23</v>
      </c>
      <c r="G266" s="44" t="s">
        <v>1352</v>
      </c>
      <c r="H266" s="26" t="s">
        <v>25</v>
      </c>
      <c r="I266" s="44" t="s">
        <v>1352</v>
      </c>
      <c r="J266" s="26" t="s">
        <v>24</v>
      </c>
      <c r="K266" s="27"/>
      <c r="L266" s="28" t="s">
        <v>25</v>
      </c>
      <c r="M266" s="29" t="str">
        <f t="shared" si="20"/>
        <v>✓ OK</v>
      </c>
      <c r="N266" s="43">
        <v>46196</v>
      </c>
      <c r="O266" s="26" t="s">
        <v>23</v>
      </c>
      <c r="P266" s="44" t="s">
        <v>1352</v>
      </c>
      <c r="Q266" s="26" t="s">
        <v>25</v>
      </c>
      <c r="R266" s="44" t="s">
        <v>1352</v>
      </c>
      <c r="S266" s="26" t="s">
        <v>24</v>
      </c>
      <c r="T266" s="27"/>
      <c r="U266" s="28" t="s">
        <v>25</v>
      </c>
      <c r="V266" s="29" t="str">
        <f t="shared" si="21"/>
        <v>✓ OK</v>
      </c>
      <c r="W266" s="45">
        <v>46248</v>
      </c>
      <c r="X266" s="30" t="s">
        <v>23</v>
      </c>
      <c r="Y266" s="30" t="s">
        <v>1352</v>
      </c>
      <c r="Z266" s="30" t="s">
        <v>25</v>
      </c>
      <c r="AA266" s="30" t="s">
        <v>1352</v>
      </c>
      <c r="AB266" s="30" t="s">
        <v>24</v>
      </c>
      <c r="AC266" s="27"/>
      <c r="AD266" s="31" t="s">
        <v>25</v>
      </c>
      <c r="AE266" s="32" t="str">
        <f t="shared" si="22"/>
        <v>✓ OK</v>
      </c>
      <c r="AF266" s="33" t="s">
        <v>27</v>
      </c>
      <c r="AG266" s="33" t="s">
        <v>23</v>
      </c>
      <c r="AH266" s="33" t="s">
        <v>1352</v>
      </c>
      <c r="AI266" s="33" t="s">
        <v>25</v>
      </c>
      <c r="AJ266" s="33" t="s">
        <v>1352</v>
      </c>
      <c r="AK266" s="33" t="s">
        <v>24</v>
      </c>
      <c r="AL266" s="27"/>
      <c r="AM266" s="34" t="s">
        <v>25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8" customHeight="1" x14ac:dyDescent="0.3">
      <c r="A267" s="23">
        <v>263</v>
      </c>
      <c r="B267" s="24" t="s">
        <v>5724</v>
      </c>
      <c r="C267" s="25" t="s">
        <v>5725</v>
      </c>
      <c r="D267" s="23" t="s">
        <v>5200</v>
      </c>
      <c r="E267" s="43">
        <v>46125</v>
      </c>
      <c r="F267" s="26" t="s">
        <v>23</v>
      </c>
      <c r="G267" s="44" t="s">
        <v>1352</v>
      </c>
      <c r="H267" s="26" t="s">
        <v>25</v>
      </c>
      <c r="I267" s="44" t="s">
        <v>1352</v>
      </c>
      <c r="J267" s="26" t="s">
        <v>24</v>
      </c>
      <c r="K267" s="27"/>
      <c r="L267" s="28" t="s">
        <v>25</v>
      </c>
      <c r="M267" s="29" t="str">
        <f t="shared" si="20"/>
        <v>✓ OK</v>
      </c>
      <c r="N267" s="43">
        <v>46196</v>
      </c>
      <c r="O267" s="26" t="s">
        <v>23</v>
      </c>
      <c r="P267" s="44" t="s">
        <v>1352</v>
      </c>
      <c r="Q267" s="26" t="s">
        <v>25</v>
      </c>
      <c r="R267" s="44" t="s">
        <v>1352</v>
      </c>
      <c r="S267" s="26" t="s">
        <v>24</v>
      </c>
      <c r="T267" s="27"/>
      <c r="U267" s="28" t="s">
        <v>25</v>
      </c>
      <c r="V267" s="29" t="str">
        <f t="shared" si="21"/>
        <v>✓ OK</v>
      </c>
      <c r="W267" s="45">
        <v>46248</v>
      </c>
      <c r="X267" s="30" t="s">
        <v>23</v>
      </c>
      <c r="Y267" s="30" t="s">
        <v>1352</v>
      </c>
      <c r="Z267" s="30" t="s">
        <v>25</v>
      </c>
      <c r="AA267" s="30" t="s">
        <v>1352</v>
      </c>
      <c r="AB267" s="30" t="s">
        <v>24</v>
      </c>
      <c r="AC267" s="27"/>
      <c r="AD267" s="31" t="s">
        <v>25</v>
      </c>
      <c r="AE267" s="32" t="str">
        <f t="shared" si="22"/>
        <v>✓ OK</v>
      </c>
      <c r="AF267" s="33" t="s">
        <v>27</v>
      </c>
      <c r="AG267" s="33" t="s">
        <v>23</v>
      </c>
      <c r="AH267" s="33" t="s">
        <v>1352</v>
      </c>
      <c r="AI267" s="33" t="s">
        <v>25</v>
      </c>
      <c r="AJ267" s="33" t="s">
        <v>1352</v>
      </c>
      <c r="AK267" s="33" t="s">
        <v>24</v>
      </c>
      <c r="AL267" s="27"/>
      <c r="AM267" s="34" t="s">
        <v>25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8" customHeight="1" x14ac:dyDescent="0.3">
      <c r="A268" s="39">
        <v>264</v>
      </c>
      <c r="B268" s="40" t="s">
        <v>5726</v>
      </c>
      <c r="C268" s="41" t="s">
        <v>5727</v>
      </c>
      <c r="D268" s="39" t="s">
        <v>5200</v>
      </c>
      <c r="E268" s="43">
        <v>46125</v>
      </c>
      <c r="F268" s="26" t="s">
        <v>23</v>
      </c>
      <c r="G268" s="44" t="s">
        <v>24</v>
      </c>
      <c r="H268" s="26" t="s">
        <v>25</v>
      </c>
      <c r="I268" s="44" t="s">
        <v>26</v>
      </c>
      <c r="J268" s="26" t="s">
        <v>24</v>
      </c>
      <c r="K268" s="27"/>
      <c r="L268" s="28" t="s">
        <v>25</v>
      </c>
      <c r="M268" s="29" t="str">
        <f t="shared" si="20"/>
        <v>✓ OK</v>
      </c>
      <c r="N268" s="43">
        <v>46196</v>
      </c>
      <c r="O268" s="26" t="s">
        <v>23</v>
      </c>
      <c r="P268" s="44" t="s">
        <v>24</v>
      </c>
      <c r="Q268" s="26" t="s">
        <v>25</v>
      </c>
      <c r="R268" s="44" t="s">
        <v>26</v>
      </c>
      <c r="S268" s="26" t="s">
        <v>24</v>
      </c>
      <c r="T268" s="27"/>
      <c r="U268" s="28" t="s">
        <v>25</v>
      </c>
      <c r="V268" s="29" t="str">
        <f t="shared" si="21"/>
        <v>✓ OK</v>
      </c>
      <c r="W268" s="45">
        <v>46248</v>
      </c>
      <c r="X268" s="30" t="s">
        <v>23</v>
      </c>
      <c r="Y268" s="30" t="s">
        <v>24</v>
      </c>
      <c r="Z268" s="30" t="s">
        <v>25</v>
      </c>
      <c r="AA268" s="30" t="s">
        <v>26</v>
      </c>
      <c r="AB268" s="30" t="s">
        <v>24</v>
      </c>
      <c r="AC268" s="27"/>
      <c r="AD268" s="31" t="s">
        <v>25</v>
      </c>
      <c r="AE268" s="32" t="str">
        <f t="shared" si="22"/>
        <v>✓ OK</v>
      </c>
      <c r="AF268" s="33" t="s">
        <v>27</v>
      </c>
      <c r="AG268" s="33" t="s">
        <v>23</v>
      </c>
      <c r="AH268" s="33" t="s">
        <v>24</v>
      </c>
      <c r="AI268" s="33" t="s">
        <v>25</v>
      </c>
      <c r="AJ268" s="33" t="s">
        <v>26</v>
      </c>
      <c r="AK268" s="33" t="s">
        <v>24</v>
      </c>
      <c r="AL268" s="27"/>
      <c r="AM268" s="34" t="s">
        <v>25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8" customHeight="1" x14ac:dyDescent="0.3">
      <c r="A269" s="23">
        <v>265</v>
      </c>
      <c r="B269" s="24" t="s">
        <v>5728</v>
      </c>
      <c r="C269" s="25" t="s">
        <v>5729</v>
      </c>
      <c r="D269" s="23" t="s">
        <v>5200</v>
      </c>
      <c r="E269" s="43">
        <v>46125</v>
      </c>
      <c r="F269" s="26" t="s">
        <v>23</v>
      </c>
      <c r="G269" s="44" t="s">
        <v>1352</v>
      </c>
      <c r="H269" s="26" t="s">
        <v>25</v>
      </c>
      <c r="I269" s="44" t="s">
        <v>1352</v>
      </c>
      <c r="J269" s="26" t="s">
        <v>24</v>
      </c>
      <c r="K269" s="27"/>
      <c r="L269" s="28" t="s">
        <v>25</v>
      </c>
      <c r="M269" s="29" t="str">
        <f t="shared" si="20"/>
        <v>✓ OK</v>
      </c>
      <c r="N269" s="43">
        <v>46196</v>
      </c>
      <c r="O269" s="26" t="s">
        <v>23</v>
      </c>
      <c r="P269" s="44" t="s">
        <v>1352</v>
      </c>
      <c r="Q269" s="26" t="s">
        <v>25</v>
      </c>
      <c r="R269" s="44" t="s">
        <v>1352</v>
      </c>
      <c r="S269" s="26" t="s">
        <v>24</v>
      </c>
      <c r="T269" s="27"/>
      <c r="U269" s="28" t="s">
        <v>25</v>
      </c>
      <c r="V269" s="29" t="str">
        <f t="shared" si="21"/>
        <v>✓ OK</v>
      </c>
      <c r="W269" s="45">
        <v>46248</v>
      </c>
      <c r="X269" s="30" t="s">
        <v>23</v>
      </c>
      <c r="Y269" s="30" t="s">
        <v>1352</v>
      </c>
      <c r="Z269" s="30" t="s">
        <v>25</v>
      </c>
      <c r="AA269" s="30" t="s">
        <v>1352</v>
      </c>
      <c r="AB269" s="30" t="s">
        <v>24</v>
      </c>
      <c r="AC269" s="27"/>
      <c r="AD269" s="31" t="s">
        <v>25</v>
      </c>
      <c r="AE269" s="32" t="str">
        <f t="shared" si="22"/>
        <v>✓ OK</v>
      </c>
      <c r="AF269" s="33" t="s">
        <v>27</v>
      </c>
      <c r="AG269" s="33" t="s">
        <v>23</v>
      </c>
      <c r="AH269" s="33" t="s">
        <v>1352</v>
      </c>
      <c r="AI269" s="33" t="s">
        <v>25</v>
      </c>
      <c r="AJ269" s="33" t="s">
        <v>1352</v>
      </c>
      <c r="AK269" s="33" t="s">
        <v>24</v>
      </c>
      <c r="AL269" s="27"/>
      <c r="AM269" s="34" t="s">
        <v>25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8" customHeight="1" x14ac:dyDescent="0.3">
      <c r="A270" s="39">
        <v>266</v>
      </c>
      <c r="B270" s="40" t="s">
        <v>5730</v>
      </c>
      <c r="C270" s="41" t="s">
        <v>5731</v>
      </c>
      <c r="D270" s="39" t="s">
        <v>5200</v>
      </c>
      <c r="E270" s="43">
        <v>46125</v>
      </c>
      <c r="F270" s="26" t="s">
        <v>23</v>
      </c>
      <c r="G270" s="44" t="s">
        <v>1352</v>
      </c>
      <c r="H270" s="26" t="s">
        <v>25</v>
      </c>
      <c r="I270" s="44" t="s">
        <v>1352</v>
      </c>
      <c r="J270" s="26" t="s">
        <v>24</v>
      </c>
      <c r="K270" s="27"/>
      <c r="L270" s="28" t="s">
        <v>25</v>
      </c>
      <c r="M270" s="29" t="str">
        <f t="shared" si="20"/>
        <v>✓ OK</v>
      </c>
      <c r="N270" s="43">
        <v>46196</v>
      </c>
      <c r="O270" s="26" t="s">
        <v>23</v>
      </c>
      <c r="P270" s="44" t="s">
        <v>1352</v>
      </c>
      <c r="Q270" s="26" t="s">
        <v>25</v>
      </c>
      <c r="R270" s="44" t="s">
        <v>1352</v>
      </c>
      <c r="S270" s="26" t="s">
        <v>24</v>
      </c>
      <c r="T270" s="27"/>
      <c r="U270" s="28" t="s">
        <v>25</v>
      </c>
      <c r="V270" s="29" t="str">
        <f t="shared" si="21"/>
        <v>✓ OK</v>
      </c>
      <c r="W270" s="45">
        <v>46248</v>
      </c>
      <c r="X270" s="30" t="s">
        <v>23</v>
      </c>
      <c r="Y270" s="30" t="s">
        <v>1352</v>
      </c>
      <c r="Z270" s="30" t="s">
        <v>25</v>
      </c>
      <c r="AA270" s="30" t="s">
        <v>1352</v>
      </c>
      <c r="AB270" s="30" t="s">
        <v>24</v>
      </c>
      <c r="AC270" s="27"/>
      <c r="AD270" s="31" t="s">
        <v>25</v>
      </c>
      <c r="AE270" s="32" t="str">
        <f t="shared" si="22"/>
        <v>✓ OK</v>
      </c>
      <c r="AF270" s="33" t="s">
        <v>27</v>
      </c>
      <c r="AG270" s="33" t="s">
        <v>23</v>
      </c>
      <c r="AH270" s="33" t="s">
        <v>1352</v>
      </c>
      <c r="AI270" s="33" t="s">
        <v>25</v>
      </c>
      <c r="AJ270" s="33" t="s">
        <v>1352</v>
      </c>
      <c r="AK270" s="33" t="s">
        <v>24</v>
      </c>
      <c r="AL270" s="27"/>
      <c r="AM270" s="34" t="s">
        <v>25</v>
      </c>
      <c r="AN270" s="35" t="str">
        <f t="shared" si="23"/>
        <v>✓ OK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8" customHeight="1" x14ac:dyDescent="0.3">
      <c r="A271" s="23">
        <v>267</v>
      </c>
      <c r="B271" s="24" t="s">
        <v>5732</v>
      </c>
      <c r="C271" s="25" t="s">
        <v>5733</v>
      </c>
      <c r="D271" s="23" t="s">
        <v>5200</v>
      </c>
      <c r="E271" s="43">
        <v>46125</v>
      </c>
      <c r="F271" s="26" t="s">
        <v>23</v>
      </c>
      <c r="G271" s="44" t="s">
        <v>1352</v>
      </c>
      <c r="H271" s="26" t="s">
        <v>25</v>
      </c>
      <c r="I271" s="44" t="s">
        <v>1352</v>
      </c>
      <c r="J271" s="26" t="s">
        <v>24</v>
      </c>
      <c r="K271" s="27"/>
      <c r="L271" s="28" t="s">
        <v>25</v>
      </c>
      <c r="M271" s="29" t="str">
        <f t="shared" si="20"/>
        <v>✓ OK</v>
      </c>
      <c r="N271" s="43">
        <v>46196</v>
      </c>
      <c r="O271" s="26" t="s">
        <v>23</v>
      </c>
      <c r="P271" s="44" t="s">
        <v>1352</v>
      </c>
      <c r="Q271" s="26" t="s">
        <v>25</v>
      </c>
      <c r="R271" s="44" t="s">
        <v>1352</v>
      </c>
      <c r="S271" s="26" t="s">
        <v>24</v>
      </c>
      <c r="T271" s="27"/>
      <c r="U271" s="28" t="s">
        <v>25</v>
      </c>
      <c r="V271" s="29" t="str">
        <f t="shared" si="21"/>
        <v>✓ OK</v>
      </c>
      <c r="W271" s="45">
        <v>46248</v>
      </c>
      <c r="X271" s="30" t="s">
        <v>23</v>
      </c>
      <c r="Y271" s="30" t="s">
        <v>1352</v>
      </c>
      <c r="Z271" s="30" t="s">
        <v>25</v>
      </c>
      <c r="AA271" s="30" t="s">
        <v>1352</v>
      </c>
      <c r="AB271" s="30" t="s">
        <v>24</v>
      </c>
      <c r="AC271" s="27"/>
      <c r="AD271" s="31" t="s">
        <v>25</v>
      </c>
      <c r="AE271" s="32" t="str">
        <f t="shared" si="22"/>
        <v>✓ OK</v>
      </c>
      <c r="AF271" s="33" t="s">
        <v>27</v>
      </c>
      <c r="AG271" s="33" t="s">
        <v>23</v>
      </c>
      <c r="AH271" s="33" t="s">
        <v>1352</v>
      </c>
      <c r="AI271" s="33" t="s">
        <v>25</v>
      </c>
      <c r="AJ271" s="33" t="s">
        <v>1352</v>
      </c>
      <c r="AK271" s="33" t="s">
        <v>24</v>
      </c>
      <c r="AL271" s="27"/>
      <c r="AM271" s="34" t="s">
        <v>25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8" customHeight="1" x14ac:dyDescent="0.3">
      <c r="A272" s="39">
        <v>268</v>
      </c>
      <c r="B272" s="40" t="s">
        <v>5734</v>
      </c>
      <c r="C272" s="41" t="s">
        <v>5735</v>
      </c>
      <c r="D272" s="39" t="s">
        <v>5200</v>
      </c>
      <c r="E272" s="43">
        <v>46125</v>
      </c>
      <c r="F272" s="26" t="s">
        <v>23</v>
      </c>
      <c r="G272" s="44" t="s">
        <v>1352</v>
      </c>
      <c r="H272" s="26" t="s">
        <v>25</v>
      </c>
      <c r="I272" s="44" t="s">
        <v>1352</v>
      </c>
      <c r="J272" s="26" t="s">
        <v>24</v>
      </c>
      <c r="K272" s="27"/>
      <c r="L272" s="28" t="s">
        <v>25</v>
      </c>
      <c r="M272" s="29" t="str">
        <f t="shared" si="20"/>
        <v>✓ OK</v>
      </c>
      <c r="N272" s="43">
        <v>46196</v>
      </c>
      <c r="O272" s="26" t="s">
        <v>23</v>
      </c>
      <c r="P272" s="44" t="s">
        <v>1352</v>
      </c>
      <c r="Q272" s="26" t="s">
        <v>25</v>
      </c>
      <c r="R272" s="44" t="s">
        <v>1352</v>
      </c>
      <c r="S272" s="26" t="s">
        <v>24</v>
      </c>
      <c r="T272" s="27"/>
      <c r="U272" s="28" t="s">
        <v>25</v>
      </c>
      <c r="V272" s="29" t="str">
        <f t="shared" si="21"/>
        <v>✓ OK</v>
      </c>
      <c r="W272" s="45">
        <v>46248</v>
      </c>
      <c r="X272" s="30" t="s">
        <v>23</v>
      </c>
      <c r="Y272" s="30" t="s">
        <v>1352</v>
      </c>
      <c r="Z272" s="30" t="s">
        <v>25</v>
      </c>
      <c r="AA272" s="30" t="s">
        <v>1352</v>
      </c>
      <c r="AB272" s="30" t="s">
        <v>24</v>
      </c>
      <c r="AC272" s="27"/>
      <c r="AD272" s="31" t="s">
        <v>25</v>
      </c>
      <c r="AE272" s="32" t="str">
        <f t="shared" si="22"/>
        <v>✓ OK</v>
      </c>
      <c r="AF272" s="33" t="s">
        <v>27</v>
      </c>
      <c r="AG272" s="33" t="s">
        <v>23</v>
      </c>
      <c r="AH272" s="33" t="s">
        <v>1352</v>
      </c>
      <c r="AI272" s="33" t="s">
        <v>25</v>
      </c>
      <c r="AJ272" s="33" t="s">
        <v>1352</v>
      </c>
      <c r="AK272" s="33" t="s">
        <v>24</v>
      </c>
      <c r="AL272" s="27"/>
      <c r="AM272" s="34" t="s">
        <v>25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8" customHeight="1" x14ac:dyDescent="0.3">
      <c r="A273" s="23">
        <v>269</v>
      </c>
      <c r="B273" s="24" t="s">
        <v>5736</v>
      </c>
      <c r="C273" s="25" t="s">
        <v>5737</v>
      </c>
      <c r="D273" s="23" t="s">
        <v>5200</v>
      </c>
      <c r="E273" s="43">
        <v>46125</v>
      </c>
      <c r="F273" s="26" t="s">
        <v>23</v>
      </c>
      <c r="G273" s="44" t="s">
        <v>1352</v>
      </c>
      <c r="H273" s="26" t="s">
        <v>25</v>
      </c>
      <c r="I273" s="44" t="s">
        <v>1352</v>
      </c>
      <c r="J273" s="26" t="s">
        <v>24</v>
      </c>
      <c r="K273" s="27"/>
      <c r="L273" s="28" t="s">
        <v>25</v>
      </c>
      <c r="M273" s="29" t="str">
        <f t="shared" si="20"/>
        <v>✓ OK</v>
      </c>
      <c r="N273" s="43">
        <v>46196</v>
      </c>
      <c r="O273" s="26" t="s">
        <v>23</v>
      </c>
      <c r="P273" s="44" t="s">
        <v>1352</v>
      </c>
      <c r="Q273" s="26" t="s">
        <v>25</v>
      </c>
      <c r="R273" s="44" t="s">
        <v>1352</v>
      </c>
      <c r="S273" s="26" t="s">
        <v>24</v>
      </c>
      <c r="T273" s="27"/>
      <c r="U273" s="28" t="s">
        <v>25</v>
      </c>
      <c r="V273" s="29" t="str">
        <f t="shared" si="21"/>
        <v>✓ OK</v>
      </c>
      <c r="W273" s="45">
        <v>46248</v>
      </c>
      <c r="X273" s="30" t="s">
        <v>23</v>
      </c>
      <c r="Y273" s="30" t="s">
        <v>1352</v>
      </c>
      <c r="Z273" s="30" t="s">
        <v>25</v>
      </c>
      <c r="AA273" s="30" t="s">
        <v>1352</v>
      </c>
      <c r="AB273" s="30" t="s">
        <v>24</v>
      </c>
      <c r="AC273" s="27"/>
      <c r="AD273" s="31" t="s">
        <v>25</v>
      </c>
      <c r="AE273" s="32" t="str">
        <f t="shared" si="22"/>
        <v>✓ OK</v>
      </c>
      <c r="AF273" s="33" t="s">
        <v>27</v>
      </c>
      <c r="AG273" s="33" t="s">
        <v>23</v>
      </c>
      <c r="AH273" s="33" t="s">
        <v>1352</v>
      </c>
      <c r="AI273" s="33" t="s">
        <v>25</v>
      </c>
      <c r="AJ273" s="33" t="s">
        <v>1352</v>
      </c>
      <c r="AK273" s="33" t="s">
        <v>24</v>
      </c>
      <c r="AL273" s="27"/>
      <c r="AM273" s="34" t="s">
        <v>25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8" customHeight="1" x14ac:dyDescent="0.3">
      <c r="A274" s="39">
        <v>270</v>
      </c>
      <c r="B274" s="40" t="s">
        <v>5738</v>
      </c>
      <c r="C274" s="41" t="s">
        <v>5739</v>
      </c>
      <c r="D274" s="39" t="s">
        <v>5200</v>
      </c>
      <c r="E274" s="43">
        <v>46125</v>
      </c>
      <c r="F274" s="26" t="s">
        <v>23</v>
      </c>
      <c r="G274" s="44" t="s">
        <v>1352</v>
      </c>
      <c r="H274" s="26" t="s">
        <v>25</v>
      </c>
      <c r="I274" s="44" t="s">
        <v>1352</v>
      </c>
      <c r="J274" s="26" t="s">
        <v>24</v>
      </c>
      <c r="K274" s="27"/>
      <c r="L274" s="28" t="s">
        <v>25</v>
      </c>
      <c r="M274" s="29" t="str">
        <f t="shared" si="20"/>
        <v>✓ OK</v>
      </c>
      <c r="N274" s="43">
        <v>46196</v>
      </c>
      <c r="O274" s="26" t="s">
        <v>23</v>
      </c>
      <c r="P274" s="44" t="s">
        <v>1352</v>
      </c>
      <c r="Q274" s="26" t="s">
        <v>25</v>
      </c>
      <c r="R274" s="44" t="s">
        <v>1352</v>
      </c>
      <c r="S274" s="26" t="s">
        <v>24</v>
      </c>
      <c r="T274" s="27"/>
      <c r="U274" s="28" t="s">
        <v>25</v>
      </c>
      <c r="V274" s="29" t="str">
        <f t="shared" si="21"/>
        <v>✓ OK</v>
      </c>
      <c r="W274" s="45">
        <v>46248</v>
      </c>
      <c r="X274" s="30" t="s">
        <v>23</v>
      </c>
      <c r="Y274" s="30" t="s">
        <v>1352</v>
      </c>
      <c r="Z274" s="30" t="s">
        <v>25</v>
      </c>
      <c r="AA274" s="30" t="s">
        <v>1352</v>
      </c>
      <c r="AB274" s="30" t="s">
        <v>24</v>
      </c>
      <c r="AC274" s="27"/>
      <c r="AD274" s="31" t="s">
        <v>25</v>
      </c>
      <c r="AE274" s="32" t="str">
        <f t="shared" si="22"/>
        <v>✓ OK</v>
      </c>
      <c r="AF274" s="33" t="s">
        <v>27</v>
      </c>
      <c r="AG274" s="33" t="s">
        <v>23</v>
      </c>
      <c r="AH274" s="33" t="s">
        <v>1352</v>
      </c>
      <c r="AI274" s="33" t="s">
        <v>25</v>
      </c>
      <c r="AJ274" s="33" t="s">
        <v>1352</v>
      </c>
      <c r="AK274" s="33" t="s">
        <v>24</v>
      </c>
      <c r="AL274" s="27"/>
      <c r="AM274" s="34" t="s">
        <v>25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8" customHeight="1" x14ac:dyDescent="0.3">
      <c r="A275" s="23">
        <v>271</v>
      </c>
      <c r="B275" s="24" t="s">
        <v>5740</v>
      </c>
      <c r="C275" s="25" t="s">
        <v>5741</v>
      </c>
      <c r="D275" s="23" t="s">
        <v>5200</v>
      </c>
      <c r="E275" s="43">
        <v>46125</v>
      </c>
      <c r="F275" s="26" t="s">
        <v>23</v>
      </c>
      <c r="G275" s="44" t="s">
        <v>1352</v>
      </c>
      <c r="H275" s="26" t="s">
        <v>25</v>
      </c>
      <c r="I275" s="44" t="s">
        <v>1352</v>
      </c>
      <c r="J275" s="26" t="s">
        <v>24</v>
      </c>
      <c r="K275" s="27"/>
      <c r="L275" s="28" t="s">
        <v>25</v>
      </c>
      <c r="M275" s="29" t="str">
        <f t="shared" si="20"/>
        <v>✓ OK</v>
      </c>
      <c r="N275" s="43">
        <v>46196</v>
      </c>
      <c r="O275" s="26" t="s">
        <v>23</v>
      </c>
      <c r="P275" s="44" t="s">
        <v>1352</v>
      </c>
      <c r="Q275" s="26" t="s">
        <v>25</v>
      </c>
      <c r="R275" s="44" t="s">
        <v>1352</v>
      </c>
      <c r="S275" s="26" t="s">
        <v>24</v>
      </c>
      <c r="T275" s="27"/>
      <c r="U275" s="28" t="s">
        <v>25</v>
      </c>
      <c r="V275" s="29" t="str">
        <f t="shared" si="21"/>
        <v>✓ OK</v>
      </c>
      <c r="W275" s="45">
        <v>46248</v>
      </c>
      <c r="X275" s="30" t="s">
        <v>23</v>
      </c>
      <c r="Y275" s="30" t="s">
        <v>1352</v>
      </c>
      <c r="Z275" s="30" t="s">
        <v>25</v>
      </c>
      <c r="AA275" s="30" t="s">
        <v>1352</v>
      </c>
      <c r="AB275" s="30" t="s">
        <v>24</v>
      </c>
      <c r="AC275" s="27"/>
      <c r="AD275" s="31" t="s">
        <v>25</v>
      </c>
      <c r="AE275" s="32" t="str">
        <f t="shared" si="22"/>
        <v>✓ OK</v>
      </c>
      <c r="AF275" s="33" t="s">
        <v>27</v>
      </c>
      <c r="AG275" s="33" t="s">
        <v>23</v>
      </c>
      <c r="AH275" s="33" t="s">
        <v>1352</v>
      </c>
      <c r="AI275" s="33" t="s">
        <v>25</v>
      </c>
      <c r="AJ275" s="33" t="s">
        <v>1352</v>
      </c>
      <c r="AK275" s="33" t="s">
        <v>24</v>
      </c>
      <c r="AL275" s="27"/>
      <c r="AM275" s="34" t="s">
        <v>25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8" customHeight="1" x14ac:dyDescent="0.3">
      <c r="A276" s="39">
        <v>272</v>
      </c>
      <c r="B276" s="40" t="s">
        <v>5742</v>
      </c>
      <c r="C276" s="41" t="s">
        <v>5743</v>
      </c>
      <c r="D276" s="39" t="s">
        <v>5200</v>
      </c>
      <c r="E276" s="43">
        <v>46125</v>
      </c>
      <c r="F276" s="26" t="s">
        <v>23</v>
      </c>
      <c r="G276" s="44" t="s">
        <v>24</v>
      </c>
      <c r="H276" s="26" t="s">
        <v>25</v>
      </c>
      <c r="I276" s="44" t="s">
        <v>26</v>
      </c>
      <c r="J276" s="26" t="s">
        <v>24</v>
      </c>
      <c r="K276" s="27"/>
      <c r="L276" s="28" t="s">
        <v>25</v>
      </c>
      <c r="M276" s="29" t="str">
        <f t="shared" si="20"/>
        <v>✓ OK</v>
      </c>
      <c r="N276" s="43">
        <v>46196</v>
      </c>
      <c r="O276" s="26" t="s">
        <v>23</v>
      </c>
      <c r="P276" s="44" t="s">
        <v>24</v>
      </c>
      <c r="Q276" s="26" t="s">
        <v>25</v>
      </c>
      <c r="R276" s="44" t="s">
        <v>26</v>
      </c>
      <c r="S276" s="26" t="s">
        <v>24</v>
      </c>
      <c r="T276" s="27"/>
      <c r="U276" s="28" t="s">
        <v>25</v>
      </c>
      <c r="V276" s="29" t="str">
        <f t="shared" si="21"/>
        <v>✓ OK</v>
      </c>
      <c r="W276" s="45">
        <v>46248</v>
      </c>
      <c r="X276" s="30" t="s">
        <v>23</v>
      </c>
      <c r="Y276" s="30" t="s">
        <v>24</v>
      </c>
      <c r="Z276" s="30" t="s">
        <v>25</v>
      </c>
      <c r="AA276" s="30" t="s">
        <v>26</v>
      </c>
      <c r="AB276" s="30" t="s">
        <v>24</v>
      </c>
      <c r="AC276" s="27"/>
      <c r="AD276" s="31" t="s">
        <v>25</v>
      </c>
      <c r="AE276" s="32" t="str">
        <f t="shared" si="22"/>
        <v>✓ OK</v>
      </c>
      <c r="AF276" s="33" t="s">
        <v>27</v>
      </c>
      <c r="AG276" s="33" t="s">
        <v>23</v>
      </c>
      <c r="AH276" s="33" t="s">
        <v>24</v>
      </c>
      <c r="AI276" s="33" t="s">
        <v>25</v>
      </c>
      <c r="AJ276" s="33" t="s">
        <v>26</v>
      </c>
      <c r="AK276" s="33" t="s">
        <v>24</v>
      </c>
      <c r="AL276" s="27"/>
      <c r="AM276" s="34" t="s">
        <v>25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8" customHeight="1" x14ac:dyDescent="0.3">
      <c r="A277" s="23">
        <v>273</v>
      </c>
      <c r="B277" s="24" t="s">
        <v>5744</v>
      </c>
      <c r="C277" s="25" t="s">
        <v>5745</v>
      </c>
      <c r="D277" s="23" t="s">
        <v>5200</v>
      </c>
      <c r="E277" s="43">
        <v>46125</v>
      </c>
      <c r="F277" s="26" t="s">
        <v>23</v>
      </c>
      <c r="G277" s="44" t="s">
        <v>1352</v>
      </c>
      <c r="H277" s="26" t="s">
        <v>25</v>
      </c>
      <c r="I277" s="44" t="s">
        <v>1352</v>
      </c>
      <c r="J277" s="26" t="s">
        <v>24</v>
      </c>
      <c r="K277" s="27"/>
      <c r="L277" s="28" t="s">
        <v>25</v>
      </c>
      <c r="M277" s="29" t="str">
        <f t="shared" si="20"/>
        <v>✓ OK</v>
      </c>
      <c r="N277" s="43">
        <v>46196</v>
      </c>
      <c r="O277" s="26" t="s">
        <v>23</v>
      </c>
      <c r="P277" s="44" t="s">
        <v>1352</v>
      </c>
      <c r="Q277" s="26" t="s">
        <v>25</v>
      </c>
      <c r="R277" s="44" t="s">
        <v>1352</v>
      </c>
      <c r="S277" s="26" t="s">
        <v>24</v>
      </c>
      <c r="T277" s="27"/>
      <c r="U277" s="28" t="s">
        <v>25</v>
      </c>
      <c r="V277" s="29" t="str">
        <f t="shared" si="21"/>
        <v>✓ OK</v>
      </c>
      <c r="W277" s="45">
        <v>46248</v>
      </c>
      <c r="X277" s="30" t="s">
        <v>23</v>
      </c>
      <c r="Y277" s="30" t="s">
        <v>1352</v>
      </c>
      <c r="Z277" s="30" t="s">
        <v>25</v>
      </c>
      <c r="AA277" s="30" t="s">
        <v>1352</v>
      </c>
      <c r="AB277" s="30" t="s">
        <v>24</v>
      </c>
      <c r="AC277" s="27"/>
      <c r="AD277" s="31" t="s">
        <v>25</v>
      </c>
      <c r="AE277" s="32" t="str">
        <f t="shared" si="22"/>
        <v>✓ OK</v>
      </c>
      <c r="AF277" s="33" t="s">
        <v>27</v>
      </c>
      <c r="AG277" s="33" t="s">
        <v>23</v>
      </c>
      <c r="AH277" s="33" t="s">
        <v>1352</v>
      </c>
      <c r="AI277" s="33" t="s">
        <v>25</v>
      </c>
      <c r="AJ277" s="33" t="s">
        <v>1352</v>
      </c>
      <c r="AK277" s="33" t="s">
        <v>24</v>
      </c>
      <c r="AL277" s="27"/>
      <c r="AM277" s="34" t="s">
        <v>25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8" customHeight="1" x14ac:dyDescent="0.3">
      <c r="A278" s="39">
        <v>274</v>
      </c>
      <c r="B278" s="40" t="s">
        <v>5746</v>
      </c>
      <c r="C278" s="41" t="s">
        <v>5747</v>
      </c>
      <c r="D278" s="39" t="s">
        <v>5200</v>
      </c>
      <c r="E278" s="43">
        <v>46125</v>
      </c>
      <c r="F278" s="26" t="s">
        <v>23</v>
      </c>
      <c r="G278" s="44" t="s">
        <v>1352</v>
      </c>
      <c r="H278" s="26" t="s">
        <v>25</v>
      </c>
      <c r="I278" s="44" t="s">
        <v>1352</v>
      </c>
      <c r="J278" s="26" t="s">
        <v>24</v>
      </c>
      <c r="K278" s="27"/>
      <c r="L278" s="28" t="s">
        <v>25</v>
      </c>
      <c r="M278" s="29" t="str">
        <f t="shared" si="20"/>
        <v>✓ OK</v>
      </c>
      <c r="N278" s="43">
        <v>46196</v>
      </c>
      <c r="O278" s="26" t="s">
        <v>23</v>
      </c>
      <c r="P278" s="44" t="s">
        <v>1352</v>
      </c>
      <c r="Q278" s="26" t="s">
        <v>25</v>
      </c>
      <c r="R278" s="44" t="s">
        <v>1352</v>
      </c>
      <c r="S278" s="26" t="s">
        <v>24</v>
      </c>
      <c r="T278" s="27"/>
      <c r="U278" s="28" t="s">
        <v>25</v>
      </c>
      <c r="V278" s="29" t="str">
        <f t="shared" si="21"/>
        <v>✓ OK</v>
      </c>
      <c r="W278" s="45">
        <v>46248</v>
      </c>
      <c r="X278" s="30" t="s">
        <v>23</v>
      </c>
      <c r="Y278" s="30" t="s">
        <v>1352</v>
      </c>
      <c r="Z278" s="30" t="s">
        <v>25</v>
      </c>
      <c r="AA278" s="30" t="s">
        <v>1352</v>
      </c>
      <c r="AB278" s="30" t="s">
        <v>24</v>
      </c>
      <c r="AC278" s="27"/>
      <c r="AD278" s="31" t="s">
        <v>25</v>
      </c>
      <c r="AE278" s="32" t="str">
        <f t="shared" si="22"/>
        <v>✓ OK</v>
      </c>
      <c r="AF278" s="33" t="s">
        <v>27</v>
      </c>
      <c r="AG278" s="33" t="s">
        <v>23</v>
      </c>
      <c r="AH278" s="33" t="s">
        <v>1352</v>
      </c>
      <c r="AI278" s="33" t="s">
        <v>25</v>
      </c>
      <c r="AJ278" s="33" t="s">
        <v>1352</v>
      </c>
      <c r="AK278" s="33" t="s">
        <v>24</v>
      </c>
      <c r="AL278" s="27"/>
      <c r="AM278" s="34" t="s">
        <v>25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8" customHeight="1" x14ac:dyDescent="0.3">
      <c r="A279" s="23">
        <v>275</v>
      </c>
      <c r="B279" s="24" t="s">
        <v>5748</v>
      </c>
      <c r="C279" s="25" t="s">
        <v>5749</v>
      </c>
      <c r="D279" s="23" t="s">
        <v>5200</v>
      </c>
      <c r="E279" s="43">
        <v>46125</v>
      </c>
      <c r="F279" s="26" t="s">
        <v>23</v>
      </c>
      <c r="G279" s="44" t="s">
        <v>1352</v>
      </c>
      <c r="H279" s="26" t="s">
        <v>25</v>
      </c>
      <c r="I279" s="44" t="s">
        <v>1352</v>
      </c>
      <c r="J279" s="26" t="s">
        <v>24</v>
      </c>
      <c r="K279" s="27"/>
      <c r="L279" s="28" t="s">
        <v>25</v>
      </c>
      <c r="M279" s="29" t="str">
        <f t="shared" si="20"/>
        <v>✓ OK</v>
      </c>
      <c r="N279" s="43">
        <v>46196</v>
      </c>
      <c r="O279" s="26" t="s">
        <v>23</v>
      </c>
      <c r="P279" s="44" t="s">
        <v>1352</v>
      </c>
      <c r="Q279" s="26" t="s">
        <v>25</v>
      </c>
      <c r="R279" s="44" t="s">
        <v>1352</v>
      </c>
      <c r="S279" s="26" t="s">
        <v>24</v>
      </c>
      <c r="T279" s="27"/>
      <c r="U279" s="28" t="s">
        <v>25</v>
      </c>
      <c r="V279" s="29" t="str">
        <f t="shared" si="21"/>
        <v>✓ OK</v>
      </c>
      <c r="W279" s="45">
        <v>46248</v>
      </c>
      <c r="X279" s="30" t="s">
        <v>23</v>
      </c>
      <c r="Y279" s="30" t="s">
        <v>1352</v>
      </c>
      <c r="Z279" s="30" t="s">
        <v>25</v>
      </c>
      <c r="AA279" s="30" t="s">
        <v>1352</v>
      </c>
      <c r="AB279" s="30" t="s">
        <v>24</v>
      </c>
      <c r="AC279" s="27"/>
      <c r="AD279" s="31" t="s">
        <v>25</v>
      </c>
      <c r="AE279" s="32" t="str">
        <f t="shared" si="22"/>
        <v>✓ OK</v>
      </c>
      <c r="AF279" s="33" t="s">
        <v>27</v>
      </c>
      <c r="AG279" s="33" t="s">
        <v>23</v>
      </c>
      <c r="AH279" s="33" t="s">
        <v>1352</v>
      </c>
      <c r="AI279" s="33" t="s">
        <v>25</v>
      </c>
      <c r="AJ279" s="33" t="s">
        <v>1352</v>
      </c>
      <c r="AK279" s="33" t="s">
        <v>24</v>
      </c>
      <c r="AL279" s="27"/>
      <c r="AM279" s="34" t="s">
        <v>25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8" customHeight="1" x14ac:dyDescent="0.3">
      <c r="A280" s="39">
        <v>276</v>
      </c>
      <c r="B280" s="40" t="s">
        <v>5750</v>
      </c>
      <c r="C280" s="41" t="s">
        <v>5751</v>
      </c>
      <c r="D280" s="39" t="s">
        <v>5200</v>
      </c>
      <c r="E280" s="43">
        <v>46125</v>
      </c>
      <c r="F280" s="26" t="s">
        <v>23</v>
      </c>
      <c r="G280" s="44" t="s">
        <v>24</v>
      </c>
      <c r="H280" s="26" t="s">
        <v>25</v>
      </c>
      <c r="I280" s="44" t="s">
        <v>26</v>
      </c>
      <c r="J280" s="26" t="s">
        <v>24</v>
      </c>
      <c r="K280" s="27"/>
      <c r="L280" s="28" t="s">
        <v>25</v>
      </c>
      <c r="M280" s="29" t="str">
        <f t="shared" si="20"/>
        <v>✓ OK</v>
      </c>
      <c r="N280" s="43">
        <v>46196</v>
      </c>
      <c r="O280" s="26" t="s">
        <v>23</v>
      </c>
      <c r="P280" s="44" t="s">
        <v>24</v>
      </c>
      <c r="Q280" s="26" t="s">
        <v>25</v>
      </c>
      <c r="R280" s="44" t="s">
        <v>26</v>
      </c>
      <c r="S280" s="26" t="s">
        <v>24</v>
      </c>
      <c r="T280" s="27"/>
      <c r="U280" s="28" t="s">
        <v>25</v>
      </c>
      <c r="V280" s="29" t="str">
        <f t="shared" si="21"/>
        <v>✓ OK</v>
      </c>
      <c r="W280" s="45">
        <v>46248</v>
      </c>
      <c r="X280" s="30" t="s">
        <v>23</v>
      </c>
      <c r="Y280" s="30" t="s">
        <v>24</v>
      </c>
      <c r="Z280" s="30" t="s">
        <v>25</v>
      </c>
      <c r="AA280" s="30" t="s">
        <v>26</v>
      </c>
      <c r="AB280" s="30" t="s">
        <v>24</v>
      </c>
      <c r="AC280" s="27"/>
      <c r="AD280" s="31" t="s">
        <v>25</v>
      </c>
      <c r="AE280" s="32" t="str">
        <f t="shared" si="22"/>
        <v>✓ OK</v>
      </c>
      <c r="AF280" s="33" t="s">
        <v>27</v>
      </c>
      <c r="AG280" s="33" t="s">
        <v>23</v>
      </c>
      <c r="AH280" s="33" t="s">
        <v>24</v>
      </c>
      <c r="AI280" s="33" t="s">
        <v>25</v>
      </c>
      <c r="AJ280" s="33" t="s">
        <v>26</v>
      </c>
      <c r="AK280" s="33" t="s">
        <v>24</v>
      </c>
      <c r="AL280" s="27"/>
      <c r="AM280" s="34" t="s">
        <v>25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8" customHeight="1" x14ac:dyDescent="0.3">
      <c r="A281" s="23">
        <v>277</v>
      </c>
      <c r="B281" s="24" t="s">
        <v>5752</v>
      </c>
      <c r="C281" s="25" t="s">
        <v>5753</v>
      </c>
      <c r="D281" s="23" t="s">
        <v>5200</v>
      </c>
      <c r="E281" s="43">
        <v>46125</v>
      </c>
      <c r="F281" s="26" t="s">
        <v>23</v>
      </c>
      <c r="G281" s="44" t="s">
        <v>1352</v>
      </c>
      <c r="H281" s="26" t="s">
        <v>25</v>
      </c>
      <c r="I281" s="44" t="s">
        <v>1352</v>
      </c>
      <c r="J281" s="26" t="s">
        <v>24</v>
      </c>
      <c r="K281" s="27"/>
      <c r="L281" s="28" t="s">
        <v>25</v>
      </c>
      <c r="M281" s="29" t="str">
        <f t="shared" si="20"/>
        <v>✓ OK</v>
      </c>
      <c r="N281" s="43">
        <v>46196</v>
      </c>
      <c r="O281" s="26" t="s">
        <v>23</v>
      </c>
      <c r="P281" s="44" t="s">
        <v>1352</v>
      </c>
      <c r="Q281" s="26" t="s">
        <v>25</v>
      </c>
      <c r="R281" s="44" t="s">
        <v>1352</v>
      </c>
      <c r="S281" s="26" t="s">
        <v>24</v>
      </c>
      <c r="T281" s="27"/>
      <c r="U281" s="28" t="s">
        <v>25</v>
      </c>
      <c r="V281" s="29" t="str">
        <f t="shared" si="21"/>
        <v>✓ OK</v>
      </c>
      <c r="W281" s="45">
        <v>46248</v>
      </c>
      <c r="X281" s="30" t="s">
        <v>23</v>
      </c>
      <c r="Y281" s="30" t="s">
        <v>1352</v>
      </c>
      <c r="Z281" s="30" t="s">
        <v>25</v>
      </c>
      <c r="AA281" s="30" t="s">
        <v>1352</v>
      </c>
      <c r="AB281" s="30" t="s">
        <v>24</v>
      </c>
      <c r="AC281" s="27"/>
      <c r="AD281" s="31" t="s">
        <v>25</v>
      </c>
      <c r="AE281" s="32" t="str">
        <f t="shared" si="22"/>
        <v>✓ OK</v>
      </c>
      <c r="AF281" s="33" t="s">
        <v>27</v>
      </c>
      <c r="AG281" s="33" t="s">
        <v>23</v>
      </c>
      <c r="AH281" s="33" t="s">
        <v>1352</v>
      </c>
      <c r="AI281" s="33" t="s">
        <v>25</v>
      </c>
      <c r="AJ281" s="33" t="s">
        <v>1352</v>
      </c>
      <c r="AK281" s="33" t="s">
        <v>24</v>
      </c>
      <c r="AL281" s="27"/>
      <c r="AM281" s="34" t="s">
        <v>25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8" customHeight="1" x14ac:dyDescent="0.3">
      <c r="A282" s="39">
        <v>278</v>
      </c>
      <c r="B282" s="40" t="s">
        <v>5754</v>
      </c>
      <c r="C282" s="41" t="s">
        <v>5755</v>
      </c>
      <c r="D282" s="39" t="s">
        <v>5200</v>
      </c>
      <c r="E282" s="43">
        <v>46125</v>
      </c>
      <c r="F282" s="26" t="s">
        <v>23</v>
      </c>
      <c r="G282" s="44" t="s">
        <v>1352</v>
      </c>
      <c r="H282" s="26" t="s">
        <v>25</v>
      </c>
      <c r="I282" s="44" t="s">
        <v>1352</v>
      </c>
      <c r="J282" s="26" t="s">
        <v>24</v>
      </c>
      <c r="K282" s="27"/>
      <c r="L282" s="28" t="s">
        <v>25</v>
      </c>
      <c r="M282" s="29" t="str">
        <f t="shared" si="20"/>
        <v>✓ OK</v>
      </c>
      <c r="N282" s="43">
        <v>46196</v>
      </c>
      <c r="O282" s="26" t="s">
        <v>23</v>
      </c>
      <c r="P282" s="44" t="s">
        <v>1352</v>
      </c>
      <c r="Q282" s="26" t="s">
        <v>25</v>
      </c>
      <c r="R282" s="44" t="s">
        <v>1352</v>
      </c>
      <c r="S282" s="26" t="s">
        <v>24</v>
      </c>
      <c r="T282" s="27"/>
      <c r="U282" s="28" t="s">
        <v>25</v>
      </c>
      <c r="V282" s="29" t="str">
        <f t="shared" si="21"/>
        <v>✓ OK</v>
      </c>
      <c r="W282" s="45">
        <v>46248</v>
      </c>
      <c r="X282" s="30" t="s">
        <v>23</v>
      </c>
      <c r="Y282" s="30" t="s">
        <v>1352</v>
      </c>
      <c r="Z282" s="30" t="s">
        <v>25</v>
      </c>
      <c r="AA282" s="30" t="s">
        <v>1352</v>
      </c>
      <c r="AB282" s="30" t="s">
        <v>24</v>
      </c>
      <c r="AC282" s="27"/>
      <c r="AD282" s="31" t="s">
        <v>25</v>
      </c>
      <c r="AE282" s="32" t="str">
        <f t="shared" si="22"/>
        <v>✓ OK</v>
      </c>
      <c r="AF282" s="33" t="s">
        <v>27</v>
      </c>
      <c r="AG282" s="33" t="s">
        <v>23</v>
      </c>
      <c r="AH282" s="33" t="s">
        <v>1352</v>
      </c>
      <c r="AI282" s="33" t="s">
        <v>25</v>
      </c>
      <c r="AJ282" s="33" t="s">
        <v>1352</v>
      </c>
      <c r="AK282" s="33" t="s">
        <v>24</v>
      </c>
      <c r="AL282" s="27"/>
      <c r="AM282" s="34" t="s">
        <v>25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8" customHeight="1" x14ac:dyDescent="0.3">
      <c r="A283" s="23">
        <v>279</v>
      </c>
      <c r="B283" s="24" t="s">
        <v>5756</v>
      </c>
      <c r="C283" s="25" t="s">
        <v>5757</v>
      </c>
      <c r="D283" s="23" t="s">
        <v>5200</v>
      </c>
      <c r="E283" s="43">
        <v>46125</v>
      </c>
      <c r="F283" s="26" t="s">
        <v>23</v>
      </c>
      <c r="G283" s="44" t="s">
        <v>1352</v>
      </c>
      <c r="H283" s="26" t="s">
        <v>25</v>
      </c>
      <c r="I283" s="44" t="s">
        <v>1352</v>
      </c>
      <c r="J283" s="26" t="s">
        <v>24</v>
      </c>
      <c r="K283" s="27"/>
      <c r="L283" s="28" t="s">
        <v>25</v>
      </c>
      <c r="M283" s="29" t="str">
        <f t="shared" si="20"/>
        <v>✓ OK</v>
      </c>
      <c r="N283" s="43">
        <v>46196</v>
      </c>
      <c r="O283" s="26" t="s">
        <v>23</v>
      </c>
      <c r="P283" s="44" t="s">
        <v>1352</v>
      </c>
      <c r="Q283" s="26" t="s">
        <v>25</v>
      </c>
      <c r="R283" s="44" t="s">
        <v>1352</v>
      </c>
      <c r="S283" s="26" t="s">
        <v>24</v>
      </c>
      <c r="T283" s="27"/>
      <c r="U283" s="28" t="s">
        <v>25</v>
      </c>
      <c r="V283" s="29" t="str">
        <f t="shared" si="21"/>
        <v>✓ OK</v>
      </c>
      <c r="W283" s="45">
        <v>46248</v>
      </c>
      <c r="X283" s="30" t="s">
        <v>23</v>
      </c>
      <c r="Y283" s="30" t="s">
        <v>1352</v>
      </c>
      <c r="Z283" s="30" t="s">
        <v>25</v>
      </c>
      <c r="AA283" s="30" t="s">
        <v>1352</v>
      </c>
      <c r="AB283" s="30" t="s">
        <v>24</v>
      </c>
      <c r="AC283" s="27"/>
      <c r="AD283" s="31" t="s">
        <v>25</v>
      </c>
      <c r="AE283" s="32" t="str">
        <f t="shared" si="22"/>
        <v>✓ OK</v>
      </c>
      <c r="AF283" s="33" t="s">
        <v>27</v>
      </c>
      <c r="AG283" s="33" t="s">
        <v>23</v>
      </c>
      <c r="AH283" s="33" t="s">
        <v>1352</v>
      </c>
      <c r="AI283" s="33" t="s">
        <v>25</v>
      </c>
      <c r="AJ283" s="33" t="s">
        <v>1352</v>
      </c>
      <c r="AK283" s="33" t="s">
        <v>24</v>
      </c>
      <c r="AL283" s="27"/>
      <c r="AM283" s="34" t="s">
        <v>25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8" customHeight="1" x14ac:dyDescent="0.3">
      <c r="A284" s="39">
        <v>280</v>
      </c>
      <c r="B284" s="40" t="s">
        <v>5758</v>
      </c>
      <c r="C284" s="41" t="s">
        <v>5759</v>
      </c>
      <c r="D284" s="39" t="s">
        <v>5200</v>
      </c>
      <c r="E284" s="43">
        <v>46125</v>
      </c>
      <c r="F284" s="26" t="s">
        <v>23</v>
      </c>
      <c r="G284" s="44" t="s">
        <v>1352</v>
      </c>
      <c r="H284" s="26" t="s">
        <v>25</v>
      </c>
      <c r="I284" s="44" t="s">
        <v>1352</v>
      </c>
      <c r="J284" s="26" t="s">
        <v>24</v>
      </c>
      <c r="K284" s="27"/>
      <c r="L284" s="28" t="s">
        <v>25</v>
      </c>
      <c r="M284" s="29" t="str">
        <f t="shared" si="20"/>
        <v>✓ OK</v>
      </c>
      <c r="N284" s="43">
        <v>46196</v>
      </c>
      <c r="O284" s="26" t="s">
        <v>23</v>
      </c>
      <c r="P284" s="44" t="s">
        <v>1352</v>
      </c>
      <c r="Q284" s="26" t="s">
        <v>25</v>
      </c>
      <c r="R284" s="44" t="s">
        <v>1352</v>
      </c>
      <c r="S284" s="26" t="s">
        <v>24</v>
      </c>
      <c r="T284" s="27"/>
      <c r="U284" s="28" t="s">
        <v>25</v>
      </c>
      <c r="V284" s="29" t="str">
        <f t="shared" si="21"/>
        <v>✓ OK</v>
      </c>
      <c r="W284" s="45">
        <v>46248</v>
      </c>
      <c r="X284" s="30" t="s">
        <v>23</v>
      </c>
      <c r="Y284" s="30" t="s">
        <v>1352</v>
      </c>
      <c r="Z284" s="30" t="s">
        <v>25</v>
      </c>
      <c r="AA284" s="30" t="s">
        <v>1352</v>
      </c>
      <c r="AB284" s="30" t="s">
        <v>24</v>
      </c>
      <c r="AC284" s="27"/>
      <c r="AD284" s="31" t="s">
        <v>25</v>
      </c>
      <c r="AE284" s="32" t="str">
        <f t="shared" si="22"/>
        <v>✓ OK</v>
      </c>
      <c r="AF284" s="33" t="s">
        <v>27</v>
      </c>
      <c r="AG284" s="33" t="s">
        <v>23</v>
      </c>
      <c r="AH284" s="33" t="s">
        <v>1352</v>
      </c>
      <c r="AI284" s="33" t="s">
        <v>25</v>
      </c>
      <c r="AJ284" s="33" t="s">
        <v>1352</v>
      </c>
      <c r="AK284" s="33" t="s">
        <v>24</v>
      </c>
      <c r="AL284" s="27"/>
      <c r="AM284" s="34" t="s">
        <v>25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8" customHeight="1" x14ac:dyDescent="0.3">
      <c r="A285" s="23">
        <v>281</v>
      </c>
      <c r="B285" s="24" t="s">
        <v>5760</v>
      </c>
      <c r="C285" s="25" t="s">
        <v>5761</v>
      </c>
      <c r="D285" s="23" t="s">
        <v>5200</v>
      </c>
      <c r="E285" s="43">
        <v>46125</v>
      </c>
      <c r="F285" s="26" t="s">
        <v>23</v>
      </c>
      <c r="G285" s="44" t="s">
        <v>1352</v>
      </c>
      <c r="H285" s="26" t="s">
        <v>25</v>
      </c>
      <c r="I285" s="44" t="s">
        <v>1352</v>
      </c>
      <c r="J285" s="26" t="s">
        <v>24</v>
      </c>
      <c r="K285" s="27"/>
      <c r="L285" s="28" t="s">
        <v>25</v>
      </c>
      <c r="M285" s="29" t="str">
        <f t="shared" si="20"/>
        <v>✓ OK</v>
      </c>
      <c r="N285" s="43">
        <v>46196</v>
      </c>
      <c r="O285" s="26" t="s">
        <v>23</v>
      </c>
      <c r="P285" s="44" t="s">
        <v>1352</v>
      </c>
      <c r="Q285" s="26" t="s">
        <v>25</v>
      </c>
      <c r="R285" s="44" t="s">
        <v>1352</v>
      </c>
      <c r="S285" s="26" t="s">
        <v>24</v>
      </c>
      <c r="T285" s="27"/>
      <c r="U285" s="28" t="s">
        <v>25</v>
      </c>
      <c r="V285" s="29" t="str">
        <f t="shared" si="21"/>
        <v>✓ OK</v>
      </c>
      <c r="W285" s="45">
        <v>46248</v>
      </c>
      <c r="X285" s="30" t="s">
        <v>23</v>
      </c>
      <c r="Y285" s="30" t="s">
        <v>1352</v>
      </c>
      <c r="Z285" s="30" t="s">
        <v>25</v>
      </c>
      <c r="AA285" s="30" t="s">
        <v>1352</v>
      </c>
      <c r="AB285" s="30" t="s">
        <v>24</v>
      </c>
      <c r="AC285" s="27"/>
      <c r="AD285" s="31" t="s">
        <v>25</v>
      </c>
      <c r="AE285" s="32" t="str">
        <f t="shared" si="22"/>
        <v>✓ OK</v>
      </c>
      <c r="AF285" s="33" t="s">
        <v>27</v>
      </c>
      <c r="AG285" s="33" t="s">
        <v>23</v>
      </c>
      <c r="AH285" s="33" t="s">
        <v>1352</v>
      </c>
      <c r="AI285" s="33" t="s">
        <v>25</v>
      </c>
      <c r="AJ285" s="33" t="s">
        <v>1352</v>
      </c>
      <c r="AK285" s="33" t="s">
        <v>24</v>
      </c>
      <c r="AL285" s="27"/>
      <c r="AM285" s="34" t="s">
        <v>25</v>
      </c>
      <c r="AN285" s="35" t="str">
        <f t="shared" si="23"/>
        <v>✓ OK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8" customHeight="1" x14ac:dyDescent="0.3">
      <c r="A286" s="39">
        <v>282</v>
      </c>
      <c r="B286" s="40" t="s">
        <v>5762</v>
      </c>
      <c r="C286" s="41" t="s">
        <v>5763</v>
      </c>
      <c r="D286" s="39" t="s">
        <v>5200</v>
      </c>
      <c r="E286" s="43">
        <v>46125</v>
      </c>
      <c r="F286" s="26" t="s">
        <v>23</v>
      </c>
      <c r="G286" s="44" t="s">
        <v>24</v>
      </c>
      <c r="H286" s="26" t="s">
        <v>25</v>
      </c>
      <c r="I286" s="44" t="s">
        <v>26</v>
      </c>
      <c r="J286" s="26" t="s">
        <v>24</v>
      </c>
      <c r="K286" s="27"/>
      <c r="L286" s="28" t="s">
        <v>25</v>
      </c>
      <c r="M286" s="29" t="str">
        <f t="shared" si="20"/>
        <v>✓ OK</v>
      </c>
      <c r="N286" s="43">
        <v>46196</v>
      </c>
      <c r="O286" s="26" t="s">
        <v>23</v>
      </c>
      <c r="P286" s="44" t="s">
        <v>24</v>
      </c>
      <c r="Q286" s="26" t="s">
        <v>25</v>
      </c>
      <c r="R286" s="44" t="s">
        <v>26</v>
      </c>
      <c r="S286" s="26" t="s">
        <v>24</v>
      </c>
      <c r="T286" s="27"/>
      <c r="U286" s="28" t="s">
        <v>25</v>
      </c>
      <c r="V286" s="29" t="str">
        <f t="shared" si="21"/>
        <v>✓ OK</v>
      </c>
      <c r="W286" s="45">
        <v>46248</v>
      </c>
      <c r="X286" s="30" t="s">
        <v>23</v>
      </c>
      <c r="Y286" s="30" t="s">
        <v>24</v>
      </c>
      <c r="Z286" s="30" t="s">
        <v>25</v>
      </c>
      <c r="AA286" s="30" t="s">
        <v>26</v>
      </c>
      <c r="AB286" s="30" t="s">
        <v>24</v>
      </c>
      <c r="AC286" s="27"/>
      <c r="AD286" s="31" t="s">
        <v>25</v>
      </c>
      <c r="AE286" s="32" t="str">
        <f t="shared" si="22"/>
        <v>✓ OK</v>
      </c>
      <c r="AF286" s="33" t="s">
        <v>27</v>
      </c>
      <c r="AG286" s="33" t="s">
        <v>23</v>
      </c>
      <c r="AH286" s="33" t="s">
        <v>24</v>
      </c>
      <c r="AI286" s="33" t="s">
        <v>25</v>
      </c>
      <c r="AJ286" s="33" t="s">
        <v>26</v>
      </c>
      <c r="AK286" s="33" t="s">
        <v>24</v>
      </c>
      <c r="AL286" s="27"/>
      <c r="AM286" s="34" t="s">
        <v>25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8" customHeight="1" x14ac:dyDescent="0.3">
      <c r="A287" s="23">
        <v>283</v>
      </c>
      <c r="B287" s="24" t="s">
        <v>5764</v>
      </c>
      <c r="C287" s="25" t="s">
        <v>5765</v>
      </c>
      <c r="D287" s="23" t="s">
        <v>5200</v>
      </c>
      <c r="E287" s="43">
        <v>46125</v>
      </c>
      <c r="F287" s="26" t="s">
        <v>23</v>
      </c>
      <c r="G287" s="44" t="s">
        <v>1352</v>
      </c>
      <c r="H287" s="26" t="s">
        <v>25</v>
      </c>
      <c r="I287" s="44" t="s">
        <v>1352</v>
      </c>
      <c r="J287" s="26" t="s">
        <v>24</v>
      </c>
      <c r="K287" s="27"/>
      <c r="L287" s="28" t="s">
        <v>25</v>
      </c>
      <c r="M287" s="29" t="str">
        <f t="shared" si="20"/>
        <v>✓ OK</v>
      </c>
      <c r="N287" s="43">
        <v>46196</v>
      </c>
      <c r="O287" s="26" t="s">
        <v>23</v>
      </c>
      <c r="P287" s="44" t="s">
        <v>1352</v>
      </c>
      <c r="Q287" s="26" t="s">
        <v>25</v>
      </c>
      <c r="R287" s="44" t="s">
        <v>1352</v>
      </c>
      <c r="S287" s="26" t="s">
        <v>24</v>
      </c>
      <c r="T287" s="27"/>
      <c r="U287" s="28" t="s">
        <v>25</v>
      </c>
      <c r="V287" s="29" t="str">
        <f t="shared" si="21"/>
        <v>✓ OK</v>
      </c>
      <c r="W287" s="45">
        <v>46248</v>
      </c>
      <c r="X287" s="30" t="s">
        <v>23</v>
      </c>
      <c r="Y287" s="30" t="s">
        <v>1352</v>
      </c>
      <c r="Z287" s="30" t="s">
        <v>25</v>
      </c>
      <c r="AA287" s="30" t="s">
        <v>1352</v>
      </c>
      <c r="AB287" s="30" t="s">
        <v>24</v>
      </c>
      <c r="AC287" s="27"/>
      <c r="AD287" s="31" t="s">
        <v>25</v>
      </c>
      <c r="AE287" s="32" t="str">
        <f t="shared" si="22"/>
        <v>✓ OK</v>
      </c>
      <c r="AF287" s="33" t="s">
        <v>27</v>
      </c>
      <c r="AG287" s="33" t="s">
        <v>23</v>
      </c>
      <c r="AH287" s="33" t="s">
        <v>1352</v>
      </c>
      <c r="AI287" s="33" t="s">
        <v>25</v>
      </c>
      <c r="AJ287" s="33" t="s">
        <v>1352</v>
      </c>
      <c r="AK287" s="33" t="s">
        <v>24</v>
      </c>
      <c r="AL287" s="27"/>
      <c r="AM287" s="34" t="s">
        <v>25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8" customHeight="1" x14ac:dyDescent="0.3">
      <c r="A288" s="39">
        <v>284</v>
      </c>
      <c r="B288" s="40" t="s">
        <v>5766</v>
      </c>
      <c r="C288" s="41" t="s">
        <v>5767</v>
      </c>
      <c r="D288" s="39" t="s">
        <v>5200</v>
      </c>
      <c r="E288" s="43">
        <v>46125</v>
      </c>
      <c r="F288" s="26" t="s">
        <v>23</v>
      </c>
      <c r="G288" s="44" t="s">
        <v>1352</v>
      </c>
      <c r="H288" s="26" t="s">
        <v>25</v>
      </c>
      <c r="I288" s="44" t="s">
        <v>1352</v>
      </c>
      <c r="J288" s="26" t="s">
        <v>24</v>
      </c>
      <c r="K288" s="27"/>
      <c r="L288" s="28" t="s">
        <v>25</v>
      </c>
      <c r="M288" s="29" t="str">
        <f t="shared" si="20"/>
        <v>✓ OK</v>
      </c>
      <c r="N288" s="43">
        <v>46196</v>
      </c>
      <c r="O288" s="26" t="s">
        <v>23</v>
      </c>
      <c r="P288" s="44" t="s">
        <v>1352</v>
      </c>
      <c r="Q288" s="26" t="s">
        <v>25</v>
      </c>
      <c r="R288" s="44" t="s">
        <v>1352</v>
      </c>
      <c r="S288" s="26" t="s">
        <v>24</v>
      </c>
      <c r="T288" s="27"/>
      <c r="U288" s="28" t="s">
        <v>25</v>
      </c>
      <c r="V288" s="29" t="str">
        <f t="shared" si="21"/>
        <v>✓ OK</v>
      </c>
      <c r="W288" s="45">
        <v>46248</v>
      </c>
      <c r="X288" s="30" t="s">
        <v>23</v>
      </c>
      <c r="Y288" s="30" t="s">
        <v>1352</v>
      </c>
      <c r="Z288" s="30" t="s">
        <v>25</v>
      </c>
      <c r="AA288" s="30" t="s">
        <v>1352</v>
      </c>
      <c r="AB288" s="30" t="s">
        <v>24</v>
      </c>
      <c r="AC288" s="27"/>
      <c r="AD288" s="31" t="s">
        <v>25</v>
      </c>
      <c r="AE288" s="32" t="str">
        <f t="shared" si="22"/>
        <v>✓ OK</v>
      </c>
      <c r="AF288" s="33" t="s">
        <v>27</v>
      </c>
      <c r="AG288" s="33" t="s">
        <v>23</v>
      </c>
      <c r="AH288" s="33" t="s">
        <v>1352</v>
      </c>
      <c r="AI288" s="33" t="s">
        <v>25</v>
      </c>
      <c r="AJ288" s="33" t="s">
        <v>1352</v>
      </c>
      <c r="AK288" s="33" t="s">
        <v>24</v>
      </c>
      <c r="AL288" s="27"/>
      <c r="AM288" s="34" t="s">
        <v>25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8" customHeight="1" x14ac:dyDescent="0.3">
      <c r="A289" s="23">
        <v>285</v>
      </c>
      <c r="B289" s="24" t="s">
        <v>5768</v>
      </c>
      <c r="C289" s="25" t="s">
        <v>5769</v>
      </c>
      <c r="D289" s="23" t="s">
        <v>5200</v>
      </c>
      <c r="E289" s="43">
        <v>46125</v>
      </c>
      <c r="F289" s="26" t="s">
        <v>23</v>
      </c>
      <c r="G289" s="44" t="s">
        <v>24</v>
      </c>
      <c r="H289" s="26" t="s">
        <v>25</v>
      </c>
      <c r="I289" s="44" t="s">
        <v>26</v>
      </c>
      <c r="J289" s="26" t="s">
        <v>24</v>
      </c>
      <c r="K289" s="27"/>
      <c r="L289" s="28" t="s">
        <v>25</v>
      </c>
      <c r="M289" s="29" t="str">
        <f t="shared" si="20"/>
        <v>✓ OK</v>
      </c>
      <c r="N289" s="43">
        <v>46196</v>
      </c>
      <c r="O289" s="26" t="s">
        <v>23</v>
      </c>
      <c r="P289" s="44" t="s">
        <v>24</v>
      </c>
      <c r="Q289" s="26" t="s">
        <v>25</v>
      </c>
      <c r="R289" s="44" t="s">
        <v>26</v>
      </c>
      <c r="S289" s="26" t="s">
        <v>24</v>
      </c>
      <c r="T289" s="27"/>
      <c r="U289" s="28" t="s">
        <v>25</v>
      </c>
      <c r="V289" s="29" t="str">
        <f t="shared" si="21"/>
        <v>✓ OK</v>
      </c>
      <c r="W289" s="45">
        <v>46248</v>
      </c>
      <c r="X289" s="30" t="s">
        <v>23</v>
      </c>
      <c r="Y289" s="30" t="s">
        <v>24</v>
      </c>
      <c r="Z289" s="30" t="s">
        <v>25</v>
      </c>
      <c r="AA289" s="30" t="s">
        <v>26</v>
      </c>
      <c r="AB289" s="30" t="s">
        <v>24</v>
      </c>
      <c r="AC289" s="27"/>
      <c r="AD289" s="31" t="s">
        <v>25</v>
      </c>
      <c r="AE289" s="32" t="str">
        <f t="shared" si="22"/>
        <v>✓ OK</v>
      </c>
      <c r="AF289" s="33" t="s">
        <v>27</v>
      </c>
      <c r="AG289" s="33" t="s">
        <v>23</v>
      </c>
      <c r="AH289" s="33" t="s">
        <v>24</v>
      </c>
      <c r="AI289" s="33" t="s">
        <v>25</v>
      </c>
      <c r="AJ289" s="33" t="s">
        <v>26</v>
      </c>
      <c r="AK289" s="33" t="s">
        <v>24</v>
      </c>
      <c r="AL289" s="27"/>
      <c r="AM289" s="34" t="s">
        <v>25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8" customHeight="1" x14ac:dyDescent="0.3">
      <c r="A290" s="39">
        <v>286</v>
      </c>
      <c r="B290" s="40" t="s">
        <v>5770</v>
      </c>
      <c r="C290" s="41" t="s">
        <v>5771</v>
      </c>
      <c r="D290" s="39" t="s">
        <v>5200</v>
      </c>
      <c r="E290" s="43">
        <v>46125</v>
      </c>
      <c r="F290" s="26" t="s">
        <v>23</v>
      </c>
      <c r="G290" s="44" t="s">
        <v>1352</v>
      </c>
      <c r="H290" s="26" t="s">
        <v>25</v>
      </c>
      <c r="I290" s="44" t="s">
        <v>1352</v>
      </c>
      <c r="J290" s="26" t="s">
        <v>24</v>
      </c>
      <c r="K290" s="27"/>
      <c r="L290" s="28" t="s">
        <v>25</v>
      </c>
      <c r="M290" s="29" t="str">
        <f t="shared" si="20"/>
        <v>✓ OK</v>
      </c>
      <c r="N290" s="43">
        <v>46196</v>
      </c>
      <c r="O290" s="26" t="s">
        <v>23</v>
      </c>
      <c r="P290" s="44" t="s">
        <v>1352</v>
      </c>
      <c r="Q290" s="26" t="s">
        <v>25</v>
      </c>
      <c r="R290" s="44" t="s">
        <v>1352</v>
      </c>
      <c r="S290" s="26" t="s">
        <v>24</v>
      </c>
      <c r="T290" s="27"/>
      <c r="U290" s="28" t="s">
        <v>25</v>
      </c>
      <c r="V290" s="29" t="str">
        <f t="shared" si="21"/>
        <v>✓ OK</v>
      </c>
      <c r="W290" s="45">
        <v>46248</v>
      </c>
      <c r="X290" s="30" t="s">
        <v>23</v>
      </c>
      <c r="Y290" s="30" t="s">
        <v>1352</v>
      </c>
      <c r="Z290" s="30" t="s">
        <v>25</v>
      </c>
      <c r="AA290" s="30" t="s">
        <v>1352</v>
      </c>
      <c r="AB290" s="30" t="s">
        <v>24</v>
      </c>
      <c r="AC290" s="27"/>
      <c r="AD290" s="31" t="s">
        <v>25</v>
      </c>
      <c r="AE290" s="32" t="str">
        <f t="shared" si="22"/>
        <v>✓ OK</v>
      </c>
      <c r="AF290" s="33" t="s">
        <v>27</v>
      </c>
      <c r="AG290" s="33" t="s">
        <v>23</v>
      </c>
      <c r="AH290" s="33" t="s">
        <v>1352</v>
      </c>
      <c r="AI290" s="33" t="s">
        <v>25</v>
      </c>
      <c r="AJ290" s="33" t="s">
        <v>1352</v>
      </c>
      <c r="AK290" s="33" t="s">
        <v>24</v>
      </c>
      <c r="AL290" s="27"/>
      <c r="AM290" s="34" t="s">
        <v>25</v>
      </c>
      <c r="AN290" s="35" t="str">
        <f t="shared" si="23"/>
        <v>✓ OK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8" customHeight="1" x14ac:dyDescent="0.3">
      <c r="A291" s="23">
        <v>287</v>
      </c>
      <c r="B291" s="24" t="s">
        <v>5772</v>
      </c>
      <c r="C291" s="25" t="s">
        <v>5773</v>
      </c>
      <c r="D291" s="23" t="s">
        <v>5200</v>
      </c>
      <c r="E291" s="43">
        <v>46125</v>
      </c>
      <c r="F291" s="26" t="s">
        <v>23</v>
      </c>
      <c r="G291" s="44" t="s">
        <v>1352</v>
      </c>
      <c r="H291" s="26" t="s">
        <v>25</v>
      </c>
      <c r="I291" s="44" t="s">
        <v>1352</v>
      </c>
      <c r="J291" s="26" t="s">
        <v>24</v>
      </c>
      <c r="K291" s="27"/>
      <c r="L291" s="28" t="s">
        <v>25</v>
      </c>
      <c r="M291" s="29" t="str">
        <f t="shared" si="20"/>
        <v>✓ OK</v>
      </c>
      <c r="N291" s="43">
        <v>46196</v>
      </c>
      <c r="O291" s="26" t="s">
        <v>23</v>
      </c>
      <c r="P291" s="44" t="s">
        <v>1352</v>
      </c>
      <c r="Q291" s="26" t="s">
        <v>25</v>
      </c>
      <c r="R291" s="44" t="s">
        <v>1352</v>
      </c>
      <c r="S291" s="26" t="s">
        <v>24</v>
      </c>
      <c r="T291" s="27"/>
      <c r="U291" s="28" t="s">
        <v>25</v>
      </c>
      <c r="V291" s="29" t="str">
        <f t="shared" si="21"/>
        <v>✓ OK</v>
      </c>
      <c r="W291" s="45">
        <v>46248</v>
      </c>
      <c r="X291" s="30" t="s">
        <v>23</v>
      </c>
      <c r="Y291" s="30" t="s">
        <v>1352</v>
      </c>
      <c r="Z291" s="30" t="s">
        <v>25</v>
      </c>
      <c r="AA291" s="30" t="s">
        <v>1352</v>
      </c>
      <c r="AB291" s="30" t="s">
        <v>24</v>
      </c>
      <c r="AC291" s="27"/>
      <c r="AD291" s="31" t="s">
        <v>25</v>
      </c>
      <c r="AE291" s="32" t="str">
        <f t="shared" si="22"/>
        <v>✓ OK</v>
      </c>
      <c r="AF291" s="33" t="s">
        <v>27</v>
      </c>
      <c r="AG291" s="33" t="s">
        <v>23</v>
      </c>
      <c r="AH291" s="33" t="s">
        <v>1352</v>
      </c>
      <c r="AI291" s="33" t="s">
        <v>25</v>
      </c>
      <c r="AJ291" s="33" t="s">
        <v>1352</v>
      </c>
      <c r="AK291" s="33" t="s">
        <v>24</v>
      </c>
      <c r="AL291" s="27"/>
      <c r="AM291" s="34" t="s">
        <v>25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8" customHeight="1" x14ac:dyDescent="0.3">
      <c r="A292" s="39">
        <v>288</v>
      </c>
      <c r="B292" s="40" t="s">
        <v>5774</v>
      </c>
      <c r="C292" s="41" t="s">
        <v>5775</v>
      </c>
      <c r="D292" s="39" t="s">
        <v>5200</v>
      </c>
      <c r="E292" s="43">
        <v>46125</v>
      </c>
      <c r="F292" s="26" t="s">
        <v>23</v>
      </c>
      <c r="G292" s="44" t="s">
        <v>1352</v>
      </c>
      <c r="H292" s="26" t="s">
        <v>25</v>
      </c>
      <c r="I292" s="44" t="s">
        <v>1352</v>
      </c>
      <c r="J292" s="26" t="s">
        <v>24</v>
      </c>
      <c r="K292" s="27"/>
      <c r="L292" s="28" t="s">
        <v>25</v>
      </c>
      <c r="M292" s="29" t="str">
        <f t="shared" si="20"/>
        <v>✓ OK</v>
      </c>
      <c r="N292" s="43">
        <v>46196</v>
      </c>
      <c r="O292" s="26" t="s">
        <v>23</v>
      </c>
      <c r="P292" s="44" t="s">
        <v>1352</v>
      </c>
      <c r="Q292" s="26" t="s">
        <v>25</v>
      </c>
      <c r="R292" s="44" t="s">
        <v>1352</v>
      </c>
      <c r="S292" s="26" t="s">
        <v>24</v>
      </c>
      <c r="T292" s="27"/>
      <c r="U292" s="28" t="s">
        <v>25</v>
      </c>
      <c r="V292" s="29" t="str">
        <f t="shared" si="21"/>
        <v>✓ OK</v>
      </c>
      <c r="W292" s="45">
        <v>46248</v>
      </c>
      <c r="X292" s="30" t="s">
        <v>23</v>
      </c>
      <c r="Y292" s="30" t="s">
        <v>1352</v>
      </c>
      <c r="Z292" s="30" t="s">
        <v>25</v>
      </c>
      <c r="AA292" s="30" t="s">
        <v>1352</v>
      </c>
      <c r="AB292" s="30" t="s">
        <v>24</v>
      </c>
      <c r="AC292" s="27"/>
      <c r="AD292" s="31" t="s">
        <v>25</v>
      </c>
      <c r="AE292" s="32" t="str">
        <f t="shared" si="22"/>
        <v>✓ OK</v>
      </c>
      <c r="AF292" s="33" t="s">
        <v>27</v>
      </c>
      <c r="AG292" s="33" t="s">
        <v>23</v>
      </c>
      <c r="AH292" s="33" t="s">
        <v>1352</v>
      </c>
      <c r="AI292" s="33" t="s">
        <v>25</v>
      </c>
      <c r="AJ292" s="33" t="s">
        <v>1352</v>
      </c>
      <c r="AK292" s="33" t="s">
        <v>24</v>
      </c>
      <c r="AL292" s="27"/>
      <c r="AM292" s="34" t="s">
        <v>25</v>
      </c>
      <c r="AN292" s="35" t="str">
        <f t="shared" si="23"/>
        <v>✓ OK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  <row r="293" spans="1:49" ht="18" customHeight="1" x14ac:dyDescent="0.3">
      <c r="A293" s="23">
        <v>289</v>
      </c>
      <c r="B293" s="24" t="s">
        <v>5776</v>
      </c>
      <c r="C293" s="25" t="s">
        <v>5777</v>
      </c>
      <c r="D293" s="23" t="s">
        <v>5200</v>
      </c>
      <c r="E293" s="43">
        <v>46125</v>
      </c>
      <c r="F293" s="26" t="s">
        <v>23</v>
      </c>
      <c r="G293" s="44" t="s">
        <v>1352</v>
      </c>
      <c r="H293" s="26" t="s">
        <v>25</v>
      </c>
      <c r="I293" s="44" t="s">
        <v>1352</v>
      </c>
      <c r="J293" s="26" t="s">
        <v>24</v>
      </c>
      <c r="K293" s="27"/>
      <c r="L293" s="28" t="s">
        <v>25</v>
      </c>
      <c r="M293" s="29" t="str">
        <f t="shared" si="20"/>
        <v>✓ OK</v>
      </c>
      <c r="N293" s="43">
        <v>46196</v>
      </c>
      <c r="O293" s="26" t="s">
        <v>23</v>
      </c>
      <c r="P293" s="44" t="s">
        <v>1352</v>
      </c>
      <c r="Q293" s="26" t="s">
        <v>25</v>
      </c>
      <c r="R293" s="44" t="s">
        <v>1352</v>
      </c>
      <c r="S293" s="26" t="s">
        <v>24</v>
      </c>
      <c r="T293" s="27"/>
      <c r="U293" s="28" t="s">
        <v>25</v>
      </c>
      <c r="V293" s="29" t="str">
        <f t="shared" si="21"/>
        <v>✓ OK</v>
      </c>
      <c r="W293" s="45">
        <v>46248</v>
      </c>
      <c r="X293" s="30" t="s">
        <v>23</v>
      </c>
      <c r="Y293" s="30" t="s">
        <v>1352</v>
      </c>
      <c r="Z293" s="30" t="s">
        <v>25</v>
      </c>
      <c r="AA293" s="30" t="s">
        <v>1352</v>
      </c>
      <c r="AB293" s="30" t="s">
        <v>24</v>
      </c>
      <c r="AC293" s="27"/>
      <c r="AD293" s="31" t="s">
        <v>25</v>
      </c>
      <c r="AE293" s="32" t="str">
        <f t="shared" si="22"/>
        <v>✓ OK</v>
      </c>
      <c r="AF293" s="33" t="s">
        <v>27</v>
      </c>
      <c r="AG293" s="33" t="s">
        <v>23</v>
      </c>
      <c r="AH293" s="33" t="s">
        <v>1352</v>
      </c>
      <c r="AI293" s="33" t="s">
        <v>25</v>
      </c>
      <c r="AJ293" s="33" t="s">
        <v>1352</v>
      </c>
      <c r="AK293" s="33" t="s">
        <v>24</v>
      </c>
      <c r="AL293" s="27"/>
      <c r="AM293" s="34" t="s">
        <v>25</v>
      </c>
      <c r="AN293" s="35" t="str">
        <f t="shared" si="23"/>
        <v>✓ OK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si="24"/>
        <v/>
      </c>
    </row>
    <row r="294" spans="1:49" ht="18" customHeight="1" x14ac:dyDescent="0.3">
      <c r="A294" s="39">
        <v>290</v>
      </c>
      <c r="B294" s="40" t="s">
        <v>5778</v>
      </c>
      <c r="C294" s="41" t="s">
        <v>5779</v>
      </c>
      <c r="D294" s="39" t="s">
        <v>5200</v>
      </c>
      <c r="E294" s="43">
        <v>46125</v>
      </c>
      <c r="F294" s="26" t="s">
        <v>23</v>
      </c>
      <c r="G294" s="44" t="s">
        <v>24</v>
      </c>
      <c r="H294" s="26" t="s">
        <v>25</v>
      </c>
      <c r="I294" s="44" t="s">
        <v>26</v>
      </c>
      <c r="J294" s="26" t="s">
        <v>24</v>
      </c>
      <c r="K294" s="27"/>
      <c r="L294" s="28" t="s">
        <v>25</v>
      </c>
      <c r="M294" s="29" t="str">
        <f t="shared" si="20"/>
        <v>✓ OK</v>
      </c>
      <c r="N294" s="43">
        <v>46196</v>
      </c>
      <c r="O294" s="26" t="s">
        <v>23</v>
      </c>
      <c r="P294" s="44" t="s">
        <v>24</v>
      </c>
      <c r="Q294" s="26" t="s">
        <v>25</v>
      </c>
      <c r="R294" s="44" t="s">
        <v>26</v>
      </c>
      <c r="S294" s="26" t="s">
        <v>24</v>
      </c>
      <c r="T294" s="27"/>
      <c r="U294" s="28" t="s">
        <v>25</v>
      </c>
      <c r="V294" s="29" t="str">
        <f t="shared" si="21"/>
        <v>✓ OK</v>
      </c>
      <c r="W294" s="45">
        <v>46248</v>
      </c>
      <c r="X294" s="30" t="s">
        <v>23</v>
      </c>
      <c r="Y294" s="30" t="s">
        <v>24</v>
      </c>
      <c r="Z294" s="30" t="s">
        <v>25</v>
      </c>
      <c r="AA294" s="30" t="s">
        <v>26</v>
      </c>
      <c r="AB294" s="30" t="s">
        <v>24</v>
      </c>
      <c r="AC294" s="27"/>
      <c r="AD294" s="31" t="s">
        <v>25</v>
      </c>
      <c r="AE294" s="32" t="str">
        <f t="shared" si="22"/>
        <v>✓ OK</v>
      </c>
      <c r="AF294" s="33" t="s">
        <v>27</v>
      </c>
      <c r="AG294" s="33" t="s">
        <v>23</v>
      </c>
      <c r="AH294" s="33" t="s">
        <v>24</v>
      </c>
      <c r="AI294" s="33" t="s">
        <v>25</v>
      </c>
      <c r="AJ294" s="33" t="s">
        <v>26</v>
      </c>
      <c r="AK294" s="33" t="s">
        <v>24</v>
      </c>
      <c r="AL294" s="27"/>
      <c r="AM294" s="34" t="s">
        <v>25</v>
      </c>
      <c r="AN294" s="35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4"/>
        <v/>
      </c>
    </row>
    <row r="295" spans="1:49" ht="18" customHeight="1" x14ac:dyDescent="0.3">
      <c r="A295" s="23">
        <v>291</v>
      </c>
      <c r="B295" s="24" t="s">
        <v>5780</v>
      </c>
      <c r="C295" s="25" t="s">
        <v>5781</v>
      </c>
      <c r="D295" s="23" t="s">
        <v>5200</v>
      </c>
      <c r="E295" s="43">
        <v>46125</v>
      </c>
      <c r="F295" s="26" t="s">
        <v>23</v>
      </c>
      <c r="G295" s="44" t="s">
        <v>1352</v>
      </c>
      <c r="H295" s="26" t="s">
        <v>25</v>
      </c>
      <c r="I295" s="44" t="s">
        <v>1352</v>
      </c>
      <c r="J295" s="26" t="s">
        <v>24</v>
      </c>
      <c r="K295" s="27"/>
      <c r="L295" s="28" t="s">
        <v>25</v>
      </c>
      <c r="M295" s="29" t="str">
        <f t="shared" si="20"/>
        <v>✓ OK</v>
      </c>
      <c r="N295" s="43">
        <v>46196</v>
      </c>
      <c r="O295" s="26" t="s">
        <v>23</v>
      </c>
      <c r="P295" s="44" t="s">
        <v>1352</v>
      </c>
      <c r="Q295" s="26" t="s">
        <v>25</v>
      </c>
      <c r="R295" s="44" t="s">
        <v>1352</v>
      </c>
      <c r="S295" s="26" t="s">
        <v>24</v>
      </c>
      <c r="T295" s="27"/>
      <c r="U295" s="28" t="s">
        <v>25</v>
      </c>
      <c r="V295" s="29" t="str">
        <f t="shared" si="21"/>
        <v>✓ OK</v>
      </c>
      <c r="W295" s="45">
        <v>46248</v>
      </c>
      <c r="X295" s="30" t="s">
        <v>23</v>
      </c>
      <c r="Y295" s="30" t="s">
        <v>1352</v>
      </c>
      <c r="Z295" s="30" t="s">
        <v>25</v>
      </c>
      <c r="AA295" s="30" t="s">
        <v>1352</v>
      </c>
      <c r="AB295" s="30" t="s">
        <v>24</v>
      </c>
      <c r="AC295" s="27"/>
      <c r="AD295" s="31" t="s">
        <v>25</v>
      </c>
      <c r="AE295" s="32" t="str">
        <f t="shared" si="22"/>
        <v>✓ OK</v>
      </c>
      <c r="AF295" s="33" t="s">
        <v>27</v>
      </c>
      <c r="AG295" s="33" t="s">
        <v>23</v>
      </c>
      <c r="AH295" s="33" t="s">
        <v>1352</v>
      </c>
      <c r="AI295" s="33" t="s">
        <v>25</v>
      </c>
      <c r="AJ295" s="33" t="s">
        <v>1352</v>
      </c>
      <c r="AK295" s="33" t="s">
        <v>24</v>
      </c>
      <c r="AL295" s="27"/>
      <c r="AM295" s="34" t="s">
        <v>25</v>
      </c>
      <c r="AN295" s="35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4"/>
        <v/>
      </c>
    </row>
    <row r="296" spans="1:49" ht="18" customHeight="1" x14ac:dyDescent="0.3">
      <c r="A296" s="39">
        <v>292</v>
      </c>
      <c r="B296" s="40" t="s">
        <v>5782</v>
      </c>
      <c r="C296" s="41" t="s">
        <v>5783</v>
      </c>
      <c r="D296" s="39" t="s">
        <v>5200</v>
      </c>
      <c r="E296" s="43">
        <v>46125</v>
      </c>
      <c r="F296" s="26" t="s">
        <v>23</v>
      </c>
      <c r="G296" s="44" t="s">
        <v>1352</v>
      </c>
      <c r="H296" s="26" t="s">
        <v>25</v>
      </c>
      <c r="I296" s="44" t="s">
        <v>1352</v>
      </c>
      <c r="J296" s="26" t="s">
        <v>24</v>
      </c>
      <c r="K296" s="27"/>
      <c r="L296" s="28" t="s">
        <v>25</v>
      </c>
      <c r="M296" s="29" t="str">
        <f t="shared" si="20"/>
        <v>✓ OK</v>
      </c>
      <c r="N296" s="43">
        <v>46196</v>
      </c>
      <c r="O296" s="26" t="s">
        <v>23</v>
      </c>
      <c r="P296" s="44" t="s">
        <v>1352</v>
      </c>
      <c r="Q296" s="26" t="s">
        <v>25</v>
      </c>
      <c r="R296" s="44" t="s">
        <v>1352</v>
      </c>
      <c r="S296" s="26" t="s">
        <v>24</v>
      </c>
      <c r="T296" s="27"/>
      <c r="U296" s="28" t="s">
        <v>25</v>
      </c>
      <c r="V296" s="29" t="str">
        <f t="shared" si="21"/>
        <v>✓ OK</v>
      </c>
      <c r="W296" s="45">
        <v>46248</v>
      </c>
      <c r="X296" s="30" t="s">
        <v>23</v>
      </c>
      <c r="Y296" s="30" t="s">
        <v>1352</v>
      </c>
      <c r="Z296" s="30" t="s">
        <v>25</v>
      </c>
      <c r="AA296" s="30" t="s">
        <v>1352</v>
      </c>
      <c r="AB296" s="30" t="s">
        <v>24</v>
      </c>
      <c r="AC296" s="27"/>
      <c r="AD296" s="31" t="s">
        <v>25</v>
      </c>
      <c r="AE296" s="32" t="str">
        <f t="shared" si="22"/>
        <v>✓ OK</v>
      </c>
      <c r="AF296" s="33" t="s">
        <v>27</v>
      </c>
      <c r="AG296" s="33" t="s">
        <v>23</v>
      </c>
      <c r="AH296" s="33" t="s">
        <v>1352</v>
      </c>
      <c r="AI296" s="33" t="s">
        <v>25</v>
      </c>
      <c r="AJ296" s="33" t="s">
        <v>1352</v>
      </c>
      <c r="AK296" s="33" t="s">
        <v>24</v>
      </c>
      <c r="AL296" s="27"/>
      <c r="AM296" s="34" t="s">
        <v>25</v>
      </c>
      <c r="AN296" s="35" t="str">
        <f t="shared" si="23"/>
        <v>✓ OK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4"/>
        <v/>
      </c>
    </row>
    <row r="297" spans="1:49" ht="18" customHeight="1" x14ac:dyDescent="0.3">
      <c r="A297" s="23">
        <v>293</v>
      </c>
      <c r="B297" s="24" t="s">
        <v>5784</v>
      </c>
      <c r="C297" s="25" t="s">
        <v>5785</v>
      </c>
      <c r="D297" s="23" t="s">
        <v>5200</v>
      </c>
      <c r="E297" s="43">
        <v>46125</v>
      </c>
      <c r="F297" s="26" t="s">
        <v>23</v>
      </c>
      <c r="G297" s="44" t="s">
        <v>1352</v>
      </c>
      <c r="H297" s="26" t="s">
        <v>25</v>
      </c>
      <c r="I297" s="44" t="s">
        <v>1352</v>
      </c>
      <c r="J297" s="26" t="s">
        <v>24</v>
      </c>
      <c r="K297" s="27"/>
      <c r="L297" s="28" t="s">
        <v>25</v>
      </c>
      <c r="M297" s="29" t="str">
        <f t="shared" si="20"/>
        <v>✓ OK</v>
      </c>
      <c r="N297" s="43">
        <v>46196</v>
      </c>
      <c r="O297" s="26" t="s">
        <v>23</v>
      </c>
      <c r="P297" s="44" t="s">
        <v>1352</v>
      </c>
      <c r="Q297" s="26" t="s">
        <v>25</v>
      </c>
      <c r="R297" s="44" t="s">
        <v>1352</v>
      </c>
      <c r="S297" s="26" t="s">
        <v>24</v>
      </c>
      <c r="T297" s="27"/>
      <c r="U297" s="28" t="s">
        <v>25</v>
      </c>
      <c r="V297" s="29" t="str">
        <f t="shared" si="21"/>
        <v>✓ OK</v>
      </c>
      <c r="W297" s="45">
        <v>46248</v>
      </c>
      <c r="X297" s="30" t="s">
        <v>23</v>
      </c>
      <c r="Y297" s="30" t="s">
        <v>1352</v>
      </c>
      <c r="Z297" s="30" t="s">
        <v>25</v>
      </c>
      <c r="AA297" s="30" t="s">
        <v>1352</v>
      </c>
      <c r="AB297" s="30" t="s">
        <v>24</v>
      </c>
      <c r="AC297" s="27"/>
      <c r="AD297" s="31" t="s">
        <v>25</v>
      </c>
      <c r="AE297" s="32" t="str">
        <f t="shared" si="22"/>
        <v>✓ OK</v>
      </c>
      <c r="AF297" s="33" t="s">
        <v>27</v>
      </c>
      <c r="AG297" s="33" t="s">
        <v>23</v>
      </c>
      <c r="AH297" s="33" t="s">
        <v>1352</v>
      </c>
      <c r="AI297" s="33" t="s">
        <v>25</v>
      </c>
      <c r="AJ297" s="33" t="s">
        <v>1352</v>
      </c>
      <c r="AK297" s="33" t="s">
        <v>24</v>
      </c>
      <c r="AL297" s="27"/>
      <c r="AM297" s="34" t="s">
        <v>25</v>
      </c>
      <c r="AN297" s="35" t="str">
        <f t="shared" si="23"/>
        <v>✓ OK</v>
      </c>
      <c r="AO297" s="36"/>
      <c r="AP297" s="36"/>
      <c r="AQ297" s="36"/>
      <c r="AR297" s="36"/>
      <c r="AS297" s="36"/>
      <c r="AT297" s="36"/>
      <c r="AU297" s="27"/>
      <c r="AV297" s="37"/>
      <c r="AW297" s="38" t="str">
        <f t="shared" si="24"/>
        <v/>
      </c>
    </row>
    <row r="298" spans="1:49" ht="18" customHeight="1" x14ac:dyDescent="0.3">
      <c r="A298" s="39">
        <v>294</v>
      </c>
      <c r="B298" s="40" t="s">
        <v>5786</v>
      </c>
      <c r="C298" s="41" t="s">
        <v>5787</v>
      </c>
      <c r="D298" s="39" t="s">
        <v>5200</v>
      </c>
      <c r="E298" s="43">
        <v>46125</v>
      </c>
      <c r="F298" s="26" t="s">
        <v>23</v>
      </c>
      <c r="G298" s="44" t="s">
        <v>1352</v>
      </c>
      <c r="H298" s="26" t="s">
        <v>25</v>
      </c>
      <c r="I298" s="44" t="s">
        <v>1352</v>
      </c>
      <c r="J298" s="26" t="s">
        <v>24</v>
      </c>
      <c r="K298" s="27"/>
      <c r="L298" s="28" t="s">
        <v>25</v>
      </c>
      <c r="M298" s="29" t="str">
        <f t="shared" si="20"/>
        <v>✓ OK</v>
      </c>
      <c r="N298" s="43">
        <v>46196</v>
      </c>
      <c r="O298" s="26" t="s">
        <v>23</v>
      </c>
      <c r="P298" s="44" t="s">
        <v>1352</v>
      </c>
      <c r="Q298" s="26" t="s">
        <v>25</v>
      </c>
      <c r="R298" s="44" t="s">
        <v>1352</v>
      </c>
      <c r="S298" s="26" t="s">
        <v>24</v>
      </c>
      <c r="T298" s="27"/>
      <c r="U298" s="28" t="s">
        <v>25</v>
      </c>
      <c r="V298" s="29" t="str">
        <f t="shared" si="21"/>
        <v>✓ OK</v>
      </c>
      <c r="W298" s="45">
        <v>46248</v>
      </c>
      <c r="X298" s="30" t="s">
        <v>23</v>
      </c>
      <c r="Y298" s="30" t="s">
        <v>1352</v>
      </c>
      <c r="Z298" s="30" t="s">
        <v>25</v>
      </c>
      <c r="AA298" s="30" t="s">
        <v>1352</v>
      </c>
      <c r="AB298" s="30" t="s">
        <v>24</v>
      </c>
      <c r="AC298" s="27"/>
      <c r="AD298" s="31" t="s">
        <v>25</v>
      </c>
      <c r="AE298" s="32" t="str">
        <f t="shared" si="22"/>
        <v>✓ OK</v>
      </c>
      <c r="AF298" s="33" t="s">
        <v>27</v>
      </c>
      <c r="AG298" s="33" t="s">
        <v>23</v>
      </c>
      <c r="AH298" s="33" t="s">
        <v>1352</v>
      </c>
      <c r="AI298" s="33" t="s">
        <v>25</v>
      </c>
      <c r="AJ298" s="33" t="s">
        <v>1352</v>
      </c>
      <c r="AK298" s="33" t="s">
        <v>24</v>
      </c>
      <c r="AL298" s="27"/>
      <c r="AM298" s="34" t="s">
        <v>25</v>
      </c>
      <c r="AN298" s="35" t="str">
        <f t="shared" si="23"/>
        <v>✓ OK</v>
      </c>
      <c r="AO298" s="36"/>
      <c r="AP298" s="36"/>
      <c r="AQ298" s="36"/>
      <c r="AR298" s="36"/>
      <c r="AS298" s="36"/>
      <c r="AT298" s="36"/>
      <c r="AU298" s="27"/>
      <c r="AV298" s="37"/>
      <c r="AW298" s="38" t="str">
        <f t="shared" si="24"/>
        <v/>
      </c>
    </row>
    <row r="299" spans="1:49" ht="18" customHeight="1" x14ac:dyDescent="0.3">
      <c r="A299" s="23">
        <v>295</v>
      </c>
      <c r="B299" s="24" t="s">
        <v>5788</v>
      </c>
      <c r="C299" s="25" t="s">
        <v>5789</v>
      </c>
      <c r="D299" s="23" t="s">
        <v>5200</v>
      </c>
      <c r="E299" s="43">
        <v>46125</v>
      </c>
      <c r="F299" s="26" t="s">
        <v>23</v>
      </c>
      <c r="G299" s="44" t="s">
        <v>1352</v>
      </c>
      <c r="H299" s="26" t="s">
        <v>25</v>
      </c>
      <c r="I299" s="44" t="s">
        <v>1352</v>
      </c>
      <c r="J299" s="26" t="s">
        <v>24</v>
      </c>
      <c r="K299" s="27"/>
      <c r="L299" s="28" t="s">
        <v>25</v>
      </c>
      <c r="M299" s="29" t="str">
        <f t="shared" si="20"/>
        <v>✓ OK</v>
      </c>
      <c r="N299" s="43">
        <v>46196</v>
      </c>
      <c r="O299" s="26" t="s">
        <v>23</v>
      </c>
      <c r="P299" s="44" t="s">
        <v>1352</v>
      </c>
      <c r="Q299" s="26" t="s">
        <v>25</v>
      </c>
      <c r="R299" s="44" t="s">
        <v>1352</v>
      </c>
      <c r="S299" s="26" t="s">
        <v>24</v>
      </c>
      <c r="T299" s="27"/>
      <c r="U299" s="28" t="s">
        <v>25</v>
      </c>
      <c r="V299" s="29" t="str">
        <f t="shared" si="21"/>
        <v>✓ OK</v>
      </c>
      <c r="W299" s="45">
        <v>46248</v>
      </c>
      <c r="X299" s="30" t="s">
        <v>23</v>
      </c>
      <c r="Y299" s="30" t="s">
        <v>1352</v>
      </c>
      <c r="Z299" s="30" t="s">
        <v>25</v>
      </c>
      <c r="AA299" s="30" t="s">
        <v>1352</v>
      </c>
      <c r="AB299" s="30" t="s">
        <v>24</v>
      </c>
      <c r="AC299" s="27"/>
      <c r="AD299" s="31" t="s">
        <v>25</v>
      </c>
      <c r="AE299" s="32" t="str">
        <f t="shared" si="22"/>
        <v>✓ OK</v>
      </c>
      <c r="AF299" s="33" t="s">
        <v>27</v>
      </c>
      <c r="AG299" s="33" t="s">
        <v>23</v>
      </c>
      <c r="AH299" s="33" t="s">
        <v>1352</v>
      </c>
      <c r="AI299" s="33" t="s">
        <v>25</v>
      </c>
      <c r="AJ299" s="33" t="s">
        <v>1352</v>
      </c>
      <c r="AK299" s="33" t="s">
        <v>24</v>
      </c>
      <c r="AL299" s="27"/>
      <c r="AM299" s="34" t="s">
        <v>25</v>
      </c>
      <c r="AN299" s="35" t="str">
        <f t="shared" si="23"/>
        <v>✓ OK</v>
      </c>
      <c r="AO299" s="36"/>
      <c r="AP299" s="36"/>
      <c r="AQ299" s="36"/>
      <c r="AR299" s="36"/>
      <c r="AS299" s="36"/>
      <c r="AT299" s="36"/>
      <c r="AU299" s="27"/>
      <c r="AV299" s="37"/>
      <c r="AW299" s="38" t="str">
        <f t="shared" si="24"/>
        <v/>
      </c>
    </row>
    <row r="300" spans="1:49" ht="18" customHeight="1" x14ac:dyDescent="0.3">
      <c r="A300" s="39">
        <v>296</v>
      </c>
      <c r="B300" s="40" t="s">
        <v>5790</v>
      </c>
      <c r="C300" s="41" t="s">
        <v>5791</v>
      </c>
      <c r="D300" s="39" t="s">
        <v>5200</v>
      </c>
      <c r="E300" s="43">
        <v>46125</v>
      </c>
      <c r="F300" s="26" t="s">
        <v>23</v>
      </c>
      <c r="G300" s="44" t="s">
        <v>1352</v>
      </c>
      <c r="H300" s="26" t="s">
        <v>25</v>
      </c>
      <c r="I300" s="44" t="s">
        <v>1352</v>
      </c>
      <c r="J300" s="26" t="s">
        <v>24</v>
      </c>
      <c r="K300" s="27"/>
      <c r="L300" s="28" t="s">
        <v>25</v>
      </c>
      <c r="M300" s="29" t="str">
        <f t="shared" si="20"/>
        <v>✓ OK</v>
      </c>
      <c r="N300" s="43">
        <v>46196</v>
      </c>
      <c r="O300" s="26" t="s">
        <v>23</v>
      </c>
      <c r="P300" s="44" t="s">
        <v>1352</v>
      </c>
      <c r="Q300" s="26" t="s">
        <v>25</v>
      </c>
      <c r="R300" s="44" t="s">
        <v>1352</v>
      </c>
      <c r="S300" s="26" t="s">
        <v>24</v>
      </c>
      <c r="T300" s="27"/>
      <c r="U300" s="28" t="s">
        <v>25</v>
      </c>
      <c r="V300" s="29" t="str">
        <f t="shared" si="21"/>
        <v>✓ OK</v>
      </c>
      <c r="W300" s="45">
        <v>46248</v>
      </c>
      <c r="X300" s="30" t="s">
        <v>23</v>
      </c>
      <c r="Y300" s="30" t="s">
        <v>1352</v>
      </c>
      <c r="Z300" s="30" t="s">
        <v>25</v>
      </c>
      <c r="AA300" s="30" t="s">
        <v>1352</v>
      </c>
      <c r="AB300" s="30" t="s">
        <v>24</v>
      </c>
      <c r="AC300" s="27"/>
      <c r="AD300" s="31" t="s">
        <v>25</v>
      </c>
      <c r="AE300" s="32" t="str">
        <f t="shared" si="22"/>
        <v>✓ OK</v>
      </c>
      <c r="AF300" s="33" t="s">
        <v>27</v>
      </c>
      <c r="AG300" s="33" t="s">
        <v>23</v>
      </c>
      <c r="AH300" s="33" t="s">
        <v>1352</v>
      </c>
      <c r="AI300" s="33" t="s">
        <v>25</v>
      </c>
      <c r="AJ300" s="33" t="s">
        <v>1352</v>
      </c>
      <c r="AK300" s="33" t="s">
        <v>24</v>
      </c>
      <c r="AL300" s="27"/>
      <c r="AM300" s="34" t="s">
        <v>25</v>
      </c>
      <c r="AN300" s="35" t="str">
        <f t="shared" si="23"/>
        <v>✓ OK</v>
      </c>
      <c r="AO300" s="36"/>
      <c r="AP300" s="36"/>
      <c r="AQ300" s="36"/>
      <c r="AR300" s="36"/>
      <c r="AS300" s="36"/>
      <c r="AT300" s="36"/>
      <c r="AU300" s="27"/>
      <c r="AV300" s="37"/>
      <c r="AW300" s="38" t="str">
        <f t="shared" si="24"/>
        <v/>
      </c>
    </row>
    <row r="301" spans="1:49" ht="18" customHeight="1" x14ac:dyDescent="0.3">
      <c r="A301" s="23">
        <v>297</v>
      </c>
      <c r="B301" s="24" t="s">
        <v>5792</v>
      </c>
      <c r="C301" s="25" t="s">
        <v>5793</v>
      </c>
      <c r="D301" s="23" t="s">
        <v>5200</v>
      </c>
      <c r="E301" s="43">
        <v>46125</v>
      </c>
      <c r="F301" s="26" t="s">
        <v>23</v>
      </c>
      <c r="G301" s="44" t="s">
        <v>24</v>
      </c>
      <c r="H301" s="26" t="s">
        <v>25</v>
      </c>
      <c r="I301" s="44" t="s">
        <v>731</v>
      </c>
      <c r="J301" s="26" t="s">
        <v>25</v>
      </c>
      <c r="K301" s="27" t="s">
        <v>5615</v>
      </c>
      <c r="L301" s="28" t="s">
        <v>24</v>
      </c>
      <c r="M301" s="29" t="str">
        <f t="shared" si="20"/>
        <v>⚠ Check</v>
      </c>
      <c r="N301" s="43">
        <v>46196</v>
      </c>
      <c r="O301" s="26" t="s">
        <v>23</v>
      </c>
      <c r="P301" s="44" t="s">
        <v>24</v>
      </c>
      <c r="Q301" s="26" t="s">
        <v>25</v>
      </c>
      <c r="R301" s="44" t="s">
        <v>731</v>
      </c>
      <c r="S301" s="26" t="s">
        <v>25</v>
      </c>
      <c r="T301" s="27" t="s">
        <v>5615</v>
      </c>
      <c r="U301" s="28" t="s">
        <v>24</v>
      </c>
      <c r="V301" s="29" t="str">
        <f t="shared" si="21"/>
        <v>⚠ Check</v>
      </c>
      <c r="W301" s="45">
        <v>46248</v>
      </c>
      <c r="X301" s="30" t="s">
        <v>23</v>
      </c>
      <c r="Y301" s="30" t="s">
        <v>24</v>
      </c>
      <c r="Z301" s="30" t="s">
        <v>25</v>
      </c>
      <c r="AA301" s="30" t="s">
        <v>731</v>
      </c>
      <c r="AB301" s="30" t="s">
        <v>25</v>
      </c>
      <c r="AC301" s="27" t="s">
        <v>5615</v>
      </c>
      <c r="AD301" s="31" t="s">
        <v>24</v>
      </c>
      <c r="AE301" s="32" t="str">
        <f t="shared" si="22"/>
        <v>⚠ Check</v>
      </c>
      <c r="AF301" s="33" t="s">
        <v>27</v>
      </c>
      <c r="AG301" s="33" t="s">
        <v>23</v>
      </c>
      <c r="AH301" s="33" t="s">
        <v>24</v>
      </c>
      <c r="AI301" s="33" t="s">
        <v>25</v>
      </c>
      <c r="AJ301" s="33" t="s">
        <v>26</v>
      </c>
      <c r="AK301" s="33" t="s">
        <v>24</v>
      </c>
      <c r="AL301" s="27" t="s">
        <v>5615</v>
      </c>
      <c r="AM301" s="34" t="s">
        <v>25</v>
      </c>
      <c r="AN301" s="35" t="str">
        <f t="shared" si="23"/>
        <v>✓ OK</v>
      </c>
      <c r="AO301" s="36"/>
      <c r="AP301" s="36"/>
      <c r="AQ301" s="36"/>
      <c r="AR301" s="36"/>
      <c r="AS301" s="36"/>
      <c r="AT301" s="36"/>
      <c r="AU301" s="27"/>
      <c r="AV301" s="37"/>
      <c r="AW301" s="38" t="str">
        <f t="shared" si="24"/>
        <v/>
      </c>
    </row>
    <row r="302" spans="1:49" ht="18" customHeight="1" x14ac:dyDescent="0.3">
      <c r="A302" s="39">
        <v>298</v>
      </c>
      <c r="B302" s="40" t="s">
        <v>5794</v>
      </c>
      <c r="C302" s="41" t="s">
        <v>5795</v>
      </c>
      <c r="D302" s="39" t="s">
        <v>5200</v>
      </c>
      <c r="E302" s="43">
        <v>46125</v>
      </c>
      <c r="F302" s="26" t="s">
        <v>23</v>
      </c>
      <c r="G302" s="44" t="s">
        <v>1352</v>
      </c>
      <c r="H302" s="26" t="s">
        <v>25</v>
      </c>
      <c r="I302" s="44" t="s">
        <v>1352</v>
      </c>
      <c r="J302" s="26" t="s">
        <v>24</v>
      </c>
      <c r="K302" s="27"/>
      <c r="L302" s="28" t="s">
        <v>25</v>
      </c>
      <c r="M302" s="29" t="str">
        <f t="shared" si="20"/>
        <v>✓ OK</v>
      </c>
      <c r="N302" s="43">
        <v>46196</v>
      </c>
      <c r="O302" s="26" t="s">
        <v>23</v>
      </c>
      <c r="P302" s="44" t="s">
        <v>1352</v>
      </c>
      <c r="Q302" s="26" t="s">
        <v>25</v>
      </c>
      <c r="R302" s="44" t="s">
        <v>1352</v>
      </c>
      <c r="S302" s="26" t="s">
        <v>24</v>
      </c>
      <c r="T302" s="27"/>
      <c r="U302" s="28" t="s">
        <v>25</v>
      </c>
      <c r="V302" s="29" t="str">
        <f t="shared" si="21"/>
        <v>✓ OK</v>
      </c>
      <c r="W302" s="45">
        <v>46248</v>
      </c>
      <c r="X302" s="30" t="s">
        <v>23</v>
      </c>
      <c r="Y302" s="30" t="s">
        <v>1352</v>
      </c>
      <c r="Z302" s="30" t="s">
        <v>25</v>
      </c>
      <c r="AA302" s="30" t="s">
        <v>1352</v>
      </c>
      <c r="AB302" s="30" t="s">
        <v>24</v>
      </c>
      <c r="AC302" s="27"/>
      <c r="AD302" s="31" t="s">
        <v>25</v>
      </c>
      <c r="AE302" s="32" t="str">
        <f t="shared" si="22"/>
        <v>✓ OK</v>
      </c>
      <c r="AF302" s="33" t="s">
        <v>27</v>
      </c>
      <c r="AG302" s="33" t="s">
        <v>23</v>
      </c>
      <c r="AH302" s="33" t="s">
        <v>1352</v>
      </c>
      <c r="AI302" s="33" t="s">
        <v>25</v>
      </c>
      <c r="AJ302" s="33" t="s">
        <v>1352</v>
      </c>
      <c r="AK302" s="33" t="s">
        <v>24</v>
      </c>
      <c r="AL302" s="27"/>
      <c r="AM302" s="34" t="s">
        <v>25</v>
      </c>
      <c r="AN302" s="35" t="str">
        <f t="shared" si="23"/>
        <v>✓ OK</v>
      </c>
      <c r="AO302" s="36"/>
      <c r="AP302" s="36"/>
      <c r="AQ302" s="36"/>
      <c r="AR302" s="36"/>
      <c r="AS302" s="36"/>
      <c r="AT302" s="36"/>
      <c r="AU302" s="27"/>
      <c r="AV302" s="37"/>
      <c r="AW302" s="38" t="str">
        <f t="shared" si="24"/>
        <v/>
      </c>
    </row>
    <row r="303" spans="1:49" ht="18" customHeight="1" x14ac:dyDescent="0.3">
      <c r="A303" s="23">
        <v>299</v>
      </c>
      <c r="B303" s="24" t="s">
        <v>5796</v>
      </c>
      <c r="C303" s="25" t="s">
        <v>5797</v>
      </c>
      <c r="D303" s="23" t="s">
        <v>5200</v>
      </c>
      <c r="E303" s="43">
        <v>46125</v>
      </c>
      <c r="F303" s="26" t="s">
        <v>23</v>
      </c>
      <c r="G303" s="44" t="s">
        <v>1352</v>
      </c>
      <c r="H303" s="26" t="s">
        <v>25</v>
      </c>
      <c r="I303" s="44" t="s">
        <v>1352</v>
      </c>
      <c r="J303" s="26" t="s">
        <v>24</v>
      </c>
      <c r="K303" s="27"/>
      <c r="L303" s="28" t="s">
        <v>25</v>
      </c>
      <c r="M303" s="29" t="str">
        <f t="shared" si="20"/>
        <v>✓ OK</v>
      </c>
      <c r="N303" s="43">
        <v>46196</v>
      </c>
      <c r="O303" s="26" t="s">
        <v>23</v>
      </c>
      <c r="P303" s="44" t="s">
        <v>1352</v>
      </c>
      <c r="Q303" s="26" t="s">
        <v>25</v>
      </c>
      <c r="R303" s="44" t="s">
        <v>1352</v>
      </c>
      <c r="S303" s="26" t="s">
        <v>24</v>
      </c>
      <c r="T303" s="27"/>
      <c r="U303" s="28" t="s">
        <v>25</v>
      </c>
      <c r="V303" s="29" t="str">
        <f t="shared" si="21"/>
        <v>✓ OK</v>
      </c>
      <c r="W303" s="45">
        <v>46248</v>
      </c>
      <c r="X303" s="30" t="s">
        <v>23</v>
      </c>
      <c r="Y303" s="30" t="s">
        <v>1352</v>
      </c>
      <c r="Z303" s="30" t="s">
        <v>25</v>
      </c>
      <c r="AA303" s="30" t="s">
        <v>1352</v>
      </c>
      <c r="AB303" s="30" t="s">
        <v>24</v>
      </c>
      <c r="AC303" s="27"/>
      <c r="AD303" s="31" t="s">
        <v>25</v>
      </c>
      <c r="AE303" s="32" t="str">
        <f t="shared" si="22"/>
        <v>✓ OK</v>
      </c>
      <c r="AF303" s="33" t="s">
        <v>27</v>
      </c>
      <c r="AG303" s="33" t="s">
        <v>23</v>
      </c>
      <c r="AH303" s="33" t="s">
        <v>1352</v>
      </c>
      <c r="AI303" s="33" t="s">
        <v>25</v>
      </c>
      <c r="AJ303" s="33" t="s">
        <v>1352</v>
      </c>
      <c r="AK303" s="33" t="s">
        <v>24</v>
      </c>
      <c r="AL303" s="27"/>
      <c r="AM303" s="34" t="s">
        <v>25</v>
      </c>
      <c r="AN303" s="35" t="str">
        <f t="shared" si="23"/>
        <v>✓ OK</v>
      </c>
      <c r="AO303" s="36"/>
      <c r="AP303" s="36"/>
      <c r="AQ303" s="36"/>
      <c r="AR303" s="36"/>
      <c r="AS303" s="36"/>
      <c r="AT303" s="36"/>
      <c r="AU303" s="27"/>
      <c r="AV303" s="37"/>
      <c r="AW303" s="38" t="str">
        <f t="shared" si="24"/>
        <v/>
      </c>
    </row>
    <row r="304" spans="1:49" ht="18" customHeight="1" x14ac:dyDescent="0.3">
      <c r="A304" s="39">
        <v>300</v>
      </c>
      <c r="B304" s="40" t="s">
        <v>5798</v>
      </c>
      <c r="C304" s="41" t="s">
        <v>5799</v>
      </c>
      <c r="D304" s="39" t="s">
        <v>5200</v>
      </c>
      <c r="E304" s="43">
        <v>46125</v>
      </c>
      <c r="F304" s="26" t="s">
        <v>23</v>
      </c>
      <c r="G304" s="44" t="s">
        <v>1352</v>
      </c>
      <c r="H304" s="26" t="s">
        <v>25</v>
      </c>
      <c r="I304" s="44" t="s">
        <v>1352</v>
      </c>
      <c r="J304" s="26" t="s">
        <v>24</v>
      </c>
      <c r="K304" s="27"/>
      <c r="L304" s="28" t="s">
        <v>25</v>
      </c>
      <c r="M304" s="29" t="str">
        <f t="shared" si="20"/>
        <v>✓ OK</v>
      </c>
      <c r="N304" s="43">
        <v>46196</v>
      </c>
      <c r="O304" s="26" t="s">
        <v>23</v>
      </c>
      <c r="P304" s="44" t="s">
        <v>1352</v>
      </c>
      <c r="Q304" s="26" t="s">
        <v>25</v>
      </c>
      <c r="R304" s="44" t="s">
        <v>1352</v>
      </c>
      <c r="S304" s="26" t="s">
        <v>24</v>
      </c>
      <c r="T304" s="27"/>
      <c r="U304" s="28" t="s">
        <v>25</v>
      </c>
      <c r="V304" s="29" t="str">
        <f t="shared" si="21"/>
        <v>✓ OK</v>
      </c>
      <c r="W304" s="45">
        <v>46248</v>
      </c>
      <c r="X304" s="30" t="s">
        <v>23</v>
      </c>
      <c r="Y304" s="30" t="s">
        <v>1352</v>
      </c>
      <c r="Z304" s="30" t="s">
        <v>25</v>
      </c>
      <c r="AA304" s="30" t="s">
        <v>1352</v>
      </c>
      <c r="AB304" s="30" t="s">
        <v>24</v>
      </c>
      <c r="AC304" s="27"/>
      <c r="AD304" s="31" t="s">
        <v>25</v>
      </c>
      <c r="AE304" s="32" t="str">
        <f t="shared" si="22"/>
        <v>✓ OK</v>
      </c>
      <c r="AF304" s="33" t="s">
        <v>27</v>
      </c>
      <c r="AG304" s="33" t="s">
        <v>23</v>
      </c>
      <c r="AH304" s="33" t="s">
        <v>1352</v>
      </c>
      <c r="AI304" s="33" t="s">
        <v>25</v>
      </c>
      <c r="AJ304" s="33" t="s">
        <v>1352</v>
      </c>
      <c r="AK304" s="33" t="s">
        <v>24</v>
      </c>
      <c r="AL304" s="27"/>
      <c r="AM304" s="34" t="s">
        <v>25</v>
      </c>
      <c r="AN304" s="35" t="str">
        <f t="shared" si="23"/>
        <v>✓ OK</v>
      </c>
      <c r="AO304" s="36"/>
      <c r="AP304" s="36"/>
      <c r="AQ304" s="36"/>
      <c r="AR304" s="36"/>
      <c r="AS304" s="36"/>
      <c r="AT304" s="36"/>
      <c r="AU304" s="27"/>
      <c r="AV304" s="37"/>
      <c r="AW304" s="38" t="str">
        <f t="shared" si="24"/>
        <v/>
      </c>
    </row>
    <row r="305" spans="1:49" ht="18" customHeight="1" x14ac:dyDescent="0.3">
      <c r="A305" s="23">
        <v>301</v>
      </c>
      <c r="B305" s="24" t="s">
        <v>5800</v>
      </c>
      <c r="C305" s="25" t="s">
        <v>5801</v>
      </c>
      <c r="D305" s="23" t="s">
        <v>5200</v>
      </c>
      <c r="E305" s="43">
        <v>46125</v>
      </c>
      <c r="F305" s="26" t="s">
        <v>23</v>
      </c>
      <c r="G305" s="44" t="s">
        <v>24</v>
      </c>
      <c r="H305" s="26" t="s">
        <v>25</v>
      </c>
      <c r="I305" s="44" t="s">
        <v>26</v>
      </c>
      <c r="J305" s="26" t="s">
        <v>24</v>
      </c>
      <c r="K305" s="27"/>
      <c r="L305" s="28" t="s">
        <v>25</v>
      </c>
      <c r="M305" s="29" t="str">
        <f t="shared" si="20"/>
        <v>✓ OK</v>
      </c>
      <c r="N305" s="43">
        <v>46196</v>
      </c>
      <c r="O305" s="26" t="s">
        <v>23</v>
      </c>
      <c r="P305" s="44" t="s">
        <v>24</v>
      </c>
      <c r="Q305" s="26" t="s">
        <v>25</v>
      </c>
      <c r="R305" s="44" t="s">
        <v>26</v>
      </c>
      <c r="S305" s="26" t="s">
        <v>24</v>
      </c>
      <c r="T305" s="27"/>
      <c r="U305" s="28" t="s">
        <v>25</v>
      </c>
      <c r="V305" s="29" t="str">
        <f t="shared" si="21"/>
        <v>✓ OK</v>
      </c>
      <c r="W305" s="45">
        <v>46248</v>
      </c>
      <c r="X305" s="30" t="s">
        <v>23</v>
      </c>
      <c r="Y305" s="30" t="s">
        <v>24</v>
      </c>
      <c r="Z305" s="30" t="s">
        <v>25</v>
      </c>
      <c r="AA305" s="30" t="s">
        <v>26</v>
      </c>
      <c r="AB305" s="30" t="s">
        <v>24</v>
      </c>
      <c r="AC305" s="27"/>
      <c r="AD305" s="31" t="s">
        <v>25</v>
      </c>
      <c r="AE305" s="32" t="str">
        <f t="shared" si="22"/>
        <v>✓ OK</v>
      </c>
      <c r="AF305" s="33" t="s">
        <v>27</v>
      </c>
      <c r="AG305" s="33" t="s">
        <v>23</v>
      </c>
      <c r="AH305" s="33" t="s">
        <v>24</v>
      </c>
      <c r="AI305" s="33" t="s">
        <v>25</v>
      </c>
      <c r="AJ305" s="33" t="s">
        <v>26</v>
      </c>
      <c r="AK305" s="33" t="s">
        <v>24</v>
      </c>
      <c r="AL305" s="27"/>
      <c r="AM305" s="34" t="s">
        <v>25</v>
      </c>
      <c r="AN305" s="35" t="str">
        <f t="shared" si="23"/>
        <v>✓ OK</v>
      </c>
      <c r="AO305" s="36"/>
      <c r="AP305" s="36"/>
      <c r="AQ305" s="36"/>
      <c r="AR305" s="36"/>
      <c r="AS305" s="36"/>
      <c r="AT305" s="36"/>
      <c r="AU305" s="27"/>
      <c r="AV305" s="37"/>
      <c r="AW305" s="38" t="str">
        <f t="shared" si="24"/>
        <v/>
      </c>
    </row>
    <row r="306" spans="1:49" ht="18" customHeight="1" x14ac:dyDescent="0.3">
      <c r="A306" s="39">
        <v>302</v>
      </c>
      <c r="B306" s="40" t="s">
        <v>5802</v>
      </c>
      <c r="C306" s="41" t="s">
        <v>5803</v>
      </c>
      <c r="D306" s="39" t="s">
        <v>5200</v>
      </c>
      <c r="E306" s="43">
        <v>46125</v>
      </c>
      <c r="F306" s="26" t="s">
        <v>23</v>
      </c>
      <c r="G306" s="44" t="s">
        <v>24</v>
      </c>
      <c r="H306" s="26" t="s">
        <v>25</v>
      </c>
      <c r="I306" s="44" t="s">
        <v>26</v>
      </c>
      <c r="J306" s="26" t="s">
        <v>24</v>
      </c>
      <c r="K306" s="27"/>
      <c r="L306" s="28" t="s">
        <v>25</v>
      </c>
      <c r="M306" s="29" t="str">
        <f t="shared" si="20"/>
        <v>✓ OK</v>
      </c>
      <c r="N306" s="43">
        <v>46196</v>
      </c>
      <c r="O306" s="26" t="s">
        <v>23</v>
      </c>
      <c r="P306" s="44" t="s">
        <v>24</v>
      </c>
      <c r="Q306" s="26" t="s">
        <v>25</v>
      </c>
      <c r="R306" s="44" t="s">
        <v>26</v>
      </c>
      <c r="S306" s="26" t="s">
        <v>24</v>
      </c>
      <c r="T306" s="27"/>
      <c r="U306" s="28" t="s">
        <v>25</v>
      </c>
      <c r="V306" s="29" t="str">
        <f t="shared" si="21"/>
        <v>✓ OK</v>
      </c>
      <c r="W306" s="45">
        <v>46248</v>
      </c>
      <c r="X306" s="30" t="s">
        <v>23</v>
      </c>
      <c r="Y306" s="30" t="s">
        <v>24</v>
      </c>
      <c r="Z306" s="30" t="s">
        <v>25</v>
      </c>
      <c r="AA306" s="30" t="s">
        <v>26</v>
      </c>
      <c r="AB306" s="30" t="s">
        <v>24</v>
      </c>
      <c r="AC306" s="27"/>
      <c r="AD306" s="31" t="s">
        <v>25</v>
      </c>
      <c r="AE306" s="32" t="str">
        <f t="shared" si="22"/>
        <v>✓ OK</v>
      </c>
      <c r="AF306" s="33" t="s">
        <v>27</v>
      </c>
      <c r="AG306" s="33" t="s">
        <v>23</v>
      </c>
      <c r="AH306" s="33" t="s">
        <v>24</v>
      </c>
      <c r="AI306" s="33" t="s">
        <v>25</v>
      </c>
      <c r="AJ306" s="33" t="s">
        <v>26</v>
      </c>
      <c r="AK306" s="33" t="s">
        <v>24</v>
      </c>
      <c r="AL306" s="27"/>
      <c r="AM306" s="34" t="s">
        <v>25</v>
      </c>
      <c r="AN306" s="35" t="str">
        <f t="shared" si="23"/>
        <v>✓ OK</v>
      </c>
      <c r="AO306" s="36"/>
      <c r="AP306" s="36"/>
      <c r="AQ306" s="36"/>
      <c r="AR306" s="36"/>
      <c r="AS306" s="36"/>
      <c r="AT306" s="36"/>
      <c r="AU306" s="27"/>
      <c r="AV306" s="37"/>
      <c r="AW306" s="38" t="str">
        <f t="shared" si="24"/>
        <v/>
      </c>
    </row>
    <row r="307" spans="1:49" ht="18" customHeight="1" x14ac:dyDescent="0.3">
      <c r="A307" s="23">
        <v>303</v>
      </c>
      <c r="B307" s="24" t="s">
        <v>5804</v>
      </c>
      <c r="C307" s="25" t="s">
        <v>5805</v>
      </c>
      <c r="D307" s="23" t="s">
        <v>5200</v>
      </c>
      <c r="E307" s="43">
        <v>46125</v>
      </c>
      <c r="F307" s="26" t="s">
        <v>23</v>
      </c>
      <c r="G307" s="44" t="s">
        <v>1352</v>
      </c>
      <c r="H307" s="26" t="s">
        <v>25</v>
      </c>
      <c r="I307" s="44" t="s">
        <v>1352</v>
      </c>
      <c r="J307" s="26" t="s">
        <v>24</v>
      </c>
      <c r="K307" s="27"/>
      <c r="L307" s="28" t="s">
        <v>25</v>
      </c>
      <c r="M307" s="29" t="str">
        <f t="shared" si="20"/>
        <v>✓ OK</v>
      </c>
      <c r="N307" s="43">
        <v>46196</v>
      </c>
      <c r="O307" s="26" t="s">
        <v>23</v>
      </c>
      <c r="P307" s="44" t="s">
        <v>1352</v>
      </c>
      <c r="Q307" s="26" t="s">
        <v>25</v>
      </c>
      <c r="R307" s="44" t="s">
        <v>1352</v>
      </c>
      <c r="S307" s="26" t="s">
        <v>24</v>
      </c>
      <c r="T307" s="27"/>
      <c r="U307" s="28" t="s">
        <v>25</v>
      </c>
      <c r="V307" s="29" t="str">
        <f t="shared" si="21"/>
        <v>✓ OK</v>
      </c>
      <c r="W307" s="45">
        <v>46248</v>
      </c>
      <c r="X307" s="30" t="s">
        <v>23</v>
      </c>
      <c r="Y307" s="30" t="s">
        <v>1352</v>
      </c>
      <c r="Z307" s="30" t="s">
        <v>25</v>
      </c>
      <c r="AA307" s="30" t="s">
        <v>1352</v>
      </c>
      <c r="AB307" s="30" t="s">
        <v>24</v>
      </c>
      <c r="AC307" s="27"/>
      <c r="AD307" s="31" t="s">
        <v>25</v>
      </c>
      <c r="AE307" s="32" t="str">
        <f t="shared" si="22"/>
        <v>✓ OK</v>
      </c>
      <c r="AF307" s="33" t="s">
        <v>27</v>
      </c>
      <c r="AG307" s="33" t="s">
        <v>23</v>
      </c>
      <c r="AH307" s="33" t="s">
        <v>1352</v>
      </c>
      <c r="AI307" s="33" t="s">
        <v>25</v>
      </c>
      <c r="AJ307" s="33" t="s">
        <v>1352</v>
      </c>
      <c r="AK307" s="33" t="s">
        <v>24</v>
      </c>
      <c r="AL307" s="27"/>
      <c r="AM307" s="34" t="s">
        <v>25</v>
      </c>
      <c r="AN307" s="35" t="str">
        <f t="shared" si="23"/>
        <v>✓ OK</v>
      </c>
      <c r="AO307" s="36"/>
      <c r="AP307" s="36"/>
      <c r="AQ307" s="36"/>
      <c r="AR307" s="36"/>
      <c r="AS307" s="36"/>
      <c r="AT307" s="36"/>
      <c r="AU307" s="27"/>
      <c r="AV307" s="37"/>
      <c r="AW307" s="38" t="str">
        <f t="shared" si="24"/>
        <v/>
      </c>
    </row>
    <row r="308" spans="1:49" ht="18" customHeight="1" x14ac:dyDescent="0.3">
      <c r="A308" s="39">
        <v>304</v>
      </c>
      <c r="B308" s="40" t="s">
        <v>5806</v>
      </c>
      <c r="C308" s="41" t="s">
        <v>5807</v>
      </c>
      <c r="D308" s="39" t="s">
        <v>5200</v>
      </c>
      <c r="E308" s="43">
        <v>46125</v>
      </c>
      <c r="F308" s="26" t="s">
        <v>23</v>
      </c>
      <c r="G308" s="44" t="s">
        <v>1352</v>
      </c>
      <c r="H308" s="26" t="s">
        <v>25</v>
      </c>
      <c r="I308" s="44" t="s">
        <v>1352</v>
      </c>
      <c r="J308" s="26" t="s">
        <v>24</v>
      </c>
      <c r="K308" s="27"/>
      <c r="L308" s="28" t="s">
        <v>25</v>
      </c>
      <c r="M308" s="29" t="str">
        <f t="shared" si="20"/>
        <v>✓ OK</v>
      </c>
      <c r="N308" s="43">
        <v>46196</v>
      </c>
      <c r="O308" s="26" t="s">
        <v>23</v>
      </c>
      <c r="P308" s="44" t="s">
        <v>1352</v>
      </c>
      <c r="Q308" s="26" t="s">
        <v>25</v>
      </c>
      <c r="R308" s="44" t="s">
        <v>1352</v>
      </c>
      <c r="S308" s="26" t="s">
        <v>24</v>
      </c>
      <c r="T308" s="27"/>
      <c r="U308" s="28" t="s">
        <v>25</v>
      </c>
      <c r="V308" s="29" t="str">
        <f t="shared" si="21"/>
        <v>✓ OK</v>
      </c>
      <c r="W308" s="45">
        <v>46248</v>
      </c>
      <c r="X308" s="30" t="s">
        <v>23</v>
      </c>
      <c r="Y308" s="30" t="s">
        <v>1352</v>
      </c>
      <c r="Z308" s="30" t="s">
        <v>25</v>
      </c>
      <c r="AA308" s="30" t="s">
        <v>1352</v>
      </c>
      <c r="AB308" s="30" t="s">
        <v>24</v>
      </c>
      <c r="AC308" s="27"/>
      <c r="AD308" s="31" t="s">
        <v>25</v>
      </c>
      <c r="AE308" s="32" t="str">
        <f t="shared" si="22"/>
        <v>✓ OK</v>
      </c>
      <c r="AF308" s="33" t="s">
        <v>27</v>
      </c>
      <c r="AG308" s="33" t="s">
        <v>23</v>
      </c>
      <c r="AH308" s="33" t="s">
        <v>1352</v>
      </c>
      <c r="AI308" s="33" t="s">
        <v>25</v>
      </c>
      <c r="AJ308" s="33" t="s">
        <v>1352</v>
      </c>
      <c r="AK308" s="33" t="s">
        <v>24</v>
      </c>
      <c r="AL308" s="27"/>
      <c r="AM308" s="34" t="s">
        <v>25</v>
      </c>
      <c r="AN308" s="35" t="str">
        <f t="shared" si="23"/>
        <v>✓ OK</v>
      </c>
      <c r="AO308" s="36"/>
      <c r="AP308" s="36"/>
      <c r="AQ308" s="36"/>
      <c r="AR308" s="36"/>
      <c r="AS308" s="36"/>
      <c r="AT308" s="36"/>
      <c r="AU308" s="27"/>
      <c r="AV308" s="37"/>
      <c r="AW308" s="38" t="str">
        <f t="shared" si="24"/>
        <v/>
      </c>
    </row>
    <row r="309" spans="1:49" ht="18" customHeight="1" x14ac:dyDescent="0.3">
      <c r="A309" s="23">
        <v>305</v>
      </c>
      <c r="B309" s="24" t="s">
        <v>5808</v>
      </c>
      <c r="C309" s="25" t="s">
        <v>5809</v>
      </c>
      <c r="D309" s="23" t="s">
        <v>5200</v>
      </c>
      <c r="E309" s="43">
        <v>46125</v>
      </c>
      <c r="F309" s="26" t="s">
        <v>23</v>
      </c>
      <c r="G309" s="44" t="s">
        <v>1352</v>
      </c>
      <c r="H309" s="26" t="s">
        <v>25</v>
      </c>
      <c r="I309" s="44" t="s">
        <v>1352</v>
      </c>
      <c r="J309" s="26" t="s">
        <v>24</v>
      </c>
      <c r="K309" s="27"/>
      <c r="L309" s="28" t="s">
        <v>25</v>
      </c>
      <c r="M309" s="29" t="str">
        <f t="shared" si="20"/>
        <v>✓ OK</v>
      </c>
      <c r="N309" s="43">
        <v>46196</v>
      </c>
      <c r="O309" s="26" t="s">
        <v>23</v>
      </c>
      <c r="P309" s="44" t="s">
        <v>1352</v>
      </c>
      <c r="Q309" s="26" t="s">
        <v>25</v>
      </c>
      <c r="R309" s="44" t="s">
        <v>1352</v>
      </c>
      <c r="S309" s="26" t="s">
        <v>24</v>
      </c>
      <c r="T309" s="27"/>
      <c r="U309" s="28" t="s">
        <v>25</v>
      </c>
      <c r="V309" s="29" t="str">
        <f t="shared" si="21"/>
        <v>✓ OK</v>
      </c>
      <c r="W309" s="45">
        <v>46248</v>
      </c>
      <c r="X309" s="30" t="s">
        <v>23</v>
      </c>
      <c r="Y309" s="30" t="s">
        <v>1352</v>
      </c>
      <c r="Z309" s="30" t="s">
        <v>25</v>
      </c>
      <c r="AA309" s="30" t="s">
        <v>1352</v>
      </c>
      <c r="AB309" s="30" t="s">
        <v>24</v>
      </c>
      <c r="AC309" s="27"/>
      <c r="AD309" s="31" t="s">
        <v>25</v>
      </c>
      <c r="AE309" s="32" t="str">
        <f t="shared" si="22"/>
        <v>✓ OK</v>
      </c>
      <c r="AF309" s="33" t="s">
        <v>27</v>
      </c>
      <c r="AG309" s="33" t="s">
        <v>23</v>
      </c>
      <c r="AH309" s="33" t="s">
        <v>1352</v>
      </c>
      <c r="AI309" s="33" t="s">
        <v>25</v>
      </c>
      <c r="AJ309" s="33" t="s">
        <v>1352</v>
      </c>
      <c r="AK309" s="33" t="s">
        <v>24</v>
      </c>
      <c r="AL309" s="27"/>
      <c r="AM309" s="34" t="s">
        <v>25</v>
      </c>
      <c r="AN309" s="35" t="str">
        <f t="shared" si="23"/>
        <v>✓ OK</v>
      </c>
      <c r="AO309" s="36"/>
      <c r="AP309" s="36"/>
      <c r="AQ309" s="36"/>
      <c r="AR309" s="36"/>
      <c r="AS309" s="36"/>
      <c r="AT309" s="36"/>
      <c r="AU309" s="27"/>
      <c r="AV309" s="37"/>
      <c r="AW309" s="38" t="str">
        <f t="shared" si="24"/>
        <v/>
      </c>
    </row>
    <row r="310" spans="1:49" ht="18" customHeight="1" x14ac:dyDescent="0.3">
      <c r="A310" s="39">
        <v>306</v>
      </c>
      <c r="B310" s="40" t="s">
        <v>5810</v>
      </c>
      <c r="C310" s="41" t="s">
        <v>5811</v>
      </c>
      <c r="D310" s="39" t="s">
        <v>5200</v>
      </c>
      <c r="E310" s="43">
        <v>46125</v>
      </c>
      <c r="F310" s="26" t="s">
        <v>23</v>
      </c>
      <c r="G310" s="44" t="s">
        <v>24</v>
      </c>
      <c r="H310" s="26" t="s">
        <v>25</v>
      </c>
      <c r="I310" s="44" t="s">
        <v>26</v>
      </c>
      <c r="J310" s="26" t="s">
        <v>24</v>
      </c>
      <c r="K310" s="27"/>
      <c r="L310" s="28" t="s">
        <v>25</v>
      </c>
      <c r="M310" s="29" t="str">
        <f t="shared" si="20"/>
        <v>✓ OK</v>
      </c>
      <c r="N310" s="43">
        <v>46196</v>
      </c>
      <c r="O310" s="26" t="s">
        <v>23</v>
      </c>
      <c r="P310" s="44" t="s">
        <v>24</v>
      </c>
      <c r="Q310" s="26" t="s">
        <v>25</v>
      </c>
      <c r="R310" s="44" t="s">
        <v>26</v>
      </c>
      <c r="S310" s="26" t="s">
        <v>24</v>
      </c>
      <c r="T310" s="27"/>
      <c r="U310" s="28" t="s">
        <v>25</v>
      </c>
      <c r="V310" s="29" t="str">
        <f t="shared" si="21"/>
        <v>✓ OK</v>
      </c>
      <c r="W310" s="45">
        <v>46248</v>
      </c>
      <c r="X310" s="30" t="s">
        <v>23</v>
      </c>
      <c r="Y310" s="30" t="s">
        <v>24</v>
      </c>
      <c r="Z310" s="30" t="s">
        <v>25</v>
      </c>
      <c r="AA310" s="30" t="s">
        <v>26</v>
      </c>
      <c r="AB310" s="30" t="s">
        <v>24</v>
      </c>
      <c r="AC310" s="27"/>
      <c r="AD310" s="31" t="s">
        <v>25</v>
      </c>
      <c r="AE310" s="32" t="str">
        <f t="shared" si="22"/>
        <v>✓ OK</v>
      </c>
      <c r="AF310" s="33" t="s">
        <v>27</v>
      </c>
      <c r="AG310" s="33" t="s">
        <v>23</v>
      </c>
      <c r="AH310" s="33" t="s">
        <v>24</v>
      </c>
      <c r="AI310" s="33" t="s">
        <v>25</v>
      </c>
      <c r="AJ310" s="33" t="s">
        <v>26</v>
      </c>
      <c r="AK310" s="33" t="s">
        <v>24</v>
      </c>
      <c r="AL310" s="27"/>
      <c r="AM310" s="34" t="s">
        <v>25</v>
      </c>
      <c r="AN310" s="35" t="str">
        <f t="shared" si="23"/>
        <v>✓ OK</v>
      </c>
      <c r="AO310" s="36"/>
      <c r="AP310" s="36"/>
      <c r="AQ310" s="36"/>
      <c r="AR310" s="36"/>
      <c r="AS310" s="36"/>
      <c r="AT310" s="36"/>
      <c r="AU310" s="27"/>
      <c r="AV310" s="37"/>
      <c r="AW310" s="38" t="str">
        <f t="shared" si="24"/>
        <v/>
      </c>
    </row>
    <row r="311" spans="1:49" ht="18" customHeight="1" x14ac:dyDescent="0.3">
      <c r="A311" s="23">
        <v>307</v>
      </c>
      <c r="B311" s="24" t="s">
        <v>5812</v>
      </c>
      <c r="C311" s="25" t="s">
        <v>5813</v>
      </c>
      <c r="D311" s="23" t="s">
        <v>5200</v>
      </c>
      <c r="E311" s="43">
        <v>46125</v>
      </c>
      <c r="F311" s="26" t="s">
        <v>23</v>
      </c>
      <c r="G311" s="44" t="s">
        <v>1352</v>
      </c>
      <c r="H311" s="26" t="s">
        <v>25</v>
      </c>
      <c r="I311" s="44" t="s">
        <v>1352</v>
      </c>
      <c r="J311" s="26" t="s">
        <v>24</v>
      </c>
      <c r="K311" s="27"/>
      <c r="L311" s="28" t="s">
        <v>25</v>
      </c>
      <c r="M311" s="29" t="str">
        <f t="shared" si="20"/>
        <v>✓ OK</v>
      </c>
      <c r="N311" s="43">
        <v>46196</v>
      </c>
      <c r="O311" s="26" t="s">
        <v>23</v>
      </c>
      <c r="P311" s="44" t="s">
        <v>1352</v>
      </c>
      <c r="Q311" s="26" t="s">
        <v>25</v>
      </c>
      <c r="R311" s="44" t="s">
        <v>1352</v>
      </c>
      <c r="S311" s="26" t="s">
        <v>24</v>
      </c>
      <c r="T311" s="27"/>
      <c r="U311" s="28" t="s">
        <v>25</v>
      </c>
      <c r="V311" s="29" t="str">
        <f t="shared" si="21"/>
        <v>✓ OK</v>
      </c>
      <c r="W311" s="45">
        <v>46248</v>
      </c>
      <c r="X311" s="30" t="s">
        <v>23</v>
      </c>
      <c r="Y311" s="30" t="s">
        <v>1352</v>
      </c>
      <c r="Z311" s="30" t="s">
        <v>25</v>
      </c>
      <c r="AA311" s="30" t="s">
        <v>1352</v>
      </c>
      <c r="AB311" s="30" t="s">
        <v>24</v>
      </c>
      <c r="AC311" s="27"/>
      <c r="AD311" s="31" t="s">
        <v>25</v>
      </c>
      <c r="AE311" s="32" t="str">
        <f t="shared" si="22"/>
        <v>✓ OK</v>
      </c>
      <c r="AF311" s="33" t="s">
        <v>27</v>
      </c>
      <c r="AG311" s="33" t="s">
        <v>23</v>
      </c>
      <c r="AH311" s="33" t="s">
        <v>1352</v>
      </c>
      <c r="AI311" s="33" t="s">
        <v>25</v>
      </c>
      <c r="AJ311" s="33" t="s">
        <v>1352</v>
      </c>
      <c r="AK311" s="33" t="s">
        <v>24</v>
      </c>
      <c r="AL311" s="27"/>
      <c r="AM311" s="34" t="s">
        <v>25</v>
      </c>
      <c r="AN311" s="35" t="str">
        <f t="shared" si="23"/>
        <v>✓ OK</v>
      </c>
      <c r="AO311" s="36"/>
      <c r="AP311" s="36"/>
      <c r="AQ311" s="36"/>
      <c r="AR311" s="36"/>
      <c r="AS311" s="36"/>
      <c r="AT311" s="36"/>
      <c r="AU311" s="27"/>
      <c r="AV311" s="37"/>
      <c r="AW311" s="38" t="str">
        <f t="shared" si="24"/>
        <v/>
      </c>
    </row>
    <row r="312" spans="1:49" ht="18" customHeight="1" x14ac:dyDescent="0.3">
      <c r="A312" s="39">
        <v>308</v>
      </c>
      <c r="B312" s="40" t="s">
        <v>5814</v>
      </c>
      <c r="C312" s="41" t="s">
        <v>5815</v>
      </c>
      <c r="D312" s="39" t="s">
        <v>5200</v>
      </c>
      <c r="E312" s="43">
        <v>46125</v>
      </c>
      <c r="F312" s="26" t="s">
        <v>23</v>
      </c>
      <c r="G312" s="44" t="s">
        <v>1352</v>
      </c>
      <c r="H312" s="26" t="s">
        <v>25</v>
      </c>
      <c r="I312" s="44" t="s">
        <v>1352</v>
      </c>
      <c r="J312" s="26" t="s">
        <v>24</v>
      </c>
      <c r="K312" s="27"/>
      <c r="L312" s="28" t="s">
        <v>25</v>
      </c>
      <c r="M312" s="29" t="str">
        <f t="shared" si="20"/>
        <v>✓ OK</v>
      </c>
      <c r="N312" s="43">
        <v>46196</v>
      </c>
      <c r="O312" s="26" t="s">
        <v>23</v>
      </c>
      <c r="P312" s="44" t="s">
        <v>1352</v>
      </c>
      <c r="Q312" s="26" t="s">
        <v>25</v>
      </c>
      <c r="R312" s="44" t="s">
        <v>1352</v>
      </c>
      <c r="S312" s="26" t="s">
        <v>24</v>
      </c>
      <c r="T312" s="27"/>
      <c r="U312" s="28" t="s">
        <v>25</v>
      </c>
      <c r="V312" s="29" t="str">
        <f t="shared" si="21"/>
        <v>✓ OK</v>
      </c>
      <c r="W312" s="45">
        <v>46248</v>
      </c>
      <c r="X312" s="30" t="s">
        <v>23</v>
      </c>
      <c r="Y312" s="30" t="s">
        <v>1352</v>
      </c>
      <c r="Z312" s="30" t="s">
        <v>25</v>
      </c>
      <c r="AA312" s="30" t="s">
        <v>1352</v>
      </c>
      <c r="AB312" s="30" t="s">
        <v>24</v>
      </c>
      <c r="AC312" s="27"/>
      <c r="AD312" s="31" t="s">
        <v>25</v>
      </c>
      <c r="AE312" s="32" t="str">
        <f t="shared" si="22"/>
        <v>✓ OK</v>
      </c>
      <c r="AF312" s="33" t="s">
        <v>27</v>
      </c>
      <c r="AG312" s="33" t="s">
        <v>23</v>
      </c>
      <c r="AH312" s="33" t="s">
        <v>1352</v>
      </c>
      <c r="AI312" s="33" t="s">
        <v>25</v>
      </c>
      <c r="AJ312" s="33" t="s">
        <v>1352</v>
      </c>
      <c r="AK312" s="33" t="s">
        <v>24</v>
      </c>
      <c r="AL312" s="27"/>
      <c r="AM312" s="34" t="s">
        <v>25</v>
      </c>
      <c r="AN312" s="35" t="str">
        <f t="shared" si="23"/>
        <v>✓ OK</v>
      </c>
      <c r="AO312" s="36"/>
      <c r="AP312" s="36"/>
      <c r="AQ312" s="36"/>
      <c r="AR312" s="36"/>
      <c r="AS312" s="36"/>
      <c r="AT312" s="36"/>
      <c r="AU312" s="27"/>
      <c r="AV312" s="37"/>
      <c r="AW312" s="38" t="str">
        <f t="shared" si="24"/>
        <v/>
      </c>
    </row>
    <row r="313" spans="1:49" ht="18" customHeight="1" x14ac:dyDescent="0.3">
      <c r="A313" s="23">
        <v>309</v>
      </c>
      <c r="B313" s="24" t="s">
        <v>5816</v>
      </c>
      <c r="C313" s="25" t="s">
        <v>5817</v>
      </c>
      <c r="D313" s="23" t="s">
        <v>5200</v>
      </c>
      <c r="E313" s="43">
        <v>46125</v>
      </c>
      <c r="F313" s="26" t="s">
        <v>23</v>
      </c>
      <c r="G313" s="44" t="s">
        <v>24</v>
      </c>
      <c r="H313" s="26" t="s">
        <v>25</v>
      </c>
      <c r="I313" s="44" t="s">
        <v>26</v>
      </c>
      <c r="J313" s="26" t="s">
        <v>24</v>
      </c>
      <c r="K313" s="27"/>
      <c r="L313" s="28" t="s">
        <v>25</v>
      </c>
      <c r="M313" s="29" t="str">
        <f t="shared" si="20"/>
        <v>✓ OK</v>
      </c>
      <c r="N313" s="43">
        <v>46196</v>
      </c>
      <c r="O313" s="26" t="s">
        <v>23</v>
      </c>
      <c r="P313" s="44" t="s">
        <v>24</v>
      </c>
      <c r="Q313" s="26" t="s">
        <v>25</v>
      </c>
      <c r="R313" s="44" t="s">
        <v>26</v>
      </c>
      <c r="S313" s="26" t="s">
        <v>24</v>
      </c>
      <c r="T313" s="27"/>
      <c r="U313" s="28" t="s">
        <v>25</v>
      </c>
      <c r="V313" s="29" t="str">
        <f t="shared" si="21"/>
        <v>✓ OK</v>
      </c>
      <c r="W313" s="45">
        <v>46248</v>
      </c>
      <c r="X313" s="30" t="s">
        <v>23</v>
      </c>
      <c r="Y313" s="30" t="s">
        <v>24</v>
      </c>
      <c r="Z313" s="30" t="s">
        <v>25</v>
      </c>
      <c r="AA313" s="30" t="s">
        <v>26</v>
      </c>
      <c r="AB313" s="30" t="s">
        <v>24</v>
      </c>
      <c r="AC313" s="27"/>
      <c r="AD313" s="31" t="s">
        <v>25</v>
      </c>
      <c r="AE313" s="32" t="str">
        <f t="shared" si="22"/>
        <v>✓ OK</v>
      </c>
      <c r="AF313" s="33" t="s">
        <v>27</v>
      </c>
      <c r="AG313" s="33" t="s">
        <v>23</v>
      </c>
      <c r="AH313" s="33" t="s">
        <v>24</v>
      </c>
      <c r="AI313" s="33" t="s">
        <v>25</v>
      </c>
      <c r="AJ313" s="33" t="s">
        <v>26</v>
      </c>
      <c r="AK313" s="33" t="s">
        <v>24</v>
      </c>
      <c r="AL313" s="27"/>
      <c r="AM313" s="34" t="s">
        <v>25</v>
      </c>
      <c r="AN313" s="35" t="str">
        <f t="shared" si="23"/>
        <v>✓ OK</v>
      </c>
      <c r="AO313" s="36"/>
      <c r="AP313" s="36"/>
      <c r="AQ313" s="36"/>
      <c r="AR313" s="36"/>
      <c r="AS313" s="36"/>
      <c r="AT313" s="36"/>
      <c r="AU313" s="27"/>
      <c r="AV313" s="37"/>
      <c r="AW313" s="38" t="str">
        <f t="shared" si="24"/>
        <v/>
      </c>
    </row>
    <row r="314" spans="1:49" ht="18" customHeight="1" x14ac:dyDescent="0.3">
      <c r="A314" s="39">
        <v>310</v>
      </c>
      <c r="B314" s="40" t="s">
        <v>5818</v>
      </c>
      <c r="C314" s="41" t="s">
        <v>5819</v>
      </c>
      <c r="D314" s="39" t="s">
        <v>5200</v>
      </c>
      <c r="E314" s="43">
        <v>46125</v>
      </c>
      <c r="F314" s="26" t="s">
        <v>23</v>
      </c>
      <c r="G314" s="44" t="s">
        <v>1352</v>
      </c>
      <c r="H314" s="26" t="s">
        <v>25</v>
      </c>
      <c r="I314" s="44" t="s">
        <v>1352</v>
      </c>
      <c r="J314" s="26" t="s">
        <v>24</v>
      </c>
      <c r="K314" s="27"/>
      <c r="L314" s="28" t="s">
        <v>25</v>
      </c>
      <c r="M314" s="29" t="str">
        <f t="shared" si="20"/>
        <v>✓ OK</v>
      </c>
      <c r="N314" s="43">
        <v>46196</v>
      </c>
      <c r="O314" s="26" t="s">
        <v>23</v>
      </c>
      <c r="P314" s="44" t="s">
        <v>1352</v>
      </c>
      <c r="Q314" s="26" t="s">
        <v>25</v>
      </c>
      <c r="R314" s="44" t="s">
        <v>1352</v>
      </c>
      <c r="S314" s="26" t="s">
        <v>24</v>
      </c>
      <c r="T314" s="27"/>
      <c r="U314" s="28" t="s">
        <v>25</v>
      </c>
      <c r="V314" s="29" t="str">
        <f t="shared" si="21"/>
        <v>✓ OK</v>
      </c>
      <c r="W314" s="45">
        <v>46248</v>
      </c>
      <c r="X314" s="30" t="s">
        <v>23</v>
      </c>
      <c r="Y314" s="30" t="s">
        <v>1352</v>
      </c>
      <c r="Z314" s="30" t="s">
        <v>25</v>
      </c>
      <c r="AA314" s="30" t="s">
        <v>1352</v>
      </c>
      <c r="AB314" s="30" t="s">
        <v>24</v>
      </c>
      <c r="AC314" s="27"/>
      <c r="AD314" s="31" t="s">
        <v>25</v>
      </c>
      <c r="AE314" s="32" t="str">
        <f t="shared" si="22"/>
        <v>✓ OK</v>
      </c>
      <c r="AF314" s="33" t="s">
        <v>27</v>
      </c>
      <c r="AG314" s="33" t="s">
        <v>23</v>
      </c>
      <c r="AH314" s="33" t="s">
        <v>1352</v>
      </c>
      <c r="AI314" s="33" t="s">
        <v>25</v>
      </c>
      <c r="AJ314" s="33" t="s">
        <v>1352</v>
      </c>
      <c r="AK314" s="33" t="s">
        <v>24</v>
      </c>
      <c r="AL314" s="27"/>
      <c r="AM314" s="34" t="s">
        <v>25</v>
      </c>
      <c r="AN314" s="35" t="str">
        <f t="shared" si="23"/>
        <v>✓ OK</v>
      </c>
      <c r="AO314" s="36"/>
      <c r="AP314" s="36"/>
      <c r="AQ314" s="36"/>
      <c r="AR314" s="36"/>
      <c r="AS314" s="36"/>
      <c r="AT314" s="36"/>
      <c r="AU314" s="27"/>
      <c r="AV314" s="37"/>
      <c r="AW314" s="38" t="str">
        <f t="shared" si="24"/>
        <v/>
      </c>
    </row>
    <row r="315" spans="1:49" ht="18" customHeight="1" x14ac:dyDescent="0.3">
      <c r="A315" s="23">
        <v>311</v>
      </c>
      <c r="B315" s="24" t="s">
        <v>5820</v>
      </c>
      <c r="C315" s="25" t="s">
        <v>5821</v>
      </c>
      <c r="D315" s="23" t="s">
        <v>5200</v>
      </c>
      <c r="E315" s="43">
        <v>46125</v>
      </c>
      <c r="F315" s="26" t="s">
        <v>23</v>
      </c>
      <c r="G315" s="44" t="s">
        <v>25</v>
      </c>
      <c r="H315" s="26" t="s">
        <v>25</v>
      </c>
      <c r="I315" s="44" t="s">
        <v>735</v>
      </c>
      <c r="J315" s="26" t="s">
        <v>25</v>
      </c>
      <c r="K315" s="27"/>
      <c r="L315" s="28" t="s">
        <v>24</v>
      </c>
      <c r="M315" s="29" t="str">
        <f t="shared" si="20"/>
        <v>⚠ Missing</v>
      </c>
      <c r="N315" s="43">
        <v>46196</v>
      </c>
      <c r="O315" s="26" t="s">
        <v>23</v>
      </c>
      <c r="P315" s="44" t="s">
        <v>25</v>
      </c>
      <c r="Q315" s="26" t="s">
        <v>25</v>
      </c>
      <c r="R315" s="44" t="s">
        <v>735</v>
      </c>
      <c r="S315" s="26" t="s">
        <v>25</v>
      </c>
      <c r="T315" s="27"/>
      <c r="U315" s="28" t="s">
        <v>24</v>
      </c>
      <c r="V315" s="29" t="str">
        <f t="shared" si="21"/>
        <v>⚠ Missing</v>
      </c>
      <c r="W315" s="45">
        <v>46248</v>
      </c>
      <c r="X315" s="30" t="s">
        <v>23</v>
      </c>
      <c r="Y315" s="30" t="s">
        <v>25</v>
      </c>
      <c r="Z315" s="30" t="s">
        <v>25</v>
      </c>
      <c r="AA315" s="30" t="s">
        <v>735</v>
      </c>
      <c r="AB315" s="30" t="s">
        <v>25</v>
      </c>
      <c r="AC315" s="27"/>
      <c r="AD315" s="31" t="s">
        <v>24</v>
      </c>
      <c r="AE315" s="32" t="str">
        <f t="shared" si="22"/>
        <v>⚠ Missing</v>
      </c>
      <c r="AF315" s="33" t="s">
        <v>27</v>
      </c>
      <c r="AG315" s="33" t="s">
        <v>23</v>
      </c>
      <c r="AH315" s="33" t="s">
        <v>25</v>
      </c>
      <c r="AI315" s="33" t="s">
        <v>24</v>
      </c>
      <c r="AJ315" s="33" t="s">
        <v>135</v>
      </c>
      <c r="AK315" s="33" t="s">
        <v>25</v>
      </c>
      <c r="AL315" s="27"/>
      <c r="AM315" s="34" t="s">
        <v>25</v>
      </c>
      <c r="AN315" s="35" t="str">
        <f t="shared" si="23"/>
        <v>❌ Disc</v>
      </c>
      <c r="AO315" s="36"/>
      <c r="AP315" s="36"/>
      <c r="AQ315" s="36"/>
      <c r="AR315" s="36"/>
      <c r="AS315" s="36"/>
      <c r="AT315" s="36"/>
      <c r="AU315" s="27"/>
      <c r="AV315" s="37"/>
      <c r="AW315" s="38" t="str">
        <f t="shared" si="24"/>
        <v/>
      </c>
    </row>
    <row r="316" spans="1:49" ht="18" customHeight="1" x14ac:dyDescent="0.3">
      <c r="A316" s="39">
        <v>312</v>
      </c>
      <c r="B316" s="40" t="s">
        <v>5822</v>
      </c>
      <c r="C316" s="41" t="s">
        <v>5823</v>
      </c>
      <c r="D316" s="39" t="s">
        <v>5200</v>
      </c>
      <c r="E316" s="43">
        <v>46125</v>
      </c>
      <c r="F316" s="26" t="s">
        <v>23</v>
      </c>
      <c r="G316" s="44" t="s">
        <v>25</v>
      </c>
      <c r="H316" s="26" t="s">
        <v>25</v>
      </c>
      <c r="I316" s="44" t="s">
        <v>735</v>
      </c>
      <c r="J316" s="26" t="s">
        <v>25</v>
      </c>
      <c r="K316" s="27"/>
      <c r="L316" s="28" t="s">
        <v>24</v>
      </c>
      <c r="M316" s="29" t="str">
        <f t="shared" si="20"/>
        <v>⚠ Missing</v>
      </c>
      <c r="N316" s="43">
        <v>46196</v>
      </c>
      <c r="O316" s="26" t="s">
        <v>23</v>
      </c>
      <c r="P316" s="44" t="s">
        <v>25</v>
      </c>
      <c r="Q316" s="26" t="s">
        <v>25</v>
      </c>
      <c r="R316" s="44" t="s">
        <v>735</v>
      </c>
      <c r="S316" s="26" t="s">
        <v>25</v>
      </c>
      <c r="T316" s="27"/>
      <c r="U316" s="28" t="s">
        <v>24</v>
      </c>
      <c r="V316" s="29" t="str">
        <f t="shared" si="21"/>
        <v>⚠ Missing</v>
      </c>
      <c r="W316" s="45">
        <v>46248</v>
      </c>
      <c r="X316" s="30" t="s">
        <v>23</v>
      </c>
      <c r="Y316" s="30" t="s">
        <v>25</v>
      </c>
      <c r="Z316" s="30" t="s">
        <v>25</v>
      </c>
      <c r="AA316" s="30" t="s">
        <v>735</v>
      </c>
      <c r="AB316" s="30" t="s">
        <v>25</v>
      </c>
      <c r="AC316" s="27"/>
      <c r="AD316" s="31" t="s">
        <v>24</v>
      </c>
      <c r="AE316" s="32" t="str">
        <f t="shared" si="22"/>
        <v>⚠ Missing</v>
      </c>
      <c r="AF316" s="33" t="s">
        <v>27</v>
      </c>
      <c r="AG316" s="33" t="s">
        <v>23</v>
      </c>
      <c r="AH316" s="33" t="s">
        <v>25</v>
      </c>
      <c r="AI316" s="33" t="s">
        <v>24</v>
      </c>
      <c r="AJ316" s="33" t="s">
        <v>135</v>
      </c>
      <c r="AK316" s="33" t="s">
        <v>25</v>
      </c>
      <c r="AL316" s="27"/>
      <c r="AM316" s="34" t="s">
        <v>25</v>
      </c>
      <c r="AN316" s="35" t="str">
        <f t="shared" si="23"/>
        <v>❌ Disc</v>
      </c>
      <c r="AO316" s="36"/>
      <c r="AP316" s="36"/>
      <c r="AQ316" s="36"/>
      <c r="AR316" s="36"/>
      <c r="AS316" s="36"/>
      <c r="AT316" s="36"/>
      <c r="AU316" s="27"/>
      <c r="AV316" s="37"/>
      <c r="AW316" s="38" t="str">
        <f t="shared" si="24"/>
        <v/>
      </c>
    </row>
    <row r="317" spans="1:49" ht="18" customHeight="1" x14ac:dyDescent="0.3">
      <c r="A317" s="23">
        <v>313</v>
      </c>
      <c r="B317" s="24" t="s">
        <v>5824</v>
      </c>
      <c r="C317" s="25" t="s">
        <v>5825</v>
      </c>
      <c r="D317" s="23" t="s">
        <v>5200</v>
      </c>
      <c r="E317" s="43">
        <v>46125</v>
      </c>
      <c r="F317" s="26" t="s">
        <v>23</v>
      </c>
      <c r="G317" s="44" t="s">
        <v>25</v>
      </c>
      <c r="H317" s="26" t="s">
        <v>25</v>
      </c>
      <c r="I317" s="44" t="s">
        <v>735</v>
      </c>
      <c r="J317" s="26" t="s">
        <v>25</v>
      </c>
      <c r="K317" s="27"/>
      <c r="L317" s="28" t="s">
        <v>24</v>
      </c>
      <c r="M317" s="29" t="str">
        <f t="shared" si="20"/>
        <v>⚠ Missing</v>
      </c>
      <c r="N317" s="43">
        <v>46196</v>
      </c>
      <c r="O317" s="26" t="s">
        <v>23</v>
      </c>
      <c r="P317" s="44" t="s">
        <v>25</v>
      </c>
      <c r="Q317" s="26" t="s">
        <v>25</v>
      </c>
      <c r="R317" s="44" t="s">
        <v>735</v>
      </c>
      <c r="S317" s="26" t="s">
        <v>25</v>
      </c>
      <c r="T317" s="27"/>
      <c r="U317" s="28" t="s">
        <v>24</v>
      </c>
      <c r="V317" s="29" t="str">
        <f t="shared" si="21"/>
        <v>⚠ Missing</v>
      </c>
      <c r="W317" s="45">
        <v>46248</v>
      </c>
      <c r="X317" s="30" t="s">
        <v>23</v>
      </c>
      <c r="Y317" s="30" t="s">
        <v>25</v>
      </c>
      <c r="Z317" s="30" t="s">
        <v>25</v>
      </c>
      <c r="AA317" s="30" t="s">
        <v>735</v>
      </c>
      <c r="AB317" s="30" t="s">
        <v>25</v>
      </c>
      <c r="AC317" s="27"/>
      <c r="AD317" s="31" t="s">
        <v>24</v>
      </c>
      <c r="AE317" s="32" t="str">
        <f t="shared" si="22"/>
        <v>⚠ Missing</v>
      </c>
      <c r="AF317" s="33" t="s">
        <v>27</v>
      </c>
      <c r="AG317" s="33" t="s">
        <v>23</v>
      </c>
      <c r="AH317" s="33" t="s">
        <v>25</v>
      </c>
      <c r="AI317" s="33" t="s">
        <v>24</v>
      </c>
      <c r="AJ317" s="33" t="s">
        <v>135</v>
      </c>
      <c r="AK317" s="33" t="s">
        <v>25</v>
      </c>
      <c r="AL317" s="27"/>
      <c r="AM317" s="34" t="s">
        <v>25</v>
      </c>
      <c r="AN317" s="35" t="str">
        <f t="shared" si="23"/>
        <v>❌ Disc</v>
      </c>
      <c r="AO317" s="36"/>
      <c r="AP317" s="36"/>
      <c r="AQ317" s="36"/>
      <c r="AR317" s="36"/>
      <c r="AS317" s="36"/>
      <c r="AT317" s="36"/>
      <c r="AU317" s="27"/>
      <c r="AV317" s="37"/>
      <c r="AW317" s="38" t="str">
        <f t="shared" si="24"/>
        <v/>
      </c>
    </row>
    <row r="318" spans="1:49" ht="18" customHeight="1" x14ac:dyDescent="0.3">
      <c r="A318" s="39">
        <v>314</v>
      </c>
      <c r="B318" s="40" t="s">
        <v>5826</v>
      </c>
      <c r="C318" s="41" t="s">
        <v>5827</v>
      </c>
      <c r="D318" s="39" t="s">
        <v>5200</v>
      </c>
      <c r="E318" s="43">
        <v>46125</v>
      </c>
      <c r="F318" s="26" t="s">
        <v>23</v>
      </c>
      <c r="G318" s="44" t="s">
        <v>24</v>
      </c>
      <c r="H318" s="26" t="s">
        <v>25</v>
      </c>
      <c r="I318" s="44" t="s">
        <v>26</v>
      </c>
      <c r="J318" s="26" t="s">
        <v>24</v>
      </c>
      <c r="K318" s="27"/>
      <c r="L318" s="28" t="s">
        <v>25</v>
      </c>
      <c r="M318" s="29" t="str">
        <f t="shared" si="20"/>
        <v>✓ OK</v>
      </c>
      <c r="N318" s="43">
        <v>46196</v>
      </c>
      <c r="O318" s="26" t="s">
        <v>23</v>
      </c>
      <c r="P318" s="44" t="s">
        <v>24</v>
      </c>
      <c r="Q318" s="26" t="s">
        <v>25</v>
      </c>
      <c r="R318" s="44" t="s">
        <v>26</v>
      </c>
      <c r="S318" s="26" t="s">
        <v>24</v>
      </c>
      <c r="T318" s="27"/>
      <c r="U318" s="28" t="s">
        <v>25</v>
      </c>
      <c r="V318" s="29" t="str">
        <f t="shared" si="21"/>
        <v>✓ OK</v>
      </c>
      <c r="W318" s="45">
        <v>46248</v>
      </c>
      <c r="X318" s="30" t="s">
        <v>23</v>
      </c>
      <c r="Y318" s="30" t="s">
        <v>24</v>
      </c>
      <c r="Z318" s="30" t="s">
        <v>25</v>
      </c>
      <c r="AA318" s="30" t="s">
        <v>26</v>
      </c>
      <c r="AB318" s="30" t="s">
        <v>24</v>
      </c>
      <c r="AC318" s="27"/>
      <c r="AD318" s="31" t="s">
        <v>25</v>
      </c>
      <c r="AE318" s="32" t="str">
        <f t="shared" si="22"/>
        <v>✓ OK</v>
      </c>
      <c r="AF318" s="33" t="s">
        <v>27</v>
      </c>
      <c r="AG318" s="33" t="s">
        <v>23</v>
      </c>
      <c r="AH318" s="33" t="s">
        <v>24</v>
      </c>
      <c r="AI318" s="33" t="s">
        <v>25</v>
      </c>
      <c r="AJ318" s="33" t="s">
        <v>26</v>
      </c>
      <c r="AK318" s="33" t="s">
        <v>24</v>
      </c>
      <c r="AL318" s="27"/>
      <c r="AM318" s="34" t="s">
        <v>25</v>
      </c>
      <c r="AN318" s="35" t="str">
        <f t="shared" si="23"/>
        <v>✓ OK</v>
      </c>
      <c r="AO318" s="36"/>
      <c r="AP318" s="36"/>
      <c r="AQ318" s="36"/>
      <c r="AR318" s="36"/>
      <c r="AS318" s="36"/>
      <c r="AT318" s="36"/>
      <c r="AU318" s="27"/>
      <c r="AV318" s="37"/>
      <c r="AW318" s="38" t="str">
        <f t="shared" si="24"/>
        <v/>
      </c>
    </row>
    <row r="319" spans="1:49" ht="18" customHeight="1" x14ac:dyDescent="0.3">
      <c r="A319" s="23">
        <v>315</v>
      </c>
      <c r="B319" s="24" t="s">
        <v>5828</v>
      </c>
      <c r="C319" s="25" t="s">
        <v>5829</v>
      </c>
      <c r="D319" s="23" t="s">
        <v>5200</v>
      </c>
      <c r="E319" s="43">
        <v>46125</v>
      </c>
      <c r="F319" s="26" t="s">
        <v>23</v>
      </c>
      <c r="G319" s="44" t="s">
        <v>1352</v>
      </c>
      <c r="H319" s="26" t="s">
        <v>25</v>
      </c>
      <c r="I319" s="44" t="s">
        <v>1352</v>
      </c>
      <c r="J319" s="26" t="s">
        <v>24</v>
      </c>
      <c r="K319" s="27"/>
      <c r="L319" s="28" t="s">
        <v>25</v>
      </c>
      <c r="M319" s="29" t="str">
        <f t="shared" si="20"/>
        <v>✓ OK</v>
      </c>
      <c r="N319" s="43">
        <v>46196</v>
      </c>
      <c r="O319" s="26" t="s">
        <v>23</v>
      </c>
      <c r="P319" s="44" t="s">
        <v>1352</v>
      </c>
      <c r="Q319" s="26" t="s">
        <v>25</v>
      </c>
      <c r="R319" s="44" t="s">
        <v>1352</v>
      </c>
      <c r="S319" s="26" t="s">
        <v>24</v>
      </c>
      <c r="T319" s="27"/>
      <c r="U319" s="28" t="s">
        <v>25</v>
      </c>
      <c r="V319" s="29" t="str">
        <f t="shared" si="21"/>
        <v>✓ OK</v>
      </c>
      <c r="W319" s="45">
        <v>46248</v>
      </c>
      <c r="X319" s="30" t="s">
        <v>23</v>
      </c>
      <c r="Y319" s="30" t="s">
        <v>1352</v>
      </c>
      <c r="Z319" s="30" t="s">
        <v>25</v>
      </c>
      <c r="AA319" s="30" t="s">
        <v>1352</v>
      </c>
      <c r="AB319" s="30" t="s">
        <v>24</v>
      </c>
      <c r="AC319" s="27"/>
      <c r="AD319" s="31" t="s">
        <v>25</v>
      </c>
      <c r="AE319" s="32" t="str">
        <f t="shared" si="22"/>
        <v>✓ OK</v>
      </c>
      <c r="AF319" s="33" t="s">
        <v>27</v>
      </c>
      <c r="AG319" s="33" t="s">
        <v>23</v>
      </c>
      <c r="AH319" s="33" t="s">
        <v>1352</v>
      </c>
      <c r="AI319" s="33" t="s">
        <v>25</v>
      </c>
      <c r="AJ319" s="33" t="s">
        <v>1352</v>
      </c>
      <c r="AK319" s="33" t="s">
        <v>24</v>
      </c>
      <c r="AL319" s="27"/>
      <c r="AM319" s="34" t="s">
        <v>25</v>
      </c>
      <c r="AN319" s="35" t="str">
        <f t="shared" si="23"/>
        <v>✓ OK</v>
      </c>
      <c r="AO319" s="36"/>
      <c r="AP319" s="36"/>
      <c r="AQ319" s="36"/>
      <c r="AR319" s="36"/>
      <c r="AS319" s="36"/>
      <c r="AT319" s="36"/>
      <c r="AU319" s="27"/>
      <c r="AV319" s="37"/>
      <c r="AW319" s="38" t="str">
        <f t="shared" si="24"/>
        <v/>
      </c>
    </row>
    <row r="320" spans="1:49" ht="18" customHeight="1" x14ac:dyDescent="0.3">
      <c r="A320" s="39">
        <v>316</v>
      </c>
      <c r="B320" s="40" t="s">
        <v>5830</v>
      </c>
      <c r="C320" s="41" t="s">
        <v>5831</v>
      </c>
      <c r="D320" s="39" t="s">
        <v>5200</v>
      </c>
      <c r="E320" s="43">
        <v>46125</v>
      </c>
      <c r="F320" s="26" t="s">
        <v>23</v>
      </c>
      <c r="G320" s="44" t="s">
        <v>1352</v>
      </c>
      <c r="H320" s="26" t="s">
        <v>25</v>
      </c>
      <c r="I320" s="44" t="s">
        <v>1352</v>
      </c>
      <c r="J320" s="26" t="s">
        <v>24</v>
      </c>
      <c r="K320" s="27"/>
      <c r="L320" s="28" t="s">
        <v>25</v>
      </c>
      <c r="M320" s="29" t="str">
        <f t="shared" si="20"/>
        <v>✓ OK</v>
      </c>
      <c r="N320" s="43">
        <v>46196</v>
      </c>
      <c r="O320" s="26" t="s">
        <v>23</v>
      </c>
      <c r="P320" s="44" t="s">
        <v>1352</v>
      </c>
      <c r="Q320" s="26" t="s">
        <v>25</v>
      </c>
      <c r="R320" s="44" t="s">
        <v>1352</v>
      </c>
      <c r="S320" s="26" t="s">
        <v>24</v>
      </c>
      <c r="T320" s="27"/>
      <c r="U320" s="28" t="s">
        <v>25</v>
      </c>
      <c r="V320" s="29" t="str">
        <f t="shared" si="21"/>
        <v>✓ OK</v>
      </c>
      <c r="W320" s="45">
        <v>46248</v>
      </c>
      <c r="X320" s="30" t="s">
        <v>23</v>
      </c>
      <c r="Y320" s="30" t="s">
        <v>1352</v>
      </c>
      <c r="Z320" s="30" t="s">
        <v>25</v>
      </c>
      <c r="AA320" s="30" t="s">
        <v>1352</v>
      </c>
      <c r="AB320" s="30" t="s">
        <v>24</v>
      </c>
      <c r="AC320" s="27"/>
      <c r="AD320" s="31" t="s">
        <v>25</v>
      </c>
      <c r="AE320" s="32" t="str">
        <f t="shared" si="22"/>
        <v>✓ OK</v>
      </c>
      <c r="AF320" s="33" t="s">
        <v>27</v>
      </c>
      <c r="AG320" s="33" t="s">
        <v>23</v>
      </c>
      <c r="AH320" s="33" t="s">
        <v>1352</v>
      </c>
      <c r="AI320" s="33" t="s">
        <v>25</v>
      </c>
      <c r="AJ320" s="33" t="s">
        <v>1352</v>
      </c>
      <c r="AK320" s="33" t="s">
        <v>24</v>
      </c>
      <c r="AL320" s="27"/>
      <c r="AM320" s="34" t="s">
        <v>25</v>
      </c>
      <c r="AN320" s="35" t="str">
        <f t="shared" si="23"/>
        <v>✓ OK</v>
      </c>
      <c r="AO320" s="36"/>
      <c r="AP320" s="36"/>
      <c r="AQ320" s="36"/>
      <c r="AR320" s="36"/>
      <c r="AS320" s="36"/>
      <c r="AT320" s="36"/>
      <c r="AU320" s="27"/>
      <c r="AV320" s="37"/>
      <c r="AW320" s="38" t="str">
        <f t="shared" si="24"/>
        <v/>
      </c>
    </row>
    <row r="321" spans="1:49" ht="18" customHeight="1" x14ac:dyDescent="0.3">
      <c r="A321" s="23">
        <v>317</v>
      </c>
      <c r="B321" s="24" t="s">
        <v>5832</v>
      </c>
      <c r="C321" s="25" t="s">
        <v>5833</v>
      </c>
      <c r="D321" s="23" t="s">
        <v>5200</v>
      </c>
      <c r="E321" s="43">
        <v>46125</v>
      </c>
      <c r="F321" s="26" t="s">
        <v>23</v>
      </c>
      <c r="G321" s="44" t="s">
        <v>1352</v>
      </c>
      <c r="H321" s="26" t="s">
        <v>25</v>
      </c>
      <c r="I321" s="44" t="s">
        <v>1352</v>
      </c>
      <c r="J321" s="26" t="s">
        <v>24</v>
      </c>
      <c r="K321" s="27"/>
      <c r="L321" s="28" t="s">
        <v>25</v>
      </c>
      <c r="M321" s="29" t="str">
        <f t="shared" si="20"/>
        <v>✓ OK</v>
      </c>
      <c r="N321" s="43">
        <v>46196</v>
      </c>
      <c r="O321" s="26" t="s">
        <v>23</v>
      </c>
      <c r="P321" s="44" t="s">
        <v>1352</v>
      </c>
      <c r="Q321" s="26" t="s">
        <v>25</v>
      </c>
      <c r="R321" s="44" t="s">
        <v>1352</v>
      </c>
      <c r="S321" s="26" t="s">
        <v>24</v>
      </c>
      <c r="T321" s="27"/>
      <c r="U321" s="28" t="s">
        <v>25</v>
      </c>
      <c r="V321" s="29" t="str">
        <f t="shared" si="21"/>
        <v>✓ OK</v>
      </c>
      <c r="W321" s="45">
        <v>46248</v>
      </c>
      <c r="X321" s="30" t="s">
        <v>23</v>
      </c>
      <c r="Y321" s="30" t="s">
        <v>1352</v>
      </c>
      <c r="Z321" s="30" t="s">
        <v>25</v>
      </c>
      <c r="AA321" s="30" t="s">
        <v>1352</v>
      </c>
      <c r="AB321" s="30" t="s">
        <v>24</v>
      </c>
      <c r="AC321" s="27"/>
      <c r="AD321" s="31" t="s">
        <v>25</v>
      </c>
      <c r="AE321" s="32" t="str">
        <f t="shared" si="22"/>
        <v>✓ OK</v>
      </c>
      <c r="AF321" s="33" t="s">
        <v>27</v>
      </c>
      <c r="AG321" s="33" t="s">
        <v>23</v>
      </c>
      <c r="AH321" s="33" t="s">
        <v>1352</v>
      </c>
      <c r="AI321" s="33" t="s">
        <v>25</v>
      </c>
      <c r="AJ321" s="33" t="s">
        <v>1352</v>
      </c>
      <c r="AK321" s="33" t="s">
        <v>24</v>
      </c>
      <c r="AL321" s="27"/>
      <c r="AM321" s="34" t="s">
        <v>25</v>
      </c>
      <c r="AN321" s="35" t="str">
        <f t="shared" si="23"/>
        <v>✓ OK</v>
      </c>
      <c r="AO321" s="36"/>
      <c r="AP321" s="36"/>
      <c r="AQ321" s="36"/>
      <c r="AR321" s="36"/>
      <c r="AS321" s="36"/>
      <c r="AT321" s="36"/>
      <c r="AU321" s="27"/>
      <c r="AV321" s="37"/>
      <c r="AW321" s="38" t="str">
        <f t="shared" si="24"/>
        <v/>
      </c>
    </row>
    <row r="322" spans="1:49" ht="18" customHeight="1" x14ac:dyDescent="0.3">
      <c r="A322" s="39">
        <v>318</v>
      </c>
      <c r="B322" s="40" t="s">
        <v>5834</v>
      </c>
      <c r="C322" s="41" t="s">
        <v>5835</v>
      </c>
      <c r="D322" s="39" t="s">
        <v>5200</v>
      </c>
      <c r="E322" s="43">
        <v>46125</v>
      </c>
      <c r="F322" s="26" t="s">
        <v>23</v>
      </c>
      <c r="G322" s="44" t="s">
        <v>1352</v>
      </c>
      <c r="H322" s="26" t="s">
        <v>25</v>
      </c>
      <c r="I322" s="44" t="s">
        <v>1352</v>
      </c>
      <c r="J322" s="26" t="s">
        <v>24</v>
      </c>
      <c r="K322" s="27"/>
      <c r="L322" s="28" t="s">
        <v>25</v>
      </c>
      <c r="M322" s="29" t="str">
        <f t="shared" si="20"/>
        <v>✓ OK</v>
      </c>
      <c r="N322" s="43">
        <v>46196</v>
      </c>
      <c r="O322" s="26" t="s">
        <v>23</v>
      </c>
      <c r="P322" s="44" t="s">
        <v>1352</v>
      </c>
      <c r="Q322" s="26" t="s">
        <v>25</v>
      </c>
      <c r="R322" s="44" t="s">
        <v>1352</v>
      </c>
      <c r="S322" s="26" t="s">
        <v>24</v>
      </c>
      <c r="T322" s="27"/>
      <c r="U322" s="28" t="s">
        <v>25</v>
      </c>
      <c r="V322" s="29" t="str">
        <f t="shared" si="21"/>
        <v>✓ OK</v>
      </c>
      <c r="W322" s="45">
        <v>46248</v>
      </c>
      <c r="X322" s="30" t="s">
        <v>23</v>
      </c>
      <c r="Y322" s="30" t="s">
        <v>1352</v>
      </c>
      <c r="Z322" s="30" t="s">
        <v>25</v>
      </c>
      <c r="AA322" s="30" t="s">
        <v>1352</v>
      </c>
      <c r="AB322" s="30" t="s">
        <v>24</v>
      </c>
      <c r="AC322" s="27"/>
      <c r="AD322" s="31" t="s">
        <v>25</v>
      </c>
      <c r="AE322" s="32" t="str">
        <f t="shared" si="22"/>
        <v>✓ OK</v>
      </c>
      <c r="AF322" s="33" t="s">
        <v>27</v>
      </c>
      <c r="AG322" s="33" t="s">
        <v>23</v>
      </c>
      <c r="AH322" s="33" t="s">
        <v>1352</v>
      </c>
      <c r="AI322" s="33" t="s">
        <v>25</v>
      </c>
      <c r="AJ322" s="33" t="s">
        <v>1352</v>
      </c>
      <c r="AK322" s="33" t="s">
        <v>24</v>
      </c>
      <c r="AL322" s="27"/>
      <c r="AM322" s="34" t="s">
        <v>25</v>
      </c>
      <c r="AN322" s="35" t="str">
        <f t="shared" si="23"/>
        <v>✓ OK</v>
      </c>
      <c r="AO322" s="36"/>
      <c r="AP322" s="36"/>
      <c r="AQ322" s="36"/>
      <c r="AR322" s="36"/>
      <c r="AS322" s="36"/>
      <c r="AT322" s="36"/>
      <c r="AU322" s="27"/>
      <c r="AV322" s="37"/>
      <c r="AW322" s="38" t="str">
        <f t="shared" si="24"/>
        <v/>
      </c>
    </row>
    <row r="323" spans="1:49" ht="18" customHeight="1" x14ac:dyDescent="0.3">
      <c r="A323" s="23">
        <v>319</v>
      </c>
      <c r="B323" s="24" t="s">
        <v>5836</v>
      </c>
      <c r="C323" s="25" t="s">
        <v>5837</v>
      </c>
      <c r="D323" s="23" t="s">
        <v>5200</v>
      </c>
      <c r="E323" s="43">
        <v>46125</v>
      </c>
      <c r="F323" s="26" t="s">
        <v>23</v>
      </c>
      <c r="G323" s="44" t="s">
        <v>1352</v>
      </c>
      <c r="H323" s="26" t="s">
        <v>25</v>
      </c>
      <c r="I323" s="44" t="s">
        <v>1352</v>
      </c>
      <c r="J323" s="26" t="s">
        <v>24</v>
      </c>
      <c r="K323" s="27"/>
      <c r="L323" s="28" t="s">
        <v>25</v>
      </c>
      <c r="M323" s="29" t="str">
        <f t="shared" si="20"/>
        <v>✓ OK</v>
      </c>
      <c r="N323" s="43">
        <v>46196</v>
      </c>
      <c r="O323" s="26" t="s">
        <v>23</v>
      </c>
      <c r="P323" s="44" t="s">
        <v>1352</v>
      </c>
      <c r="Q323" s="26" t="s">
        <v>25</v>
      </c>
      <c r="R323" s="44" t="s">
        <v>1352</v>
      </c>
      <c r="S323" s="26" t="s">
        <v>24</v>
      </c>
      <c r="T323" s="27"/>
      <c r="U323" s="28" t="s">
        <v>25</v>
      </c>
      <c r="V323" s="29" t="str">
        <f t="shared" si="21"/>
        <v>✓ OK</v>
      </c>
      <c r="W323" s="45">
        <v>46248</v>
      </c>
      <c r="X323" s="30" t="s">
        <v>23</v>
      </c>
      <c r="Y323" s="30" t="s">
        <v>1352</v>
      </c>
      <c r="Z323" s="30" t="s">
        <v>25</v>
      </c>
      <c r="AA323" s="30" t="s">
        <v>1352</v>
      </c>
      <c r="AB323" s="30" t="s">
        <v>24</v>
      </c>
      <c r="AC323" s="27"/>
      <c r="AD323" s="31" t="s">
        <v>25</v>
      </c>
      <c r="AE323" s="32" t="str">
        <f t="shared" si="22"/>
        <v>✓ OK</v>
      </c>
      <c r="AF323" s="33" t="s">
        <v>27</v>
      </c>
      <c r="AG323" s="33" t="s">
        <v>23</v>
      </c>
      <c r="AH323" s="33" t="s">
        <v>1352</v>
      </c>
      <c r="AI323" s="33" t="s">
        <v>25</v>
      </c>
      <c r="AJ323" s="33" t="s">
        <v>1352</v>
      </c>
      <c r="AK323" s="33" t="s">
        <v>24</v>
      </c>
      <c r="AL323" s="27"/>
      <c r="AM323" s="34" t="s">
        <v>25</v>
      </c>
      <c r="AN323" s="35" t="str">
        <f t="shared" si="23"/>
        <v>✓ OK</v>
      </c>
      <c r="AO323" s="36"/>
      <c r="AP323" s="36"/>
      <c r="AQ323" s="36"/>
      <c r="AR323" s="36"/>
      <c r="AS323" s="36"/>
      <c r="AT323" s="36"/>
      <c r="AU323" s="27"/>
      <c r="AV323" s="37"/>
      <c r="AW323" s="38" t="str">
        <f t="shared" si="24"/>
        <v/>
      </c>
    </row>
    <row r="324" spans="1:49" ht="18" customHeight="1" x14ac:dyDescent="0.3">
      <c r="A324" s="39">
        <v>320</v>
      </c>
      <c r="B324" s="40" t="s">
        <v>5838</v>
      </c>
      <c r="C324" s="41" t="s">
        <v>5839</v>
      </c>
      <c r="D324" s="39" t="s">
        <v>5200</v>
      </c>
      <c r="E324" s="43">
        <v>46125</v>
      </c>
      <c r="F324" s="26" t="s">
        <v>23</v>
      </c>
      <c r="G324" s="44" t="s">
        <v>24</v>
      </c>
      <c r="H324" s="26" t="s">
        <v>25</v>
      </c>
      <c r="I324" s="44" t="s">
        <v>26</v>
      </c>
      <c r="J324" s="26" t="s">
        <v>24</v>
      </c>
      <c r="K324" s="27"/>
      <c r="L324" s="28" t="s">
        <v>25</v>
      </c>
      <c r="M324" s="29" t="str">
        <f t="shared" si="20"/>
        <v>✓ OK</v>
      </c>
      <c r="N324" s="43">
        <v>46196</v>
      </c>
      <c r="O324" s="26" t="s">
        <v>23</v>
      </c>
      <c r="P324" s="44" t="s">
        <v>24</v>
      </c>
      <c r="Q324" s="26" t="s">
        <v>25</v>
      </c>
      <c r="R324" s="44" t="s">
        <v>26</v>
      </c>
      <c r="S324" s="26" t="s">
        <v>24</v>
      </c>
      <c r="T324" s="27"/>
      <c r="U324" s="28" t="s">
        <v>25</v>
      </c>
      <c r="V324" s="29" t="str">
        <f t="shared" si="21"/>
        <v>✓ OK</v>
      </c>
      <c r="W324" s="45">
        <v>46248</v>
      </c>
      <c r="X324" s="30" t="s">
        <v>23</v>
      </c>
      <c r="Y324" s="30" t="s">
        <v>24</v>
      </c>
      <c r="Z324" s="30" t="s">
        <v>25</v>
      </c>
      <c r="AA324" s="30" t="s">
        <v>26</v>
      </c>
      <c r="AB324" s="30" t="s">
        <v>24</v>
      </c>
      <c r="AC324" s="27"/>
      <c r="AD324" s="31" t="s">
        <v>25</v>
      </c>
      <c r="AE324" s="32" t="str">
        <f t="shared" si="22"/>
        <v>✓ OK</v>
      </c>
      <c r="AF324" s="33" t="s">
        <v>27</v>
      </c>
      <c r="AG324" s="33" t="s">
        <v>23</v>
      </c>
      <c r="AH324" s="33" t="s">
        <v>24</v>
      </c>
      <c r="AI324" s="33" t="s">
        <v>25</v>
      </c>
      <c r="AJ324" s="33" t="s">
        <v>26</v>
      </c>
      <c r="AK324" s="33" t="s">
        <v>24</v>
      </c>
      <c r="AL324" s="27"/>
      <c r="AM324" s="34" t="s">
        <v>25</v>
      </c>
      <c r="AN324" s="35" t="str">
        <f t="shared" si="23"/>
        <v>✓ OK</v>
      </c>
      <c r="AO324" s="36"/>
      <c r="AP324" s="36"/>
      <c r="AQ324" s="36"/>
      <c r="AR324" s="36"/>
      <c r="AS324" s="36"/>
      <c r="AT324" s="36"/>
      <c r="AU324" s="27"/>
      <c r="AV324" s="37"/>
      <c r="AW324" s="38" t="str">
        <f t="shared" si="24"/>
        <v/>
      </c>
    </row>
    <row r="325" spans="1:49" ht="18" customHeight="1" x14ac:dyDescent="0.3">
      <c r="A325" s="23">
        <v>321</v>
      </c>
      <c r="B325" s="24" t="s">
        <v>5840</v>
      </c>
      <c r="C325" s="25" t="s">
        <v>5841</v>
      </c>
      <c r="D325" s="23" t="s">
        <v>5200</v>
      </c>
      <c r="E325" s="43">
        <v>46125</v>
      </c>
      <c r="F325" s="26" t="s">
        <v>23</v>
      </c>
      <c r="G325" s="44" t="s">
        <v>1352</v>
      </c>
      <c r="H325" s="26" t="s">
        <v>25</v>
      </c>
      <c r="I325" s="44" t="s">
        <v>1352</v>
      </c>
      <c r="J325" s="26" t="s">
        <v>24</v>
      </c>
      <c r="K325" s="27"/>
      <c r="L325" s="28" t="s">
        <v>25</v>
      </c>
      <c r="M325" s="29" t="str">
        <f t="shared" ref="M325:M388" si="25">IF(E325="","",IF(H325="Yes","❌ Disc",IF(G325="No","⚠ Missing",IF(J325="Yes","✓ OK","⚠ Check"))))</f>
        <v>✓ OK</v>
      </c>
      <c r="N325" s="43">
        <v>46196</v>
      </c>
      <c r="O325" s="26" t="s">
        <v>23</v>
      </c>
      <c r="P325" s="44" t="s">
        <v>1352</v>
      </c>
      <c r="Q325" s="26" t="s">
        <v>25</v>
      </c>
      <c r="R325" s="44" t="s">
        <v>1352</v>
      </c>
      <c r="S325" s="26" t="s">
        <v>24</v>
      </c>
      <c r="T325" s="27"/>
      <c r="U325" s="28" t="s">
        <v>25</v>
      </c>
      <c r="V325" s="29" t="str">
        <f t="shared" ref="V325:V388" si="26">IF(N325="","",IF(Q325="Yes","❌ Disc",IF(P325="No","⚠ Missing",IF(S325="Yes","✓ OK","⚠ Check"))))</f>
        <v>✓ OK</v>
      </c>
      <c r="W325" s="45">
        <v>46248</v>
      </c>
      <c r="X325" s="30" t="s">
        <v>23</v>
      </c>
      <c r="Y325" s="30" t="s">
        <v>1352</v>
      </c>
      <c r="Z325" s="30" t="s">
        <v>25</v>
      </c>
      <c r="AA325" s="30" t="s">
        <v>1352</v>
      </c>
      <c r="AB325" s="30" t="s">
        <v>24</v>
      </c>
      <c r="AC325" s="27"/>
      <c r="AD325" s="31" t="s">
        <v>25</v>
      </c>
      <c r="AE325" s="32" t="str">
        <f t="shared" ref="AE325:AE388" si="27">IF(W325="","",IF(Z325="Yes","❌ Disc",IF(Y325="No","⚠ Missing",IF(AB325="Yes","✓ OK","⚠ Check"))))</f>
        <v>✓ OK</v>
      </c>
      <c r="AF325" s="33" t="s">
        <v>27</v>
      </c>
      <c r="AG325" s="33" t="s">
        <v>23</v>
      </c>
      <c r="AH325" s="33" t="s">
        <v>1352</v>
      </c>
      <c r="AI325" s="33" t="s">
        <v>25</v>
      </c>
      <c r="AJ325" s="33" t="s">
        <v>1352</v>
      </c>
      <c r="AK325" s="33" t="s">
        <v>24</v>
      </c>
      <c r="AL325" s="27"/>
      <c r="AM325" s="34" t="s">
        <v>25</v>
      </c>
      <c r="AN325" s="35" t="str">
        <f t="shared" ref="AN325:AN388" si="28">IF(AF325="","",IF(AI325="Yes","❌ Disc",IF(AH325="No","⚠ Missing",IF(AK325="Yes","✓ OK","⚠ Check"))))</f>
        <v>✓ OK</v>
      </c>
      <c r="AO325" s="36"/>
      <c r="AP325" s="36"/>
      <c r="AQ325" s="36"/>
      <c r="AR325" s="36"/>
      <c r="AS325" s="36"/>
      <c r="AT325" s="36"/>
      <c r="AU325" s="27"/>
      <c r="AV325" s="37"/>
      <c r="AW325" s="38" t="str">
        <f t="shared" ref="AW325:AW388" si="29">IF(AO325="","",IF(AR325="Yes","❌ Disc",IF(AQ325="No","⚠ Missing",IF(AT325="Yes","✓ OK","⚠ Check"))))</f>
        <v/>
      </c>
    </row>
    <row r="326" spans="1:49" ht="18" customHeight="1" x14ac:dyDescent="0.3">
      <c r="A326" s="39">
        <v>322</v>
      </c>
      <c r="B326" s="40" t="s">
        <v>5842</v>
      </c>
      <c r="C326" s="41" t="s">
        <v>5843</v>
      </c>
      <c r="D326" s="39" t="s">
        <v>5200</v>
      </c>
      <c r="E326" s="43">
        <v>46125</v>
      </c>
      <c r="F326" s="26" t="s">
        <v>23</v>
      </c>
      <c r="G326" s="44" t="s">
        <v>1352</v>
      </c>
      <c r="H326" s="26" t="s">
        <v>25</v>
      </c>
      <c r="I326" s="44" t="s">
        <v>1352</v>
      </c>
      <c r="J326" s="26" t="s">
        <v>24</v>
      </c>
      <c r="K326" s="27"/>
      <c r="L326" s="28" t="s">
        <v>25</v>
      </c>
      <c r="M326" s="29" t="str">
        <f t="shared" si="25"/>
        <v>✓ OK</v>
      </c>
      <c r="N326" s="43">
        <v>46196</v>
      </c>
      <c r="O326" s="26" t="s">
        <v>23</v>
      </c>
      <c r="P326" s="44" t="s">
        <v>1352</v>
      </c>
      <c r="Q326" s="26" t="s">
        <v>25</v>
      </c>
      <c r="R326" s="44" t="s">
        <v>1352</v>
      </c>
      <c r="S326" s="26" t="s">
        <v>24</v>
      </c>
      <c r="T326" s="27"/>
      <c r="U326" s="28" t="s">
        <v>25</v>
      </c>
      <c r="V326" s="29" t="str">
        <f t="shared" si="26"/>
        <v>✓ OK</v>
      </c>
      <c r="W326" s="45">
        <v>46248</v>
      </c>
      <c r="X326" s="30" t="s">
        <v>23</v>
      </c>
      <c r="Y326" s="30" t="s">
        <v>1352</v>
      </c>
      <c r="Z326" s="30" t="s">
        <v>25</v>
      </c>
      <c r="AA326" s="30" t="s">
        <v>1352</v>
      </c>
      <c r="AB326" s="30" t="s">
        <v>24</v>
      </c>
      <c r="AC326" s="27"/>
      <c r="AD326" s="31" t="s">
        <v>25</v>
      </c>
      <c r="AE326" s="32" t="str">
        <f t="shared" si="27"/>
        <v>✓ OK</v>
      </c>
      <c r="AF326" s="33" t="s">
        <v>27</v>
      </c>
      <c r="AG326" s="33" t="s">
        <v>23</v>
      </c>
      <c r="AH326" s="33" t="s">
        <v>1352</v>
      </c>
      <c r="AI326" s="33" t="s">
        <v>25</v>
      </c>
      <c r="AJ326" s="33" t="s">
        <v>1352</v>
      </c>
      <c r="AK326" s="33" t="s">
        <v>24</v>
      </c>
      <c r="AL326" s="27"/>
      <c r="AM326" s="34" t="s">
        <v>25</v>
      </c>
      <c r="AN326" s="35" t="str">
        <f t="shared" si="28"/>
        <v>✓ OK</v>
      </c>
      <c r="AO326" s="36"/>
      <c r="AP326" s="36"/>
      <c r="AQ326" s="36"/>
      <c r="AR326" s="36"/>
      <c r="AS326" s="36"/>
      <c r="AT326" s="36"/>
      <c r="AU326" s="27"/>
      <c r="AV326" s="37"/>
      <c r="AW326" s="38" t="str">
        <f t="shared" si="29"/>
        <v/>
      </c>
    </row>
    <row r="327" spans="1:49" ht="18" customHeight="1" x14ac:dyDescent="0.3">
      <c r="A327" s="23">
        <v>323</v>
      </c>
      <c r="B327" s="24" t="s">
        <v>5844</v>
      </c>
      <c r="C327" s="25" t="s">
        <v>5845</v>
      </c>
      <c r="D327" s="23" t="s">
        <v>5200</v>
      </c>
      <c r="E327" s="43">
        <v>46125</v>
      </c>
      <c r="F327" s="26" t="s">
        <v>23</v>
      </c>
      <c r="G327" s="44" t="s">
        <v>1352</v>
      </c>
      <c r="H327" s="26" t="s">
        <v>25</v>
      </c>
      <c r="I327" s="44" t="s">
        <v>1352</v>
      </c>
      <c r="J327" s="26" t="s">
        <v>24</v>
      </c>
      <c r="K327" s="27"/>
      <c r="L327" s="28" t="s">
        <v>25</v>
      </c>
      <c r="M327" s="29" t="str">
        <f t="shared" si="25"/>
        <v>✓ OK</v>
      </c>
      <c r="N327" s="43">
        <v>46196</v>
      </c>
      <c r="O327" s="26" t="s">
        <v>23</v>
      </c>
      <c r="P327" s="44" t="s">
        <v>1352</v>
      </c>
      <c r="Q327" s="26" t="s">
        <v>25</v>
      </c>
      <c r="R327" s="44" t="s">
        <v>1352</v>
      </c>
      <c r="S327" s="26" t="s">
        <v>24</v>
      </c>
      <c r="T327" s="27"/>
      <c r="U327" s="28" t="s">
        <v>25</v>
      </c>
      <c r="V327" s="29" t="str">
        <f t="shared" si="26"/>
        <v>✓ OK</v>
      </c>
      <c r="W327" s="45">
        <v>46248</v>
      </c>
      <c r="X327" s="30" t="s">
        <v>23</v>
      </c>
      <c r="Y327" s="30" t="s">
        <v>1352</v>
      </c>
      <c r="Z327" s="30" t="s">
        <v>25</v>
      </c>
      <c r="AA327" s="30" t="s">
        <v>1352</v>
      </c>
      <c r="AB327" s="30" t="s">
        <v>24</v>
      </c>
      <c r="AC327" s="27"/>
      <c r="AD327" s="31" t="s">
        <v>25</v>
      </c>
      <c r="AE327" s="32" t="str">
        <f t="shared" si="27"/>
        <v>✓ OK</v>
      </c>
      <c r="AF327" s="33" t="s">
        <v>27</v>
      </c>
      <c r="AG327" s="33" t="s">
        <v>23</v>
      </c>
      <c r="AH327" s="33" t="s">
        <v>1352</v>
      </c>
      <c r="AI327" s="33" t="s">
        <v>25</v>
      </c>
      <c r="AJ327" s="33" t="s">
        <v>1352</v>
      </c>
      <c r="AK327" s="33" t="s">
        <v>24</v>
      </c>
      <c r="AL327" s="27"/>
      <c r="AM327" s="34" t="s">
        <v>25</v>
      </c>
      <c r="AN327" s="35" t="str">
        <f t="shared" si="28"/>
        <v>✓ OK</v>
      </c>
      <c r="AO327" s="36"/>
      <c r="AP327" s="36"/>
      <c r="AQ327" s="36"/>
      <c r="AR327" s="36"/>
      <c r="AS327" s="36"/>
      <c r="AT327" s="36"/>
      <c r="AU327" s="27"/>
      <c r="AV327" s="37"/>
      <c r="AW327" s="38" t="str">
        <f t="shared" si="29"/>
        <v/>
      </c>
    </row>
    <row r="328" spans="1:49" ht="18" customHeight="1" x14ac:dyDescent="0.3">
      <c r="A328" s="39">
        <v>324</v>
      </c>
      <c r="B328" s="40" t="s">
        <v>5846</v>
      </c>
      <c r="C328" s="41" t="s">
        <v>5847</v>
      </c>
      <c r="D328" s="39" t="s">
        <v>5200</v>
      </c>
      <c r="E328" s="43">
        <v>46125</v>
      </c>
      <c r="F328" s="26" t="s">
        <v>23</v>
      </c>
      <c r="G328" s="44" t="s">
        <v>1352</v>
      </c>
      <c r="H328" s="26" t="s">
        <v>25</v>
      </c>
      <c r="I328" s="44" t="s">
        <v>1352</v>
      </c>
      <c r="J328" s="26" t="s">
        <v>24</v>
      </c>
      <c r="K328" s="27"/>
      <c r="L328" s="28" t="s">
        <v>25</v>
      </c>
      <c r="M328" s="29" t="str">
        <f t="shared" si="25"/>
        <v>✓ OK</v>
      </c>
      <c r="N328" s="43">
        <v>46196</v>
      </c>
      <c r="O328" s="26" t="s">
        <v>23</v>
      </c>
      <c r="P328" s="44" t="s">
        <v>1352</v>
      </c>
      <c r="Q328" s="26" t="s">
        <v>25</v>
      </c>
      <c r="R328" s="44" t="s">
        <v>1352</v>
      </c>
      <c r="S328" s="26" t="s">
        <v>24</v>
      </c>
      <c r="T328" s="27"/>
      <c r="U328" s="28" t="s">
        <v>25</v>
      </c>
      <c r="V328" s="29" t="str">
        <f t="shared" si="26"/>
        <v>✓ OK</v>
      </c>
      <c r="W328" s="45">
        <v>46248</v>
      </c>
      <c r="X328" s="30" t="s">
        <v>23</v>
      </c>
      <c r="Y328" s="30" t="s">
        <v>1352</v>
      </c>
      <c r="Z328" s="30" t="s">
        <v>25</v>
      </c>
      <c r="AA328" s="30" t="s">
        <v>1352</v>
      </c>
      <c r="AB328" s="30" t="s">
        <v>24</v>
      </c>
      <c r="AC328" s="27"/>
      <c r="AD328" s="31" t="s">
        <v>25</v>
      </c>
      <c r="AE328" s="32" t="str">
        <f t="shared" si="27"/>
        <v>✓ OK</v>
      </c>
      <c r="AF328" s="33" t="s">
        <v>27</v>
      </c>
      <c r="AG328" s="33" t="s">
        <v>23</v>
      </c>
      <c r="AH328" s="33" t="s">
        <v>1352</v>
      </c>
      <c r="AI328" s="33" t="s">
        <v>25</v>
      </c>
      <c r="AJ328" s="33" t="s">
        <v>1352</v>
      </c>
      <c r="AK328" s="33" t="s">
        <v>24</v>
      </c>
      <c r="AL328" s="27"/>
      <c r="AM328" s="34" t="s">
        <v>25</v>
      </c>
      <c r="AN328" s="35" t="str">
        <f t="shared" si="28"/>
        <v>✓ OK</v>
      </c>
      <c r="AO328" s="36"/>
      <c r="AP328" s="36"/>
      <c r="AQ328" s="36"/>
      <c r="AR328" s="36"/>
      <c r="AS328" s="36"/>
      <c r="AT328" s="36"/>
      <c r="AU328" s="27"/>
      <c r="AV328" s="37"/>
      <c r="AW328" s="38" t="str">
        <f t="shared" si="29"/>
        <v/>
      </c>
    </row>
    <row r="329" spans="1:49" ht="18" customHeight="1" x14ac:dyDescent="0.3">
      <c r="A329" s="23">
        <v>325</v>
      </c>
      <c r="B329" s="24" t="s">
        <v>5848</v>
      </c>
      <c r="C329" s="25" t="s">
        <v>5849</v>
      </c>
      <c r="D329" s="23" t="s">
        <v>5200</v>
      </c>
      <c r="E329" s="43">
        <v>46125</v>
      </c>
      <c r="F329" s="26" t="s">
        <v>23</v>
      </c>
      <c r="G329" s="44" t="s">
        <v>24</v>
      </c>
      <c r="H329" s="26" t="s">
        <v>25</v>
      </c>
      <c r="I329" s="44" t="s">
        <v>26</v>
      </c>
      <c r="J329" s="26" t="s">
        <v>24</v>
      </c>
      <c r="K329" s="27"/>
      <c r="L329" s="28" t="s">
        <v>25</v>
      </c>
      <c r="M329" s="29" t="str">
        <f t="shared" si="25"/>
        <v>✓ OK</v>
      </c>
      <c r="N329" s="43">
        <v>46196</v>
      </c>
      <c r="O329" s="26" t="s">
        <v>23</v>
      </c>
      <c r="P329" s="44" t="s">
        <v>24</v>
      </c>
      <c r="Q329" s="26" t="s">
        <v>25</v>
      </c>
      <c r="R329" s="44" t="s">
        <v>26</v>
      </c>
      <c r="S329" s="26" t="s">
        <v>24</v>
      </c>
      <c r="T329" s="27"/>
      <c r="U329" s="28" t="s">
        <v>25</v>
      </c>
      <c r="V329" s="29" t="str">
        <f t="shared" si="26"/>
        <v>✓ OK</v>
      </c>
      <c r="W329" s="45">
        <v>46248</v>
      </c>
      <c r="X329" s="30" t="s">
        <v>23</v>
      </c>
      <c r="Y329" s="30" t="s">
        <v>24</v>
      </c>
      <c r="Z329" s="30" t="s">
        <v>25</v>
      </c>
      <c r="AA329" s="30" t="s">
        <v>26</v>
      </c>
      <c r="AB329" s="30" t="s">
        <v>24</v>
      </c>
      <c r="AC329" s="27"/>
      <c r="AD329" s="31" t="s">
        <v>25</v>
      </c>
      <c r="AE329" s="32" t="str">
        <f t="shared" si="27"/>
        <v>✓ OK</v>
      </c>
      <c r="AF329" s="33" t="s">
        <v>27</v>
      </c>
      <c r="AG329" s="33" t="s">
        <v>23</v>
      </c>
      <c r="AH329" s="33" t="s">
        <v>24</v>
      </c>
      <c r="AI329" s="33" t="s">
        <v>25</v>
      </c>
      <c r="AJ329" s="33" t="s">
        <v>26</v>
      </c>
      <c r="AK329" s="33" t="s">
        <v>24</v>
      </c>
      <c r="AL329" s="27"/>
      <c r="AM329" s="34" t="s">
        <v>25</v>
      </c>
      <c r="AN329" s="35" t="str">
        <f t="shared" si="28"/>
        <v>✓ OK</v>
      </c>
      <c r="AO329" s="36"/>
      <c r="AP329" s="36"/>
      <c r="AQ329" s="36"/>
      <c r="AR329" s="36"/>
      <c r="AS329" s="36"/>
      <c r="AT329" s="36"/>
      <c r="AU329" s="27"/>
      <c r="AV329" s="37"/>
      <c r="AW329" s="38" t="str">
        <f t="shared" si="29"/>
        <v/>
      </c>
    </row>
    <row r="330" spans="1:49" ht="18" customHeight="1" x14ac:dyDescent="0.3">
      <c r="A330" s="39">
        <v>326</v>
      </c>
      <c r="B330" s="40" t="s">
        <v>5850</v>
      </c>
      <c r="C330" s="41" t="s">
        <v>5851</v>
      </c>
      <c r="D330" s="39" t="s">
        <v>5200</v>
      </c>
      <c r="E330" s="43">
        <v>46125</v>
      </c>
      <c r="F330" s="26" t="s">
        <v>23</v>
      </c>
      <c r="G330" s="44" t="s">
        <v>1352</v>
      </c>
      <c r="H330" s="26" t="s">
        <v>25</v>
      </c>
      <c r="I330" s="44" t="s">
        <v>1352</v>
      </c>
      <c r="J330" s="26" t="s">
        <v>24</v>
      </c>
      <c r="K330" s="27"/>
      <c r="L330" s="28" t="s">
        <v>25</v>
      </c>
      <c r="M330" s="29" t="str">
        <f t="shared" si="25"/>
        <v>✓ OK</v>
      </c>
      <c r="N330" s="43">
        <v>46196</v>
      </c>
      <c r="O330" s="26" t="s">
        <v>23</v>
      </c>
      <c r="P330" s="44" t="s">
        <v>1352</v>
      </c>
      <c r="Q330" s="26" t="s">
        <v>25</v>
      </c>
      <c r="R330" s="44" t="s">
        <v>1352</v>
      </c>
      <c r="S330" s="26" t="s">
        <v>24</v>
      </c>
      <c r="T330" s="27"/>
      <c r="U330" s="28" t="s">
        <v>25</v>
      </c>
      <c r="V330" s="29" t="str">
        <f t="shared" si="26"/>
        <v>✓ OK</v>
      </c>
      <c r="W330" s="45">
        <v>46248</v>
      </c>
      <c r="X330" s="30" t="s">
        <v>23</v>
      </c>
      <c r="Y330" s="30" t="s">
        <v>1352</v>
      </c>
      <c r="Z330" s="30" t="s">
        <v>25</v>
      </c>
      <c r="AA330" s="30" t="s">
        <v>1352</v>
      </c>
      <c r="AB330" s="30" t="s">
        <v>24</v>
      </c>
      <c r="AC330" s="27"/>
      <c r="AD330" s="31" t="s">
        <v>25</v>
      </c>
      <c r="AE330" s="32" t="str">
        <f t="shared" si="27"/>
        <v>✓ OK</v>
      </c>
      <c r="AF330" s="33" t="s">
        <v>27</v>
      </c>
      <c r="AG330" s="33" t="s">
        <v>23</v>
      </c>
      <c r="AH330" s="33" t="s">
        <v>1352</v>
      </c>
      <c r="AI330" s="33" t="s">
        <v>25</v>
      </c>
      <c r="AJ330" s="33" t="s">
        <v>1352</v>
      </c>
      <c r="AK330" s="33" t="s">
        <v>24</v>
      </c>
      <c r="AL330" s="27"/>
      <c r="AM330" s="34" t="s">
        <v>25</v>
      </c>
      <c r="AN330" s="35" t="str">
        <f t="shared" si="28"/>
        <v>✓ OK</v>
      </c>
      <c r="AO330" s="36"/>
      <c r="AP330" s="36"/>
      <c r="AQ330" s="36"/>
      <c r="AR330" s="36"/>
      <c r="AS330" s="36"/>
      <c r="AT330" s="36"/>
      <c r="AU330" s="27"/>
      <c r="AV330" s="37"/>
      <c r="AW330" s="38" t="str">
        <f t="shared" si="29"/>
        <v/>
      </c>
    </row>
    <row r="331" spans="1:49" ht="18" customHeight="1" x14ac:dyDescent="0.3">
      <c r="A331" s="23">
        <v>327</v>
      </c>
      <c r="B331" s="24" t="s">
        <v>5852</v>
      </c>
      <c r="C331" s="25" t="s">
        <v>5853</v>
      </c>
      <c r="D331" s="23" t="s">
        <v>5200</v>
      </c>
      <c r="E331" s="43">
        <v>46125</v>
      </c>
      <c r="F331" s="26" t="s">
        <v>23</v>
      </c>
      <c r="G331" s="44" t="s">
        <v>1352</v>
      </c>
      <c r="H331" s="26" t="s">
        <v>25</v>
      </c>
      <c r="I331" s="44" t="s">
        <v>1352</v>
      </c>
      <c r="J331" s="26" t="s">
        <v>24</v>
      </c>
      <c r="K331" s="27"/>
      <c r="L331" s="28" t="s">
        <v>25</v>
      </c>
      <c r="M331" s="29" t="str">
        <f t="shared" si="25"/>
        <v>✓ OK</v>
      </c>
      <c r="N331" s="43">
        <v>46196</v>
      </c>
      <c r="O331" s="26" t="s">
        <v>23</v>
      </c>
      <c r="P331" s="44" t="s">
        <v>1352</v>
      </c>
      <c r="Q331" s="26" t="s">
        <v>25</v>
      </c>
      <c r="R331" s="44" t="s">
        <v>1352</v>
      </c>
      <c r="S331" s="26" t="s">
        <v>24</v>
      </c>
      <c r="T331" s="27"/>
      <c r="U331" s="28" t="s">
        <v>25</v>
      </c>
      <c r="V331" s="29" t="str">
        <f t="shared" si="26"/>
        <v>✓ OK</v>
      </c>
      <c r="W331" s="45">
        <v>46248</v>
      </c>
      <c r="X331" s="30" t="s">
        <v>23</v>
      </c>
      <c r="Y331" s="30" t="s">
        <v>1352</v>
      </c>
      <c r="Z331" s="30" t="s">
        <v>25</v>
      </c>
      <c r="AA331" s="30" t="s">
        <v>1352</v>
      </c>
      <c r="AB331" s="30" t="s">
        <v>24</v>
      </c>
      <c r="AC331" s="27"/>
      <c r="AD331" s="31" t="s">
        <v>25</v>
      </c>
      <c r="AE331" s="32" t="str">
        <f t="shared" si="27"/>
        <v>✓ OK</v>
      </c>
      <c r="AF331" s="33" t="s">
        <v>27</v>
      </c>
      <c r="AG331" s="33" t="s">
        <v>23</v>
      </c>
      <c r="AH331" s="33" t="s">
        <v>1352</v>
      </c>
      <c r="AI331" s="33" t="s">
        <v>25</v>
      </c>
      <c r="AJ331" s="33" t="s">
        <v>1352</v>
      </c>
      <c r="AK331" s="33" t="s">
        <v>24</v>
      </c>
      <c r="AL331" s="27"/>
      <c r="AM331" s="34" t="s">
        <v>25</v>
      </c>
      <c r="AN331" s="35" t="str">
        <f t="shared" si="28"/>
        <v>✓ OK</v>
      </c>
      <c r="AO331" s="36"/>
      <c r="AP331" s="36"/>
      <c r="AQ331" s="36"/>
      <c r="AR331" s="36"/>
      <c r="AS331" s="36"/>
      <c r="AT331" s="36"/>
      <c r="AU331" s="27"/>
      <c r="AV331" s="37"/>
      <c r="AW331" s="38" t="str">
        <f t="shared" si="29"/>
        <v/>
      </c>
    </row>
    <row r="332" spans="1:49" ht="18" customHeight="1" x14ac:dyDescent="0.3">
      <c r="A332" s="39">
        <v>328</v>
      </c>
      <c r="B332" s="40" t="s">
        <v>5854</v>
      </c>
      <c r="C332" s="41" t="s">
        <v>5855</v>
      </c>
      <c r="D332" s="39" t="s">
        <v>5200</v>
      </c>
      <c r="E332" s="43">
        <v>46125</v>
      </c>
      <c r="F332" s="26" t="s">
        <v>23</v>
      </c>
      <c r="G332" s="44" t="s">
        <v>24</v>
      </c>
      <c r="H332" s="26" t="s">
        <v>25</v>
      </c>
      <c r="I332" s="44" t="s">
        <v>26</v>
      </c>
      <c r="J332" s="26" t="s">
        <v>24</v>
      </c>
      <c r="K332" s="27"/>
      <c r="L332" s="28" t="s">
        <v>25</v>
      </c>
      <c r="M332" s="29" t="str">
        <f t="shared" si="25"/>
        <v>✓ OK</v>
      </c>
      <c r="N332" s="43">
        <v>46196</v>
      </c>
      <c r="O332" s="26" t="s">
        <v>23</v>
      </c>
      <c r="P332" s="44" t="s">
        <v>24</v>
      </c>
      <c r="Q332" s="26" t="s">
        <v>25</v>
      </c>
      <c r="R332" s="44" t="s">
        <v>26</v>
      </c>
      <c r="S332" s="26" t="s">
        <v>24</v>
      </c>
      <c r="T332" s="27"/>
      <c r="U332" s="28" t="s">
        <v>25</v>
      </c>
      <c r="V332" s="29" t="str">
        <f t="shared" si="26"/>
        <v>✓ OK</v>
      </c>
      <c r="W332" s="45">
        <v>46248</v>
      </c>
      <c r="X332" s="30" t="s">
        <v>23</v>
      </c>
      <c r="Y332" s="30" t="s">
        <v>24</v>
      </c>
      <c r="Z332" s="30" t="s">
        <v>25</v>
      </c>
      <c r="AA332" s="30" t="s">
        <v>26</v>
      </c>
      <c r="AB332" s="30" t="s">
        <v>24</v>
      </c>
      <c r="AC332" s="27"/>
      <c r="AD332" s="31" t="s">
        <v>25</v>
      </c>
      <c r="AE332" s="32" t="str">
        <f t="shared" si="27"/>
        <v>✓ OK</v>
      </c>
      <c r="AF332" s="33" t="s">
        <v>27</v>
      </c>
      <c r="AG332" s="33" t="s">
        <v>23</v>
      </c>
      <c r="AH332" s="33" t="s">
        <v>24</v>
      </c>
      <c r="AI332" s="33" t="s">
        <v>25</v>
      </c>
      <c r="AJ332" s="33" t="s">
        <v>26</v>
      </c>
      <c r="AK332" s="33" t="s">
        <v>24</v>
      </c>
      <c r="AL332" s="27"/>
      <c r="AM332" s="34" t="s">
        <v>25</v>
      </c>
      <c r="AN332" s="35" t="str">
        <f t="shared" si="28"/>
        <v>✓ OK</v>
      </c>
      <c r="AO332" s="36"/>
      <c r="AP332" s="36"/>
      <c r="AQ332" s="36"/>
      <c r="AR332" s="36"/>
      <c r="AS332" s="36"/>
      <c r="AT332" s="36"/>
      <c r="AU332" s="27"/>
      <c r="AV332" s="37"/>
      <c r="AW332" s="38" t="str">
        <f t="shared" si="29"/>
        <v/>
      </c>
    </row>
    <row r="333" spans="1:49" ht="18" customHeight="1" x14ac:dyDescent="0.3">
      <c r="A333" s="23">
        <v>329</v>
      </c>
      <c r="B333" s="24" t="s">
        <v>5856</v>
      </c>
      <c r="C333" s="25" t="s">
        <v>5857</v>
      </c>
      <c r="D333" s="23" t="s">
        <v>5200</v>
      </c>
      <c r="E333" s="43">
        <v>46125</v>
      </c>
      <c r="F333" s="26" t="s">
        <v>23</v>
      </c>
      <c r="G333" s="44" t="s">
        <v>1352</v>
      </c>
      <c r="H333" s="26" t="s">
        <v>25</v>
      </c>
      <c r="I333" s="44" t="s">
        <v>1352</v>
      </c>
      <c r="J333" s="26" t="s">
        <v>24</v>
      </c>
      <c r="K333" s="27"/>
      <c r="L333" s="28" t="s">
        <v>25</v>
      </c>
      <c r="M333" s="29" t="str">
        <f t="shared" si="25"/>
        <v>✓ OK</v>
      </c>
      <c r="N333" s="43">
        <v>46196</v>
      </c>
      <c r="O333" s="26" t="s">
        <v>23</v>
      </c>
      <c r="P333" s="44" t="s">
        <v>1352</v>
      </c>
      <c r="Q333" s="26" t="s">
        <v>25</v>
      </c>
      <c r="R333" s="44" t="s">
        <v>1352</v>
      </c>
      <c r="S333" s="26" t="s">
        <v>24</v>
      </c>
      <c r="T333" s="27"/>
      <c r="U333" s="28" t="s">
        <v>25</v>
      </c>
      <c r="V333" s="29" t="str">
        <f t="shared" si="26"/>
        <v>✓ OK</v>
      </c>
      <c r="W333" s="45">
        <v>46248</v>
      </c>
      <c r="X333" s="30" t="s">
        <v>23</v>
      </c>
      <c r="Y333" s="30" t="s">
        <v>1352</v>
      </c>
      <c r="Z333" s="30" t="s">
        <v>25</v>
      </c>
      <c r="AA333" s="30" t="s">
        <v>1352</v>
      </c>
      <c r="AB333" s="30" t="s">
        <v>24</v>
      </c>
      <c r="AC333" s="27"/>
      <c r="AD333" s="31" t="s">
        <v>25</v>
      </c>
      <c r="AE333" s="32" t="str">
        <f t="shared" si="27"/>
        <v>✓ OK</v>
      </c>
      <c r="AF333" s="33" t="s">
        <v>27</v>
      </c>
      <c r="AG333" s="33" t="s">
        <v>23</v>
      </c>
      <c r="AH333" s="33" t="s">
        <v>1352</v>
      </c>
      <c r="AI333" s="33" t="s">
        <v>25</v>
      </c>
      <c r="AJ333" s="33" t="s">
        <v>1352</v>
      </c>
      <c r="AK333" s="33" t="s">
        <v>24</v>
      </c>
      <c r="AL333" s="27"/>
      <c r="AM333" s="34" t="s">
        <v>25</v>
      </c>
      <c r="AN333" s="35" t="str">
        <f t="shared" si="28"/>
        <v>✓ OK</v>
      </c>
      <c r="AO333" s="36"/>
      <c r="AP333" s="36"/>
      <c r="AQ333" s="36"/>
      <c r="AR333" s="36"/>
      <c r="AS333" s="36"/>
      <c r="AT333" s="36"/>
      <c r="AU333" s="27"/>
      <c r="AV333" s="37"/>
      <c r="AW333" s="38" t="str">
        <f t="shared" si="29"/>
        <v/>
      </c>
    </row>
    <row r="334" spans="1:49" ht="18" customHeight="1" x14ac:dyDescent="0.3">
      <c r="A334" s="39">
        <v>330</v>
      </c>
      <c r="B334" s="40" t="s">
        <v>5858</v>
      </c>
      <c r="C334" s="41" t="s">
        <v>5859</v>
      </c>
      <c r="D334" s="39" t="s">
        <v>5200</v>
      </c>
      <c r="E334" s="43">
        <v>46125</v>
      </c>
      <c r="F334" s="26" t="s">
        <v>23</v>
      </c>
      <c r="G334" s="44" t="s">
        <v>1352</v>
      </c>
      <c r="H334" s="26" t="s">
        <v>25</v>
      </c>
      <c r="I334" s="44" t="s">
        <v>1352</v>
      </c>
      <c r="J334" s="26" t="s">
        <v>24</v>
      </c>
      <c r="K334" s="27"/>
      <c r="L334" s="28" t="s">
        <v>25</v>
      </c>
      <c r="M334" s="29" t="str">
        <f t="shared" si="25"/>
        <v>✓ OK</v>
      </c>
      <c r="N334" s="43">
        <v>46196</v>
      </c>
      <c r="O334" s="26" t="s">
        <v>23</v>
      </c>
      <c r="P334" s="44" t="s">
        <v>1352</v>
      </c>
      <c r="Q334" s="26" t="s">
        <v>25</v>
      </c>
      <c r="R334" s="44" t="s">
        <v>1352</v>
      </c>
      <c r="S334" s="26" t="s">
        <v>24</v>
      </c>
      <c r="T334" s="27"/>
      <c r="U334" s="28" t="s">
        <v>25</v>
      </c>
      <c r="V334" s="29" t="str">
        <f t="shared" si="26"/>
        <v>✓ OK</v>
      </c>
      <c r="W334" s="45">
        <v>46248</v>
      </c>
      <c r="X334" s="30" t="s">
        <v>23</v>
      </c>
      <c r="Y334" s="30" t="s">
        <v>1352</v>
      </c>
      <c r="Z334" s="30" t="s">
        <v>25</v>
      </c>
      <c r="AA334" s="30" t="s">
        <v>1352</v>
      </c>
      <c r="AB334" s="30" t="s">
        <v>24</v>
      </c>
      <c r="AC334" s="27"/>
      <c r="AD334" s="31" t="s">
        <v>25</v>
      </c>
      <c r="AE334" s="32" t="str">
        <f t="shared" si="27"/>
        <v>✓ OK</v>
      </c>
      <c r="AF334" s="33" t="s">
        <v>27</v>
      </c>
      <c r="AG334" s="33" t="s">
        <v>23</v>
      </c>
      <c r="AH334" s="33" t="s">
        <v>1352</v>
      </c>
      <c r="AI334" s="33" t="s">
        <v>25</v>
      </c>
      <c r="AJ334" s="33" t="s">
        <v>1352</v>
      </c>
      <c r="AK334" s="33" t="s">
        <v>24</v>
      </c>
      <c r="AL334" s="27"/>
      <c r="AM334" s="34" t="s">
        <v>25</v>
      </c>
      <c r="AN334" s="35" t="str">
        <f t="shared" si="28"/>
        <v>✓ OK</v>
      </c>
      <c r="AO334" s="36"/>
      <c r="AP334" s="36"/>
      <c r="AQ334" s="36"/>
      <c r="AR334" s="36"/>
      <c r="AS334" s="36"/>
      <c r="AT334" s="36"/>
      <c r="AU334" s="27"/>
      <c r="AV334" s="37"/>
      <c r="AW334" s="38" t="str">
        <f t="shared" si="29"/>
        <v/>
      </c>
    </row>
    <row r="335" spans="1:49" ht="18" customHeight="1" x14ac:dyDescent="0.3">
      <c r="A335" s="23">
        <v>331</v>
      </c>
      <c r="B335" s="24" t="s">
        <v>5860</v>
      </c>
      <c r="C335" s="25" t="s">
        <v>5861</v>
      </c>
      <c r="D335" s="23" t="s">
        <v>5200</v>
      </c>
      <c r="E335" s="43">
        <v>46125</v>
      </c>
      <c r="F335" s="26" t="s">
        <v>23</v>
      </c>
      <c r="G335" s="44" t="s">
        <v>1352</v>
      </c>
      <c r="H335" s="26" t="s">
        <v>25</v>
      </c>
      <c r="I335" s="44" t="s">
        <v>1352</v>
      </c>
      <c r="J335" s="26" t="s">
        <v>24</v>
      </c>
      <c r="K335" s="27"/>
      <c r="L335" s="28" t="s">
        <v>25</v>
      </c>
      <c r="M335" s="29" t="str">
        <f t="shared" si="25"/>
        <v>✓ OK</v>
      </c>
      <c r="N335" s="43">
        <v>46196</v>
      </c>
      <c r="O335" s="26" t="s">
        <v>23</v>
      </c>
      <c r="P335" s="44" t="s">
        <v>1352</v>
      </c>
      <c r="Q335" s="26" t="s">
        <v>25</v>
      </c>
      <c r="R335" s="44" t="s">
        <v>1352</v>
      </c>
      <c r="S335" s="26" t="s">
        <v>24</v>
      </c>
      <c r="T335" s="27"/>
      <c r="U335" s="28" t="s">
        <v>25</v>
      </c>
      <c r="V335" s="29" t="str">
        <f t="shared" si="26"/>
        <v>✓ OK</v>
      </c>
      <c r="W335" s="45">
        <v>46248</v>
      </c>
      <c r="X335" s="30" t="s">
        <v>23</v>
      </c>
      <c r="Y335" s="30" t="s">
        <v>1352</v>
      </c>
      <c r="Z335" s="30" t="s">
        <v>25</v>
      </c>
      <c r="AA335" s="30" t="s">
        <v>1352</v>
      </c>
      <c r="AB335" s="30" t="s">
        <v>24</v>
      </c>
      <c r="AC335" s="27"/>
      <c r="AD335" s="31" t="s">
        <v>25</v>
      </c>
      <c r="AE335" s="32" t="str">
        <f t="shared" si="27"/>
        <v>✓ OK</v>
      </c>
      <c r="AF335" s="33" t="s">
        <v>27</v>
      </c>
      <c r="AG335" s="33" t="s">
        <v>23</v>
      </c>
      <c r="AH335" s="33" t="s">
        <v>1352</v>
      </c>
      <c r="AI335" s="33" t="s">
        <v>25</v>
      </c>
      <c r="AJ335" s="33" t="s">
        <v>1352</v>
      </c>
      <c r="AK335" s="33" t="s">
        <v>24</v>
      </c>
      <c r="AL335" s="27"/>
      <c r="AM335" s="34" t="s">
        <v>25</v>
      </c>
      <c r="AN335" s="35" t="str">
        <f t="shared" si="28"/>
        <v>✓ OK</v>
      </c>
      <c r="AO335" s="36"/>
      <c r="AP335" s="36"/>
      <c r="AQ335" s="36"/>
      <c r="AR335" s="36"/>
      <c r="AS335" s="36"/>
      <c r="AT335" s="36"/>
      <c r="AU335" s="27"/>
      <c r="AV335" s="37"/>
      <c r="AW335" s="38" t="str">
        <f t="shared" si="29"/>
        <v/>
      </c>
    </row>
    <row r="336" spans="1:49" ht="18" customHeight="1" x14ac:dyDescent="0.3">
      <c r="A336" s="39">
        <v>332</v>
      </c>
      <c r="B336" s="40" t="s">
        <v>5862</v>
      </c>
      <c r="C336" s="41" t="s">
        <v>5863</v>
      </c>
      <c r="D336" s="39" t="s">
        <v>5200</v>
      </c>
      <c r="E336" s="43">
        <v>46125</v>
      </c>
      <c r="F336" s="26" t="s">
        <v>23</v>
      </c>
      <c r="G336" s="44" t="s">
        <v>1352</v>
      </c>
      <c r="H336" s="26" t="s">
        <v>25</v>
      </c>
      <c r="I336" s="44" t="s">
        <v>1352</v>
      </c>
      <c r="J336" s="26" t="s">
        <v>24</v>
      </c>
      <c r="K336" s="27"/>
      <c r="L336" s="28" t="s">
        <v>25</v>
      </c>
      <c r="M336" s="29" t="str">
        <f t="shared" si="25"/>
        <v>✓ OK</v>
      </c>
      <c r="N336" s="43">
        <v>46196</v>
      </c>
      <c r="O336" s="26" t="s">
        <v>23</v>
      </c>
      <c r="P336" s="44" t="s">
        <v>1352</v>
      </c>
      <c r="Q336" s="26" t="s">
        <v>25</v>
      </c>
      <c r="R336" s="44" t="s">
        <v>1352</v>
      </c>
      <c r="S336" s="26" t="s">
        <v>24</v>
      </c>
      <c r="T336" s="27"/>
      <c r="U336" s="28" t="s">
        <v>25</v>
      </c>
      <c r="V336" s="29" t="str">
        <f t="shared" si="26"/>
        <v>✓ OK</v>
      </c>
      <c r="W336" s="45">
        <v>46248</v>
      </c>
      <c r="X336" s="30" t="s">
        <v>23</v>
      </c>
      <c r="Y336" s="30" t="s">
        <v>1352</v>
      </c>
      <c r="Z336" s="30" t="s">
        <v>25</v>
      </c>
      <c r="AA336" s="30" t="s">
        <v>1352</v>
      </c>
      <c r="AB336" s="30" t="s">
        <v>24</v>
      </c>
      <c r="AC336" s="27"/>
      <c r="AD336" s="31" t="s">
        <v>25</v>
      </c>
      <c r="AE336" s="32" t="str">
        <f t="shared" si="27"/>
        <v>✓ OK</v>
      </c>
      <c r="AF336" s="33" t="s">
        <v>27</v>
      </c>
      <c r="AG336" s="33" t="s">
        <v>23</v>
      </c>
      <c r="AH336" s="33" t="s">
        <v>1352</v>
      </c>
      <c r="AI336" s="33" t="s">
        <v>25</v>
      </c>
      <c r="AJ336" s="33" t="s">
        <v>1352</v>
      </c>
      <c r="AK336" s="33" t="s">
        <v>24</v>
      </c>
      <c r="AL336" s="27"/>
      <c r="AM336" s="34" t="s">
        <v>25</v>
      </c>
      <c r="AN336" s="35" t="str">
        <f t="shared" si="28"/>
        <v>✓ OK</v>
      </c>
      <c r="AO336" s="36"/>
      <c r="AP336" s="36"/>
      <c r="AQ336" s="36"/>
      <c r="AR336" s="36"/>
      <c r="AS336" s="36"/>
      <c r="AT336" s="36"/>
      <c r="AU336" s="27"/>
      <c r="AV336" s="37"/>
      <c r="AW336" s="38" t="str">
        <f t="shared" si="29"/>
        <v/>
      </c>
    </row>
    <row r="337" spans="1:49" ht="18" customHeight="1" x14ac:dyDescent="0.3">
      <c r="A337" s="23">
        <v>333</v>
      </c>
      <c r="B337" s="24" t="s">
        <v>5864</v>
      </c>
      <c r="C337" s="25" t="s">
        <v>5865</v>
      </c>
      <c r="D337" s="23" t="s">
        <v>5200</v>
      </c>
      <c r="E337" s="43">
        <v>46125</v>
      </c>
      <c r="F337" s="26" t="s">
        <v>23</v>
      </c>
      <c r="G337" s="44" t="s">
        <v>24</v>
      </c>
      <c r="H337" s="26" t="s">
        <v>25</v>
      </c>
      <c r="I337" s="44" t="s">
        <v>26</v>
      </c>
      <c r="J337" s="26" t="s">
        <v>24</v>
      </c>
      <c r="K337" s="27"/>
      <c r="L337" s="28" t="s">
        <v>25</v>
      </c>
      <c r="M337" s="29" t="str">
        <f t="shared" si="25"/>
        <v>✓ OK</v>
      </c>
      <c r="N337" s="43">
        <v>46196</v>
      </c>
      <c r="O337" s="26" t="s">
        <v>23</v>
      </c>
      <c r="P337" s="44" t="s">
        <v>24</v>
      </c>
      <c r="Q337" s="26" t="s">
        <v>25</v>
      </c>
      <c r="R337" s="44" t="s">
        <v>26</v>
      </c>
      <c r="S337" s="26" t="s">
        <v>24</v>
      </c>
      <c r="T337" s="27"/>
      <c r="U337" s="28" t="s">
        <v>25</v>
      </c>
      <c r="V337" s="29" t="str">
        <f t="shared" si="26"/>
        <v>✓ OK</v>
      </c>
      <c r="W337" s="45">
        <v>46248</v>
      </c>
      <c r="X337" s="30" t="s">
        <v>23</v>
      </c>
      <c r="Y337" s="30" t="s">
        <v>24</v>
      </c>
      <c r="Z337" s="30" t="s">
        <v>25</v>
      </c>
      <c r="AA337" s="30" t="s">
        <v>26</v>
      </c>
      <c r="AB337" s="30" t="s">
        <v>24</v>
      </c>
      <c r="AC337" s="27"/>
      <c r="AD337" s="31" t="s">
        <v>25</v>
      </c>
      <c r="AE337" s="32" t="str">
        <f t="shared" si="27"/>
        <v>✓ OK</v>
      </c>
      <c r="AF337" s="33" t="s">
        <v>27</v>
      </c>
      <c r="AG337" s="33" t="s">
        <v>23</v>
      </c>
      <c r="AH337" s="33" t="s">
        <v>24</v>
      </c>
      <c r="AI337" s="33" t="s">
        <v>25</v>
      </c>
      <c r="AJ337" s="33" t="s">
        <v>26</v>
      </c>
      <c r="AK337" s="33" t="s">
        <v>24</v>
      </c>
      <c r="AL337" s="27"/>
      <c r="AM337" s="34" t="s">
        <v>25</v>
      </c>
      <c r="AN337" s="35" t="str">
        <f t="shared" si="28"/>
        <v>✓ OK</v>
      </c>
      <c r="AO337" s="36"/>
      <c r="AP337" s="36"/>
      <c r="AQ337" s="36"/>
      <c r="AR337" s="36"/>
      <c r="AS337" s="36"/>
      <c r="AT337" s="36"/>
      <c r="AU337" s="27"/>
      <c r="AV337" s="37"/>
      <c r="AW337" s="38" t="str">
        <f t="shared" si="29"/>
        <v/>
      </c>
    </row>
    <row r="338" spans="1:49" ht="18" customHeight="1" x14ac:dyDescent="0.3">
      <c r="A338" s="39">
        <v>334</v>
      </c>
      <c r="B338" s="40" t="s">
        <v>5866</v>
      </c>
      <c r="C338" s="41" t="s">
        <v>5867</v>
      </c>
      <c r="D338" s="39" t="s">
        <v>5200</v>
      </c>
      <c r="E338" s="43">
        <v>46125</v>
      </c>
      <c r="F338" s="26" t="s">
        <v>23</v>
      </c>
      <c r="G338" s="44" t="s">
        <v>1352</v>
      </c>
      <c r="H338" s="26" t="s">
        <v>25</v>
      </c>
      <c r="I338" s="44" t="s">
        <v>1352</v>
      </c>
      <c r="J338" s="26" t="s">
        <v>24</v>
      </c>
      <c r="K338" s="27"/>
      <c r="L338" s="28" t="s">
        <v>25</v>
      </c>
      <c r="M338" s="29" t="str">
        <f t="shared" si="25"/>
        <v>✓ OK</v>
      </c>
      <c r="N338" s="43">
        <v>46196</v>
      </c>
      <c r="O338" s="26" t="s">
        <v>23</v>
      </c>
      <c r="P338" s="44" t="s">
        <v>1352</v>
      </c>
      <c r="Q338" s="26" t="s">
        <v>25</v>
      </c>
      <c r="R338" s="44" t="s">
        <v>1352</v>
      </c>
      <c r="S338" s="26" t="s">
        <v>24</v>
      </c>
      <c r="T338" s="27"/>
      <c r="U338" s="28" t="s">
        <v>25</v>
      </c>
      <c r="V338" s="29" t="str">
        <f t="shared" si="26"/>
        <v>✓ OK</v>
      </c>
      <c r="W338" s="45">
        <v>46248</v>
      </c>
      <c r="X338" s="30" t="s">
        <v>23</v>
      </c>
      <c r="Y338" s="30" t="s">
        <v>1352</v>
      </c>
      <c r="Z338" s="30" t="s">
        <v>25</v>
      </c>
      <c r="AA338" s="30" t="s">
        <v>1352</v>
      </c>
      <c r="AB338" s="30" t="s">
        <v>24</v>
      </c>
      <c r="AC338" s="27"/>
      <c r="AD338" s="31" t="s">
        <v>25</v>
      </c>
      <c r="AE338" s="32" t="str">
        <f t="shared" si="27"/>
        <v>✓ OK</v>
      </c>
      <c r="AF338" s="33" t="s">
        <v>27</v>
      </c>
      <c r="AG338" s="33" t="s">
        <v>23</v>
      </c>
      <c r="AH338" s="33" t="s">
        <v>1352</v>
      </c>
      <c r="AI338" s="33" t="s">
        <v>25</v>
      </c>
      <c r="AJ338" s="33" t="s">
        <v>1352</v>
      </c>
      <c r="AK338" s="33" t="s">
        <v>24</v>
      </c>
      <c r="AL338" s="27"/>
      <c r="AM338" s="34" t="s">
        <v>25</v>
      </c>
      <c r="AN338" s="35" t="str">
        <f t="shared" si="28"/>
        <v>✓ OK</v>
      </c>
      <c r="AO338" s="36"/>
      <c r="AP338" s="36"/>
      <c r="AQ338" s="36"/>
      <c r="AR338" s="36"/>
      <c r="AS338" s="36"/>
      <c r="AT338" s="36"/>
      <c r="AU338" s="27"/>
      <c r="AV338" s="37"/>
      <c r="AW338" s="38" t="str">
        <f t="shared" si="29"/>
        <v/>
      </c>
    </row>
    <row r="339" spans="1:49" ht="18" customHeight="1" x14ac:dyDescent="0.3">
      <c r="A339" s="23">
        <v>335</v>
      </c>
      <c r="B339" s="24" t="s">
        <v>5868</v>
      </c>
      <c r="C339" s="25" t="s">
        <v>5869</v>
      </c>
      <c r="D339" s="23" t="s">
        <v>5200</v>
      </c>
      <c r="E339" s="43">
        <v>46125</v>
      </c>
      <c r="F339" s="26" t="s">
        <v>23</v>
      </c>
      <c r="G339" s="44" t="s">
        <v>1352</v>
      </c>
      <c r="H339" s="26" t="s">
        <v>25</v>
      </c>
      <c r="I339" s="44" t="s">
        <v>1352</v>
      </c>
      <c r="J339" s="26" t="s">
        <v>24</v>
      </c>
      <c r="K339" s="27"/>
      <c r="L339" s="28" t="s">
        <v>25</v>
      </c>
      <c r="M339" s="29" t="str">
        <f t="shared" si="25"/>
        <v>✓ OK</v>
      </c>
      <c r="N339" s="43">
        <v>46196</v>
      </c>
      <c r="O339" s="26" t="s">
        <v>23</v>
      </c>
      <c r="P339" s="44" t="s">
        <v>1352</v>
      </c>
      <c r="Q339" s="26" t="s">
        <v>25</v>
      </c>
      <c r="R339" s="44" t="s">
        <v>1352</v>
      </c>
      <c r="S339" s="26" t="s">
        <v>24</v>
      </c>
      <c r="T339" s="27"/>
      <c r="U339" s="28" t="s">
        <v>25</v>
      </c>
      <c r="V339" s="29" t="str">
        <f t="shared" si="26"/>
        <v>✓ OK</v>
      </c>
      <c r="W339" s="45">
        <v>46248</v>
      </c>
      <c r="X339" s="30" t="s">
        <v>23</v>
      </c>
      <c r="Y339" s="30" t="s">
        <v>1352</v>
      </c>
      <c r="Z339" s="30" t="s">
        <v>25</v>
      </c>
      <c r="AA339" s="30" t="s">
        <v>1352</v>
      </c>
      <c r="AB339" s="30" t="s">
        <v>24</v>
      </c>
      <c r="AC339" s="27"/>
      <c r="AD339" s="31" t="s">
        <v>25</v>
      </c>
      <c r="AE339" s="32" t="str">
        <f t="shared" si="27"/>
        <v>✓ OK</v>
      </c>
      <c r="AF339" s="33" t="s">
        <v>27</v>
      </c>
      <c r="AG339" s="33" t="s">
        <v>23</v>
      </c>
      <c r="AH339" s="33" t="s">
        <v>1352</v>
      </c>
      <c r="AI339" s="33" t="s">
        <v>25</v>
      </c>
      <c r="AJ339" s="33" t="s">
        <v>1352</v>
      </c>
      <c r="AK339" s="33" t="s">
        <v>24</v>
      </c>
      <c r="AL339" s="27"/>
      <c r="AM339" s="34" t="s">
        <v>25</v>
      </c>
      <c r="AN339" s="35" t="str">
        <f t="shared" si="28"/>
        <v>✓ OK</v>
      </c>
      <c r="AO339" s="36"/>
      <c r="AP339" s="36"/>
      <c r="AQ339" s="36"/>
      <c r="AR339" s="36"/>
      <c r="AS339" s="36"/>
      <c r="AT339" s="36"/>
      <c r="AU339" s="27"/>
      <c r="AV339" s="37"/>
      <c r="AW339" s="38" t="str">
        <f t="shared" si="29"/>
        <v/>
      </c>
    </row>
    <row r="340" spans="1:49" ht="18" customHeight="1" x14ac:dyDescent="0.3">
      <c r="A340" s="39">
        <v>336</v>
      </c>
      <c r="B340" s="40" t="s">
        <v>5870</v>
      </c>
      <c r="C340" s="41" t="s">
        <v>5871</v>
      </c>
      <c r="D340" s="39" t="s">
        <v>5200</v>
      </c>
      <c r="E340" s="43">
        <v>46125</v>
      </c>
      <c r="F340" s="26" t="s">
        <v>23</v>
      </c>
      <c r="G340" s="44" t="s">
        <v>1352</v>
      </c>
      <c r="H340" s="26" t="s">
        <v>25</v>
      </c>
      <c r="I340" s="44" t="s">
        <v>1352</v>
      </c>
      <c r="J340" s="26" t="s">
        <v>24</v>
      </c>
      <c r="K340" s="27"/>
      <c r="L340" s="28" t="s">
        <v>25</v>
      </c>
      <c r="M340" s="29" t="str">
        <f t="shared" si="25"/>
        <v>✓ OK</v>
      </c>
      <c r="N340" s="43">
        <v>46196</v>
      </c>
      <c r="O340" s="26" t="s">
        <v>23</v>
      </c>
      <c r="P340" s="44" t="s">
        <v>1352</v>
      </c>
      <c r="Q340" s="26" t="s">
        <v>25</v>
      </c>
      <c r="R340" s="44" t="s">
        <v>1352</v>
      </c>
      <c r="S340" s="26" t="s">
        <v>24</v>
      </c>
      <c r="T340" s="27"/>
      <c r="U340" s="28" t="s">
        <v>25</v>
      </c>
      <c r="V340" s="29" t="str">
        <f t="shared" si="26"/>
        <v>✓ OK</v>
      </c>
      <c r="W340" s="45">
        <v>46248</v>
      </c>
      <c r="X340" s="30" t="s">
        <v>23</v>
      </c>
      <c r="Y340" s="30" t="s">
        <v>1352</v>
      </c>
      <c r="Z340" s="30" t="s">
        <v>25</v>
      </c>
      <c r="AA340" s="30" t="s">
        <v>1352</v>
      </c>
      <c r="AB340" s="30" t="s">
        <v>24</v>
      </c>
      <c r="AC340" s="27"/>
      <c r="AD340" s="31" t="s">
        <v>25</v>
      </c>
      <c r="AE340" s="32" t="str">
        <f t="shared" si="27"/>
        <v>✓ OK</v>
      </c>
      <c r="AF340" s="33" t="s">
        <v>27</v>
      </c>
      <c r="AG340" s="33" t="s">
        <v>23</v>
      </c>
      <c r="AH340" s="33" t="s">
        <v>1352</v>
      </c>
      <c r="AI340" s="33" t="s">
        <v>25</v>
      </c>
      <c r="AJ340" s="33" t="s">
        <v>1352</v>
      </c>
      <c r="AK340" s="33" t="s">
        <v>24</v>
      </c>
      <c r="AL340" s="27"/>
      <c r="AM340" s="34" t="s">
        <v>25</v>
      </c>
      <c r="AN340" s="35" t="str">
        <f t="shared" si="28"/>
        <v>✓ OK</v>
      </c>
      <c r="AO340" s="36"/>
      <c r="AP340" s="36"/>
      <c r="AQ340" s="36"/>
      <c r="AR340" s="36"/>
      <c r="AS340" s="36"/>
      <c r="AT340" s="36"/>
      <c r="AU340" s="27"/>
      <c r="AV340" s="37"/>
      <c r="AW340" s="38" t="str">
        <f t="shared" si="29"/>
        <v/>
      </c>
    </row>
    <row r="341" spans="1:49" ht="18" customHeight="1" x14ac:dyDescent="0.3">
      <c r="A341" s="23">
        <v>337</v>
      </c>
      <c r="B341" s="24" t="s">
        <v>5872</v>
      </c>
      <c r="C341" s="25" t="s">
        <v>5873</v>
      </c>
      <c r="D341" s="23" t="s">
        <v>5200</v>
      </c>
      <c r="E341" s="43">
        <v>46125</v>
      </c>
      <c r="F341" s="26" t="s">
        <v>23</v>
      </c>
      <c r="G341" s="44" t="s">
        <v>1352</v>
      </c>
      <c r="H341" s="26" t="s">
        <v>25</v>
      </c>
      <c r="I341" s="44" t="s">
        <v>1352</v>
      </c>
      <c r="J341" s="26" t="s">
        <v>24</v>
      </c>
      <c r="K341" s="27"/>
      <c r="L341" s="28" t="s">
        <v>25</v>
      </c>
      <c r="M341" s="29" t="str">
        <f t="shared" si="25"/>
        <v>✓ OK</v>
      </c>
      <c r="N341" s="43">
        <v>46196</v>
      </c>
      <c r="O341" s="26" t="s">
        <v>23</v>
      </c>
      <c r="P341" s="44" t="s">
        <v>1352</v>
      </c>
      <c r="Q341" s="26" t="s">
        <v>25</v>
      </c>
      <c r="R341" s="44" t="s">
        <v>1352</v>
      </c>
      <c r="S341" s="26" t="s">
        <v>24</v>
      </c>
      <c r="T341" s="27"/>
      <c r="U341" s="28" t="s">
        <v>25</v>
      </c>
      <c r="V341" s="29" t="str">
        <f t="shared" si="26"/>
        <v>✓ OK</v>
      </c>
      <c r="W341" s="45">
        <v>46248</v>
      </c>
      <c r="X341" s="30" t="s">
        <v>23</v>
      </c>
      <c r="Y341" s="30" t="s">
        <v>1352</v>
      </c>
      <c r="Z341" s="30" t="s">
        <v>25</v>
      </c>
      <c r="AA341" s="30" t="s">
        <v>1352</v>
      </c>
      <c r="AB341" s="30" t="s">
        <v>24</v>
      </c>
      <c r="AC341" s="27"/>
      <c r="AD341" s="31" t="s">
        <v>25</v>
      </c>
      <c r="AE341" s="32" t="str">
        <f t="shared" si="27"/>
        <v>✓ OK</v>
      </c>
      <c r="AF341" s="33" t="s">
        <v>27</v>
      </c>
      <c r="AG341" s="33" t="s">
        <v>23</v>
      </c>
      <c r="AH341" s="33" t="s">
        <v>1352</v>
      </c>
      <c r="AI341" s="33" t="s">
        <v>25</v>
      </c>
      <c r="AJ341" s="33" t="s">
        <v>1352</v>
      </c>
      <c r="AK341" s="33" t="s">
        <v>24</v>
      </c>
      <c r="AL341" s="27"/>
      <c r="AM341" s="34" t="s">
        <v>25</v>
      </c>
      <c r="AN341" s="35" t="str">
        <f t="shared" si="28"/>
        <v>✓ OK</v>
      </c>
      <c r="AO341" s="36"/>
      <c r="AP341" s="36"/>
      <c r="AQ341" s="36"/>
      <c r="AR341" s="36"/>
      <c r="AS341" s="36"/>
      <c r="AT341" s="36"/>
      <c r="AU341" s="27"/>
      <c r="AV341" s="37"/>
      <c r="AW341" s="38" t="str">
        <f t="shared" si="29"/>
        <v/>
      </c>
    </row>
    <row r="342" spans="1:49" ht="18" customHeight="1" x14ac:dyDescent="0.3">
      <c r="A342" s="39">
        <v>338</v>
      </c>
      <c r="B342" s="40" t="s">
        <v>5874</v>
      </c>
      <c r="C342" s="41" t="s">
        <v>5875</v>
      </c>
      <c r="D342" s="39" t="s">
        <v>5200</v>
      </c>
      <c r="E342" s="43">
        <v>46125</v>
      </c>
      <c r="F342" s="26" t="s">
        <v>23</v>
      </c>
      <c r="G342" s="44" t="s">
        <v>1352</v>
      </c>
      <c r="H342" s="26" t="s">
        <v>25</v>
      </c>
      <c r="I342" s="44" t="s">
        <v>1352</v>
      </c>
      <c r="J342" s="26" t="s">
        <v>24</v>
      </c>
      <c r="K342" s="27"/>
      <c r="L342" s="28" t="s">
        <v>25</v>
      </c>
      <c r="M342" s="29" t="str">
        <f t="shared" si="25"/>
        <v>✓ OK</v>
      </c>
      <c r="N342" s="43">
        <v>46196</v>
      </c>
      <c r="O342" s="26" t="s">
        <v>23</v>
      </c>
      <c r="P342" s="44" t="s">
        <v>1352</v>
      </c>
      <c r="Q342" s="26" t="s">
        <v>25</v>
      </c>
      <c r="R342" s="44" t="s">
        <v>1352</v>
      </c>
      <c r="S342" s="26" t="s">
        <v>24</v>
      </c>
      <c r="T342" s="27"/>
      <c r="U342" s="28" t="s">
        <v>25</v>
      </c>
      <c r="V342" s="29" t="str">
        <f t="shared" si="26"/>
        <v>✓ OK</v>
      </c>
      <c r="W342" s="45">
        <v>46248</v>
      </c>
      <c r="X342" s="30" t="s">
        <v>23</v>
      </c>
      <c r="Y342" s="30" t="s">
        <v>1352</v>
      </c>
      <c r="Z342" s="30" t="s">
        <v>25</v>
      </c>
      <c r="AA342" s="30" t="s">
        <v>1352</v>
      </c>
      <c r="AB342" s="30" t="s">
        <v>24</v>
      </c>
      <c r="AC342" s="27"/>
      <c r="AD342" s="31" t="s">
        <v>25</v>
      </c>
      <c r="AE342" s="32" t="str">
        <f t="shared" si="27"/>
        <v>✓ OK</v>
      </c>
      <c r="AF342" s="33" t="s">
        <v>27</v>
      </c>
      <c r="AG342" s="33" t="s">
        <v>23</v>
      </c>
      <c r="AH342" s="33" t="s">
        <v>1352</v>
      </c>
      <c r="AI342" s="33" t="s">
        <v>25</v>
      </c>
      <c r="AJ342" s="33" t="s">
        <v>1352</v>
      </c>
      <c r="AK342" s="33" t="s">
        <v>24</v>
      </c>
      <c r="AL342" s="27"/>
      <c r="AM342" s="34" t="s">
        <v>25</v>
      </c>
      <c r="AN342" s="35" t="str">
        <f t="shared" si="28"/>
        <v>✓ OK</v>
      </c>
      <c r="AO342" s="36"/>
      <c r="AP342" s="36"/>
      <c r="AQ342" s="36"/>
      <c r="AR342" s="36"/>
      <c r="AS342" s="36"/>
      <c r="AT342" s="36"/>
      <c r="AU342" s="27"/>
      <c r="AV342" s="37"/>
      <c r="AW342" s="38" t="str">
        <f t="shared" si="29"/>
        <v/>
      </c>
    </row>
    <row r="343" spans="1:49" ht="18" customHeight="1" x14ac:dyDescent="0.3">
      <c r="A343" s="23">
        <v>339</v>
      </c>
      <c r="B343" s="24" t="s">
        <v>5876</v>
      </c>
      <c r="C343" s="25" t="s">
        <v>5877</v>
      </c>
      <c r="D343" s="23" t="s">
        <v>5200</v>
      </c>
      <c r="E343" s="43">
        <v>46125</v>
      </c>
      <c r="F343" s="26" t="s">
        <v>23</v>
      </c>
      <c r="G343" s="44" t="s">
        <v>1352</v>
      </c>
      <c r="H343" s="26" t="s">
        <v>25</v>
      </c>
      <c r="I343" s="44" t="s">
        <v>1352</v>
      </c>
      <c r="J343" s="26" t="s">
        <v>24</v>
      </c>
      <c r="K343" s="27"/>
      <c r="L343" s="28" t="s">
        <v>25</v>
      </c>
      <c r="M343" s="29" t="str">
        <f t="shared" si="25"/>
        <v>✓ OK</v>
      </c>
      <c r="N343" s="43">
        <v>46196</v>
      </c>
      <c r="O343" s="26" t="s">
        <v>23</v>
      </c>
      <c r="P343" s="44" t="s">
        <v>1352</v>
      </c>
      <c r="Q343" s="26" t="s">
        <v>25</v>
      </c>
      <c r="R343" s="44" t="s">
        <v>1352</v>
      </c>
      <c r="S343" s="26" t="s">
        <v>24</v>
      </c>
      <c r="T343" s="27"/>
      <c r="U343" s="28" t="s">
        <v>25</v>
      </c>
      <c r="V343" s="29" t="str">
        <f t="shared" si="26"/>
        <v>✓ OK</v>
      </c>
      <c r="W343" s="45">
        <v>46248</v>
      </c>
      <c r="X343" s="30" t="s">
        <v>23</v>
      </c>
      <c r="Y343" s="30" t="s">
        <v>1352</v>
      </c>
      <c r="Z343" s="30" t="s">
        <v>25</v>
      </c>
      <c r="AA343" s="30" t="s">
        <v>1352</v>
      </c>
      <c r="AB343" s="30" t="s">
        <v>24</v>
      </c>
      <c r="AC343" s="27"/>
      <c r="AD343" s="31" t="s">
        <v>25</v>
      </c>
      <c r="AE343" s="32" t="str">
        <f t="shared" si="27"/>
        <v>✓ OK</v>
      </c>
      <c r="AF343" s="33" t="s">
        <v>27</v>
      </c>
      <c r="AG343" s="33" t="s">
        <v>23</v>
      </c>
      <c r="AH343" s="33" t="s">
        <v>1352</v>
      </c>
      <c r="AI343" s="33" t="s">
        <v>25</v>
      </c>
      <c r="AJ343" s="33" t="s">
        <v>1352</v>
      </c>
      <c r="AK343" s="33" t="s">
        <v>24</v>
      </c>
      <c r="AL343" s="27"/>
      <c r="AM343" s="34" t="s">
        <v>25</v>
      </c>
      <c r="AN343" s="35" t="str">
        <f t="shared" si="28"/>
        <v>✓ OK</v>
      </c>
      <c r="AO343" s="36"/>
      <c r="AP343" s="36"/>
      <c r="AQ343" s="36"/>
      <c r="AR343" s="36"/>
      <c r="AS343" s="36"/>
      <c r="AT343" s="36"/>
      <c r="AU343" s="27"/>
      <c r="AV343" s="37"/>
      <c r="AW343" s="38" t="str">
        <f t="shared" si="29"/>
        <v/>
      </c>
    </row>
    <row r="344" spans="1:49" ht="18" customHeight="1" x14ac:dyDescent="0.3">
      <c r="A344" s="39">
        <v>340</v>
      </c>
      <c r="B344" s="40" t="s">
        <v>5878</v>
      </c>
      <c r="C344" s="41" t="s">
        <v>5879</v>
      </c>
      <c r="D344" s="39" t="s">
        <v>5200</v>
      </c>
      <c r="E344" s="43">
        <v>46125</v>
      </c>
      <c r="F344" s="26" t="s">
        <v>23</v>
      </c>
      <c r="G344" s="44" t="s">
        <v>1352</v>
      </c>
      <c r="H344" s="26" t="s">
        <v>25</v>
      </c>
      <c r="I344" s="44" t="s">
        <v>1352</v>
      </c>
      <c r="J344" s="26" t="s">
        <v>24</v>
      </c>
      <c r="K344" s="27"/>
      <c r="L344" s="28" t="s">
        <v>25</v>
      </c>
      <c r="M344" s="29" t="str">
        <f t="shared" si="25"/>
        <v>✓ OK</v>
      </c>
      <c r="N344" s="43">
        <v>46196</v>
      </c>
      <c r="O344" s="26" t="s">
        <v>23</v>
      </c>
      <c r="P344" s="44" t="s">
        <v>1352</v>
      </c>
      <c r="Q344" s="26" t="s">
        <v>25</v>
      </c>
      <c r="R344" s="44" t="s">
        <v>1352</v>
      </c>
      <c r="S344" s="26" t="s">
        <v>24</v>
      </c>
      <c r="T344" s="27"/>
      <c r="U344" s="28" t="s">
        <v>25</v>
      </c>
      <c r="V344" s="29" t="str">
        <f t="shared" si="26"/>
        <v>✓ OK</v>
      </c>
      <c r="W344" s="45">
        <v>46248</v>
      </c>
      <c r="X344" s="30" t="s">
        <v>23</v>
      </c>
      <c r="Y344" s="30" t="s">
        <v>1352</v>
      </c>
      <c r="Z344" s="30" t="s">
        <v>25</v>
      </c>
      <c r="AA344" s="30" t="s">
        <v>1352</v>
      </c>
      <c r="AB344" s="30" t="s">
        <v>24</v>
      </c>
      <c r="AC344" s="27"/>
      <c r="AD344" s="31" t="s">
        <v>25</v>
      </c>
      <c r="AE344" s="32" t="str">
        <f t="shared" si="27"/>
        <v>✓ OK</v>
      </c>
      <c r="AF344" s="33" t="s">
        <v>27</v>
      </c>
      <c r="AG344" s="33" t="s">
        <v>23</v>
      </c>
      <c r="AH344" s="33" t="s">
        <v>1352</v>
      </c>
      <c r="AI344" s="33" t="s">
        <v>25</v>
      </c>
      <c r="AJ344" s="33" t="s">
        <v>1352</v>
      </c>
      <c r="AK344" s="33" t="s">
        <v>24</v>
      </c>
      <c r="AL344" s="27"/>
      <c r="AM344" s="34" t="s">
        <v>25</v>
      </c>
      <c r="AN344" s="35" t="str">
        <f t="shared" si="28"/>
        <v>✓ OK</v>
      </c>
      <c r="AO344" s="36"/>
      <c r="AP344" s="36"/>
      <c r="AQ344" s="36"/>
      <c r="AR344" s="36"/>
      <c r="AS344" s="36"/>
      <c r="AT344" s="36"/>
      <c r="AU344" s="27"/>
      <c r="AV344" s="37"/>
      <c r="AW344" s="38" t="str">
        <f t="shared" si="29"/>
        <v/>
      </c>
    </row>
    <row r="345" spans="1:49" ht="18" customHeight="1" x14ac:dyDescent="0.3">
      <c r="A345" s="23">
        <v>341</v>
      </c>
      <c r="B345" s="24" t="s">
        <v>5880</v>
      </c>
      <c r="C345" s="25" t="s">
        <v>5881</v>
      </c>
      <c r="D345" s="23" t="s">
        <v>5200</v>
      </c>
      <c r="E345" s="43">
        <v>46125</v>
      </c>
      <c r="F345" s="26" t="s">
        <v>23</v>
      </c>
      <c r="G345" s="44" t="s">
        <v>1352</v>
      </c>
      <c r="H345" s="26" t="s">
        <v>25</v>
      </c>
      <c r="I345" s="44" t="s">
        <v>1352</v>
      </c>
      <c r="J345" s="26" t="s">
        <v>24</v>
      </c>
      <c r="K345" s="27"/>
      <c r="L345" s="28" t="s">
        <v>25</v>
      </c>
      <c r="M345" s="29" t="str">
        <f t="shared" si="25"/>
        <v>✓ OK</v>
      </c>
      <c r="N345" s="43">
        <v>46196</v>
      </c>
      <c r="O345" s="26" t="s">
        <v>23</v>
      </c>
      <c r="P345" s="44" t="s">
        <v>1352</v>
      </c>
      <c r="Q345" s="26" t="s">
        <v>25</v>
      </c>
      <c r="R345" s="44" t="s">
        <v>1352</v>
      </c>
      <c r="S345" s="26" t="s">
        <v>24</v>
      </c>
      <c r="T345" s="27"/>
      <c r="U345" s="28" t="s">
        <v>25</v>
      </c>
      <c r="V345" s="29" t="str">
        <f t="shared" si="26"/>
        <v>✓ OK</v>
      </c>
      <c r="W345" s="45">
        <v>46248</v>
      </c>
      <c r="X345" s="30" t="s">
        <v>23</v>
      </c>
      <c r="Y345" s="30" t="s">
        <v>1352</v>
      </c>
      <c r="Z345" s="30" t="s">
        <v>25</v>
      </c>
      <c r="AA345" s="30" t="s">
        <v>1352</v>
      </c>
      <c r="AB345" s="30" t="s">
        <v>24</v>
      </c>
      <c r="AC345" s="27"/>
      <c r="AD345" s="31" t="s">
        <v>25</v>
      </c>
      <c r="AE345" s="32" t="str">
        <f t="shared" si="27"/>
        <v>✓ OK</v>
      </c>
      <c r="AF345" s="33" t="s">
        <v>27</v>
      </c>
      <c r="AG345" s="33" t="s">
        <v>23</v>
      </c>
      <c r="AH345" s="33" t="s">
        <v>1352</v>
      </c>
      <c r="AI345" s="33" t="s">
        <v>25</v>
      </c>
      <c r="AJ345" s="33" t="s">
        <v>1352</v>
      </c>
      <c r="AK345" s="33" t="s">
        <v>24</v>
      </c>
      <c r="AL345" s="27"/>
      <c r="AM345" s="34" t="s">
        <v>25</v>
      </c>
      <c r="AN345" s="35" t="str">
        <f t="shared" si="28"/>
        <v>✓ OK</v>
      </c>
      <c r="AO345" s="36"/>
      <c r="AP345" s="36"/>
      <c r="AQ345" s="36"/>
      <c r="AR345" s="36"/>
      <c r="AS345" s="36"/>
      <c r="AT345" s="36"/>
      <c r="AU345" s="27"/>
      <c r="AV345" s="37"/>
      <c r="AW345" s="38" t="str">
        <f t="shared" si="29"/>
        <v/>
      </c>
    </row>
    <row r="346" spans="1:49" ht="18" customHeight="1" x14ac:dyDescent="0.3">
      <c r="A346" s="39">
        <v>342</v>
      </c>
      <c r="B346" s="40" t="s">
        <v>5882</v>
      </c>
      <c r="C346" s="41" t="s">
        <v>5883</v>
      </c>
      <c r="D346" s="39" t="s">
        <v>5200</v>
      </c>
      <c r="E346" s="43">
        <v>46125</v>
      </c>
      <c r="F346" s="26" t="s">
        <v>23</v>
      </c>
      <c r="G346" s="44" t="s">
        <v>1352</v>
      </c>
      <c r="H346" s="26" t="s">
        <v>25</v>
      </c>
      <c r="I346" s="44" t="s">
        <v>1352</v>
      </c>
      <c r="J346" s="26" t="s">
        <v>24</v>
      </c>
      <c r="K346" s="27"/>
      <c r="L346" s="28" t="s">
        <v>25</v>
      </c>
      <c r="M346" s="29" t="str">
        <f t="shared" si="25"/>
        <v>✓ OK</v>
      </c>
      <c r="N346" s="43">
        <v>46196</v>
      </c>
      <c r="O346" s="26" t="s">
        <v>23</v>
      </c>
      <c r="P346" s="44" t="s">
        <v>1352</v>
      </c>
      <c r="Q346" s="26" t="s">
        <v>25</v>
      </c>
      <c r="R346" s="44" t="s">
        <v>1352</v>
      </c>
      <c r="S346" s="26" t="s">
        <v>24</v>
      </c>
      <c r="T346" s="27"/>
      <c r="U346" s="28" t="s">
        <v>25</v>
      </c>
      <c r="V346" s="29" t="str">
        <f t="shared" si="26"/>
        <v>✓ OK</v>
      </c>
      <c r="W346" s="45">
        <v>46248</v>
      </c>
      <c r="X346" s="30" t="s">
        <v>23</v>
      </c>
      <c r="Y346" s="30" t="s">
        <v>1352</v>
      </c>
      <c r="Z346" s="30" t="s">
        <v>25</v>
      </c>
      <c r="AA346" s="30" t="s">
        <v>1352</v>
      </c>
      <c r="AB346" s="30" t="s">
        <v>24</v>
      </c>
      <c r="AC346" s="27"/>
      <c r="AD346" s="31" t="s">
        <v>25</v>
      </c>
      <c r="AE346" s="32" t="str">
        <f t="shared" si="27"/>
        <v>✓ OK</v>
      </c>
      <c r="AF346" s="33" t="s">
        <v>27</v>
      </c>
      <c r="AG346" s="33" t="s">
        <v>23</v>
      </c>
      <c r="AH346" s="33" t="s">
        <v>1352</v>
      </c>
      <c r="AI346" s="33" t="s">
        <v>25</v>
      </c>
      <c r="AJ346" s="33" t="s">
        <v>1352</v>
      </c>
      <c r="AK346" s="33" t="s">
        <v>24</v>
      </c>
      <c r="AL346" s="27"/>
      <c r="AM346" s="34" t="s">
        <v>25</v>
      </c>
      <c r="AN346" s="35" t="str">
        <f t="shared" si="28"/>
        <v>✓ OK</v>
      </c>
      <c r="AO346" s="36"/>
      <c r="AP346" s="36"/>
      <c r="AQ346" s="36"/>
      <c r="AR346" s="36"/>
      <c r="AS346" s="36"/>
      <c r="AT346" s="36"/>
      <c r="AU346" s="27"/>
      <c r="AV346" s="37"/>
      <c r="AW346" s="38" t="str">
        <f t="shared" si="29"/>
        <v/>
      </c>
    </row>
    <row r="347" spans="1:49" ht="18" customHeight="1" x14ac:dyDescent="0.3">
      <c r="A347" s="23">
        <v>343</v>
      </c>
      <c r="B347" s="24" t="s">
        <v>5884</v>
      </c>
      <c r="C347" s="25" t="s">
        <v>5885</v>
      </c>
      <c r="D347" s="23" t="s">
        <v>5200</v>
      </c>
      <c r="E347" s="43">
        <v>46125</v>
      </c>
      <c r="F347" s="26" t="s">
        <v>23</v>
      </c>
      <c r="G347" s="44" t="s">
        <v>1352</v>
      </c>
      <c r="H347" s="26" t="s">
        <v>25</v>
      </c>
      <c r="I347" s="44" t="s">
        <v>1352</v>
      </c>
      <c r="J347" s="26" t="s">
        <v>24</v>
      </c>
      <c r="K347" s="27"/>
      <c r="L347" s="28" t="s">
        <v>25</v>
      </c>
      <c r="M347" s="29" t="str">
        <f t="shared" si="25"/>
        <v>✓ OK</v>
      </c>
      <c r="N347" s="43">
        <v>46196</v>
      </c>
      <c r="O347" s="26" t="s">
        <v>23</v>
      </c>
      <c r="P347" s="44" t="s">
        <v>1352</v>
      </c>
      <c r="Q347" s="26" t="s">
        <v>25</v>
      </c>
      <c r="R347" s="44" t="s">
        <v>1352</v>
      </c>
      <c r="S347" s="26" t="s">
        <v>24</v>
      </c>
      <c r="T347" s="27"/>
      <c r="U347" s="28" t="s">
        <v>25</v>
      </c>
      <c r="V347" s="29" t="str">
        <f t="shared" si="26"/>
        <v>✓ OK</v>
      </c>
      <c r="W347" s="45">
        <v>46248</v>
      </c>
      <c r="X347" s="30" t="s">
        <v>23</v>
      </c>
      <c r="Y347" s="30" t="s">
        <v>1352</v>
      </c>
      <c r="Z347" s="30" t="s">
        <v>25</v>
      </c>
      <c r="AA347" s="30" t="s">
        <v>1352</v>
      </c>
      <c r="AB347" s="30" t="s">
        <v>24</v>
      </c>
      <c r="AC347" s="27"/>
      <c r="AD347" s="31" t="s">
        <v>25</v>
      </c>
      <c r="AE347" s="32" t="str">
        <f t="shared" si="27"/>
        <v>✓ OK</v>
      </c>
      <c r="AF347" s="33" t="s">
        <v>27</v>
      </c>
      <c r="AG347" s="33" t="s">
        <v>23</v>
      </c>
      <c r="AH347" s="33" t="s">
        <v>1352</v>
      </c>
      <c r="AI347" s="33" t="s">
        <v>25</v>
      </c>
      <c r="AJ347" s="33" t="s">
        <v>1352</v>
      </c>
      <c r="AK347" s="33" t="s">
        <v>24</v>
      </c>
      <c r="AL347" s="27"/>
      <c r="AM347" s="34" t="s">
        <v>25</v>
      </c>
      <c r="AN347" s="35" t="str">
        <f t="shared" si="28"/>
        <v>✓ OK</v>
      </c>
      <c r="AO347" s="36"/>
      <c r="AP347" s="36"/>
      <c r="AQ347" s="36"/>
      <c r="AR347" s="36"/>
      <c r="AS347" s="36"/>
      <c r="AT347" s="36"/>
      <c r="AU347" s="27"/>
      <c r="AV347" s="37"/>
      <c r="AW347" s="38" t="str">
        <f t="shared" si="29"/>
        <v/>
      </c>
    </row>
    <row r="348" spans="1:49" ht="18" customHeight="1" x14ac:dyDescent="0.3">
      <c r="A348" s="39">
        <v>344</v>
      </c>
      <c r="B348" s="40" t="s">
        <v>5886</v>
      </c>
      <c r="C348" s="41" t="s">
        <v>5887</v>
      </c>
      <c r="D348" s="39" t="s">
        <v>5200</v>
      </c>
      <c r="E348" s="43">
        <v>46125</v>
      </c>
      <c r="F348" s="26" t="s">
        <v>23</v>
      </c>
      <c r="G348" s="44" t="s">
        <v>24</v>
      </c>
      <c r="H348" s="26" t="s">
        <v>25</v>
      </c>
      <c r="I348" s="44" t="s">
        <v>26</v>
      </c>
      <c r="J348" s="26" t="s">
        <v>24</v>
      </c>
      <c r="K348" s="27"/>
      <c r="L348" s="28" t="s">
        <v>25</v>
      </c>
      <c r="M348" s="29" t="str">
        <f t="shared" si="25"/>
        <v>✓ OK</v>
      </c>
      <c r="N348" s="43">
        <v>46196</v>
      </c>
      <c r="O348" s="26" t="s">
        <v>23</v>
      </c>
      <c r="P348" s="44" t="s">
        <v>24</v>
      </c>
      <c r="Q348" s="26" t="s">
        <v>25</v>
      </c>
      <c r="R348" s="44" t="s">
        <v>26</v>
      </c>
      <c r="S348" s="26" t="s">
        <v>24</v>
      </c>
      <c r="T348" s="27"/>
      <c r="U348" s="28" t="s">
        <v>25</v>
      </c>
      <c r="V348" s="29" t="str">
        <f t="shared" si="26"/>
        <v>✓ OK</v>
      </c>
      <c r="W348" s="45">
        <v>46248</v>
      </c>
      <c r="X348" s="30" t="s">
        <v>23</v>
      </c>
      <c r="Y348" s="30" t="s">
        <v>24</v>
      </c>
      <c r="Z348" s="30" t="s">
        <v>25</v>
      </c>
      <c r="AA348" s="30" t="s">
        <v>26</v>
      </c>
      <c r="AB348" s="30" t="s">
        <v>24</v>
      </c>
      <c r="AC348" s="27"/>
      <c r="AD348" s="31" t="s">
        <v>25</v>
      </c>
      <c r="AE348" s="32" t="str">
        <f t="shared" si="27"/>
        <v>✓ OK</v>
      </c>
      <c r="AF348" s="33" t="s">
        <v>27</v>
      </c>
      <c r="AG348" s="33" t="s">
        <v>23</v>
      </c>
      <c r="AH348" s="33" t="s">
        <v>24</v>
      </c>
      <c r="AI348" s="33" t="s">
        <v>25</v>
      </c>
      <c r="AJ348" s="33" t="s">
        <v>26</v>
      </c>
      <c r="AK348" s="33" t="s">
        <v>24</v>
      </c>
      <c r="AL348" s="27"/>
      <c r="AM348" s="34" t="s">
        <v>25</v>
      </c>
      <c r="AN348" s="35" t="str">
        <f t="shared" si="28"/>
        <v>✓ OK</v>
      </c>
      <c r="AO348" s="36"/>
      <c r="AP348" s="36"/>
      <c r="AQ348" s="36"/>
      <c r="AR348" s="36"/>
      <c r="AS348" s="36"/>
      <c r="AT348" s="36"/>
      <c r="AU348" s="27"/>
      <c r="AV348" s="37"/>
      <c r="AW348" s="38" t="str">
        <f t="shared" si="29"/>
        <v/>
      </c>
    </row>
    <row r="349" spans="1:49" ht="18" customHeight="1" x14ac:dyDescent="0.3">
      <c r="A349" s="23">
        <v>345</v>
      </c>
      <c r="B349" s="24" t="s">
        <v>5888</v>
      </c>
      <c r="C349" s="25" t="s">
        <v>5889</v>
      </c>
      <c r="D349" s="23" t="s">
        <v>5200</v>
      </c>
      <c r="E349" s="43">
        <v>46125</v>
      </c>
      <c r="F349" s="26" t="s">
        <v>23</v>
      </c>
      <c r="G349" s="44" t="s">
        <v>1352</v>
      </c>
      <c r="H349" s="26" t="s">
        <v>25</v>
      </c>
      <c r="I349" s="44" t="s">
        <v>1352</v>
      </c>
      <c r="J349" s="26" t="s">
        <v>24</v>
      </c>
      <c r="K349" s="27"/>
      <c r="L349" s="28" t="s">
        <v>25</v>
      </c>
      <c r="M349" s="29" t="str">
        <f t="shared" si="25"/>
        <v>✓ OK</v>
      </c>
      <c r="N349" s="43">
        <v>46196</v>
      </c>
      <c r="O349" s="26" t="s">
        <v>23</v>
      </c>
      <c r="P349" s="44" t="s">
        <v>1352</v>
      </c>
      <c r="Q349" s="26" t="s">
        <v>25</v>
      </c>
      <c r="R349" s="44" t="s">
        <v>1352</v>
      </c>
      <c r="S349" s="26" t="s">
        <v>24</v>
      </c>
      <c r="T349" s="27"/>
      <c r="U349" s="28" t="s">
        <v>25</v>
      </c>
      <c r="V349" s="29" t="str">
        <f t="shared" si="26"/>
        <v>✓ OK</v>
      </c>
      <c r="W349" s="45">
        <v>46248</v>
      </c>
      <c r="X349" s="30" t="s">
        <v>23</v>
      </c>
      <c r="Y349" s="30" t="s">
        <v>1352</v>
      </c>
      <c r="Z349" s="30" t="s">
        <v>25</v>
      </c>
      <c r="AA349" s="30" t="s">
        <v>1352</v>
      </c>
      <c r="AB349" s="30" t="s">
        <v>24</v>
      </c>
      <c r="AC349" s="27"/>
      <c r="AD349" s="31" t="s">
        <v>25</v>
      </c>
      <c r="AE349" s="32" t="str">
        <f t="shared" si="27"/>
        <v>✓ OK</v>
      </c>
      <c r="AF349" s="33" t="s">
        <v>27</v>
      </c>
      <c r="AG349" s="33" t="s">
        <v>23</v>
      </c>
      <c r="AH349" s="33" t="s">
        <v>1352</v>
      </c>
      <c r="AI349" s="33" t="s">
        <v>25</v>
      </c>
      <c r="AJ349" s="33" t="s">
        <v>1352</v>
      </c>
      <c r="AK349" s="33" t="s">
        <v>24</v>
      </c>
      <c r="AL349" s="27"/>
      <c r="AM349" s="34" t="s">
        <v>25</v>
      </c>
      <c r="AN349" s="35" t="str">
        <f t="shared" si="28"/>
        <v>✓ OK</v>
      </c>
      <c r="AO349" s="36"/>
      <c r="AP349" s="36"/>
      <c r="AQ349" s="36"/>
      <c r="AR349" s="36"/>
      <c r="AS349" s="36"/>
      <c r="AT349" s="36"/>
      <c r="AU349" s="27"/>
      <c r="AV349" s="37"/>
      <c r="AW349" s="38" t="str">
        <f t="shared" si="29"/>
        <v/>
      </c>
    </row>
    <row r="350" spans="1:49" ht="18" customHeight="1" x14ac:dyDescent="0.3">
      <c r="A350" s="39">
        <v>346</v>
      </c>
      <c r="B350" s="40" t="s">
        <v>5890</v>
      </c>
      <c r="C350" s="41" t="s">
        <v>5891</v>
      </c>
      <c r="D350" s="39" t="s">
        <v>5200</v>
      </c>
      <c r="E350" s="43">
        <v>46125</v>
      </c>
      <c r="F350" s="26" t="s">
        <v>23</v>
      </c>
      <c r="G350" s="44" t="s">
        <v>1352</v>
      </c>
      <c r="H350" s="26" t="s">
        <v>25</v>
      </c>
      <c r="I350" s="44" t="s">
        <v>1352</v>
      </c>
      <c r="J350" s="26" t="s">
        <v>24</v>
      </c>
      <c r="K350" s="27"/>
      <c r="L350" s="28" t="s">
        <v>25</v>
      </c>
      <c r="M350" s="29" t="str">
        <f t="shared" si="25"/>
        <v>✓ OK</v>
      </c>
      <c r="N350" s="43">
        <v>46196</v>
      </c>
      <c r="O350" s="26" t="s">
        <v>23</v>
      </c>
      <c r="P350" s="44" t="s">
        <v>1352</v>
      </c>
      <c r="Q350" s="26" t="s">
        <v>25</v>
      </c>
      <c r="R350" s="44" t="s">
        <v>1352</v>
      </c>
      <c r="S350" s="26" t="s">
        <v>24</v>
      </c>
      <c r="T350" s="27"/>
      <c r="U350" s="28" t="s">
        <v>25</v>
      </c>
      <c r="V350" s="29" t="str">
        <f t="shared" si="26"/>
        <v>✓ OK</v>
      </c>
      <c r="W350" s="45">
        <v>46248</v>
      </c>
      <c r="X350" s="30" t="s">
        <v>23</v>
      </c>
      <c r="Y350" s="30" t="s">
        <v>1352</v>
      </c>
      <c r="Z350" s="30" t="s">
        <v>25</v>
      </c>
      <c r="AA350" s="30" t="s">
        <v>1352</v>
      </c>
      <c r="AB350" s="30" t="s">
        <v>24</v>
      </c>
      <c r="AC350" s="27"/>
      <c r="AD350" s="31" t="s">
        <v>25</v>
      </c>
      <c r="AE350" s="32" t="str">
        <f t="shared" si="27"/>
        <v>✓ OK</v>
      </c>
      <c r="AF350" s="33" t="s">
        <v>27</v>
      </c>
      <c r="AG350" s="33" t="s">
        <v>23</v>
      </c>
      <c r="AH350" s="33" t="s">
        <v>1352</v>
      </c>
      <c r="AI350" s="33" t="s">
        <v>25</v>
      </c>
      <c r="AJ350" s="33" t="s">
        <v>1352</v>
      </c>
      <c r="AK350" s="33" t="s">
        <v>24</v>
      </c>
      <c r="AL350" s="27"/>
      <c r="AM350" s="34" t="s">
        <v>25</v>
      </c>
      <c r="AN350" s="35" t="str">
        <f t="shared" si="28"/>
        <v>✓ OK</v>
      </c>
      <c r="AO350" s="36"/>
      <c r="AP350" s="36"/>
      <c r="AQ350" s="36"/>
      <c r="AR350" s="36"/>
      <c r="AS350" s="36"/>
      <c r="AT350" s="36"/>
      <c r="AU350" s="27"/>
      <c r="AV350" s="37"/>
      <c r="AW350" s="38" t="str">
        <f t="shared" si="29"/>
        <v/>
      </c>
    </row>
    <row r="351" spans="1:49" ht="18" customHeight="1" x14ac:dyDescent="0.3">
      <c r="A351" s="23">
        <v>347</v>
      </c>
      <c r="B351" s="24" t="s">
        <v>5892</v>
      </c>
      <c r="C351" s="25" t="s">
        <v>5893</v>
      </c>
      <c r="D351" s="23" t="s">
        <v>5200</v>
      </c>
      <c r="E351" s="43">
        <v>46125</v>
      </c>
      <c r="F351" s="26" t="s">
        <v>23</v>
      </c>
      <c r="G351" s="44" t="s">
        <v>1352</v>
      </c>
      <c r="H351" s="26" t="s">
        <v>25</v>
      </c>
      <c r="I351" s="44" t="s">
        <v>1352</v>
      </c>
      <c r="J351" s="26" t="s">
        <v>24</v>
      </c>
      <c r="K351" s="27"/>
      <c r="L351" s="28" t="s">
        <v>25</v>
      </c>
      <c r="M351" s="29" t="str">
        <f t="shared" si="25"/>
        <v>✓ OK</v>
      </c>
      <c r="N351" s="43">
        <v>46196</v>
      </c>
      <c r="O351" s="26" t="s">
        <v>23</v>
      </c>
      <c r="P351" s="44" t="s">
        <v>1352</v>
      </c>
      <c r="Q351" s="26" t="s">
        <v>25</v>
      </c>
      <c r="R351" s="44" t="s">
        <v>1352</v>
      </c>
      <c r="S351" s="26" t="s">
        <v>24</v>
      </c>
      <c r="T351" s="27"/>
      <c r="U351" s="28" t="s">
        <v>25</v>
      </c>
      <c r="V351" s="29" t="str">
        <f t="shared" si="26"/>
        <v>✓ OK</v>
      </c>
      <c r="W351" s="45">
        <v>46248</v>
      </c>
      <c r="X351" s="30" t="s">
        <v>23</v>
      </c>
      <c r="Y351" s="30" t="s">
        <v>1352</v>
      </c>
      <c r="Z351" s="30" t="s">
        <v>25</v>
      </c>
      <c r="AA351" s="30" t="s">
        <v>1352</v>
      </c>
      <c r="AB351" s="30" t="s">
        <v>24</v>
      </c>
      <c r="AC351" s="27"/>
      <c r="AD351" s="31" t="s">
        <v>25</v>
      </c>
      <c r="AE351" s="32" t="str">
        <f t="shared" si="27"/>
        <v>✓ OK</v>
      </c>
      <c r="AF351" s="33" t="s">
        <v>27</v>
      </c>
      <c r="AG351" s="33" t="s">
        <v>23</v>
      </c>
      <c r="AH351" s="33" t="s">
        <v>1352</v>
      </c>
      <c r="AI351" s="33" t="s">
        <v>25</v>
      </c>
      <c r="AJ351" s="33" t="s">
        <v>1352</v>
      </c>
      <c r="AK351" s="33" t="s">
        <v>24</v>
      </c>
      <c r="AL351" s="27"/>
      <c r="AM351" s="34" t="s">
        <v>25</v>
      </c>
      <c r="AN351" s="35" t="str">
        <f t="shared" si="28"/>
        <v>✓ OK</v>
      </c>
      <c r="AO351" s="36"/>
      <c r="AP351" s="36"/>
      <c r="AQ351" s="36"/>
      <c r="AR351" s="36"/>
      <c r="AS351" s="36"/>
      <c r="AT351" s="36"/>
      <c r="AU351" s="27"/>
      <c r="AV351" s="37"/>
      <c r="AW351" s="38" t="str">
        <f t="shared" si="29"/>
        <v/>
      </c>
    </row>
    <row r="352" spans="1:49" ht="18" customHeight="1" x14ac:dyDescent="0.3">
      <c r="A352" s="39">
        <v>348</v>
      </c>
      <c r="B352" s="40" t="s">
        <v>5894</v>
      </c>
      <c r="C352" s="41" t="s">
        <v>5895</v>
      </c>
      <c r="D352" s="39" t="s">
        <v>5200</v>
      </c>
      <c r="E352" s="43">
        <v>46125</v>
      </c>
      <c r="F352" s="26" t="s">
        <v>23</v>
      </c>
      <c r="G352" s="44" t="s">
        <v>1352</v>
      </c>
      <c r="H352" s="26" t="s">
        <v>25</v>
      </c>
      <c r="I352" s="44" t="s">
        <v>1352</v>
      </c>
      <c r="J352" s="26" t="s">
        <v>24</v>
      </c>
      <c r="K352" s="27"/>
      <c r="L352" s="28" t="s">
        <v>25</v>
      </c>
      <c r="M352" s="29" t="str">
        <f t="shared" si="25"/>
        <v>✓ OK</v>
      </c>
      <c r="N352" s="43">
        <v>46196</v>
      </c>
      <c r="O352" s="26" t="s">
        <v>23</v>
      </c>
      <c r="P352" s="44" t="s">
        <v>1352</v>
      </c>
      <c r="Q352" s="26" t="s">
        <v>25</v>
      </c>
      <c r="R352" s="44" t="s">
        <v>1352</v>
      </c>
      <c r="S352" s="26" t="s">
        <v>24</v>
      </c>
      <c r="T352" s="27"/>
      <c r="U352" s="28" t="s">
        <v>25</v>
      </c>
      <c r="V352" s="29" t="str">
        <f t="shared" si="26"/>
        <v>✓ OK</v>
      </c>
      <c r="W352" s="45">
        <v>46248</v>
      </c>
      <c r="X352" s="30" t="s">
        <v>23</v>
      </c>
      <c r="Y352" s="30" t="s">
        <v>1352</v>
      </c>
      <c r="Z352" s="30" t="s">
        <v>25</v>
      </c>
      <c r="AA352" s="30" t="s">
        <v>1352</v>
      </c>
      <c r="AB352" s="30" t="s">
        <v>24</v>
      </c>
      <c r="AC352" s="27"/>
      <c r="AD352" s="31" t="s">
        <v>25</v>
      </c>
      <c r="AE352" s="32" t="str">
        <f t="shared" si="27"/>
        <v>✓ OK</v>
      </c>
      <c r="AF352" s="33" t="s">
        <v>27</v>
      </c>
      <c r="AG352" s="33" t="s">
        <v>23</v>
      </c>
      <c r="AH352" s="33" t="s">
        <v>1352</v>
      </c>
      <c r="AI352" s="33" t="s">
        <v>25</v>
      </c>
      <c r="AJ352" s="33" t="s">
        <v>1352</v>
      </c>
      <c r="AK352" s="33" t="s">
        <v>24</v>
      </c>
      <c r="AL352" s="27"/>
      <c r="AM352" s="34" t="s">
        <v>25</v>
      </c>
      <c r="AN352" s="35" t="str">
        <f t="shared" si="28"/>
        <v>✓ OK</v>
      </c>
      <c r="AO352" s="36"/>
      <c r="AP352" s="36"/>
      <c r="AQ352" s="36"/>
      <c r="AR352" s="36"/>
      <c r="AS352" s="36"/>
      <c r="AT352" s="36"/>
      <c r="AU352" s="27"/>
      <c r="AV352" s="37"/>
      <c r="AW352" s="38" t="str">
        <f t="shared" si="29"/>
        <v/>
      </c>
    </row>
    <row r="353" spans="1:49" ht="18" customHeight="1" x14ac:dyDescent="0.3">
      <c r="A353" s="23">
        <v>349</v>
      </c>
      <c r="B353" s="24" t="s">
        <v>5896</v>
      </c>
      <c r="C353" s="25" t="s">
        <v>5897</v>
      </c>
      <c r="D353" s="23" t="s">
        <v>5200</v>
      </c>
      <c r="E353" s="43">
        <v>46125</v>
      </c>
      <c r="F353" s="26" t="s">
        <v>23</v>
      </c>
      <c r="G353" s="44" t="s">
        <v>1352</v>
      </c>
      <c r="H353" s="26" t="s">
        <v>25</v>
      </c>
      <c r="I353" s="44" t="s">
        <v>1352</v>
      </c>
      <c r="J353" s="26" t="s">
        <v>24</v>
      </c>
      <c r="K353" s="27"/>
      <c r="L353" s="28" t="s">
        <v>25</v>
      </c>
      <c r="M353" s="29" t="str">
        <f t="shared" si="25"/>
        <v>✓ OK</v>
      </c>
      <c r="N353" s="43">
        <v>46196</v>
      </c>
      <c r="O353" s="26" t="s">
        <v>23</v>
      </c>
      <c r="P353" s="44" t="s">
        <v>1352</v>
      </c>
      <c r="Q353" s="26" t="s">
        <v>25</v>
      </c>
      <c r="R353" s="44" t="s">
        <v>1352</v>
      </c>
      <c r="S353" s="26" t="s">
        <v>24</v>
      </c>
      <c r="T353" s="27"/>
      <c r="U353" s="28" t="s">
        <v>25</v>
      </c>
      <c r="V353" s="29" t="str">
        <f t="shared" si="26"/>
        <v>✓ OK</v>
      </c>
      <c r="W353" s="45">
        <v>46248</v>
      </c>
      <c r="X353" s="30" t="s">
        <v>23</v>
      </c>
      <c r="Y353" s="30" t="s">
        <v>1352</v>
      </c>
      <c r="Z353" s="30" t="s">
        <v>25</v>
      </c>
      <c r="AA353" s="30" t="s">
        <v>1352</v>
      </c>
      <c r="AB353" s="30" t="s">
        <v>24</v>
      </c>
      <c r="AC353" s="27"/>
      <c r="AD353" s="31" t="s">
        <v>25</v>
      </c>
      <c r="AE353" s="32" t="str">
        <f t="shared" si="27"/>
        <v>✓ OK</v>
      </c>
      <c r="AF353" s="33" t="s">
        <v>27</v>
      </c>
      <c r="AG353" s="33" t="s">
        <v>23</v>
      </c>
      <c r="AH353" s="33" t="s">
        <v>1352</v>
      </c>
      <c r="AI353" s="33" t="s">
        <v>25</v>
      </c>
      <c r="AJ353" s="33" t="s">
        <v>1352</v>
      </c>
      <c r="AK353" s="33" t="s">
        <v>24</v>
      </c>
      <c r="AL353" s="27"/>
      <c r="AM353" s="34" t="s">
        <v>25</v>
      </c>
      <c r="AN353" s="35" t="str">
        <f t="shared" si="28"/>
        <v>✓ OK</v>
      </c>
      <c r="AO353" s="36"/>
      <c r="AP353" s="36"/>
      <c r="AQ353" s="36"/>
      <c r="AR353" s="36"/>
      <c r="AS353" s="36"/>
      <c r="AT353" s="36"/>
      <c r="AU353" s="27"/>
      <c r="AV353" s="37"/>
      <c r="AW353" s="38" t="str">
        <f t="shared" si="29"/>
        <v/>
      </c>
    </row>
    <row r="354" spans="1:49" ht="18" customHeight="1" x14ac:dyDescent="0.3">
      <c r="A354" s="39">
        <v>350</v>
      </c>
      <c r="B354" s="40" t="s">
        <v>5898</v>
      </c>
      <c r="C354" s="41" t="s">
        <v>5899</v>
      </c>
      <c r="D354" s="39" t="s">
        <v>5200</v>
      </c>
      <c r="E354" s="43">
        <v>46125</v>
      </c>
      <c r="F354" s="26" t="s">
        <v>23</v>
      </c>
      <c r="G354" s="44" t="s">
        <v>1352</v>
      </c>
      <c r="H354" s="26" t="s">
        <v>25</v>
      </c>
      <c r="I354" s="44" t="s">
        <v>1352</v>
      </c>
      <c r="J354" s="26" t="s">
        <v>24</v>
      </c>
      <c r="K354" s="27"/>
      <c r="L354" s="28" t="s">
        <v>25</v>
      </c>
      <c r="M354" s="29" t="str">
        <f t="shared" si="25"/>
        <v>✓ OK</v>
      </c>
      <c r="N354" s="43">
        <v>46196</v>
      </c>
      <c r="O354" s="26" t="s">
        <v>23</v>
      </c>
      <c r="P354" s="44" t="s">
        <v>1352</v>
      </c>
      <c r="Q354" s="26" t="s">
        <v>25</v>
      </c>
      <c r="R354" s="44" t="s">
        <v>1352</v>
      </c>
      <c r="S354" s="26" t="s">
        <v>24</v>
      </c>
      <c r="T354" s="27"/>
      <c r="U354" s="28" t="s">
        <v>25</v>
      </c>
      <c r="V354" s="29" t="str">
        <f t="shared" si="26"/>
        <v>✓ OK</v>
      </c>
      <c r="W354" s="45">
        <v>46248</v>
      </c>
      <c r="X354" s="30" t="s">
        <v>23</v>
      </c>
      <c r="Y354" s="30" t="s">
        <v>1352</v>
      </c>
      <c r="Z354" s="30" t="s">
        <v>25</v>
      </c>
      <c r="AA354" s="30" t="s">
        <v>1352</v>
      </c>
      <c r="AB354" s="30" t="s">
        <v>24</v>
      </c>
      <c r="AC354" s="27"/>
      <c r="AD354" s="31" t="s">
        <v>25</v>
      </c>
      <c r="AE354" s="32" t="str">
        <f t="shared" si="27"/>
        <v>✓ OK</v>
      </c>
      <c r="AF354" s="33" t="s">
        <v>27</v>
      </c>
      <c r="AG354" s="33" t="s">
        <v>23</v>
      </c>
      <c r="AH354" s="33" t="s">
        <v>1352</v>
      </c>
      <c r="AI354" s="33" t="s">
        <v>25</v>
      </c>
      <c r="AJ354" s="33" t="s">
        <v>1352</v>
      </c>
      <c r="AK354" s="33" t="s">
        <v>24</v>
      </c>
      <c r="AL354" s="27"/>
      <c r="AM354" s="34" t="s">
        <v>25</v>
      </c>
      <c r="AN354" s="35" t="str">
        <f t="shared" si="28"/>
        <v>✓ OK</v>
      </c>
      <c r="AO354" s="36"/>
      <c r="AP354" s="36"/>
      <c r="AQ354" s="36"/>
      <c r="AR354" s="36"/>
      <c r="AS354" s="36"/>
      <c r="AT354" s="36"/>
      <c r="AU354" s="27"/>
      <c r="AV354" s="37"/>
      <c r="AW354" s="38" t="str">
        <f t="shared" si="29"/>
        <v/>
      </c>
    </row>
    <row r="355" spans="1:49" ht="18" customHeight="1" x14ac:dyDescent="0.3">
      <c r="A355" s="23">
        <v>351</v>
      </c>
      <c r="B355" s="24" t="s">
        <v>5900</v>
      </c>
      <c r="C355" s="25" t="s">
        <v>5901</v>
      </c>
      <c r="D355" s="23" t="s">
        <v>5200</v>
      </c>
      <c r="E355" s="43">
        <v>46125</v>
      </c>
      <c r="F355" s="26" t="s">
        <v>23</v>
      </c>
      <c r="G355" s="44" t="s">
        <v>1352</v>
      </c>
      <c r="H355" s="26" t="s">
        <v>25</v>
      </c>
      <c r="I355" s="44" t="s">
        <v>1352</v>
      </c>
      <c r="J355" s="26" t="s">
        <v>24</v>
      </c>
      <c r="K355" s="27"/>
      <c r="L355" s="28" t="s">
        <v>25</v>
      </c>
      <c r="M355" s="29" t="str">
        <f t="shared" si="25"/>
        <v>✓ OK</v>
      </c>
      <c r="N355" s="43">
        <v>46196</v>
      </c>
      <c r="O355" s="26" t="s">
        <v>23</v>
      </c>
      <c r="P355" s="44" t="s">
        <v>1352</v>
      </c>
      <c r="Q355" s="26" t="s">
        <v>25</v>
      </c>
      <c r="R355" s="44" t="s">
        <v>1352</v>
      </c>
      <c r="S355" s="26" t="s">
        <v>24</v>
      </c>
      <c r="T355" s="27"/>
      <c r="U355" s="28" t="s">
        <v>25</v>
      </c>
      <c r="V355" s="29" t="str">
        <f t="shared" si="26"/>
        <v>✓ OK</v>
      </c>
      <c r="W355" s="45">
        <v>46248</v>
      </c>
      <c r="X355" s="30" t="s">
        <v>23</v>
      </c>
      <c r="Y355" s="30" t="s">
        <v>1352</v>
      </c>
      <c r="Z355" s="30" t="s">
        <v>25</v>
      </c>
      <c r="AA355" s="30" t="s">
        <v>1352</v>
      </c>
      <c r="AB355" s="30" t="s">
        <v>24</v>
      </c>
      <c r="AC355" s="27"/>
      <c r="AD355" s="31" t="s">
        <v>25</v>
      </c>
      <c r="AE355" s="32" t="str">
        <f t="shared" si="27"/>
        <v>✓ OK</v>
      </c>
      <c r="AF355" s="33" t="s">
        <v>27</v>
      </c>
      <c r="AG355" s="33" t="s">
        <v>23</v>
      </c>
      <c r="AH355" s="33" t="s">
        <v>1352</v>
      </c>
      <c r="AI355" s="33" t="s">
        <v>25</v>
      </c>
      <c r="AJ355" s="33" t="s">
        <v>1352</v>
      </c>
      <c r="AK355" s="33" t="s">
        <v>24</v>
      </c>
      <c r="AL355" s="27"/>
      <c r="AM355" s="34" t="s">
        <v>25</v>
      </c>
      <c r="AN355" s="35" t="str">
        <f t="shared" si="28"/>
        <v>✓ OK</v>
      </c>
      <c r="AO355" s="36"/>
      <c r="AP355" s="36"/>
      <c r="AQ355" s="36"/>
      <c r="AR355" s="36"/>
      <c r="AS355" s="36"/>
      <c r="AT355" s="36"/>
      <c r="AU355" s="27"/>
      <c r="AV355" s="37"/>
      <c r="AW355" s="38" t="str">
        <f t="shared" si="29"/>
        <v/>
      </c>
    </row>
    <row r="356" spans="1:49" ht="18" customHeight="1" x14ac:dyDescent="0.3">
      <c r="A356" s="39">
        <v>352</v>
      </c>
      <c r="B356" s="40" t="s">
        <v>5902</v>
      </c>
      <c r="C356" s="41" t="s">
        <v>5903</v>
      </c>
      <c r="D356" s="39" t="s">
        <v>5200</v>
      </c>
      <c r="E356" s="43">
        <v>46125</v>
      </c>
      <c r="F356" s="26" t="s">
        <v>23</v>
      </c>
      <c r="G356" s="44" t="s">
        <v>1352</v>
      </c>
      <c r="H356" s="26" t="s">
        <v>25</v>
      </c>
      <c r="I356" s="44" t="s">
        <v>1352</v>
      </c>
      <c r="J356" s="26" t="s">
        <v>24</v>
      </c>
      <c r="K356" s="27"/>
      <c r="L356" s="28" t="s">
        <v>25</v>
      </c>
      <c r="M356" s="29" t="str">
        <f t="shared" si="25"/>
        <v>✓ OK</v>
      </c>
      <c r="N356" s="43">
        <v>46196</v>
      </c>
      <c r="O356" s="26" t="s">
        <v>23</v>
      </c>
      <c r="P356" s="44" t="s">
        <v>1352</v>
      </c>
      <c r="Q356" s="26" t="s">
        <v>25</v>
      </c>
      <c r="R356" s="44" t="s">
        <v>1352</v>
      </c>
      <c r="S356" s="26" t="s">
        <v>24</v>
      </c>
      <c r="T356" s="27"/>
      <c r="U356" s="28" t="s">
        <v>25</v>
      </c>
      <c r="V356" s="29" t="str">
        <f t="shared" si="26"/>
        <v>✓ OK</v>
      </c>
      <c r="W356" s="45">
        <v>46248</v>
      </c>
      <c r="X356" s="30" t="s">
        <v>23</v>
      </c>
      <c r="Y356" s="30" t="s">
        <v>1352</v>
      </c>
      <c r="Z356" s="30" t="s">
        <v>25</v>
      </c>
      <c r="AA356" s="30" t="s">
        <v>1352</v>
      </c>
      <c r="AB356" s="30" t="s">
        <v>24</v>
      </c>
      <c r="AC356" s="27"/>
      <c r="AD356" s="31" t="s">
        <v>25</v>
      </c>
      <c r="AE356" s="32" t="str">
        <f t="shared" si="27"/>
        <v>✓ OK</v>
      </c>
      <c r="AF356" s="33" t="s">
        <v>27</v>
      </c>
      <c r="AG356" s="33" t="s">
        <v>23</v>
      </c>
      <c r="AH356" s="33" t="s">
        <v>1352</v>
      </c>
      <c r="AI356" s="33" t="s">
        <v>25</v>
      </c>
      <c r="AJ356" s="33" t="s">
        <v>1352</v>
      </c>
      <c r="AK356" s="33" t="s">
        <v>24</v>
      </c>
      <c r="AL356" s="27"/>
      <c r="AM356" s="34" t="s">
        <v>25</v>
      </c>
      <c r="AN356" s="35" t="str">
        <f t="shared" si="28"/>
        <v>✓ OK</v>
      </c>
      <c r="AO356" s="36"/>
      <c r="AP356" s="36"/>
      <c r="AQ356" s="36"/>
      <c r="AR356" s="36"/>
      <c r="AS356" s="36"/>
      <c r="AT356" s="36"/>
      <c r="AU356" s="27"/>
      <c r="AV356" s="37"/>
      <c r="AW356" s="38" t="str">
        <f t="shared" si="29"/>
        <v/>
      </c>
    </row>
    <row r="357" spans="1:49" ht="18" customHeight="1" x14ac:dyDescent="0.3">
      <c r="A357" s="23">
        <v>353</v>
      </c>
      <c r="B357" s="24" t="s">
        <v>5904</v>
      </c>
      <c r="C357" s="25" t="s">
        <v>5905</v>
      </c>
      <c r="D357" s="23" t="s">
        <v>5200</v>
      </c>
      <c r="E357" s="43">
        <v>46125</v>
      </c>
      <c r="F357" s="26" t="s">
        <v>23</v>
      </c>
      <c r="G357" s="44" t="s">
        <v>1352</v>
      </c>
      <c r="H357" s="26" t="s">
        <v>25</v>
      </c>
      <c r="I357" s="44" t="s">
        <v>1352</v>
      </c>
      <c r="J357" s="26" t="s">
        <v>24</v>
      </c>
      <c r="K357" s="27"/>
      <c r="L357" s="28" t="s">
        <v>25</v>
      </c>
      <c r="M357" s="29" t="str">
        <f t="shared" si="25"/>
        <v>✓ OK</v>
      </c>
      <c r="N357" s="43">
        <v>46196</v>
      </c>
      <c r="O357" s="26" t="s">
        <v>23</v>
      </c>
      <c r="P357" s="44" t="s">
        <v>1352</v>
      </c>
      <c r="Q357" s="26" t="s">
        <v>25</v>
      </c>
      <c r="R357" s="44" t="s">
        <v>1352</v>
      </c>
      <c r="S357" s="26" t="s">
        <v>24</v>
      </c>
      <c r="T357" s="27"/>
      <c r="U357" s="28" t="s">
        <v>25</v>
      </c>
      <c r="V357" s="29" t="str">
        <f t="shared" si="26"/>
        <v>✓ OK</v>
      </c>
      <c r="W357" s="45">
        <v>46248</v>
      </c>
      <c r="X357" s="30" t="s">
        <v>23</v>
      </c>
      <c r="Y357" s="30" t="s">
        <v>1352</v>
      </c>
      <c r="Z357" s="30" t="s">
        <v>25</v>
      </c>
      <c r="AA357" s="30" t="s">
        <v>1352</v>
      </c>
      <c r="AB357" s="30" t="s">
        <v>24</v>
      </c>
      <c r="AC357" s="27"/>
      <c r="AD357" s="31" t="s">
        <v>25</v>
      </c>
      <c r="AE357" s="32" t="str">
        <f t="shared" si="27"/>
        <v>✓ OK</v>
      </c>
      <c r="AF357" s="33" t="s">
        <v>27</v>
      </c>
      <c r="AG357" s="33" t="s">
        <v>23</v>
      </c>
      <c r="AH357" s="33" t="s">
        <v>1352</v>
      </c>
      <c r="AI357" s="33" t="s">
        <v>25</v>
      </c>
      <c r="AJ357" s="33" t="s">
        <v>1352</v>
      </c>
      <c r="AK357" s="33" t="s">
        <v>24</v>
      </c>
      <c r="AL357" s="27"/>
      <c r="AM357" s="34" t="s">
        <v>25</v>
      </c>
      <c r="AN357" s="35" t="str">
        <f t="shared" si="28"/>
        <v>✓ OK</v>
      </c>
      <c r="AO357" s="36"/>
      <c r="AP357" s="36"/>
      <c r="AQ357" s="36"/>
      <c r="AR357" s="36"/>
      <c r="AS357" s="36"/>
      <c r="AT357" s="36"/>
      <c r="AU357" s="27"/>
      <c r="AV357" s="37"/>
      <c r="AW357" s="38" t="str">
        <f t="shared" si="29"/>
        <v/>
      </c>
    </row>
    <row r="358" spans="1:49" ht="18" customHeight="1" x14ac:dyDescent="0.3">
      <c r="A358" s="39">
        <v>354</v>
      </c>
      <c r="B358" s="40" t="s">
        <v>5906</v>
      </c>
      <c r="C358" s="41" t="s">
        <v>5907</v>
      </c>
      <c r="D358" s="39" t="s">
        <v>5200</v>
      </c>
      <c r="E358" s="43">
        <v>46125</v>
      </c>
      <c r="F358" s="26" t="s">
        <v>23</v>
      </c>
      <c r="G358" s="44" t="s">
        <v>1352</v>
      </c>
      <c r="H358" s="26" t="s">
        <v>25</v>
      </c>
      <c r="I358" s="44" t="s">
        <v>1352</v>
      </c>
      <c r="J358" s="26" t="s">
        <v>24</v>
      </c>
      <c r="K358" s="27"/>
      <c r="L358" s="28" t="s">
        <v>25</v>
      </c>
      <c r="M358" s="29" t="str">
        <f t="shared" si="25"/>
        <v>✓ OK</v>
      </c>
      <c r="N358" s="43">
        <v>46196</v>
      </c>
      <c r="O358" s="26" t="s">
        <v>23</v>
      </c>
      <c r="P358" s="44" t="s">
        <v>1352</v>
      </c>
      <c r="Q358" s="26" t="s">
        <v>25</v>
      </c>
      <c r="R358" s="44" t="s">
        <v>1352</v>
      </c>
      <c r="S358" s="26" t="s">
        <v>24</v>
      </c>
      <c r="T358" s="27"/>
      <c r="U358" s="28" t="s">
        <v>25</v>
      </c>
      <c r="V358" s="29" t="str">
        <f t="shared" si="26"/>
        <v>✓ OK</v>
      </c>
      <c r="W358" s="45">
        <v>46248</v>
      </c>
      <c r="X358" s="30" t="s">
        <v>23</v>
      </c>
      <c r="Y358" s="30" t="s">
        <v>1352</v>
      </c>
      <c r="Z358" s="30" t="s">
        <v>25</v>
      </c>
      <c r="AA358" s="30" t="s">
        <v>1352</v>
      </c>
      <c r="AB358" s="30" t="s">
        <v>24</v>
      </c>
      <c r="AC358" s="27"/>
      <c r="AD358" s="31" t="s">
        <v>25</v>
      </c>
      <c r="AE358" s="32" t="str">
        <f t="shared" si="27"/>
        <v>✓ OK</v>
      </c>
      <c r="AF358" s="33" t="s">
        <v>27</v>
      </c>
      <c r="AG358" s="33" t="s">
        <v>23</v>
      </c>
      <c r="AH358" s="33" t="s">
        <v>1352</v>
      </c>
      <c r="AI358" s="33" t="s">
        <v>25</v>
      </c>
      <c r="AJ358" s="33" t="s">
        <v>1352</v>
      </c>
      <c r="AK358" s="33" t="s">
        <v>24</v>
      </c>
      <c r="AL358" s="27"/>
      <c r="AM358" s="34" t="s">
        <v>25</v>
      </c>
      <c r="AN358" s="35" t="str">
        <f t="shared" si="28"/>
        <v>✓ OK</v>
      </c>
      <c r="AO358" s="36"/>
      <c r="AP358" s="36"/>
      <c r="AQ358" s="36"/>
      <c r="AR358" s="36"/>
      <c r="AS358" s="36"/>
      <c r="AT358" s="36"/>
      <c r="AU358" s="27"/>
      <c r="AV358" s="37"/>
      <c r="AW358" s="38" t="str">
        <f t="shared" si="29"/>
        <v/>
      </c>
    </row>
    <row r="359" spans="1:49" ht="18" customHeight="1" x14ac:dyDescent="0.3">
      <c r="A359" s="23">
        <v>355</v>
      </c>
      <c r="B359" s="24" t="s">
        <v>5908</v>
      </c>
      <c r="C359" s="25" t="s">
        <v>5909</v>
      </c>
      <c r="D359" s="23" t="s">
        <v>5200</v>
      </c>
      <c r="E359" s="43">
        <v>46125</v>
      </c>
      <c r="F359" s="26" t="s">
        <v>23</v>
      </c>
      <c r="G359" s="44" t="s">
        <v>1352</v>
      </c>
      <c r="H359" s="26" t="s">
        <v>25</v>
      </c>
      <c r="I359" s="44" t="s">
        <v>1352</v>
      </c>
      <c r="J359" s="26" t="s">
        <v>24</v>
      </c>
      <c r="K359" s="27"/>
      <c r="L359" s="28" t="s">
        <v>25</v>
      </c>
      <c r="M359" s="29" t="str">
        <f t="shared" si="25"/>
        <v>✓ OK</v>
      </c>
      <c r="N359" s="43">
        <v>46196</v>
      </c>
      <c r="O359" s="26" t="s">
        <v>23</v>
      </c>
      <c r="P359" s="44" t="s">
        <v>1352</v>
      </c>
      <c r="Q359" s="26" t="s">
        <v>25</v>
      </c>
      <c r="R359" s="44" t="s">
        <v>1352</v>
      </c>
      <c r="S359" s="26" t="s">
        <v>24</v>
      </c>
      <c r="T359" s="27"/>
      <c r="U359" s="28" t="s">
        <v>25</v>
      </c>
      <c r="V359" s="29" t="str">
        <f t="shared" si="26"/>
        <v>✓ OK</v>
      </c>
      <c r="W359" s="45">
        <v>46248</v>
      </c>
      <c r="X359" s="30" t="s">
        <v>23</v>
      </c>
      <c r="Y359" s="30" t="s">
        <v>1352</v>
      </c>
      <c r="Z359" s="30" t="s">
        <v>25</v>
      </c>
      <c r="AA359" s="30" t="s">
        <v>1352</v>
      </c>
      <c r="AB359" s="30" t="s">
        <v>24</v>
      </c>
      <c r="AC359" s="27"/>
      <c r="AD359" s="31" t="s">
        <v>25</v>
      </c>
      <c r="AE359" s="32" t="str">
        <f t="shared" si="27"/>
        <v>✓ OK</v>
      </c>
      <c r="AF359" s="33" t="s">
        <v>27</v>
      </c>
      <c r="AG359" s="33" t="s">
        <v>23</v>
      </c>
      <c r="AH359" s="33" t="s">
        <v>1352</v>
      </c>
      <c r="AI359" s="33" t="s">
        <v>25</v>
      </c>
      <c r="AJ359" s="33" t="s">
        <v>1352</v>
      </c>
      <c r="AK359" s="33" t="s">
        <v>24</v>
      </c>
      <c r="AL359" s="27"/>
      <c r="AM359" s="34" t="s">
        <v>25</v>
      </c>
      <c r="AN359" s="35" t="str">
        <f t="shared" si="28"/>
        <v>✓ OK</v>
      </c>
      <c r="AO359" s="36"/>
      <c r="AP359" s="36"/>
      <c r="AQ359" s="36"/>
      <c r="AR359" s="36"/>
      <c r="AS359" s="36"/>
      <c r="AT359" s="36"/>
      <c r="AU359" s="27"/>
      <c r="AV359" s="37"/>
      <c r="AW359" s="38" t="str">
        <f t="shared" si="29"/>
        <v/>
      </c>
    </row>
    <row r="360" spans="1:49" ht="18" customHeight="1" x14ac:dyDescent="0.3">
      <c r="A360" s="39">
        <v>356</v>
      </c>
      <c r="B360" s="40" t="s">
        <v>5910</v>
      </c>
      <c r="C360" s="41" t="s">
        <v>5911</v>
      </c>
      <c r="D360" s="39" t="s">
        <v>5200</v>
      </c>
      <c r="E360" s="43">
        <v>46125</v>
      </c>
      <c r="F360" s="26" t="s">
        <v>23</v>
      </c>
      <c r="G360" s="44" t="s">
        <v>1352</v>
      </c>
      <c r="H360" s="26" t="s">
        <v>25</v>
      </c>
      <c r="I360" s="44" t="s">
        <v>1352</v>
      </c>
      <c r="J360" s="26" t="s">
        <v>24</v>
      </c>
      <c r="K360" s="27"/>
      <c r="L360" s="28" t="s">
        <v>25</v>
      </c>
      <c r="M360" s="29" t="str">
        <f t="shared" si="25"/>
        <v>✓ OK</v>
      </c>
      <c r="N360" s="43">
        <v>46196</v>
      </c>
      <c r="O360" s="26" t="s">
        <v>23</v>
      </c>
      <c r="P360" s="44" t="s">
        <v>1352</v>
      </c>
      <c r="Q360" s="26" t="s">
        <v>25</v>
      </c>
      <c r="R360" s="44" t="s">
        <v>1352</v>
      </c>
      <c r="S360" s="26" t="s">
        <v>24</v>
      </c>
      <c r="T360" s="27"/>
      <c r="U360" s="28" t="s">
        <v>25</v>
      </c>
      <c r="V360" s="29" t="str">
        <f t="shared" si="26"/>
        <v>✓ OK</v>
      </c>
      <c r="W360" s="45">
        <v>46248</v>
      </c>
      <c r="X360" s="30" t="s">
        <v>23</v>
      </c>
      <c r="Y360" s="30" t="s">
        <v>1352</v>
      </c>
      <c r="Z360" s="30" t="s">
        <v>25</v>
      </c>
      <c r="AA360" s="30" t="s">
        <v>1352</v>
      </c>
      <c r="AB360" s="30" t="s">
        <v>24</v>
      </c>
      <c r="AC360" s="27"/>
      <c r="AD360" s="31" t="s">
        <v>25</v>
      </c>
      <c r="AE360" s="32" t="str">
        <f t="shared" si="27"/>
        <v>✓ OK</v>
      </c>
      <c r="AF360" s="33" t="s">
        <v>27</v>
      </c>
      <c r="AG360" s="33" t="s">
        <v>23</v>
      </c>
      <c r="AH360" s="33" t="s">
        <v>1352</v>
      </c>
      <c r="AI360" s="33" t="s">
        <v>25</v>
      </c>
      <c r="AJ360" s="33" t="s">
        <v>1352</v>
      </c>
      <c r="AK360" s="33" t="s">
        <v>24</v>
      </c>
      <c r="AL360" s="27"/>
      <c r="AM360" s="34" t="s">
        <v>25</v>
      </c>
      <c r="AN360" s="35" t="str">
        <f t="shared" si="28"/>
        <v>✓ OK</v>
      </c>
      <c r="AO360" s="36"/>
      <c r="AP360" s="36"/>
      <c r="AQ360" s="36"/>
      <c r="AR360" s="36"/>
      <c r="AS360" s="36"/>
      <c r="AT360" s="36"/>
      <c r="AU360" s="27"/>
      <c r="AV360" s="37"/>
      <c r="AW360" s="38" t="str">
        <f t="shared" si="29"/>
        <v/>
      </c>
    </row>
    <row r="361" spans="1:49" ht="18" customHeight="1" x14ac:dyDescent="0.3">
      <c r="A361" s="23">
        <v>357</v>
      </c>
      <c r="B361" s="24" t="s">
        <v>5912</v>
      </c>
      <c r="C361" s="25" t="s">
        <v>5913</v>
      </c>
      <c r="D361" s="23" t="s">
        <v>5200</v>
      </c>
      <c r="E361" s="43">
        <v>46125</v>
      </c>
      <c r="F361" s="26" t="s">
        <v>23</v>
      </c>
      <c r="G361" s="44" t="s">
        <v>1352</v>
      </c>
      <c r="H361" s="26" t="s">
        <v>25</v>
      </c>
      <c r="I361" s="44" t="s">
        <v>1352</v>
      </c>
      <c r="J361" s="26" t="s">
        <v>24</v>
      </c>
      <c r="K361" s="27"/>
      <c r="L361" s="28" t="s">
        <v>25</v>
      </c>
      <c r="M361" s="29" t="str">
        <f t="shared" si="25"/>
        <v>✓ OK</v>
      </c>
      <c r="N361" s="43">
        <v>46196</v>
      </c>
      <c r="O361" s="26" t="s">
        <v>23</v>
      </c>
      <c r="P361" s="44" t="s">
        <v>1352</v>
      </c>
      <c r="Q361" s="26" t="s">
        <v>25</v>
      </c>
      <c r="R361" s="44" t="s">
        <v>1352</v>
      </c>
      <c r="S361" s="26" t="s">
        <v>24</v>
      </c>
      <c r="T361" s="27"/>
      <c r="U361" s="28" t="s">
        <v>25</v>
      </c>
      <c r="V361" s="29" t="str">
        <f t="shared" si="26"/>
        <v>✓ OK</v>
      </c>
      <c r="W361" s="45">
        <v>46248</v>
      </c>
      <c r="X361" s="30" t="s">
        <v>23</v>
      </c>
      <c r="Y361" s="30" t="s">
        <v>1352</v>
      </c>
      <c r="Z361" s="30" t="s">
        <v>25</v>
      </c>
      <c r="AA361" s="30" t="s">
        <v>1352</v>
      </c>
      <c r="AB361" s="30" t="s">
        <v>24</v>
      </c>
      <c r="AC361" s="27"/>
      <c r="AD361" s="31" t="s">
        <v>25</v>
      </c>
      <c r="AE361" s="32" t="str">
        <f t="shared" si="27"/>
        <v>✓ OK</v>
      </c>
      <c r="AF361" s="33" t="s">
        <v>27</v>
      </c>
      <c r="AG361" s="33" t="s">
        <v>23</v>
      </c>
      <c r="AH361" s="33" t="s">
        <v>1352</v>
      </c>
      <c r="AI361" s="33" t="s">
        <v>25</v>
      </c>
      <c r="AJ361" s="33" t="s">
        <v>1352</v>
      </c>
      <c r="AK361" s="33" t="s">
        <v>24</v>
      </c>
      <c r="AL361" s="27"/>
      <c r="AM361" s="34" t="s">
        <v>25</v>
      </c>
      <c r="AN361" s="35" t="str">
        <f t="shared" si="28"/>
        <v>✓ OK</v>
      </c>
      <c r="AO361" s="36"/>
      <c r="AP361" s="36"/>
      <c r="AQ361" s="36"/>
      <c r="AR361" s="36"/>
      <c r="AS361" s="36"/>
      <c r="AT361" s="36"/>
      <c r="AU361" s="27"/>
      <c r="AV361" s="37"/>
      <c r="AW361" s="38" t="str">
        <f t="shared" si="29"/>
        <v/>
      </c>
    </row>
    <row r="362" spans="1:49" ht="18" customHeight="1" x14ac:dyDescent="0.3">
      <c r="A362" s="39">
        <v>358</v>
      </c>
      <c r="B362" s="40" t="s">
        <v>5914</v>
      </c>
      <c r="C362" s="41" t="s">
        <v>5915</v>
      </c>
      <c r="D362" s="39" t="s">
        <v>5200</v>
      </c>
      <c r="E362" s="43">
        <v>46125</v>
      </c>
      <c r="F362" s="26" t="s">
        <v>23</v>
      </c>
      <c r="G362" s="44" t="s">
        <v>24</v>
      </c>
      <c r="H362" s="26" t="s">
        <v>25</v>
      </c>
      <c r="I362" s="44" t="s">
        <v>26</v>
      </c>
      <c r="J362" s="26" t="s">
        <v>24</v>
      </c>
      <c r="K362" s="27"/>
      <c r="L362" s="28" t="s">
        <v>25</v>
      </c>
      <c r="M362" s="29" t="str">
        <f t="shared" si="25"/>
        <v>✓ OK</v>
      </c>
      <c r="N362" s="43">
        <v>46196</v>
      </c>
      <c r="O362" s="26" t="s">
        <v>23</v>
      </c>
      <c r="P362" s="44" t="s">
        <v>24</v>
      </c>
      <c r="Q362" s="26" t="s">
        <v>25</v>
      </c>
      <c r="R362" s="44" t="s">
        <v>26</v>
      </c>
      <c r="S362" s="26" t="s">
        <v>24</v>
      </c>
      <c r="T362" s="27"/>
      <c r="U362" s="28" t="s">
        <v>25</v>
      </c>
      <c r="V362" s="29" t="str">
        <f t="shared" si="26"/>
        <v>✓ OK</v>
      </c>
      <c r="W362" s="45">
        <v>46248</v>
      </c>
      <c r="X362" s="30" t="s">
        <v>23</v>
      </c>
      <c r="Y362" s="30" t="s">
        <v>24</v>
      </c>
      <c r="Z362" s="30" t="s">
        <v>25</v>
      </c>
      <c r="AA362" s="30" t="s">
        <v>26</v>
      </c>
      <c r="AB362" s="30" t="s">
        <v>24</v>
      </c>
      <c r="AC362" s="27"/>
      <c r="AD362" s="31" t="s">
        <v>25</v>
      </c>
      <c r="AE362" s="32" t="str">
        <f t="shared" si="27"/>
        <v>✓ OK</v>
      </c>
      <c r="AF362" s="33" t="s">
        <v>27</v>
      </c>
      <c r="AG362" s="33" t="s">
        <v>23</v>
      </c>
      <c r="AH362" s="33" t="s">
        <v>24</v>
      </c>
      <c r="AI362" s="33" t="s">
        <v>25</v>
      </c>
      <c r="AJ362" s="33" t="s">
        <v>26</v>
      </c>
      <c r="AK362" s="33" t="s">
        <v>24</v>
      </c>
      <c r="AL362" s="27"/>
      <c r="AM362" s="34" t="s">
        <v>25</v>
      </c>
      <c r="AN362" s="35" t="str">
        <f t="shared" si="28"/>
        <v>✓ OK</v>
      </c>
      <c r="AO362" s="36"/>
      <c r="AP362" s="36"/>
      <c r="AQ362" s="36"/>
      <c r="AR362" s="36"/>
      <c r="AS362" s="36"/>
      <c r="AT362" s="36"/>
      <c r="AU362" s="27"/>
      <c r="AV362" s="37"/>
      <c r="AW362" s="38" t="str">
        <f t="shared" si="29"/>
        <v/>
      </c>
    </row>
    <row r="363" spans="1:49" ht="18" customHeight="1" x14ac:dyDescent="0.3">
      <c r="A363" s="23">
        <v>359</v>
      </c>
      <c r="B363" s="24" t="s">
        <v>5916</v>
      </c>
      <c r="C363" s="25" t="s">
        <v>5917</v>
      </c>
      <c r="D363" s="23" t="s">
        <v>5918</v>
      </c>
      <c r="E363" s="43">
        <v>46125</v>
      </c>
      <c r="F363" s="26" t="s">
        <v>23</v>
      </c>
      <c r="G363" s="44" t="s">
        <v>25</v>
      </c>
      <c r="H363" s="26" t="s">
        <v>25</v>
      </c>
      <c r="I363" s="44" t="s">
        <v>735</v>
      </c>
      <c r="J363" s="26" t="s">
        <v>25</v>
      </c>
      <c r="K363" s="27"/>
      <c r="L363" s="28" t="s">
        <v>24</v>
      </c>
      <c r="M363" s="29" t="str">
        <f t="shared" si="25"/>
        <v>⚠ Missing</v>
      </c>
      <c r="N363" s="43">
        <v>46196</v>
      </c>
      <c r="O363" s="26" t="s">
        <v>23</v>
      </c>
      <c r="P363" s="44" t="s">
        <v>25</v>
      </c>
      <c r="Q363" s="26" t="s">
        <v>25</v>
      </c>
      <c r="R363" s="44" t="s">
        <v>735</v>
      </c>
      <c r="S363" s="26" t="s">
        <v>25</v>
      </c>
      <c r="T363" s="27"/>
      <c r="U363" s="28" t="s">
        <v>24</v>
      </c>
      <c r="V363" s="29" t="str">
        <f t="shared" si="26"/>
        <v>⚠ Missing</v>
      </c>
      <c r="W363" s="45">
        <v>46248</v>
      </c>
      <c r="X363" s="30" t="s">
        <v>23</v>
      </c>
      <c r="Y363" s="30" t="s">
        <v>25</v>
      </c>
      <c r="Z363" s="30" t="s">
        <v>25</v>
      </c>
      <c r="AA363" s="30" t="s">
        <v>735</v>
      </c>
      <c r="AB363" s="30" t="s">
        <v>25</v>
      </c>
      <c r="AC363" s="27"/>
      <c r="AD363" s="31" t="s">
        <v>24</v>
      </c>
      <c r="AE363" s="32" t="str">
        <f t="shared" si="27"/>
        <v>⚠ Missing</v>
      </c>
      <c r="AF363" s="33" t="s">
        <v>27</v>
      </c>
      <c r="AG363" s="33" t="s">
        <v>23</v>
      </c>
      <c r="AH363" s="33" t="s">
        <v>25</v>
      </c>
      <c r="AI363" s="33" t="s">
        <v>24</v>
      </c>
      <c r="AJ363" s="33" t="s">
        <v>135</v>
      </c>
      <c r="AK363" s="33" t="s">
        <v>25</v>
      </c>
      <c r="AL363" s="27"/>
      <c r="AM363" s="34" t="s">
        <v>25</v>
      </c>
      <c r="AN363" s="35" t="str">
        <f t="shared" si="28"/>
        <v>❌ Disc</v>
      </c>
      <c r="AO363" s="36"/>
      <c r="AP363" s="36"/>
      <c r="AQ363" s="36"/>
      <c r="AR363" s="36"/>
      <c r="AS363" s="36"/>
      <c r="AT363" s="36"/>
      <c r="AU363" s="27"/>
      <c r="AV363" s="37"/>
      <c r="AW363" s="38" t="str">
        <f t="shared" si="29"/>
        <v/>
      </c>
    </row>
    <row r="364" spans="1:49" ht="18" customHeight="1" x14ac:dyDescent="0.3">
      <c r="A364" s="39">
        <v>360</v>
      </c>
      <c r="B364" s="40" t="s">
        <v>5919</v>
      </c>
      <c r="C364" s="41" t="s">
        <v>5920</v>
      </c>
      <c r="D364" s="39" t="s">
        <v>5918</v>
      </c>
      <c r="E364" s="43">
        <v>46125</v>
      </c>
      <c r="F364" s="26" t="s">
        <v>23</v>
      </c>
      <c r="G364" s="44" t="s">
        <v>25</v>
      </c>
      <c r="H364" s="26" t="s">
        <v>25</v>
      </c>
      <c r="I364" s="44" t="s">
        <v>735</v>
      </c>
      <c r="J364" s="26" t="s">
        <v>25</v>
      </c>
      <c r="K364" s="27"/>
      <c r="L364" s="28" t="s">
        <v>24</v>
      </c>
      <c r="M364" s="29" t="str">
        <f t="shared" si="25"/>
        <v>⚠ Missing</v>
      </c>
      <c r="N364" s="43">
        <v>46196</v>
      </c>
      <c r="O364" s="26" t="s">
        <v>23</v>
      </c>
      <c r="P364" s="44" t="s">
        <v>25</v>
      </c>
      <c r="Q364" s="26" t="s">
        <v>25</v>
      </c>
      <c r="R364" s="44" t="s">
        <v>735</v>
      </c>
      <c r="S364" s="26" t="s">
        <v>25</v>
      </c>
      <c r="T364" s="27"/>
      <c r="U364" s="28" t="s">
        <v>24</v>
      </c>
      <c r="V364" s="29" t="str">
        <f t="shared" si="26"/>
        <v>⚠ Missing</v>
      </c>
      <c r="W364" s="45">
        <v>46248</v>
      </c>
      <c r="X364" s="30" t="s">
        <v>23</v>
      </c>
      <c r="Y364" s="30" t="s">
        <v>25</v>
      </c>
      <c r="Z364" s="30" t="s">
        <v>25</v>
      </c>
      <c r="AA364" s="30" t="s">
        <v>735</v>
      </c>
      <c r="AB364" s="30" t="s">
        <v>25</v>
      </c>
      <c r="AC364" s="27"/>
      <c r="AD364" s="31" t="s">
        <v>24</v>
      </c>
      <c r="AE364" s="32" t="str">
        <f t="shared" si="27"/>
        <v>⚠ Missing</v>
      </c>
      <c r="AF364" s="33" t="s">
        <v>27</v>
      </c>
      <c r="AG364" s="33" t="s">
        <v>23</v>
      </c>
      <c r="AH364" s="33" t="s">
        <v>25</v>
      </c>
      <c r="AI364" s="33" t="s">
        <v>24</v>
      </c>
      <c r="AJ364" s="33" t="s">
        <v>135</v>
      </c>
      <c r="AK364" s="33" t="s">
        <v>25</v>
      </c>
      <c r="AL364" s="27"/>
      <c r="AM364" s="34" t="s">
        <v>25</v>
      </c>
      <c r="AN364" s="35" t="str">
        <f t="shared" si="28"/>
        <v>❌ Disc</v>
      </c>
      <c r="AO364" s="36"/>
      <c r="AP364" s="36"/>
      <c r="AQ364" s="36"/>
      <c r="AR364" s="36"/>
      <c r="AS364" s="36"/>
      <c r="AT364" s="36"/>
      <c r="AU364" s="27"/>
      <c r="AV364" s="37"/>
      <c r="AW364" s="38" t="str">
        <f t="shared" si="29"/>
        <v/>
      </c>
    </row>
    <row r="365" spans="1:49" ht="18" customHeight="1" x14ac:dyDescent="0.3">
      <c r="A365" s="23">
        <v>361</v>
      </c>
      <c r="B365" s="24" t="s">
        <v>5921</v>
      </c>
      <c r="C365" s="25" t="s">
        <v>5922</v>
      </c>
      <c r="D365" s="23" t="s">
        <v>5918</v>
      </c>
      <c r="E365" s="43">
        <v>46125</v>
      </c>
      <c r="F365" s="26" t="s">
        <v>23</v>
      </c>
      <c r="G365" s="44" t="s">
        <v>25</v>
      </c>
      <c r="H365" s="26" t="s">
        <v>25</v>
      </c>
      <c r="I365" s="44" t="s">
        <v>735</v>
      </c>
      <c r="J365" s="26" t="s">
        <v>25</v>
      </c>
      <c r="K365" s="27"/>
      <c r="L365" s="28" t="s">
        <v>24</v>
      </c>
      <c r="M365" s="29" t="str">
        <f t="shared" si="25"/>
        <v>⚠ Missing</v>
      </c>
      <c r="N365" s="43">
        <v>46196</v>
      </c>
      <c r="O365" s="26" t="s">
        <v>23</v>
      </c>
      <c r="P365" s="44" t="s">
        <v>25</v>
      </c>
      <c r="Q365" s="26" t="s">
        <v>25</v>
      </c>
      <c r="R365" s="44" t="s">
        <v>735</v>
      </c>
      <c r="S365" s="26" t="s">
        <v>25</v>
      </c>
      <c r="T365" s="27"/>
      <c r="U365" s="28" t="s">
        <v>24</v>
      </c>
      <c r="V365" s="29" t="str">
        <f t="shared" si="26"/>
        <v>⚠ Missing</v>
      </c>
      <c r="W365" s="45">
        <v>46248</v>
      </c>
      <c r="X365" s="30" t="s">
        <v>23</v>
      </c>
      <c r="Y365" s="30" t="s">
        <v>25</v>
      </c>
      <c r="Z365" s="30" t="s">
        <v>25</v>
      </c>
      <c r="AA365" s="30" t="s">
        <v>735</v>
      </c>
      <c r="AB365" s="30" t="s">
        <v>25</v>
      </c>
      <c r="AC365" s="27"/>
      <c r="AD365" s="31" t="s">
        <v>24</v>
      </c>
      <c r="AE365" s="32" t="str">
        <f t="shared" si="27"/>
        <v>⚠ Missing</v>
      </c>
      <c r="AF365" s="33" t="s">
        <v>27</v>
      </c>
      <c r="AG365" s="33" t="s">
        <v>23</v>
      </c>
      <c r="AH365" s="33" t="s">
        <v>25</v>
      </c>
      <c r="AI365" s="33" t="s">
        <v>24</v>
      </c>
      <c r="AJ365" s="33" t="s">
        <v>135</v>
      </c>
      <c r="AK365" s="33" t="s">
        <v>25</v>
      </c>
      <c r="AL365" s="27"/>
      <c r="AM365" s="34" t="s">
        <v>25</v>
      </c>
      <c r="AN365" s="35" t="str">
        <f t="shared" si="28"/>
        <v>❌ Disc</v>
      </c>
      <c r="AO365" s="36"/>
      <c r="AP365" s="36"/>
      <c r="AQ365" s="36"/>
      <c r="AR365" s="36"/>
      <c r="AS365" s="36"/>
      <c r="AT365" s="36"/>
      <c r="AU365" s="27"/>
      <c r="AV365" s="37"/>
      <c r="AW365" s="38" t="str">
        <f t="shared" si="29"/>
        <v/>
      </c>
    </row>
    <row r="366" spans="1:49" ht="18" customHeight="1" x14ac:dyDescent="0.3">
      <c r="A366" s="39">
        <v>362</v>
      </c>
      <c r="B366" s="40" t="s">
        <v>5923</v>
      </c>
      <c r="C366" s="41" t="s">
        <v>5924</v>
      </c>
      <c r="D366" s="39" t="s">
        <v>5918</v>
      </c>
      <c r="E366" s="43">
        <v>46125</v>
      </c>
      <c r="F366" s="26" t="s">
        <v>23</v>
      </c>
      <c r="G366" s="44" t="s">
        <v>25</v>
      </c>
      <c r="H366" s="26" t="s">
        <v>25</v>
      </c>
      <c r="I366" s="44" t="s">
        <v>735</v>
      </c>
      <c r="J366" s="26" t="s">
        <v>25</v>
      </c>
      <c r="K366" s="27"/>
      <c r="L366" s="28" t="s">
        <v>24</v>
      </c>
      <c r="M366" s="29" t="str">
        <f t="shared" si="25"/>
        <v>⚠ Missing</v>
      </c>
      <c r="N366" s="43">
        <v>46196</v>
      </c>
      <c r="O366" s="26" t="s">
        <v>23</v>
      </c>
      <c r="P366" s="44" t="s">
        <v>25</v>
      </c>
      <c r="Q366" s="26" t="s">
        <v>25</v>
      </c>
      <c r="R366" s="44" t="s">
        <v>735</v>
      </c>
      <c r="S366" s="26" t="s">
        <v>25</v>
      </c>
      <c r="T366" s="27"/>
      <c r="U366" s="28" t="s">
        <v>24</v>
      </c>
      <c r="V366" s="29" t="str">
        <f t="shared" si="26"/>
        <v>⚠ Missing</v>
      </c>
      <c r="W366" s="45">
        <v>46248</v>
      </c>
      <c r="X366" s="30" t="s">
        <v>23</v>
      </c>
      <c r="Y366" s="30" t="s">
        <v>25</v>
      </c>
      <c r="Z366" s="30" t="s">
        <v>25</v>
      </c>
      <c r="AA366" s="30" t="s">
        <v>735</v>
      </c>
      <c r="AB366" s="30" t="s">
        <v>25</v>
      </c>
      <c r="AC366" s="27"/>
      <c r="AD366" s="31" t="s">
        <v>24</v>
      </c>
      <c r="AE366" s="32" t="str">
        <f t="shared" si="27"/>
        <v>⚠ Missing</v>
      </c>
      <c r="AF366" s="33" t="s">
        <v>27</v>
      </c>
      <c r="AG366" s="33" t="s">
        <v>23</v>
      </c>
      <c r="AH366" s="33" t="s">
        <v>25</v>
      </c>
      <c r="AI366" s="33" t="s">
        <v>25</v>
      </c>
      <c r="AJ366" s="33" t="s">
        <v>735</v>
      </c>
      <c r="AK366" s="33" t="s">
        <v>25</v>
      </c>
      <c r="AL366" s="27"/>
      <c r="AM366" s="34" t="s">
        <v>24</v>
      </c>
      <c r="AN366" s="35" t="str">
        <f t="shared" si="28"/>
        <v>⚠ Missing</v>
      </c>
      <c r="AO366" s="36"/>
      <c r="AP366" s="36"/>
      <c r="AQ366" s="36"/>
      <c r="AR366" s="36"/>
      <c r="AS366" s="36"/>
      <c r="AT366" s="36"/>
      <c r="AU366" s="27"/>
      <c r="AV366" s="37"/>
      <c r="AW366" s="38" t="str">
        <f t="shared" si="29"/>
        <v/>
      </c>
    </row>
    <row r="367" spans="1:49" ht="18" customHeight="1" x14ac:dyDescent="0.3">
      <c r="A367" s="23">
        <v>363</v>
      </c>
      <c r="B367" s="24" t="s">
        <v>5925</v>
      </c>
      <c r="C367" s="25" t="s">
        <v>5926</v>
      </c>
      <c r="D367" s="23" t="s">
        <v>5918</v>
      </c>
      <c r="E367" s="43">
        <v>46125</v>
      </c>
      <c r="F367" s="26" t="s">
        <v>23</v>
      </c>
      <c r="G367" s="44" t="s">
        <v>25</v>
      </c>
      <c r="H367" s="26" t="s">
        <v>25</v>
      </c>
      <c r="I367" s="44" t="s">
        <v>735</v>
      </c>
      <c r="J367" s="26" t="s">
        <v>25</v>
      </c>
      <c r="K367" s="27"/>
      <c r="L367" s="28" t="s">
        <v>24</v>
      </c>
      <c r="M367" s="29" t="str">
        <f t="shared" si="25"/>
        <v>⚠ Missing</v>
      </c>
      <c r="N367" s="43">
        <v>46196</v>
      </c>
      <c r="O367" s="26" t="s">
        <v>23</v>
      </c>
      <c r="P367" s="44" t="s">
        <v>25</v>
      </c>
      <c r="Q367" s="26" t="s">
        <v>25</v>
      </c>
      <c r="R367" s="44" t="s">
        <v>735</v>
      </c>
      <c r="S367" s="26" t="s">
        <v>25</v>
      </c>
      <c r="T367" s="27"/>
      <c r="U367" s="28" t="s">
        <v>24</v>
      </c>
      <c r="V367" s="29" t="str">
        <f t="shared" si="26"/>
        <v>⚠ Missing</v>
      </c>
      <c r="W367" s="45">
        <v>46248</v>
      </c>
      <c r="X367" s="30" t="s">
        <v>23</v>
      </c>
      <c r="Y367" s="30" t="s">
        <v>25</v>
      </c>
      <c r="Z367" s="30" t="s">
        <v>25</v>
      </c>
      <c r="AA367" s="30" t="s">
        <v>735</v>
      </c>
      <c r="AB367" s="30" t="s">
        <v>25</v>
      </c>
      <c r="AC367" s="27"/>
      <c r="AD367" s="31" t="s">
        <v>24</v>
      </c>
      <c r="AE367" s="32" t="str">
        <f t="shared" si="27"/>
        <v>⚠ Missing</v>
      </c>
      <c r="AF367" s="33" t="s">
        <v>27</v>
      </c>
      <c r="AG367" s="33" t="s">
        <v>23</v>
      </c>
      <c r="AH367" s="33" t="s">
        <v>25</v>
      </c>
      <c r="AI367" s="33" t="s">
        <v>24</v>
      </c>
      <c r="AJ367" s="33" t="s">
        <v>135</v>
      </c>
      <c r="AK367" s="33" t="s">
        <v>25</v>
      </c>
      <c r="AL367" s="27"/>
      <c r="AM367" s="34" t="s">
        <v>25</v>
      </c>
      <c r="AN367" s="35" t="str">
        <f t="shared" si="28"/>
        <v>❌ Disc</v>
      </c>
      <c r="AO367" s="36"/>
      <c r="AP367" s="36"/>
      <c r="AQ367" s="36"/>
      <c r="AR367" s="36"/>
      <c r="AS367" s="36"/>
      <c r="AT367" s="36"/>
      <c r="AU367" s="27"/>
      <c r="AV367" s="37"/>
      <c r="AW367" s="38" t="str">
        <f t="shared" si="29"/>
        <v/>
      </c>
    </row>
    <row r="368" spans="1:49" ht="18" customHeight="1" x14ac:dyDescent="0.3">
      <c r="A368" s="39">
        <v>364</v>
      </c>
      <c r="B368" s="40" t="s">
        <v>5927</v>
      </c>
      <c r="C368" s="41" t="s">
        <v>5928</v>
      </c>
      <c r="D368" s="39" t="s">
        <v>5918</v>
      </c>
      <c r="E368" s="43">
        <v>46125</v>
      </c>
      <c r="F368" s="26" t="s">
        <v>23</v>
      </c>
      <c r="G368" s="44" t="s">
        <v>25</v>
      </c>
      <c r="H368" s="26" t="s">
        <v>25</v>
      </c>
      <c r="I368" s="44" t="s">
        <v>735</v>
      </c>
      <c r="J368" s="26" t="s">
        <v>25</v>
      </c>
      <c r="K368" s="27"/>
      <c r="L368" s="28" t="s">
        <v>24</v>
      </c>
      <c r="M368" s="29" t="str">
        <f t="shared" si="25"/>
        <v>⚠ Missing</v>
      </c>
      <c r="N368" s="43">
        <v>46196</v>
      </c>
      <c r="O368" s="26" t="s">
        <v>23</v>
      </c>
      <c r="P368" s="44" t="s">
        <v>25</v>
      </c>
      <c r="Q368" s="26" t="s">
        <v>25</v>
      </c>
      <c r="R368" s="44" t="s">
        <v>735</v>
      </c>
      <c r="S368" s="26" t="s">
        <v>25</v>
      </c>
      <c r="T368" s="27"/>
      <c r="U368" s="28" t="s">
        <v>24</v>
      </c>
      <c r="V368" s="29" t="str">
        <f t="shared" si="26"/>
        <v>⚠ Missing</v>
      </c>
      <c r="W368" s="45">
        <v>46248</v>
      </c>
      <c r="X368" s="30" t="s">
        <v>23</v>
      </c>
      <c r="Y368" s="30" t="s">
        <v>25</v>
      </c>
      <c r="Z368" s="30" t="s">
        <v>25</v>
      </c>
      <c r="AA368" s="30" t="s">
        <v>735</v>
      </c>
      <c r="AB368" s="30" t="s">
        <v>25</v>
      </c>
      <c r="AC368" s="27"/>
      <c r="AD368" s="31" t="s">
        <v>24</v>
      </c>
      <c r="AE368" s="32" t="str">
        <f t="shared" si="27"/>
        <v>⚠ Missing</v>
      </c>
      <c r="AF368" s="33" t="s">
        <v>27</v>
      </c>
      <c r="AG368" s="33" t="s">
        <v>23</v>
      </c>
      <c r="AH368" s="33" t="s">
        <v>25</v>
      </c>
      <c r="AI368" s="33" t="s">
        <v>24</v>
      </c>
      <c r="AJ368" s="33" t="s">
        <v>135</v>
      </c>
      <c r="AK368" s="33" t="s">
        <v>25</v>
      </c>
      <c r="AL368" s="27"/>
      <c r="AM368" s="34" t="s">
        <v>25</v>
      </c>
      <c r="AN368" s="35" t="str">
        <f t="shared" si="28"/>
        <v>❌ Disc</v>
      </c>
      <c r="AO368" s="36"/>
      <c r="AP368" s="36"/>
      <c r="AQ368" s="36"/>
      <c r="AR368" s="36"/>
      <c r="AS368" s="36"/>
      <c r="AT368" s="36"/>
      <c r="AU368" s="27"/>
      <c r="AV368" s="37"/>
      <c r="AW368" s="38" t="str">
        <f t="shared" si="29"/>
        <v/>
      </c>
    </row>
    <row r="369" spans="1:49" ht="18" customHeight="1" x14ac:dyDescent="0.3">
      <c r="A369" s="23">
        <v>365</v>
      </c>
      <c r="B369" s="24" t="s">
        <v>5929</v>
      </c>
      <c r="C369" s="25" t="s">
        <v>5930</v>
      </c>
      <c r="D369" s="23" t="s">
        <v>5918</v>
      </c>
      <c r="E369" s="43">
        <v>46125</v>
      </c>
      <c r="F369" s="26" t="s">
        <v>23</v>
      </c>
      <c r="G369" s="44" t="s">
        <v>25</v>
      </c>
      <c r="H369" s="26" t="s">
        <v>25</v>
      </c>
      <c r="I369" s="44" t="s">
        <v>735</v>
      </c>
      <c r="J369" s="26" t="s">
        <v>25</v>
      </c>
      <c r="K369" s="27"/>
      <c r="L369" s="28" t="s">
        <v>24</v>
      </c>
      <c r="M369" s="29" t="str">
        <f t="shared" si="25"/>
        <v>⚠ Missing</v>
      </c>
      <c r="N369" s="43">
        <v>46196</v>
      </c>
      <c r="O369" s="26" t="s">
        <v>23</v>
      </c>
      <c r="P369" s="44" t="s">
        <v>25</v>
      </c>
      <c r="Q369" s="26" t="s">
        <v>25</v>
      </c>
      <c r="R369" s="44" t="s">
        <v>735</v>
      </c>
      <c r="S369" s="26" t="s">
        <v>25</v>
      </c>
      <c r="T369" s="27"/>
      <c r="U369" s="28" t="s">
        <v>24</v>
      </c>
      <c r="V369" s="29" t="str">
        <f t="shared" si="26"/>
        <v>⚠ Missing</v>
      </c>
      <c r="W369" s="45">
        <v>46248</v>
      </c>
      <c r="X369" s="30" t="s">
        <v>23</v>
      </c>
      <c r="Y369" s="30" t="s">
        <v>25</v>
      </c>
      <c r="Z369" s="30" t="s">
        <v>25</v>
      </c>
      <c r="AA369" s="30" t="s">
        <v>735</v>
      </c>
      <c r="AB369" s="30" t="s">
        <v>25</v>
      </c>
      <c r="AC369" s="27"/>
      <c r="AD369" s="31" t="s">
        <v>24</v>
      </c>
      <c r="AE369" s="32" t="str">
        <f t="shared" si="27"/>
        <v>⚠ Missing</v>
      </c>
      <c r="AF369" s="33" t="s">
        <v>27</v>
      </c>
      <c r="AG369" s="33" t="s">
        <v>23</v>
      </c>
      <c r="AH369" s="33" t="s">
        <v>24</v>
      </c>
      <c r="AI369" s="33" t="s">
        <v>25</v>
      </c>
      <c r="AJ369" s="33" t="s">
        <v>26</v>
      </c>
      <c r="AK369" s="33" t="s">
        <v>24</v>
      </c>
      <c r="AL369" s="27"/>
      <c r="AM369" s="34" t="s">
        <v>25</v>
      </c>
      <c r="AN369" s="35" t="str">
        <f t="shared" si="28"/>
        <v>✓ OK</v>
      </c>
      <c r="AO369" s="36"/>
      <c r="AP369" s="36"/>
      <c r="AQ369" s="36"/>
      <c r="AR369" s="36"/>
      <c r="AS369" s="36"/>
      <c r="AT369" s="36"/>
      <c r="AU369" s="27"/>
      <c r="AV369" s="37"/>
      <c r="AW369" s="38" t="str">
        <f t="shared" si="29"/>
        <v/>
      </c>
    </row>
    <row r="370" spans="1:49" ht="18" customHeight="1" x14ac:dyDescent="0.3">
      <c r="A370" s="39">
        <v>366</v>
      </c>
      <c r="B370" s="40" t="s">
        <v>5931</v>
      </c>
      <c r="C370" s="41" t="s">
        <v>5932</v>
      </c>
      <c r="D370" s="39" t="s">
        <v>5918</v>
      </c>
      <c r="E370" s="43">
        <v>46125</v>
      </c>
      <c r="F370" s="26" t="s">
        <v>23</v>
      </c>
      <c r="G370" s="44" t="s">
        <v>25</v>
      </c>
      <c r="H370" s="26" t="s">
        <v>25</v>
      </c>
      <c r="I370" s="44" t="s">
        <v>735</v>
      </c>
      <c r="J370" s="26" t="s">
        <v>25</v>
      </c>
      <c r="K370" s="27"/>
      <c r="L370" s="28" t="s">
        <v>24</v>
      </c>
      <c r="M370" s="29" t="str">
        <f t="shared" si="25"/>
        <v>⚠ Missing</v>
      </c>
      <c r="N370" s="43">
        <v>46196</v>
      </c>
      <c r="O370" s="26" t="s">
        <v>23</v>
      </c>
      <c r="P370" s="44" t="s">
        <v>25</v>
      </c>
      <c r="Q370" s="26" t="s">
        <v>25</v>
      </c>
      <c r="R370" s="44" t="s">
        <v>735</v>
      </c>
      <c r="S370" s="26" t="s">
        <v>25</v>
      </c>
      <c r="T370" s="27"/>
      <c r="U370" s="28" t="s">
        <v>24</v>
      </c>
      <c r="V370" s="29" t="str">
        <f t="shared" si="26"/>
        <v>⚠ Missing</v>
      </c>
      <c r="W370" s="45">
        <v>46248</v>
      </c>
      <c r="X370" s="30" t="s">
        <v>23</v>
      </c>
      <c r="Y370" s="30" t="s">
        <v>25</v>
      </c>
      <c r="Z370" s="30" t="s">
        <v>25</v>
      </c>
      <c r="AA370" s="30" t="s">
        <v>735</v>
      </c>
      <c r="AB370" s="30" t="s">
        <v>25</v>
      </c>
      <c r="AC370" s="27"/>
      <c r="AD370" s="31" t="s">
        <v>24</v>
      </c>
      <c r="AE370" s="32" t="str">
        <f t="shared" si="27"/>
        <v>⚠ Missing</v>
      </c>
      <c r="AF370" s="33" t="s">
        <v>27</v>
      </c>
      <c r="AG370" s="33" t="s">
        <v>23</v>
      </c>
      <c r="AH370" s="33" t="s">
        <v>25</v>
      </c>
      <c r="AI370" s="33" t="s">
        <v>24</v>
      </c>
      <c r="AJ370" s="33" t="s">
        <v>135</v>
      </c>
      <c r="AK370" s="33" t="s">
        <v>25</v>
      </c>
      <c r="AL370" s="27"/>
      <c r="AM370" s="34" t="s">
        <v>25</v>
      </c>
      <c r="AN370" s="35" t="str">
        <f t="shared" si="28"/>
        <v>❌ Disc</v>
      </c>
      <c r="AO370" s="36"/>
      <c r="AP370" s="36"/>
      <c r="AQ370" s="36"/>
      <c r="AR370" s="36"/>
      <c r="AS370" s="36"/>
      <c r="AT370" s="36"/>
      <c r="AU370" s="27"/>
      <c r="AV370" s="37"/>
      <c r="AW370" s="38" t="str">
        <f t="shared" si="29"/>
        <v/>
      </c>
    </row>
    <row r="371" spans="1:49" ht="18" customHeight="1" x14ac:dyDescent="0.3">
      <c r="A371" s="23">
        <v>367</v>
      </c>
      <c r="B371" s="24" t="s">
        <v>5933</v>
      </c>
      <c r="C371" s="25" t="s">
        <v>5934</v>
      </c>
      <c r="D371" s="23" t="s">
        <v>5918</v>
      </c>
      <c r="E371" s="43">
        <v>46125</v>
      </c>
      <c r="F371" s="26" t="s">
        <v>23</v>
      </c>
      <c r="G371" s="44" t="s">
        <v>25</v>
      </c>
      <c r="H371" s="26" t="s">
        <v>25</v>
      </c>
      <c r="I371" s="44" t="s">
        <v>735</v>
      </c>
      <c r="J371" s="26" t="s">
        <v>25</v>
      </c>
      <c r="K371" s="27"/>
      <c r="L371" s="28" t="s">
        <v>24</v>
      </c>
      <c r="M371" s="29" t="str">
        <f t="shared" si="25"/>
        <v>⚠ Missing</v>
      </c>
      <c r="N371" s="43">
        <v>46196</v>
      </c>
      <c r="O371" s="26" t="s">
        <v>23</v>
      </c>
      <c r="P371" s="44" t="s">
        <v>25</v>
      </c>
      <c r="Q371" s="26" t="s">
        <v>25</v>
      </c>
      <c r="R371" s="44" t="s">
        <v>735</v>
      </c>
      <c r="S371" s="26" t="s">
        <v>25</v>
      </c>
      <c r="T371" s="27"/>
      <c r="U371" s="28" t="s">
        <v>24</v>
      </c>
      <c r="V371" s="29" t="str">
        <f t="shared" si="26"/>
        <v>⚠ Missing</v>
      </c>
      <c r="W371" s="45">
        <v>46248</v>
      </c>
      <c r="X371" s="30" t="s">
        <v>23</v>
      </c>
      <c r="Y371" s="30" t="s">
        <v>25</v>
      </c>
      <c r="Z371" s="30" t="s">
        <v>25</v>
      </c>
      <c r="AA371" s="30" t="s">
        <v>735</v>
      </c>
      <c r="AB371" s="30" t="s">
        <v>25</v>
      </c>
      <c r="AC371" s="27"/>
      <c r="AD371" s="31" t="s">
        <v>24</v>
      </c>
      <c r="AE371" s="32" t="str">
        <f t="shared" si="27"/>
        <v>⚠ Missing</v>
      </c>
      <c r="AF371" s="33" t="s">
        <v>27</v>
      </c>
      <c r="AG371" s="33" t="s">
        <v>23</v>
      </c>
      <c r="AH371" s="33" t="s">
        <v>25</v>
      </c>
      <c r="AI371" s="33" t="s">
        <v>24</v>
      </c>
      <c r="AJ371" s="33" t="s">
        <v>135</v>
      </c>
      <c r="AK371" s="33" t="s">
        <v>25</v>
      </c>
      <c r="AL371" s="27"/>
      <c r="AM371" s="34" t="s">
        <v>25</v>
      </c>
      <c r="AN371" s="35" t="str">
        <f t="shared" si="28"/>
        <v>❌ Disc</v>
      </c>
      <c r="AO371" s="36"/>
      <c r="AP371" s="36"/>
      <c r="AQ371" s="36"/>
      <c r="AR371" s="36"/>
      <c r="AS371" s="36"/>
      <c r="AT371" s="36"/>
      <c r="AU371" s="27"/>
      <c r="AV371" s="37"/>
      <c r="AW371" s="38" t="str">
        <f t="shared" si="29"/>
        <v/>
      </c>
    </row>
    <row r="372" spans="1:49" ht="18" customHeight="1" x14ac:dyDescent="0.3">
      <c r="A372" s="39">
        <v>368</v>
      </c>
      <c r="B372" s="40" t="s">
        <v>5935</v>
      </c>
      <c r="C372" s="41" t="s">
        <v>5936</v>
      </c>
      <c r="D372" s="39" t="s">
        <v>5918</v>
      </c>
      <c r="E372" s="43">
        <v>46125</v>
      </c>
      <c r="F372" s="26" t="s">
        <v>23</v>
      </c>
      <c r="G372" s="44" t="s">
        <v>25</v>
      </c>
      <c r="H372" s="26" t="s">
        <v>25</v>
      </c>
      <c r="I372" s="44" t="s">
        <v>735</v>
      </c>
      <c r="J372" s="26" t="s">
        <v>25</v>
      </c>
      <c r="K372" s="27"/>
      <c r="L372" s="28" t="s">
        <v>24</v>
      </c>
      <c r="M372" s="29" t="str">
        <f t="shared" si="25"/>
        <v>⚠ Missing</v>
      </c>
      <c r="N372" s="43">
        <v>46196</v>
      </c>
      <c r="O372" s="26" t="s">
        <v>23</v>
      </c>
      <c r="P372" s="44" t="s">
        <v>25</v>
      </c>
      <c r="Q372" s="26" t="s">
        <v>25</v>
      </c>
      <c r="R372" s="44" t="s">
        <v>735</v>
      </c>
      <c r="S372" s="26" t="s">
        <v>25</v>
      </c>
      <c r="T372" s="27"/>
      <c r="U372" s="28" t="s">
        <v>24</v>
      </c>
      <c r="V372" s="29" t="str">
        <f t="shared" si="26"/>
        <v>⚠ Missing</v>
      </c>
      <c r="W372" s="45">
        <v>46248</v>
      </c>
      <c r="X372" s="30" t="s">
        <v>23</v>
      </c>
      <c r="Y372" s="30" t="s">
        <v>25</v>
      </c>
      <c r="Z372" s="30" t="s">
        <v>25</v>
      </c>
      <c r="AA372" s="30" t="s">
        <v>735</v>
      </c>
      <c r="AB372" s="30" t="s">
        <v>25</v>
      </c>
      <c r="AC372" s="27"/>
      <c r="AD372" s="31" t="s">
        <v>24</v>
      </c>
      <c r="AE372" s="32" t="str">
        <f t="shared" si="27"/>
        <v>⚠ Missing</v>
      </c>
      <c r="AF372" s="33" t="s">
        <v>27</v>
      </c>
      <c r="AG372" s="33" t="s">
        <v>23</v>
      </c>
      <c r="AH372" s="33" t="s">
        <v>25</v>
      </c>
      <c r="AI372" s="33" t="s">
        <v>24</v>
      </c>
      <c r="AJ372" s="33" t="s">
        <v>135</v>
      </c>
      <c r="AK372" s="33" t="s">
        <v>25</v>
      </c>
      <c r="AL372" s="27"/>
      <c r="AM372" s="34" t="s">
        <v>25</v>
      </c>
      <c r="AN372" s="35" t="str">
        <f t="shared" si="28"/>
        <v>❌ Disc</v>
      </c>
      <c r="AO372" s="36"/>
      <c r="AP372" s="36"/>
      <c r="AQ372" s="36"/>
      <c r="AR372" s="36"/>
      <c r="AS372" s="36"/>
      <c r="AT372" s="36"/>
      <c r="AU372" s="27"/>
      <c r="AV372" s="37"/>
      <c r="AW372" s="38" t="str">
        <f t="shared" si="29"/>
        <v/>
      </c>
    </row>
    <row r="373" spans="1:49" ht="18" customHeight="1" x14ac:dyDescent="0.3">
      <c r="A373" s="23">
        <v>369</v>
      </c>
      <c r="B373" s="24" t="s">
        <v>5937</v>
      </c>
      <c r="C373" s="25" t="s">
        <v>5938</v>
      </c>
      <c r="D373" s="23" t="s">
        <v>5918</v>
      </c>
      <c r="E373" s="43">
        <v>46125</v>
      </c>
      <c r="F373" s="26" t="s">
        <v>23</v>
      </c>
      <c r="G373" s="44" t="s">
        <v>25</v>
      </c>
      <c r="H373" s="26" t="s">
        <v>25</v>
      </c>
      <c r="I373" s="44" t="s">
        <v>735</v>
      </c>
      <c r="J373" s="26" t="s">
        <v>25</v>
      </c>
      <c r="K373" s="27"/>
      <c r="L373" s="28" t="s">
        <v>24</v>
      </c>
      <c r="M373" s="29" t="str">
        <f t="shared" si="25"/>
        <v>⚠ Missing</v>
      </c>
      <c r="N373" s="43">
        <v>46196</v>
      </c>
      <c r="O373" s="26" t="s">
        <v>23</v>
      </c>
      <c r="P373" s="44" t="s">
        <v>25</v>
      </c>
      <c r="Q373" s="26" t="s">
        <v>25</v>
      </c>
      <c r="R373" s="44" t="s">
        <v>735</v>
      </c>
      <c r="S373" s="26" t="s">
        <v>25</v>
      </c>
      <c r="T373" s="27"/>
      <c r="U373" s="28" t="s">
        <v>24</v>
      </c>
      <c r="V373" s="29" t="str">
        <f t="shared" si="26"/>
        <v>⚠ Missing</v>
      </c>
      <c r="W373" s="45">
        <v>46248</v>
      </c>
      <c r="X373" s="30" t="s">
        <v>23</v>
      </c>
      <c r="Y373" s="30" t="s">
        <v>25</v>
      </c>
      <c r="Z373" s="30" t="s">
        <v>25</v>
      </c>
      <c r="AA373" s="30" t="s">
        <v>735</v>
      </c>
      <c r="AB373" s="30" t="s">
        <v>25</v>
      </c>
      <c r="AC373" s="27"/>
      <c r="AD373" s="31" t="s">
        <v>24</v>
      </c>
      <c r="AE373" s="32" t="str">
        <f t="shared" si="27"/>
        <v>⚠ Missing</v>
      </c>
      <c r="AF373" s="33" t="s">
        <v>27</v>
      </c>
      <c r="AG373" s="33" t="s">
        <v>23</v>
      </c>
      <c r="AH373" s="33" t="s">
        <v>24</v>
      </c>
      <c r="AI373" s="33" t="s">
        <v>25</v>
      </c>
      <c r="AJ373" s="33" t="s">
        <v>26</v>
      </c>
      <c r="AK373" s="33" t="s">
        <v>24</v>
      </c>
      <c r="AL373" s="27"/>
      <c r="AM373" s="34" t="s">
        <v>25</v>
      </c>
      <c r="AN373" s="35" t="str">
        <f t="shared" si="28"/>
        <v>✓ OK</v>
      </c>
      <c r="AO373" s="36"/>
      <c r="AP373" s="36"/>
      <c r="AQ373" s="36"/>
      <c r="AR373" s="36"/>
      <c r="AS373" s="36"/>
      <c r="AT373" s="36"/>
      <c r="AU373" s="27"/>
      <c r="AV373" s="37"/>
      <c r="AW373" s="38" t="str">
        <f t="shared" si="29"/>
        <v/>
      </c>
    </row>
    <row r="374" spans="1:49" ht="18" customHeight="1" x14ac:dyDescent="0.3">
      <c r="A374" s="39">
        <v>370</v>
      </c>
      <c r="B374" s="40" t="s">
        <v>5939</v>
      </c>
      <c r="C374" s="41" t="s">
        <v>5940</v>
      </c>
      <c r="D374" s="39" t="s">
        <v>5918</v>
      </c>
      <c r="E374" s="43">
        <v>46125</v>
      </c>
      <c r="F374" s="26" t="s">
        <v>23</v>
      </c>
      <c r="G374" s="44" t="s">
        <v>25</v>
      </c>
      <c r="H374" s="26" t="s">
        <v>25</v>
      </c>
      <c r="I374" s="44" t="s">
        <v>735</v>
      </c>
      <c r="J374" s="26" t="s">
        <v>25</v>
      </c>
      <c r="K374" s="27"/>
      <c r="L374" s="28" t="s">
        <v>24</v>
      </c>
      <c r="M374" s="29" t="str">
        <f t="shared" si="25"/>
        <v>⚠ Missing</v>
      </c>
      <c r="N374" s="43">
        <v>46196</v>
      </c>
      <c r="O374" s="26" t="s">
        <v>23</v>
      </c>
      <c r="P374" s="44" t="s">
        <v>25</v>
      </c>
      <c r="Q374" s="26" t="s">
        <v>25</v>
      </c>
      <c r="R374" s="44" t="s">
        <v>735</v>
      </c>
      <c r="S374" s="26" t="s">
        <v>25</v>
      </c>
      <c r="T374" s="27"/>
      <c r="U374" s="28" t="s">
        <v>24</v>
      </c>
      <c r="V374" s="29" t="str">
        <f t="shared" si="26"/>
        <v>⚠ Missing</v>
      </c>
      <c r="W374" s="45">
        <v>46248</v>
      </c>
      <c r="X374" s="30" t="s">
        <v>23</v>
      </c>
      <c r="Y374" s="30" t="s">
        <v>25</v>
      </c>
      <c r="Z374" s="30" t="s">
        <v>25</v>
      </c>
      <c r="AA374" s="30" t="s">
        <v>735</v>
      </c>
      <c r="AB374" s="30" t="s">
        <v>25</v>
      </c>
      <c r="AC374" s="27"/>
      <c r="AD374" s="31" t="s">
        <v>24</v>
      </c>
      <c r="AE374" s="32" t="str">
        <f t="shared" si="27"/>
        <v>⚠ Missing</v>
      </c>
      <c r="AF374" s="33" t="s">
        <v>27</v>
      </c>
      <c r="AG374" s="33" t="s">
        <v>23</v>
      </c>
      <c r="AH374" s="33" t="s">
        <v>24</v>
      </c>
      <c r="AI374" s="33" t="s">
        <v>25</v>
      </c>
      <c r="AJ374" s="33" t="s">
        <v>26</v>
      </c>
      <c r="AK374" s="33" t="s">
        <v>24</v>
      </c>
      <c r="AL374" s="27"/>
      <c r="AM374" s="34" t="s">
        <v>25</v>
      </c>
      <c r="AN374" s="35" t="str">
        <f t="shared" si="28"/>
        <v>✓ OK</v>
      </c>
      <c r="AO374" s="36"/>
      <c r="AP374" s="36"/>
      <c r="AQ374" s="36"/>
      <c r="AR374" s="36"/>
      <c r="AS374" s="36"/>
      <c r="AT374" s="36"/>
      <c r="AU374" s="27"/>
      <c r="AV374" s="37"/>
      <c r="AW374" s="38" t="str">
        <f t="shared" si="29"/>
        <v/>
      </c>
    </row>
    <row r="375" spans="1:49" ht="18" customHeight="1" x14ac:dyDescent="0.3">
      <c r="A375" s="23">
        <v>371</v>
      </c>
      <c r="B375" s="24" t="s">
        <v>5941</v>
      </c>
      <c r="C375" s="25" t="s">
        <v>5942</v>
      </c>
      <c r="D375" s="23" t="s">
        <v>5918</v>
      </c>
      <c r="E375" s="43">
        <v>46125</v>
      </c>
      <c r="F375" s="26" t="s">
        <v>23</v>
      </c>
      <c r="G375" s="44" t="s">
        <v>25</v>
      </c>
      <c r="H375" s="26" t="s">
        <v>25</v>
      </c>
      <c r="I375" s="44" t="s">
        <v>735</v>
      </c>
      <c r="J375" s="26" t="s">
        <v>25</v>
      </c>
      <c r="K375" s="27"/>
      <c r="L375" s="28" t="s">
        <v>24</v>
      </c>
      <c r="M375" s="29" t="str">
        <f t="shared" si="25"/>
        <v>⚠ Missing</v>
      </c>
      <c r="N375" s="43">
        <v>46196</v>
      </c>
      <c r="O375" s="26" t="s">
        <v>23</v>
      </c>
      <c r="P375" s="44" t="s">
        <v>25</v>
      </c>
      <c r="Q375" s="26" t="s">
        <v>25</v>
      </c>
      <c r="R375" s="44" t="s">
        <v>735</v>
      </c>
      <c r="S375" s="26" t="s">
        <v>25</v>
      </c>
      <c r="T375" s="27"/>
      <c r="U375" s="28" t="s">
        <v>24</v>
      </c>
      <c r="V375" s="29" t="str">
        <f t="shared" si="26"/>
        <v>⚠ Missing</v>
      </c>
      <c r="W375" s="45">
        <v>46248</v>
      </c>
      <c r="X375" s="30" t="s">
        <v>23</v>
      </c>
      <c r="Y375" s="30" t="s">
        <v>25</v>
      </c>
      <c r="Z375" s="30" t="s">
        <v>25</v>
      </c>
      <c r="AA375" s="30" t="s">
        <v>735</v>
      </c>
      <c r="AB375" s="30" t="s">
        <v>25</v>
      </c>
      <c r="AC375" s="27"/>
      <c r="AD375" s="31" t="s">
        <v>24</v>
      </c>
      <c r="AE375" s="32" t="str">
        <f t="shared" si="27"/>
        <v>⚠ Missing</v>
      </c>
      <c r="AF375" s="33" t="s">
        <v>27</v>
      </c>
      <c r="AG375" s="33" t="s">
        <v>23</v>
      </c>
      <c r="AH375" s="33" t="s">
        <v>24</v>
      </c>
      <c r="AI375" s="33" t="s">
        <v>25</v>
      </c>
      <c r="AJ375" s="33" t="s">
        <v>26</v>
      </c>
      <c r="AK375" s="33" t="s">
        <v>24</v>
      </c>
      <c r="AL375" s="27"/>
      <c r="AM375" s="34" t="s">
        <v>25</v>
      </c>
      <c r="AN375" s="35" t="str">
        <f t="shared" si="28"/>
        <v>✓ OK</v>
      </c>
      <c r="AO375" s="36"/>
      <c r="AP375" s="36"/>
      <c r="AQ375" s="36"/>
      <c r="AR375" s="36"/>
      <c r="AS375" s="36"/>
      <c r="AT375" s="36"/>
      <c r="AU375" s="27"/>
      <c r="AV375" s="37"/>
      <c r="AW375" s="38" t="str">
        <f t="shared" si="29"/>
        <v/>
      </c>
    </row>
    <row r="376" spans="1:49" ht="18" customHeight="1" x14ac:dyDescent="0.3">
      <c r="A376" s="39">
        <v>372</v>
      </c>
      <c r="B376" s="40" t="s">
        <v>5943</v>
      </c>
      <c r="C376" s="41" t="s">
        <v>5944</v>
      </c>
      <c r="D376" s="39" t="s">
        <v>5918</v>
      </c>
      <c r="E376" s="43">
        <v>46125</v>
      </c>
      <c r="F376" s="26" t="s">
        <v>23</v>
      </c>
      <c r="G376" s="44" t="s">
        <v>25</v>
      </c>
      <c r="H376" s="26" t="s">
        <v>25</v>
      </c>
      <c r="I376" s="44" t="s">
        <v>735</v>
      </c>
      <c r="J376" s="26" t="s">
        <v>25</v>
      </c>
      <c r="K376" s="27"/>
      <c r="L376" s="28" t="s">
        <v>24</v>
      </c>
      <c r="M376" s="29" t="str">
        <f t="shared" si="25"/>
        <v>⚠ Missing</v>
      </c>
      <c r="N376" s="43">
        <v>46196</v>
      </c>
      <c r="O376" s="26" t="s">
        <v>23</v>
      </c>
      <c r="P376" s="44" t="s">
        <v>25</v>
      </c>
      <c r="Q376" s="26" t="s">
        <v>25</v>
      </c>
      <c r="R376" s="44" t="s">
        <v>735</v>
      </c>
      <c r="S376" s="26" t="s">
        <v>25</v>
      </c>
      <c r="T376" s="27"/>
      <c r="U376" s="28" t="s">
        <v>24</v>
      </c>
      <c r="V376" s="29" t="str">
        <f t="shared" si="26"/>
        <v>⚠ Missing</v>
      </c>
      <c r="W376" s="45">
        <v>46248</v>
      </c>
      <c r="X376" s="30" t="s">
        <v>23</v>
      </c>
      <c r="Y376" s="30" t="s">
        <v>25</v>
      </c>
      <c r="Z376" s="30" t="s">
        <v>25</v>
      </c>
      <c r="AA376" s="30" t="s">
        <v>735</v>
      </c>
      <c r="AB376" s="30" t="s">
        <v>25</v>
      </c>
      <c r="AC376" s="27"/>
      <c r="AD376" s="31" t="s">
        <v>24</v>
      </c>
      <c r="AE376" s="32" t="str">
        <f t="shared" si="27"/>
        <v>⚠ Missing</v>
      </c>
      <c r="AF376" s="33" t="s">
        <v>27</v>
      </c>
      <c r="AG376" s="33" t="s">
        <v>23</v>
      </c>
      <c r="AH376" s="33" t="s">
        <v>24</v>
      </c>
      <c r="AI376" s="33" t="s">
        <v>25</v>
      </c>
      <c r="AJ376" s="33" t="s">
        <v>26</v>
      </c>
      <c r="AK376" s="33" t="s">
        <v>24</v>
      </c>
      <c r="AL376" s="27"/>
      <c r="AM376" s="34" t="s">
        <v>25</v>
      </c>
      <c r="AN376" s="35" t="str">
        <f t="shared" si="28"/>
        <v>✓ OK</v>
      </c>
      <c r="AO376" s="36"/>
      <c r="AP376" s="36"/>
      <c r="AQ376" s="36"/>
      <c r="AR376" s="36"/>
      <c r="AS376" s="36"/>
      <c r="AT376" s="36"/>
      <c r="AU376" s="27"/>
      <c r="AV376" s="37"/>
      <c r="AW376" s="38" t="str">
        <f t="shared" si="29"/>
        <v/>
      </c>
    </row>
    <row r="377" spans="1:49" ht="18" customHeight="1" x14ac:dyDescent="0.3">
      <c r="A377" s="23">
        <v>373</v>
      </c>
      <c r="B377" s="24" t="s">
        <v>5945</v>
      </c>
      <c r="C377" s="25" t="s">
        <v>5946</v>
      </c>
      <c r="D377" s="23" t="s">
        <v>5918</v>
      </c>
      <c r="E377" s="43">
        <v>46125</v>
      </c>
      <c r="F377" s="26" t="s">
        <v>23</v>
      </c>
      <c r="G377" s="44" t="s">
        <v>25</v>
      </c>
      <c r="H377" s="26" t="s">
        <v>25</v>
      </c>
      <c r="I377" s="44" t="s">
        <v>735</v>
      </c>
      <c r="J377" s="26" t="s">
        <v>25</v>
      </c>
      <c r="K377" s="27"/>
      <c r="L377" s="28" t="s">
        <v>24</v>
      </c>
      <c r="M377" s="29" t="str">
        <f t="shared" si="25"/>
        <v>⚠ Missing</v>
      </c>
      <c r="N377" s="43">
        <v>46196</v>
      </c>
      <c r="O377" s="26" t="s">
        <v>23</v>
      </c>
      <c r="P377" s="44" t="s">
        <v>25</v>
      </c>
      <c r="Q377" s="26" t="s">
        <v>25</v>
      </c>
      <c r="R377" s="44" t="s">
        <v>735</v>
      </c>
      <c r="S377" s="26" t="s">
        <v>25</v>
      </c>
      <c r="T377" s="27"/>
      <c r="U377" s="28" t="s">
        <v>24</v>
      </c>
      <c r="V377" s="29" t="str">
        <f t="shared" si="26"/>
        <v>⚠ Missing</v>
      </c>
      <c r="W377" s="45">
        <v>46248</v>
      </c>
      <c r="X377" s="30" t="s">
        <v>23</v>
      </c>
      <c r="Y377" s="30" t="s">
        <v>25</v>
      </c>
      <c r="Z377" s="30" t="s">
        <v>25</v>
      </c>
      <c r="AA377" s="30" t="s">
        <v>735</v>
      </c>
      <c r="AB377" s="30" t="s">
        <v>25</v>
      </c>
      <c r="AC377" s="27"/>
      <c r="AD377" s="31" t="s">
        <v>24</v>
      </c>
      <c r="AE377" s="32" t="str">
        <f t="shared" si="27"/>
        <v>⚠ Missing</v>
      </c>
      <c r="AF377" s="33" t="s">
        <v>27</v>
      </c>
      <c r="AG377" s="33" t="s">
        <v>23</v>
      </c>
      <c r="AH377" s="33" t="s">
        <v>25</v>
      </c>
      <c r="AI377" s="33" t="s">
        <v>24</v>
      </c>
      <c r="AJ377" s="33" t="s">
        <v>135</v>
      </c>
      <c r="AK377" s="33" t="s">
        <v>25</v>
      </c>
      <c r="AL377" s="27"/>
      <c r="AM377" s="34" t="s">
        <v>25</v>
      </c>
      <c r="AN377" s="35" t="str">
        <f t="shared" si="28"/>
        <v>❌ Disc</v>
      </c>
      <c r="AO377" s="36"/>
      <c r="AP377" s="36"/>
      <c r="AQ377" s="36"/>
      <c r="AR377" s="36"/>
      <c r="AS377" s="36"/>
      <c r="AT377" s="36"/>
      <c r="AU377" s="27"/>
      <c r="AV377" s="37"/>
      <c r="AW377" s="38" t="str">
        <f t="shared" si="29"/>
        <v/>
      </c>
    </row>
    <row r="378" spans="1:49" ht="18" customHeight="1" x14ac:dyDescent="0.3">
      <c r="A378" s="39">
        <v>374</v>
      </c>
      <c r="B378" s="40" t="s">
        <v>5947</v>
      </c>
      <c r="C378" s="41" t="s">
        <v>5948</v>
      </c>
      <c r="D378" s="39" t="s">
        <v>5918</v>
      </c>
      <c r="E378" s="43">
        <v>46125</v>
      </c>
      <c r="F378" s="26" t="s">
        <v>23</v>
      </c>
      <c r="G378" s="44" t="s">
        <v>25</v>
      </c>
      <c r="H378" s="26" t="s">
        <v>25</v>
      </c>
      <c r="I378" s="44" t="s">
        <v>735</v>
      </c>
      <c r="J378" s="26" t="s">
        <v>25</v>
      </c>
      <c r="K378" s="27"/>
      <c r="L378" s="28" t="s">
        <v>24</v>
      </c>
      <c r="M378" s="29" t="str">
        <f t="shared" si="25"/>
        <v>⚠ Missing</v>
      </c>
      <c r="N378" s="43">
        <v>46196</v>
      </c>
      <c r="O378" s="26" t="s">
        <v>23</v>
      </c>
      <c r="P378" s="44" t="s">
        <v>25</v>
      </c>
      <c r="Q378" s="26" t="s">
        <v>25</v>
      </c>
      <c r="R378" s="44" t="s">
        <v>735</v>
      </c>
      <c r="S378" s="26" t="s">
        <v>25</v>
      </c>
      <c r="T378" s="27"/>
      <c r="U378" s="28" t="s">
        <v>24</v>
      </c>
      <c r="V378" s="29" t="str">
        <f t="shared" si="26"/>
        <v>⚠ Missing</v>
      </c>
      <c r="W378" s="45">
        <v>46248</v>
      </c>
      <c r="X378" s="30" t="s">
        <v>23</v>
      </c>
      <c r="Y378" s="30" t="s">
        <v>25</v>
      </c>
      <c r="Z378" s="30" t="s">
        <v>25</v>
      </c>
      <c r="AA378" s="30" t="s">
        <v>735</v>
      </c>
      <c r="AB378" s="30" t="s">
        <v>25</v>
      </c>
      <c r="AC378" s="27"/>
      <c r="AD378" s="31" t="s">
        <v>24</v>
      </c>
      <c r="AE378" s="32" t="str">
        <f t="shared" si="27"/>
        <v>⚠ Missing</v>
      </c>
      <c r="AF378" s="33" t="s">
        <v>27</v>
      </c>
      <c r="AG378" s="33" t="s">
        <v>23</v>
      </c>
      <c r="AH378" s="33" t="s">
        <v>25</v>
      </c>
      <c r="AI378" s="33" t="s">
        <v>24</v>
      </c>
      <c r="AJ378" s="33" t="s">
        <v>135</v>
      </c>
      <c r="AK378" s="33" t="s">
        <v>25</v>
      </c>
      <c r="AL378" s="27"/>
      <c r="AM378" s="34" t="s">
        <v>25</v>
      </c>
      <c r="AN378" s="35" t="str">
        <f t="shared" si="28"/>
        <v>❌ Disc</v>
      </c>
      <c r="AO378" s="36"/>
      <c r="AP378" s="36"/>
      <c r="AQ378" s="36"/>
      <c r="AR378" s="36"/>
      <c r="AS378" s="36"/>
      <c r="AT378" s="36"/>
      <c r="AU378" s="27"/>
      <c r="AV378" s="37"/>
      <c r="AW378" s="38" t="str">
        <f t="shared" si="29"/>
        <v/>
      </c>
    </row>
    <row r="379" spans="1:49" ht="18" customHeight="1" x14ac:dyDescent="0.3">
      <c r="A379" s="23">
        <v>375</v>
      </c>
      <c r="B379" s="24" t="s">
        <v>5949</v>
      </c>
      <c r="C379" s="25" t="s">
        <v>5950</v>
      </c>
      <c r="D379" s="23" t="s">
        <v>5918</v>
      </c>
      <c r="E379" s="43">
        <v>46125</v>
      </c>
      <c r="F379" s="26" t="s">
        <v>23</v>
      </c>
      <c r="G379" s="44" t="s">
        <v>25</v>
      </c>
      <c r="H379" s="26" t="s">
        <v>25</v>
      </c>
      <c r="I379" s="44" t="s">
        <v>735</v>
      </c>
      <c r="J379" s="26" t="s">
        <v>25</v>
      </c>
      <c r="K379" s="27"/>
      <c r="L379" s="28" t="s">
        <v>24</v>
      </c>
      <c r="M379" s="29" t="str">
        <f t="shared" si="25"/>
        <v>⚠ Missing</v>
      </c>
      <c r="N379" s="43">
        <v>46196</v>
      </c>
      <c r="O379" s="26" t="s">
        <v>23</v>
      </c>
      <c r="P379" s="44" t="s">
        <v>25</v>
      </c>
      <c r="Q379" s="26" t="s">
        <v>25</v>
      </c>
      <c r="R379" s="44" t="s">
        <v>735</v>
      </c>
      <c r="S379" s="26" t="s">
        <v>25</v>
      </c>
      <c r="T379" s="27"/>
      <c r="U379" s="28" t="s">
        <v>24</v>
      </c>
      <c r="V379" s="29" t="str">
        <f t="shared" si="26"/>
        <v>⚠ Missing</v>
      </c>
      <c r="W379" s="45">
        <v>46248</v>
      </c>
      <c r="X379" s="30" t="s">
        <v>23</v>
      </c>
      <c r="Y379" s="30" t="s">
        <v>25</v>
      </c>
      <c r="Z379" s="30" t="s">
        <v>25</v>
      </c>
      <c r="AA379" s="30" t="s">
        <v>735</v>
      </c>
      <c r="AB379" s="30" t="s">
        <v>25</v>
      </c>
      <c r="AC379" s="27"/>
      <c r="AD379" s="31" t="s">
        <v>24</v>
      </c>
      <c r="AE379" s="32" t="str">
        <f t="shared" si="27"/>
        <v>⚠ Missing</v>
      </c>
      <c r="AF379" s="33" t="s">
        <v>27</v>
      </c>
      <c r="AG379" s="33" t="s">
        <v>23</v>
      </c>
      <c r="AH379" s="33" t="s">
        <v>24</v>
      </c>
      <c r="AI379" s="33" t="s">
        <v>25</v>
      </c>
      <c r="AJ379" s="33" t="s">
        <v>26</v>
      </c>
      <c r="AK379" s="33" t="s">
        <v>24</v>
      </c>
      <c r="AL379" s="27"/>
      <c r="AM379" s="34" t="s">
        <v>25</v>
      </c>
      <c r="AN379" s="35" t="str">
        <f t="shared" si="28"/>
        <v>✓ OK</v>
      </c>
      <c r="AO379" s="36"/>
      <c r="AP379" s="36"/>
      <c r="AQ379" s="36"/>
      <c r="AR379" s="36"/>
      <c r="AS379" s="36"/>
      <c r="AT379" s="36"/>
      <c r="AU379" s="27"/>
      <c r="AV379" s="37"/>
      <c r="AW379" s="38" t="str">
        <f t="shared" si="29"/>
        <v/>
      </c>
    </row>
    <row r="380" spans="1:49" ht="18" customHeight="1" x14ac:dyDescent="0.3">
      <c r="A380" s="39">
        <v>376</v>
      </c>
      <c r="B380" s="40" t="s">
        <v>5951</v>
      </c>
      <c r="C380" s="41" t="s">
        <v>5952</v>
      </c>
      <c r="D380" s="39" t="s">
        <v>4780</v>
      </c>
      <c r="E380" s="43">
        <v>46125</v>
      </c>
      <c r="F380" s="26" t="s">
        <v>23</v>
      </c>
      <c r="G380" s="44" t="s">
        <v>24</v>
      </c>
      <c r="H380" s="26" t="s">
        <v>25</v>
      </c>
      <c r="I380" s="44" t="s">
        <v>26</v>
      </c>
      <c r="J380" s="26" t="s">
        <v>24</v>
      </c>
      <c r="K380" s="27"/>
      <c r="L380" s="28" t="s">
        <v>25</v>
      </c>
      <c r="M380" s="29" t="str">
        <f t="shared" si="25"/>
        <v>✓ OK</v>
      </c>
      <c r="N380" s="43">
        <v>46196</v>
      </c>
      <c r="O380" s="26" t="s">
        <v>23</v>
      </c>
      <c r="P380" s="44" t="s">
        <v>24</v>
      </c>
      <c r="Q380" s="26" t="s">
        <v>25</v>
      </c>
      <c r="R380" s="44" t="s">
        <v>26</v>
      </c>
      <c r="S380" s="26" t="s">
        <v>24</v>
      </c>
      <c r="T380" s="27"/>
      <c r="U380" s="28" t="s">
        <v>25</v>
      </c>
      <c r="V380" s="29" t="str">
        <f t="shared" si="26"/>
        <v>✓ OK</v>
      </c>
      <c r="W380" s="45">
        <v>46248</v>
      </c>
      <c r="X380" s="30" t="s">
        <v>23</v>
      </c>
      <c r="Y380" s="30" t="s">
        <v>24</v>
      </c>
      <c r="Z380" s="30" t="s">
        <v>25</v>
      </c>
      <c r="AA380" s="30" t="s">
        <v>26</v>
      </c>
      <c r="AB380" s="30" t="s">
        <v>24</v>
      </c>
      <c r="AC380" s="27"/>
      <c r="AD380" s="31" t="s">
        <v>25</v>
      </c>
      <c r="AE380" s="32" t="str">
        <f t="shared" si="27"/>
        <v>✓ OK</v>
      </c>
      <c r="AF380" s="33" t="s">
        <v>27</v>
      </c>
      <c r="AG380" s="33" t="s">
        <v>23</v>
      </c>
      <c r="AH380" s="33" t="s">
        <v>24</v>
      </c>
      <c r="AI380" s="33" t="s">
        <v>25</v>
      </c>
      <c r="AJ380" s="33" t="s">
        <v>26</v>
      </c>
      <c r="AK380" s="33" t="s">
        <v>24</v>
      </c>
      <c r="AL380" s="27"/>
      <c r="AM380" s="34" t="s">
        <v>25</v>
      </c>
      <c r="AN380" s="35" t="str">
        <f t="shared" si="28"/>
        <v>✓ OK</v>
      </c>
      <c r="AO380" s="36"/>
      <c r="AP380" s="36"/>
      <c r="AQ380" s="36"/>
      <c r="AR380" s="36"/>
      <c r="AS380" s="36"/>
      <c r="AT380" s="36"/>
      <c r="AU380" s="27"/>
      <c r="AV380" s="37"/>
      <c r="AW380" s="38" t="str">
        <f t="shared" si="29"/>
        <v/>
      </c>
    </row>
    <row r="381" spans="1:49" ht="18" customHeight="1" x14ac:dyDescent="0.3">
      <c r="A381" s="23">
        <v>377</v>
      </c>
      <c r="B381" s="24" t="s">
        <v>5953</v>
      </c>
      <c r="C381" s="25" t="s">
        <v>5954</v>
      </c>
      <c r="D381" s="23" t="s">
        <v>4780</v>
      </c>
      <c r="E381" s="43">
        <v>46125</v>
      </c>
      <c r="F381" s="26" t="s">
        <v>23</v>
      </c>
      <c r="G381" s="44" t="s">
        <v>24</v>
      </c>
      <c r="H381" s="26" t="s">
        <v>25</v>
      </c>
      <c r="I381" s="44" t="s">
        <v>26</v>
      </c>
      <c r="J381" s="26" t="s">
        <v>24</v>
      </c>
      <c r="K381" s="27"/>
      <c r="L381" s="28" t="s">
        <v>25</v>
      </c>
      <c r="M381" s="29" t="str">
        <f t="shared" si="25"/>
        <v>✓ OK</v>
      </c>
      <c r="N381" s="43">
        <v>46196</v>
      </c>
      <c r="O381" s="26" t="s">
        <v>23</v>
      </c>
      <c r="P381" s="44" t="s">
        <v>24</v>
      </c>
      <c r="Q381" s="26" t="s">
        <v>25</v>
      </c>
      <c r="R381" s="44" t="s">
        <v>26</v>
      </c>
      <c r="S381" s="26" t="s">
        <v>24</v>
      </c>
      <c r="T381" s="27"/>
      <c r="U381" s="28" t="s">
        <v>25</v>
      </c>
      <c r="V381" s="29" t="str">
        <f t="shared" si="26"/>
        <v>✓ OK</v>
      </c>
      <c r="W381" s="45">
        <v>46248</v>
      </c>
      <c r="X381" s="30" t="s">
        <v>23</v>
      </c>
      <c r="Y381" s="30" t="s">
        <v>24</v>
      </c>
      <c r="Z381" s="30" t="s">
        <v>25</v>
      </c>
      <c r="AA381" s="30" t="s">
        <v>26</v>
      </c>
      <c r="AB381" s="30" t="s">
        <v>24</v>
      </c>
      <c r="AC381" s="27"/>
      <c r="AD381" s="31" t="s">
        <v>25</v>
      </c>
      <c r="AE381" s="32" t="str">
        <f t="shared" si="27"/>
        <v>✓ OK</v>
      </c>
      <c r="AF381" s="33" t="s">
        <v>27</v>
      </c>
      <c r="AG381" s="33" t="s">
        <v>23</v>
      </c>
      <c r="AH381" s="33" t="s">
        <v>24</v>
      </c>
      <c r="AI381" s="33" t="s">
        <v>25</v>
      </c>
      <c r="AJ381" s="33" t="s">
        <v>26</v>
      </c>
      <c r="AK381" s="33" t="s">
        <v>24</v>
      </c>
      <c r="AL381" s="27"/>
      <c r="AM381" s="34" t="s">
        <v>25</v>
      </c>
      <c r="AN381" s="35" t="str">
        <f t="shared" si="28"/>
        <v>✓ OK</v>
      </c>
      <c r="AO381" s="36"/>
      <c r="AP381" s="36"/>
      <c r="AQ381" s="36"/>
      <c r="AR381" s="36"/>
      <c r="AS381" s="36"/>
      <c r="AT381" s="36"/>
      <c r="AU381" s="27"/>
      <c r="AV381" s="37"/>
      <c r="AW381" s="38" t="str">
        <f t="shared" si="29"/>
        <v/>
      </c>
    </row>
    <row r="382" spans="1:49" ht="18" customHeight="1" x14ac:dyDescent="0.3">
      <c r="A382" s="39">
        <v>378</v>
      </c>
      <c r="B382" s="40" t="s">
        <v>5955</v>
      </c>
      <c r="C382" s="41" t="s">
        <v>5956</v>
      </c>
      <c r="D382" s="39" t="s">
        <v>4780</v>
      </c>
      <c r="E382" s="43">
        <v>46125</v>
      </c>
      <c r="F382" s="26" t="s">
        <v>23</v>
      </c>
      <c r="G382" s="44" t="s">
        <v>24</v>
      </c>
      <c r="H382" s="26" t="s">
        <v>25</v>
      </c>
      <c r="I382" s="44" t="s">
        <v>26</v>
      </c>
      <c r="J382" s="26" t="s">
        <v>24</v>
      </c>
      <c r="K382" s="27"/>
      <c r="L382" s="28" t="s">
        <v>25</v>
      </c>
      <c r="M382" s="29" t="str">
        <f t="shared" si="25"/>
        <v>✓ OK</v>
      </c>
      <c r="N382" s="43">
        <v>46196</v>
      </c>
      <c r="O382" s="26" t="s">
        <v>23</v>
      </c>
      <c r="P382" s="44" t="s">
        <v>24</v>
      </c>
      <c r="Q382" s="26" t="s">
        <v>25</v>
      </c>
      <c r="R382" s="44" t="s">
        <v>26</v>
      </c>
      <c r="S382" s="26" t="s">
        <v>24</v>
      </c>
      <c r="T382" s="27"/>
      <c r="U382" s="28" t="s">
        <v>25</v>
      </c>
      <c r="V382" s="29" t="str">
        <f t="shared" si="26"/>
        <v>✓ OK</v>
      </c>
      <c r="W382" s="45">
        <v>46248</v>
      </c>
      <c r="X382" s="30" t="s">
        <v>23</v>
      </c>
      <c r="Y382" s="30" t="s">
        <v>24</v>
      </c>
      <c r="Z382" s="30" t="s">
        <v>25</v>
      </c>
      <c r="AA382" s="30" t="s">
        <v>26</v>
      </c>
      <c r="AB382" s="30" t="s">
        <v>24</v>
      </c>
      <c r="AC382" s="27"/>
      <c r="AD382" s="31" t="s">
        <v>25</v>
      </c>
      <c r="AE382" s="32" t="str">
        <f t="shared" si="27"/>
        <v>✓ OK</v>
      </c>
      <c r="AF382" s="33" t="s">
        <v>27</v>
      </c>
      <c r="AG382" s="33" t="s">
        <v>23</v>
      </c>
      <c r="AH382" s="33" t="s">
        <v>24</v>
      </c>
      <c r="AI382" s="33" t="s">
        <v>25</v>
      </c>
      <c r="AJ382" s="33" t="s">
        <v>26</v>
      </c>
      <c r="AK382" s="33" t="s">
        <v>24</v>
      </c>
      <c r="AL382" s="27"/>
      <c r="AM382" s="34" t="s">
        <v>25</v>
      </c>
      <c r="AN382" s="35" t="str">
        <f t="shared" si="28"/>
        <v>✓ OK</v>
      </c>
      <c r="AO382" s="36"/>
      <c r="AP382" s="36"/>
      <c r="AQ382" s="36"/>
      <c r="AR382" s="36"/>
      <c r="AS382" s="36"/>
      <c r="AT382" s="36"/>
      <c r="AU382" s="27"/>
      <c r="AV382" s="37"/>
      <c r="AW382" s="38" t="str">
        <f t="shared" si="29"/>
        <v/>
      </c>
    </row>
    <row r="383" spans="1:49" ht="18" customHeight="1" x14ac:dyDescent="0.3">
      <c r="A383" s="23">
        <v>379</v>
      </c>
      <c r="B383" s="24" t="s">
        <v>5957</v>
      </c>
      <c r="C383" s="25" t="s">
        <v>5958</v>
      </c>
      <c r="D383" s="23" t="s">
        <v>4780</v>
      </c>
      <c r="E383" s="43">
        <v>46125</v>
      </c>
      <c r="F383" s="26" t="s">
        <v>23</v>
      </c>
      <c r="G383" s="44" t="s">
        <v>24</v>
      </c>
      <c r="H383" s="26" t="s">
        <v>25</v>
      </c>
      <c r="I383" s="44" t="s">
        <v>26</v>
      </c>
      <c r="J383" s="26" t="s">
        <v>24</v>
      </c>
      <c r="K383" s="27"/>
      <c r="L383" s="28" t="s">
        <v>25</v>
      </c>
      <c r="M383" s="29" t="str">
        <f t="shared" si="25"/>
        <v>✓ OK</v>
      </c>
      <c r="N383" s="43">
        <v>46196</v>
      </c>
      <c r="O383" s="26" t="s">
        <v>23</v>
      </c>
      <c r="P383" s="44" t="s">
        <v>24</v>
      </c>
      <c r="Q383" s="26" t="s">
        <v>25</v>
      </c>
      <c r="R383" s="44" t="s">
        <v>26</v>
      </c>
      <c r="S383" s="26" t="s">
        <v>24</v>
      </c>
      <c r="T383" s="27"/>
      <c r="U383" s="28" t="s">
        <v>25</v>
      </c>
      <c r="V383" s="29" t="str">
        <f t="shared" si="26"/>
        <v>✓ OK</v>
      </c>
      <c r="W383" s="45">
        <v>46248</v>
      </c>
      <c r="X383" s="30" t="s">
        <v>23</v>
      </c>
      <c r="Y383" s="30" t="s">
        <v>24</v>
      </c>
      <c r="Z383" s="30" t="s">
        <v>25</v>
      </c>
      <c r="AA383" s="30" t="s">
        <v>26</v>
      </c>
      <c r="AB383" s="30" t="s">
        <v>24</v>
      </c>
      <c r="AC383" s="27"/>
      <c r="AD383" s="31" t="s">
        <v>25</v>
      </c>
      <c r="AE383" s="32" t="str">
        <f t="shared" si="27"/>
        <v>✓ OK</v>
      </c>
      <c r="AF383" s="33" t="s">
        <v>27</v>
      </c>
      <c r="AG383" s="33" t="s">
        <v>23</v>
      </c>
      <c r="AH383" s="33" t="s">
        <v>24</v>
      </c>
      <c r="AI383" s="33" t="s">
        <v>25</v>
      </c>
      <c r="AJ383" s="33" t="s">
        <v>26</v>
      </c>
      <c r="AK383" s="33" t="s">
        <v>24</v>
      </c>
      <c r="AL383" s="27"/>
      <c r="AM383" s="34" t="s">
        <v>25</v>
      </c>
      <c r="AN383" s="35" t="str">
        <f t="shared" si="28"/>
        <v>✓ OK</v>
      </c>
      <c r="AO383" s="36"/>
      <c r="AP383" s="36"/>
      <c r="AQ383" s="36"/>
      <c r="AR383" s="36"/>
      <c r="AS383" s="36"/>
      <c r="AT383" s="36"/>
      <c r="AU383" s="27"/>
      <c r="AV383" s="37"/>
      <c r="AW383" s="38" t="str">
        <f t="shared" si="29"/>
        <v/>
      </c>
    </row>
    <row r="384" spans="1:49" ht="18" customHeight="1" x14ac:dyDescent="0.3">
      <c r="A384" s="39">
        <v>380</v>
      </c>
      <c r="B384" s="40" t="s">
        <v>5959</v>
      </c>
      <c r="C384" s="41" t="s">
        <v>5960</v>
      </c>
      <c r="D384" s="39" t="s">
        <v>4780</v>
      </c>
      <c r="E384" s="43">
        <v>46125</v>
      </c>
      <c r="F384" s="26" t="s">
        <v>23</v>
      </c>
      <c r="G384" s="44" t="s">
        <v>24</v>
      </c>
      <c r="H384" s="26" t="s">
        <v>25</v>
      </c>
      <c r="I384" s="44" t="s">
        <v>26</v>
      </c>
      <c r="J384" s="26" t="s">
        <v>24</v>
      </c>
      <c r="K384" s="27"/>
      <c r="L384" s="28" t="s">
        <v>25</v>
      </c>
      <c r="M384" s="29" t="str">
        <f t="shared" si="25"/>
        <v>✓ OK</v>
      </c>
      <c r="N384" s="43">
        <v>46196</v>
      </c>
      <c r="O384" s="26" t="s">
        <v>23</v>
      </c>
      <c r="P384" s="44" t="s">
        <v>24</v>
      </c>
      <c r="Q384" s="26" t="s">
        <v>25</v>
      </c>
      <c r="R384" s="44" t="s">
        <v>26</v>
      </c>
      <c r="S384" s="26" t="s">
        <v>24</v>
      </c>
      <c r="T384" s="27"/>
      <c r="U384" s="28" t="s">
        <v>25</v>
      </c>
      <c r="V384" s="29" t="str">
        <f t="shared" si="26"/>
        <v>✓ OK</v>
      </c>
      <c r="W384" s="45">
        <v>46248</v>
      </c>
      <c r="X384" s="30" t="s">
        <v>23</v>
      </c>
      <c r="Y384" s="30" t="s">
        <v>24</v>
      </c>
      <c r="Z384" s="30" t="s">
        <v>25</v>
      </c>
      <c r="AA384" s="30" t="s">
        <v>26</v>
      </c>
      <c r="AB384" s="30" t="s">
        <v>24</v>
      </c>
      <c r="AC384" s="27"/>
      <c r="AD384" s="31" t="s">
        <v>25</v>
      </c>
      <c r="AE384" s="32" t="str">
        <f t="shared" si="27"/>
        <v>✓ OK</v>
      </c>
      <c r="AF384" s="33" t="s">
        <v>27</v>
      </c>
      <c r="AG384" s="33" t="s">
        <v>23</v>
      </c>
      <c r="AH384" s="33" t="s">
        <v>24</v>
      </c>
      <c r="AI384" s="33" t="s">
        <v>25</v>
      </c>
      <c r="AJ384" s="33" t="s">
        <v>26</v>
      </c>
      <c r="AK384" s="33" t="s">
        <v>24</v>
      </c>
      <c r="AL384" s="27"/>
      <c r="AM384" s="34" t="s">
        <v>25</v>
      </c>
      <c r="AN384" s="35" t="str">
        <f t="shared" si="28"/>
        <v>✓ OK</v>
      </c>
      <c r="AO384" s="36"/>
      <c r="AP384" s="36"/>
      <c r="AQ384" s="36"/>
      <c r="AR384" s="36"/>
      <c r="AS384" s="36"/>
      <c r="AT384" s="36"/>
      <c r="AU384" s="27"/>
      <c r="AV384" s="37"/>
      <c r="AW384" s="38" t="str">
        <f t="shared" si="29"/>
        <v/>
      </c>
    </row>
    <row r="385" spans="1:49" ht="18" customHeight="1" x14ac:dyDescent="0.3">
      <c r="A385" s="23">
        <v>381</v>
      </c>
      <c r="B385" s="24" t="s">
        <v>5961</v>
      </c>
      <c r="C385" s="25" t="s">
        <v>5962</v>
      </c>
      <c r="D385" s="23" t="s">
        <v>4780</v>
      </c>
      <c r="E385" s="43">
        <v>46125</v>
      </c>
      <c r="F385" s="26" t="s">
        <v>23</v>
      </c>
      <c r="G385" s="44" t="s">
        <v>24</v>
      </c>
      <c r="H385" s="26" t="s">
        <v>25</v>
      </c>
      <c r="I385" s="44" t="s">
        <v>26</v>
      </c>
      <c r="J385" s="26" t="s">
        <v>24</v>
      </c>
      <c r="K385" s="27"/>
      <c r="L385" s="28" t="s">
        <v>25</v>
      </c>
      <c r="M385" s="29" t="str">
        <f t="shared" si="25"/>
        <v>✓ OK</v>
      </c>
      <c r="N385" s="43">
        <v>46196</v>
      </c>
      <c r="O385" s="26" t="s">
        <v>23</v>
      </c>
      <c r="P385" s="44" t="s">
        <v>24</v>
      </c>
      <c r="Q385" s="26" t="s">
        <v>25</v>
      </c>
      <c r="R385" s="44" t="s">
        <v>26</v>
      </c>
      <c r="S385" s="26" t="s">
        <v>24</v>
      </c>
      <c r="T385" s="27"/>
      <c r="U385" s="28" t="s">
        <v>25</v>
      </c>
      <c r="V385" s="29" t="str">
        <f t="shared" si="26"/>
        <v>✓ OK</v>
      </c>
      <c r="W385" s="45">
        <v>46248</v>
      </c>
      <c r="X385" s="30" t="s">
        <v>23</v>
      </c>
      <c r="Y385" s="30" t="s">
        <v>24</v>
      </c>
      <c r="Z385" s="30" t="s">
        <v>25</v>
      </c>
      <c r="AA385" s="30" t="s">
        <v>26</v>
      </c>
      <c r="AB385" s="30" t="s">
        <v>24</v>
      </c>
      <c r="AC385" s="27"/>
      <c r="AD385" s="31" t="s">
        <v>25</v>
      </c>
      <c r="AE385" s="32" t="str">
        <f t="shared" si="27"/>
        <v>✓ OK</v>
      </c>
      <c r="AF385" s="33" t="s">
        <v>27</v>
      </c>
      <c r="AG385" s="33" t="s">
        <v>23</v>
      </c>
      <c r="AH385" s="33" t="s">
        <v>24</v>
      </c>
      <c r="AI385" s="33" t="s">
        <v>25</v>
      </c>
      <c r="AJ385" s="33" t="s">
        <v>26</v>
      </c>
      <c r="AK385" s="33" t="s">
        <v>24</v>
      </c>
      <c r="AL385" s="27"/>
      <c r="AM385" s="34" t="s">
        <v>25</v>
      </c>
      <c r="AN385" s="35" t="str">
        <f t="shared" si="28"/>
        <v>✓ OK</v>
      </c>
      <c r="AO385" s="36"/>
      <c r="AP385" s="36"/>
      <c r="AQ385" s="36"/>
      <c r="AR385" s="36"/>
      <c r="AS385" s="36"/>
      <c r="AT385" s="36"/>
      <c r="AU385" s="27"/>
      <c r="AV385" s="37"/>
      <c r="AW385" s="38" t="str">
        <f t="shared" si="29"/>
        <v/>
      </c>
    </row>
    <row r="386" spans="1:49" ht="18" customHeight="1" x14ac:dyDescent="0.3">
      <c r="A386" s="39">
        <v>382</v>
      </c>
      <c r="B386" s="40" t="s">
        <v>5963</v>
      </c>
      <c r="C386" s="41" t="s">
        <v>5964</v>
      </c>
      <c r="D386" s="39" t="s">
        <v>4780</v>
      </c>
      <c r="E386" s="43">
        <v>46125</v>
      </c>
      <c r="F386" s="26" t="s">
        <v>23</v>
      </c>
      <c r="G386" s="44" t="s">
        <v>24</v>
      </c>
      <c r="H386" s="26" t="s">
        <v>25</v>
      </c>
      <c r="I386" s="44" t="s">
        <v>26</v>
      </c>
      <c r="J386" s="26" t="s">
        <v>24</v>
      </c>
      <c r="K386" s="27"/>
      <c r="L386" s="28" t="s">
        <v>25</v>
      </c>
      <c r="M386" s="29" t="str">
        <f t="shared" si="25"/>
        <v>✓ OK</v>
      </c>
      <c r="N386" s="43">
        <v>46196</v>
      </c>
      <c r="O386" s="26" t="s">
        <v>23</v>
      </c>
      <c r="P386" s="44" t="s">
        <v>24</v>
      </c>
      <c r="Q386" s="26" t="s">
        <v>25</v>
      </c>
      <c r="R386" s="44" t="s">
        <v>26</v>
      </c>
      <c r="S386" s="26" t="s">
        <v>24</v>
      </c>
      <c r="T386" s="27"/>
      <c r="U386" s="28" t="s">
        <v>25</v>
      </c>
      <c r="V386" s="29" t="str">
        <f t="shared" si="26"/>
        <v>✓ OK</v>
      </c>
      <c r="W386" s="45">
        <v>46248</v>
      </c>
      <c r="X386" s="30" t="s">
        <v>23</v>
      </c>
      <c r="Y386" s="30" t="s">
        <v>24</v>
      </c>
      <c r="Z386" s="30" t="s">
        <v>25</v>
      </c>
      <c r="AA386" s="30" t="s">
        <v>26</v>
      </c>
      <c r="AB386" s="30" t="s">
        <v>24</v>
      </c>
      <c r="AC386" s="27"/>
      <c r="AD386" s="31" t="s">
        <v>25</v>
      </c>
      <c r="AE386" s="32" t="str">
        <f t="shared" si="27"/>
        <v>✓ OK</v>
      </c>
      <c r="AF386" s="33" t="s">
        <v>27</v>
      </c>
      <c r="AG386" s="33" t="s">
        <v>23</v>
      </c>
      <c r="AH386" s="33" t="s">
        <v>24</v>
      </c>
      <c r="AI386" s="33" t="s">
        <v>25</v>
      </c>
      <c r="AJ386" s="33" t="s">
        <v>26</v>
      </c>
      <c r="AK386" s="33" t="s">
        <v>24</v>
      </c>
      <c r="AL386" s="27"/>
      <c r="AM386" s="34" t="s">
        <v>25</v>
      </c>
      <c r="AN386" s="35" t="str">
        <f t="shared" si="28"/>
        <v>✓ OK</v>
      </c>
      <c r="AO386" s="36"/>
      <c r="AP386" s="36"/>
      <c r="AQ386" s="36"/>
      <c r="AR386" s="36"/>
      <c r="AS386" s="36"/>
      <c r="AT386" s="36"/>
      <c r="AU386" s="27"/>
      <c r="AV386" s="37"/>
      <c r="AW386" s="38" t="str">
        <f t="shared" si="29"/>
        <v/>
      </c>
    </row>
    <row r="387" spans="1:49" ht="18" customHeight="1" x14ac:dyDescent="0.3">
      <c r="A387" s="23">
        <v>383</v>
      </c>
      <c r="B387" s="24" t="s">
        <v>5965</v>
      </c>
      <c r="C387" s="25" t="s">
        <v>5966</v>
      </c>
      <c r="D387" s="23" t="s">
        <v>4780</v>
      </c>
      <c r="E387" s="43">
        <v>46125</v>
      </c>
      <c r="F387" s="26" t="s">
        <v>23</v>
      </c>
      <c r="G387" s="44" t="s">
        <v>24</v>
      </c>
      <c r="H387" s="26" t="s">
        <v>25</v>
      </c>
      <c r="I387" s="44" t="s">
        <v>26</v>
      </c>
      <c r="J387" s="26" t="s">
        <v>24</v>
      </c>
      <c r="K387" s="27"/>
      <c r="L387" s="28" t="s">
        <v>25</v>
      </c>
      <c r="M387" s="29" t="str">
        <f t="shared" si="25"/>
        <v>✓ OK</v>
      </c>
      <c r="N387" s="43">
        <v>46196</v>
      </c>
      <c r="O387" s="26" t="s">
        <v>23</v>
      </c>
      <c r="P387" s="44" t="s">
        <v>24</v>
      </c>
      <c r="Q387" s="26" t="s">
        <v>25</v>
      </c>
      <c r="R387" s="44" t="s">
        <v>26</v>
      </c>
      <c r="S387" s="26" t="s">
        <v>24</v>
      </c>
      <c r="T387" s="27"/>
      <c r="U387" s="28" t="s">
        <v>25</v>
      </c>
      <c r="V387" s="29" t="str">
        <f t="shared" si="26"/>
        <v>✓ OK</v>
      </c>
      <c r="W387" s="45">
        <v>46248</v>
      </c>
      <c r="X387" s="30" t="s">
        <v>23</v>
      </c>
      <c r="Y387" s="30" t="s">
        <v>24</v>
      </c>
      <c r="Z387" s="30" t="s">
        <v>25</v>
      </c>
      <c r="AA387" s="30" t="s">
        <v>26</v>
      </c>
      <c r="AB387" s="30" t="s">
        <v>24</v>
      </c>
      <c r="AC387" s="27"/>
      <c r="AD387" s="31" t="s">
        <v>25</v>
      </c>
      <c r="AE387" s="32" t="str">
        <f t="shared" si="27"/>
        <v>✓ OK</v>
      </c>
      <c r="AF387" s="33" t="s">
        <v>27</v>
      </c>
      <c r="AG387" s="33" t="s">
        <v>23</v>
      </c>
      <c r="AH387" s="33" t="s">
        <v>24</v>
      </c>
      <c r="AI387" s="33" t="s">
        <v>25</v>
      </c>
      <c r="AJ387" s="33" t="s">
        <v>26</v>
      </c>
      <c r="AK387" s="33" t="s">
        <v>24</v>
      </c>
      <c r="AL387" s="27"/>
      <c r="AM387" s="34" t="s">
        <v>25</v>
      </c>
      <c r="AN387" s="35" t="str">
        <f t="shared" si="28"/>
        <v>✓ OK</v>
      </c>
      <c r="AO387" s="36"/>
      <c r="AP387" s="36"/>
      <c r="AQ387" s="36"/>
      <c r="AR387" s="36"/>
      <c r="AS387" s="36"/>
      <c r="AT387" s="36"/>
      <c r="AU387" s="27"/>
      <c r="AV387" s="37"/>
      <c r="AW387" s="38" t="str">
        <f t="shared" si="29"/>
        <v/>
      </c>
    </row>
    <row r="388" spans="1:49" ht="18" customHeight="1" x14ac:dyDescent="0.3">
      <c r="A388" s="39">
        <v>384</v>
      </c>
      <c r="B388" s="40" t="s">
        <v>5967</v>
      </c>
      <c r="C388" s="41" t="s">
        <v>5968</v>
      </c>
      <c r="D388" s="39" t="s">
        <v>4780</v>
      </c>
      <c r="E388" s="43">
        <v>46125</v>
      </c>
      <c r="F388" s="26" t="s">
        <v>23</v>
      </c>
      <c r="G388" s="44" t="s">
        <v>24</v>
      </c>
      <c r="H388" s="26" t="s">
        <v>25</v>
      </c>
      <c r="I388" s="44" t="s">
        <v>26</v>
      </c>
      <c r="J388" s="26" t="s">
        <v>24</v>
      </c>
      <c r="K388" s="27"/>
      <c r="L388" s="28" t="s">
        <v>25</v>
      </c>
      <c r="M388" s="29" t="str">
        <f t="shared" si="25"/>
        <v>✓ OK</v>
      </c>
      <c r="N388" s="43">
        <v>46196</v>
      </c>
      <c r="O388" s="26" t="s">
        <v>23</v>
      </c>
      <c r="P388" s="44" t="s">
        <v>24</v>
      </c>
      <c r="Q388" s="26" t="s">
        <v>25</v>
      </c>
      <c r="R388" s="44" t="s">
        <v>26</v>
      </c>
      <c r="S388" s="26" t="s">
        <v>24</v>
      </c>
      <c r="T388" s="27"/>
      <c r="U388" s="28" t="s">
        <v>25</v>
      </c>
      <c r="V388" s="29" t="str">
        <f t="shared" si="26"/>
        <v>✓ OK</v>
      </c>
      <c r="W388" s="45">
        <v>46248</v>
      </c>
      <c r="X388" s="30" t="s">
        <v>23</v>
      </c>
      <c r="Y388" s="30" t="s">
        <v>24</v>
      </c>
      <c r="Z388" s="30" t="s">
        <v>25</v>
      </c>
      <c r="AA388" s="30" t="s">
        <v>26</v>
      </c>
      <c r="AB388" s="30" t="s">
        <v>24</v>
      </c>
      <c r="AC388" s="27"/>
      <c r="AD388" s="31" t="s">
        <v>25</v>
      </c>
      <c r="AE388" s="32" t="str">
        <f t="shared" si="27"/>
        <v>✓ OK</v>
      </c>
      <c r="AF388" s="33" t="s">
        <v>27</v>
      </c>
      <c r="AG388" s="33" t="s">
        <v>23</v>
      </c>
      <c r="AH388" s="33" t="s">
        <v>24</v>
      </c>
      <c r="AI388" s="33" t="s">
        <v>25</v>
      </c>
      <c r="AJ388" s="33" t="s">
        <v>26</v>
      </c>
      <c r="AK388" s="33" t="s">
        <v>24</v>
      </c>
      <c r="AL388" s="27"/>
      <c r="AM388" s="34" t="s">
        <v>25</v>
      </c>
      <c r="AN388" s="35" t="str">
        <f t="shared" si="28"/>
        <v>✓ OK</v>
      </c>
      <c r="AO388" s="36"/>
      <c r="AP388" s="36"/>
      <c r="AQ388" s="36"/>
      <c r="AR388" s="36"/>
      <c r="AS388" s="36"/>
      <c r="AT388" s="36"/>
      <c r="AU388" s="27"/>
      <c r="AV388" s="37"/>
      <c r="AW388" s="38" t="str">
        <f t="shared" si="29"/>
        <v/>
      </c>
    </row>
    <row r="389" spans="1:49" ht="18" customHeight="1" x14ac:dyDescent="0.3">
      <c r="A389" s="23">
        <v>385</v>
      </c>
      <c r="B389" s="24" t="s">
        <v>5969</v>
      </c>
      <c r="C389" s="25" t="s">
        <v>5970</v>
      </c>
      <c r="D389" s="23" t="s">
        <v>4780</v>
      </c>
      <c r="E389" s="43">
        <v>46125</v>
      </c>
      <c r="F389" s="26" t="s">
        <v>23</v>
      </c>
      <c r="G389" s="44" t="s">
        <v>24</v>
      </c>
      <c r="H389" s="26" t="s">
        <v>25</v>
      </c>
      <c r="I389" s="44" t="s">
        <v>26</v>
      </c>
      <c r="J389" s="26" t="s">
        <v>24</v>
      </c>
      <c r="K389" s="27"/>
      <c r="L389" s="28" t="s">
        <v>25</v>
      </c>
      <c r="M389" s="29" t="str">
        <f t="shared" ref="M389:M452" si="30">IF(E389="","",IF(H389="Yes","❌ Disc",IF(G389="No","⚠ Missing",IF(J389="Yes","✓ OK","⚠ Check"))))</f>
        <v>✓ OK</v>
      </c>
      <c r="N389" s="43">
        <v>46196</v>
      </c>
      <c r="O389" s="26" t="s">
        <v>23</v>
      </c>
      <c r="P389" s="44" t="s">
        <v>24</v>
      </c>
      <c r="Q389" s="26" t="s">
        <v>25</v>
      </c>
      <c r="R389" s="44" t="s">
        <v>26</v>
      </c>
      <c r="S389" s="26" t="s">
        <v>24</v>
      </c>
      <c r="T389" s="27"/>
      <c r="U389" s="28" t="s">
        <v>25</v>
      </c>
      <c r="V389" s="29" t="str">
        <f t="shared" ref="V389:V452" si="31">IF(N389="","",IF(Q389="Yes","❌ Disc",IF(P389="No","⚠ Missing",IF(S389="Yes","✓ OK","⚠ Check"))))</f>
        <v>✓ OK</v>
      </c>
      <c r="W389" s="45">
        <v>46248</v>
      </c>
      <c r="X389" s="30" t="s">
        <v>23</v>
      </c>
      <c r="Y389" s="30" t="s">
        <v>24</v>
      </c>
      <c r="Z389" s="30" t="s">
        <v>25</v>
      </c>
      <c r="AA389" s="30" t="s">
        <v>26</v>
      </c>
      <c r="AB389" s="30" t="s">
        <v>24</v>
      </c>
      <c r="AC389" s="27"/>
      <c r="AD389" s="31" t="s">
        <v>25</v>
      </c>
      <c r="AE389" s="32" t="str">
        <f t="shared" ref="AE389:AE452" si="32">IF(W389="","",IF(Z389="Yes","❌ Disc",IF(Y389="No","⚠ Missing",IF(AB389="Yes","✓ OK","⚠ Check"))))</f>
        <v>✓ OK</v>
      </c>
      <c r="AF389" s="33" t="s">
        <v>27</v>
      </c>
      <c r="AG389" s="33" t="s">
        <v>23</v>
      </c>
      <c r="AH389" s="33" t="s">
        <v>24</v>
      </c>
      <c r="AI389" s="33" t="s">
        <v>25</v>
      </c>
      <c r="AJ389" s="33" t="s">
        <v>26</v>
      </c>
      <c r="AK389" s="33" t="s">
        <v>24</v>
      </c>
      <c r="AL389" s="27"/>
      <c r="AM389" s="34" t="s">
        <v>25</v>
      </c>
      <c r="AN389" s="35" t="str">
        <f t="shared" ref="AN389:AN452" si="33">IF(AF389="","",IF(AI389="Yes","❌ Disc",IF(AH389="No","⚠ Missing",IF(AK389="Yes","✓ OK","⚠ Check"))))</f>
        <v>✓ OK</v>
      </c>
      <c r="AO389" s="36"/>
      <c r="AP389" s="36"/>
      <c r="AQ389" s="36"/>
      <c r="AR389" s="36"/>
      <c r="AS389" s="36"/>
      <c r="AT389" s="36"/>
      <c r="AU389" s="27"/>
      <c r="AV389" s="37"/>
      <c r="AW389" s="38" t="str">
        <f t="shared" ref="AW389:AW452" si="34">IF(AO389="","",IF(AR389="Yes","❌ Disc",IF(AQ389="No","⚠ Missing",IF(AT389="Yes","✓ OK","⚠ Check"))))</f>
        <v/>
      </c>
    </row>
    <row r="390" spans="1:49" ht="18" customHeight="1" x14ac:dyDescent="0.3">
      <c r="A390" s="39">
        <v>386</v>
      </c>
      <c r="B390" s="40" t="s">
        <v>5971</v>
      </c>
      <c r="C390" s="41" t="s">
        <v>5972</v>
      </c>
      <c r="D390" s="39" t="s">
        <v>5973</v>
      </c>
      <c r="E390" s="43">
        <v>46125</v>
      </c>
      <c r="F390" s="26" t="s">
        <v>23</v>
      </c>
      <c r="G390" s="44" t="s">
        <v>25</v>
      </c>
      <c r="H390" s="26" t="s">
        <v>25</v>
      </c>
      <c r="I390" s="44" t="s">
        <v>735</v>
      </c>
      <c r="J390" s="26" t="s">
        <v>25</v>
      </c>
      <c r="K390" s="27"/>
      <c r="L390" s="28" t="s">
        <v>24</v>
      </c>
      <c r="M390" s="29" t="str">
        <f t="shared" si="30"/>
        <v>⚠ Missing</v>
      </c>
      <c r="N390" s="43">
        <v>46196</v>
      </c>
      <c r="O390" s="26" t="s">
        <v>23</v>
      </c>
      <c r="P390" s="44" t="s">
        <v>25</v>
      </c>
      <c r="Q390" s="26" t="s">
        <v>25</v>
      </c>
      <c r="R390" s="44" t="s">
        <v>735</v>
      </c>
      <c r="S390" s="26" t="s">
        <v>25</v>
      </c>
      <c r="T390" s="27"/>
      <c r="U390" s="28" t="s">
        <v>24</v>
      </c>
      <c r="V390" s="29" t="str">
        <f t="shared" si="31"/>
        <v>⚠ Missing</v>
      </c>
      <c r="W390" s="45">
        <v>46248</v>
      </c>
      <c r="X390" s="30" t="s">
        <v>23</v>
      </c>
      <c r="Y390" s="30" t="s">
        <v>25</v>
      </c>
      <c r="Z390" s="30" t="s">
        <v>25</v>
      </c>
      <c r="AA390" s="30" t="s">
        <v>735</v>
      </c>
      <c r="AB390" s="30" t="s">
        <v>25</v>
      </c>
      <c r="AC390" s="27"/>
      <c r="AD390" s="31" t="s">
        <v>24</v>
      </c>
      <c r="AE390" s="32" t="str">
        <f t="shared" si="32"/>
        <v>⚠ Missing</v>
      </c>
      <c r="AF390" s="33" t="s">
        <v>27</v>
      </c>
      <c r="AG390" s="33" t="s">
        <v>23</v>
      </c>
      <c r="AH390" s="33" t="s">
        <v>25</v>
      </c>
      <c r="AI390" s="33" t="s">
        <v>24</v>
      </c>
      <c r="AJ390" s="33" t="s">
        <v>135</v>
      </c>
      <c r="AK390" s="33" t="s">
        <v>25</v>
      </c>
      <c r="AL390" s="27"/>
      <c r="AM390" s="34" t="s">
        <v>25</v>
      </c>
      <c r="AN390" s="35" t="str">
        <f t="shared" si="33"/>
        <v>❌ Disc</v>
      </c>
      <c r="AO390" s="36"/>
      <c r="AP390" s="36"/>
      <c r="AQ390" s="36"/>
      <c r="AR390" s="36"/>
      <c r="AS390" s="36"/>
      <c r="AT390" s="36"/>
      <c r="AU390" s="27"/>
      <c r="AV390" s="37"/>
      <c r="AW390" s="38" t="str">
        <f t="shared" si="34"/>
        <v/>
      </c>
    </row>
    <row r="391" spans="1:49" ht="18" customHeight="1" x14ac:dyDescent="0.3">
      <c r="A391" s="23">
        <v>387</v>
      </c>
      <c r="B391" s="24" t="s">
        <v>5974</v>
      </c>
      <c r="C391" s="25" t="s">
        <v>5975</v>
      </c>
      <c r="D391" s="23" t="s">
        <v>5973</v>
      </c>
      <c r="E391" s="43">
        <v>46125</v>
      </c>
      <c r="F391" s="26" t="s">
        <v>23</v>
      </c>
      <c r="G391" s="44" t="s">
        <v>25</v>
      </c>
      <c r="H391" s="26" t="s">
        <v>25</v>
      </c>
      <c r="I391" s="44" t="s">
        <v>735</v>
      </c>
      <c r="J391" s="26" t="s">
        <v>25</v>
      </c>
      <c r="K391" s="27"/>
      <c r="L391" s="28" t="s">
        <v>24</v>
      </c>
      <c r="M391" s="29" t="str">
        <f t="shared" si="30"/>
        <v>⚠ Missing</v>
      </c>
      <c r="N391" s="43">
        <v>46196</v>
      </c>
      <c r="O391" s="26" t="s">
        <v>23</v>
      </c>
      <c r="P391" s="44" t="s">
        <v>25</v>
      </c>
      <c r="Q391" s="26" t="s">
        <v>25</v>
      </c>
      <c r="R391" s="44" t="s">
        <v>735</v>
      </c>
      <c r="S391" s="26" t="s">
        <v>25</v>
      </c>
      <c r="T391" s="27"/>
      <c r="U391" s="28" t="s">
        <v>24</v>
      </c>
      <c r="V391" s="29" t="str">
        <f t="shared" si="31"/>
        <v>⚠ Missing</v>
      </c>
      <c r="W391" s="45">
        <v>46248</v>
      </c>
      <c r="X391" s="30" t="s">
        <v>23</v>
      </c>
      <c r="Y391" s="30" t="s">
        <v>25</v>
      </c>
      <c r="Z391" s="30" t="s">
        <v>25</v>
      </c>
      <c r="AA391" s="30" t="s">
        <v>735</v>
      </c>
      <c r="AB391" s="30" t="s">
        <v>25</v>
      </c>
      <c r="AC391" s="27"/>
      <c r="AD391" s="31" t="s">
        <v>24</v>
      </c>
      <c r="AE391" s="32" t="str">
        <f t="shared" si="32"/>
        <v>⚠ Missing</v>
      </c>
      <c r="AF391" s="33" t="s">
        <v>27</v>
      </c>
      <c r="AG391" s="33" t="s">
        <v>23</v>
      </c>
      <c r="AH391" s="33" t="s">
        <v>25</v>
      </c>
      <c r="AI391" s="33" t="s">
        <v>25</v>
      </c>
      <c r="AJ391" s="33" t="s">
        <v>735</v>
      </c>
      <c r="AK391" s="33" t="s">
        <v>25</v>
      </c>
      <c r="AL391" s="27"/>
      <c r="AM391" s="34" t="s">
        <v>24</v>
      </c>
      <c r="AN391" s="35" t="str">
        <f t="shared" si="33"/>
        <v>⚠ Missing</v>
      </c>
      <c r="AO391" s="36"/>
      <c r="AP391" s="36"/>
      <c r="AQ391" s="36"/>
      <c r="AR391" s="36"/>
      <c r="AS391" s="36"/>
      <c r="AT391" s="36"/>
      <c r="AU391" s="27"/>
      <c r="AV391" s="37"/>
      <c r="AW391" s="38" t="str">
        <f t="shared" si="34"/>
        <v/>
      </c>
    </row>
    <row r="392" spans="1:49" ht="18" customHeight="1" x14ac:dyDescent="0.3">
      <c r="A392" s="39">
        <v>388</v>
      </c>
      <c r="B392" s="40" t="s">
        <v>5976</v>
      </c>
      <c r="C392" s="41" t="s">
        <v>5977</v>
      </c>
      <c r="D392" s="39" t="s">
        <v>5973</v>
      </c>
      <c r="E392" s="43">
        <v>46125</v>
      </c>
      <c r="F392" s="26" t="s">
        <v>23</v>
      </c>
      <c r="G392" s="44" t="s">
        <v>25</v>
      </c>
      <c r="H392" s="26" t="s">
        <v>25</v>
      </c>
      <c r="I392" s="44" t="s">
        <v>735</v>
      </c>
      <c r="J392" s="26" t="s">
        <v>25</v>
      </c>
      <c r="K392" s="27"/>
      <c r="L392" s="28" t="s">
        <v>24</v>
      </c>
      <c r="M392" s="29" t="str">
        <f t="shared" si="30"/>
        <v>⚠ Missing</v>
      </c>
      <c r="N392" s="43">
        <v>46196</v>
      </c>
      <c r="O392" s="26" t="s">
        <v>23</v>
      </c>
      <c r="P392" s="44" t="s">
        <v>25</v>
      </c>
      <c r="Q392" s="26" t="s">
        <v>25</v>
      </c>
      <c r="R392" s="44" t="s">
        <v>735</v>
      </c>
      <c r="S392" s="26" t="s">
        <v>25</v>
      </c>
      <c r="T392" s="27"/>
      <c r="U392" s="28" t="s">
        <v>24</v>
      </c>
      <c r="V392" s="29" t="str">
        <f t="shared" si="31"/>
        <v>⚠ Missing</v>
      </c>
      <c r="W392" s="45">
        <v>46248</v>
      </c>
      <c r="X392" s="30" t="s">
        <v>23</v>
      </c>
      <c r="Y392" s="30" t="s">
        <v>25</v>
      </c>
      <c r="Z392" s="30" t="s">
        <v>25</v>
      </c>
      <c r="AA392" s="30" t="s">
        <v>735</v>
      </c>
      <c r="AB392" s="30" t="s">
        <v>25</v>
      </c>
      <c r="AC392" s="27"/>
      <c r="AD392" s="31" t="s">
        <v>24</v>
      </c>
      <c r="AE392" s="32" t="str">
        <f t="shared" si="32"/>
        <v>⚠ Missing</v>
      </c>
      <c r="AF392" s="33" t="s">
        <v>27</v>
      </c>
      <c r="AG392" s="33" t="s">
        <v>23</v>
      </c>
      <c r="AH392" s="33" t="s">
        <v>25</v>
      </c>
      <c r="AI392" s="33" t="s">
        <v>24</v>
      </c>
      <c r="AJ392" s="33" t="s">
        <v>135</v>
      </c>
      <c r="AK392" s="33" t="s">
        <v>25</v>
      </c>
      <c r="AL392" s="27"/>
      <c r="AM392" s="34" t="s">
        <v>25</v>
      </c>
      <c r="AN392" s="35" t="str">
        <f t="shared" si="33"/>
        <v>❌ Disc</v>
      </c>
      <c r="AO392" s="36"/>
      <c r="AP392" s="36"/>
      <c r="AQ392" s="36"/>
      <c r="AR392" s="36"/>
      <c r="AS392" s="36"/>
      <c r="AT392" s="36"/>
      <c r="AU392" s="27"/>
      <c r="AV392" s="37"/>
      <c r="AW392" s="38" t="str">
        <f t="shared" si="34"/>
        <v/>
      </c>
    </row>
    <row r="393" spans="1:49" ht="18" customHeight="1" x14ac:dyDescent="0.3">
      <c r="A393" s="23">
        <v>389</v>
      </c>
      <c r="B393" s="24" t="s">
        <v>5978</v>
      </c>
      <c r="C393" s="25" t="s">
        <v>5979</v>
      </c>
      <c r="D393" s="23" t="s">
        <v>5973</v>
      </c>
      <c r="E393" s="43">
        <v>46125</v>
      </c>
      <c r="F393" s="26" t="s">
        <v>23</v>
      </c>
      <c r="G393" s="44" t="s">
        <v>25</v>
      </c>
      <c r="H393" s="26" t="s">
        <v>25</v>
      </c>
      <c r="I393" s="44" t="s">
        <v>735</v>
      </c>
      <c r="J393" s="26" t="s">
        <v>25</v>
      </c>
      <c r="K393" s="27"/>
      <c r="L393" s="28" t="s">
        <v>24</v>
      </c>
      <c r="M393" s="29" t="str">
        <f t="shared" si="30"/>
        <v>⚠ Missing</v>
      </c>
      <c r="N393" s="43">
        <v>46196</v>
      </c>
      <c r="O393" s="26" t="s">
        <v>23</v>
      </c>
      <c r="P393" s="44" t="s">
        <v>25</v>
      </c>
      <c r="Q393" s="26" t="s">
        <v>25</v>
      </c>
      <c r="R393" s="44" t="s">
        <v>735</v>
      </c>
      <c r="S393" s="26" t="s">
        <v>25</v>
      </c>
      <c r="T393" s="27"/>
      <c r="U393" s="28" t="s">
        <v>24</v>
      </c>
      <c r="V393" s="29" t="str">
        <f t="shared" si="31"/>
        <v>⚠ Missing</v>
      </c>
      <c r="W393" s="45">
        <v>46248</v>
      </c>
      <c r="X393" s="30" t="s">
        <v>23</v>
      </c>
      <c r="Y393" s="30" t="s">
        <v>25</v>
      </c>
      <c r="Z393" s="30" t="s">
        <v>25</v>
      </c>
      <c r="AA393" s="30" t="s">
        <v>735</v>
      </c>
      <c r="AB393" s="30" t="s">
        <v>25</v>
      </c>
      <c r="AC393" s="27"/>
      <c r="AD393" s="31" t="s">
        <v>24</v>
      </c>
      <c r="AE393" s="32" t="str">
        <f t="shared" si="32"/>
        <v>⚠ Missing</v>
      </c>
      <c r="AF393" s="33" t="s">
        <v>27</v>
      </c>
      <c r="AG393" s="33" t="s">
        <v>23</v>
      </c>
      <c r="AH393" s="33" t="s">
        <v>25</v>
      </c>
      <c r="AI393" s="33" t="s">
        <v>24</v>
      </c>
      <c r="AJ393" s="33" t="s">
        <v>135</v>
      </c>
      <c r="AK393" s="33" t="s">
        <v>25</v>
      </c>
      <c r="AL393" s="27"/>
      <c r="AM393" s="34" t="s">
        <v>25</v>
      </c>
      <c r="AN393" s="35" t="str">
        <f t="shared" si="33"/>
        <v>❌ Disc</v>
      </c>
      <c r="AO393" s="36"/>
      <c r="AP393" s="36"/>
      <c r="AQ393" s="36"/>
      <c r="AR393" s="36"/>
      <c r="AS393" s="36"/>
      <c r="AT393" s="36"/>
      <c r="AU393" s="27"/>
      <c r="AV393" s="37"/>
      <c r="AW393" s="38" t="str">
        <f t="shared" si="34"/>
        <v/>
      </c>
    </row>
    <row r="394" spans="1:49" ht="18" customHeight="1" x14ac:dyDescent="0.3">
      <c r="A394" s="39">
        <v>390</v>
      </c>
      <c r="B394" s="40" t="s">
        <v>5980</v>
      </c>
      <c r="C394" s="41" t="s">
        <v>5981</v>
      </c>
      <c r="D394" s="39" t="s">
        <v>5973</v>
      </c>
      <c r="E394" s="43">
        <v>46125</v>
      </c>
      <c r="F394" s="26" t="s">
        <v>23</v>
      </c>
      <c r="G394" s="44" t="s">
        <v>25</v>
      </c>
      <c r="H394" s="26" t="s">
        <v>25</v>
      </c>
      <c r="I394" s="44" t="s">
        <v>735</v>
      </c>
      <c r="J394" s="26" t="s">
        <v>25</v>
      </c>
      <c r="K394" s="27"/>
      <c r="L394" s="28" t="s">
        <v>24</v>
      </c>
      <c r="M394" s="29" t="str">
        <f t="shared" si="30"/>
        <v>⚠ Missing</v>
      </c>
      <c r="N394" s="43">
        <v>46196</v>
      </c>
      <c r="O394" s="26" t="s">
        <v>23</v>
      </c>
      <c r="P394" s="44" t="s">
        <v>25</v>
      </c>
      <c r="Q394" s="26" t="s">
        <v>25</v>
      </c>
      <c r="R394" s="44" t="s">
        <v>735</v>
      </c>
      <c r="S394" s="26" t="s">
        <v>25</v>
      </c>
      <c r="T394" s="27"/>
      <c r="U394" s="28" t="s">
        <v>24</v>
      </c>
      <c r="V394" s="29" t="str">
        <f t="shared" si="31"/>
        <v>⚠ Missing</v>
      </c>
      <c r="W394" s="45">
        <v>46248</v>
      </c>
      <c r="X394" s="30" t="s">
        <v>23</v>
      </c>
      <c r="Y394" s="30" t="s">
        <v>25</v>
      </c>
      <c r="Z394" s="30" t="s">
        <v>25</v>
      </c>
      <c r="AA394" s="30" t="s">
        <v>735</v>
      </c>
      <c r="AB394" s="30" t="s">
        <v>25</v>
      </c>
      <c r="AC394" s="27"/>
      <c r="AD394" s="31" t="s">
        <v>24</v>
      </c>
      <c r="AE394" s="32" t="str">
        <f t="shared" si="32"/>
        <v>⚠ Missing</v>
      </c>
      <c r="AF394" s="33" t="s">
        <v>27</v>
      </c>
      <c r="AG394" s="33" t="s">
        <v>23</v>
      </c>
      <c r="AH394" s="33" t="s">
        <v>25</v>
      </c>
      <c r="AI394" s="33" t="s">
        <v>24</v>
      </c>
      <c r="AJ394" s="33" t="s">
        <v>135</v>
      </c>
      <c r="AK394" s="33" t="s">
        <v>25</v>
      </c>
      <c r="AL394" s="27"/>
      <c r="AM394" s="34" t="s">
        <v>25</v>
      </c>
      <c r="AN394" s="35" t="str">
        <f t="shared" si="33"/>
        <v>❌ Disc</v>
      </c>
      <c r="AO394" s="36"/>
      <c r="AP394" s="36"/>
      <c r="AQ394" s="36"/>
      <c r="AR394" s="36"/>
      <c r="AS394" s="36"/>
      <c r="AT394" s="36"/>
      <c r="AU394" s="27"/>
      <c r="AV394" s="37"/>
      <c r="AW394" s="38" t="str">
        <f t="shared" si="34"/>
        <v/>
      </c>
    </row>
    <row r="395" spans="1:49" ht="18" customHeight="1" x14ac:dyDescent="0.3">
      <c r="A395" s="23">
        <v>391</v>
      </c>
      <c r="B395" s="24" t="s">
        <v>5982</v>
      </c>
      <c r="C395" s="25" t="s">
        <v>5983</v>
      </c>
      <c r="D395" s="23" t="s">
        <v>5973</v>
      </c>
      <c r="E395" s="43">
        <v>46125</v>
      </c>
      <c r="F395" s="26" t="s">
        <v>23</v>
      </c>
      <c r="G395" s="44" t="s">
        <v>25</v>
      </c>
      <c r="H395" s="26" t="s">
        <v>25</v>
      </c>
      <c r="I395" s="44" t="s">
        <v>735</v>
      </c>
      <c r="J395" s="26" t="s">
        <v>25</v>
      </c>
      <c r="K395" s="27"/>
      <c r="L395" s="28" t="s">
        <v>24</v>
      </c>
      <c r="M395" s="29" t="str">
        <f t="shared" si="30"/>
        <v>⚠ Missing</v>
      </c>
      <c r="N395" s="43">
        <v>46196</v>
      </c>
      <c r="O395" s="26" t="s">
        <v>23</v>
      </c>
      <c r="P395" s="44" t="s">
        <v>25</v>
      </c>
      <c r="Q395" s="26" t="s">
        <v>25</v>
      </c>
      <c r="R395" s="44" t="s">
        <v>735</v>
      </c>
      <c r="S395" s="26" t="s">
        <v>25</v>
      </c>
      <c r="T395" s="27"/>
      <c r="U395" s="28" t="s">
        <v>24</v>
      </c>
      <c r="V395" s="29" t="str">
        <f t="shared" si="31"/>
        <v>⚠ Missing</v>
      </c>
      <c r="W395" s="45">
        <v>46248</v>
      </c>
      <c r="X395" s="30" t="s">
        <v>23</v>
      </c>
      <c r="Y395" s="30" t="s">
        <v>25</v>
      </c>
      <c r="Z395" s="30" t="s">
        <v>25</v>
      </c>
      <c r="AA395" s="30" t="s">
        <v>735</v>
      </c>
      <c r="AB395" s="30" t="s">
        <v>25</v>
      </c>
      <c r="AC395" s="27"/>
      <c r="AD395" s="31" t="s">
        <v>24</v>
      </c>
      <c r="AE395" s="32" t="str">
        <f t="shared" si="32"/>
        <v>⚠ Missing</v>
      </c>
      <c r="AF395" s="33" t="s">
        <v>27</v>
      </c>
      <c r="AG395" s="33" t="s">
        <v>23</v>
      </c>
      <c r="AH395" s="33" t="s">
        <v>25</v>
      </c>
      <c r="AI395" s="33" t="s">
        <v>24</v>
      </c>
      <c r="AJ395" s="33" t="s">
        <v>135</v>
      </c>
      <c r="AK395" s="33" t="s">
        <v>25</v>
      </c>
      <c r="AL395" s="27"/>
      <c r="AM395" s="34" t="s">
        <v>25</v>
      </c>
      <c r="AN395" s="35" t="str">
        <f t="shared" si="33"/>
        <v>❌ Disc</v>
      </c>
      <c r="AO395" s="36"/>
      <c r="AP395" s="36"/>
      <c r="AQ395" s="36"/>
      <c r="AR395" s="36"/>
      <c r="AS395" s="36"/>
      <c r="AT395" s="36"/>
      <c r="AU395" s="27"/>
      <c r="AV395" s="37"/>
      <c r="AW395" s="38" t="str">
        <f t="shared" si="34"/>
        <v/>
      </c>
    </row>
    <row r="396" spans="1:49" ht="18" customHeight="1" x14ac:dyDescent="0.3">
      <c r="A396" s="39">
        <v>392</v>
      </c>
      <c r="B396" s="40" t="s">
        <v>5984</v>
      </c>
      <c r="C396" s="41" t="s">
        <v>5985</v>
      </c>
      <c r="D396" s="39" t="s">
        <v>5973</v>
      </c>
      <c r="E396" s="43">
        <v>46125</v>
      </c>
      <c r="F396" s="26" t="s">
        <v>23</v>
      </c>
      <c r="G396" s="44" t="s">
        <v>25</v>
      </c>
      <c r="H396" s="26" t="s">
        <v>25</v>
      </c>
      <c r="I396" s="44" t="s">
        <v>735</v>
      </c>
      <c r="J396" s="26" t="s">
        <v>25</v>
      </c>
      <c r="K396" s="27"/>
      <c r="L396" s="28" t="s">
        <v>24</v>
      </c>
      <c r="M396" s="29" t="str">
        <f t="shared" si="30"/>
        <v>⚠ Missing</v>
      </c>
      <c r="N396" s="43">
        <v>46196</v>
      </c>
      <c r="O396" s="26" t="s">
        <v>23</v>
      </c>
      <c r="P396" s="44" t="s">
        <v>25</v>
      </c>
      <c r="Q396" s="26" t="s">
        <v>25</v>
      </c>
      <c r="R396" s="44" t="s">
        <v>735</v>
      </c>
      <c r="S396" s="26" t="s">
        <v>25</v>
      </c>
      <c r="T396" s="27"/>
      <c r="U396" s="28" t="s">
        <v>24</v>
      </c>
      <c r="V396" s="29" t="str">
        <f t="shared" si="31"/>
        <v>⚠ Missing</v>
      </c>
      <c r="W396" s="45">
        <v>46248</v>
      </c>
      <c r="X396" s="30" t="s">
        <v>23</v>
      </c>
      <c r="Y396" s="30" t="s">
        <v>25</v>
      </c>
      <c r="Z396" s="30" t="s">
        <v>25</v>
      </c>
      <c r="AA396" s="30" t="s">
        <v>735</v>
      </c>
      <c r="AB396" s="30" t="s">
        <v>25</v>
      </c>
      <c r="AC396" s="27"/>
      <c r="AD396" s="31" t="s">
        <v>24</v>
      </c>
      <c r="AE396" s="32" t="str">
        <f t="shared" si="32"/>
        <v>⚠ Missing</v>
      </c>
      <c r="AF396" s="33" t="s">
        <v>27</v>
      </c>
      <c r="AG396" s="33" t="s">
        <v>23</v>
      </c>
      <c r="AH396" s="33" t="s">
        <v>25</v>
      </c>
      <c r="AI396" s="33" t="s">
        <v>24</v>
      </c>
      <c r="AJ396" s="33" t="s">
        <v>135</v>
      </c>
      <c r="AK396" s="33" t="s">
        <v>25</v>
      </c>
      <c r="AL396" s="27"/>
      <c r="AM396" s="34" t="s">
        <v>25</v>
      </c>
      <c r="AN396" s="35" t="str">
        <f t="shared" si="33"/>
        <v>❌ Disc</v>
      </c>
      <c r="AO396" s="36"/>
      <c r="AP396" s="36"/>
      <c r="AQ396" s="36"/>
      <c r="AR396" s="36"/>
      <c r="AS396" s="36"/>
      <c r="AT396" s="36"/>
      <c r="AU396" s="27"/>
      <c r="AV396" s="37"/>
      <c r="AW396" s="38" t="str">
        <f t="shared" si="34"/>
        <v/>
      </c>
    </row>
    <row r="397" spans="1:49" ht="18" customHeight="1" x14ac:dyDescent="0.3">
      <c r="A397" s="23">
        <v>393</v>
      </c>
      <c r="B397" s="24" t="s">
        <v>5986</v>
      </c>
      <c r="C397" s="25" t="s">
        <v>5987</v>
      </c>
      <c r="D397" s="23" t="s">
        <v>5973</v>
      </c>
      <c r="E397" s="43">
        <v>46125</v>
      </c>
      <c r="F397" s="26" t="s">
        <v>23</v>
      </c>
      <c r="G397" s="44" t="s">
        <v>25</v>
      </c>
      <c r="H397" s="26" t="s">
        <v>25</v>
      </c>
      <c r="I397" s="44" t="s">
        <v>735</v>
      </c>
      <c r="J397" s="26" t="s">
        <v>25</v>
      </c>
      <c r="K397" s="27"/>
      <c r="L397" s="28" t="s">
        <v>24</v>
      </c>
      <c r="M397" s="29" t="str">
        <f t="shared" si="30"/>
        <v>⚠ Missing</v>
      </c>
      <c r="N397" s="43">
        <v>46196</v>
      </c>
      <c r="O397" s="26" t="s">
        <v>23</v>
      </c>
      <c r="P397" s="44" t="s">
        <v>25</v>
      </c>
      <c r="Q397" s="26" t="s">
        <v>25</v>
      </c>
      <c r="R397" s="44" t="s">
        <v>735</v>
      </c>
      <c r="S397" s="26" t="s">
        <v>25</v>
      </c>
      <c r="T397" s="27"/>
      <c r="U397" s="28" t="s">
        <v>24</v>
      </c>
      <c r="V397" s="29" t="str">
        <f t="shared" si="31"/>
        <v>⚠ Missing</v>
      </c>
      <c r="W397" s="45">
        <v>46248</v>
      </c>
      <c r="X397" s="30" t="s">
        <v>23</v>
      </c>
      <c r="Y397" s="30" t="s">
        <v>25</v>
      </c>
      <c r="Z397" s="30" t="s">
        <v>25</v>
      </c>
      <c r="AA397" s="30" t="s">
        <v>735</v>
      </c>
      <c r="AB397" s="30" t="s">
        <v>25</v>
      </c>
      <c r="AC397" s="27"/>
      <c r="AD397" s="31" t="s">
        <v>24</v>
      </c>
      <c r="AE397" s="32" t="str">
        <f t="shared" si="32"/>
        <v>⚠ Missing</v>
      </c>
      <c r="AF397" s="33" t="s">
        <v>27</v>
      </c>
      <c r="AG397" s="33" t="s">
        <v>23</v>
      </c>
      <c r="AH397" s="33" t="s">
        <v>25</v>
      </c>
      <c r="AI397" s="33" t="s">
        <v>24</v>
      </c>
      <c r="AJ397" s="33" t="s">
        <v>135</v>
      </c>
      <c r="AK397" s="33" t="s">
        <v>25</v>
      </c>
      <c r="AL397" s="27"/>
      <c r="AM397" s="34" t="s">
        <v>25</v>
      </c>
      <c r="AN397" s="35" t="str">
        <f t="shared" si="33"/>
        <v>❌ Disc</v>
      </c>
      <c r="AO397" s="36"/>
      <c r="AP397" s="36"/>
      <c r="AQ397" s="36"/>
      <c r="AR397" s="36"/>
      <c r="AS397" s="36"/>
      <c r="AT397" s="36"/>
      <c r="AU397" s="27"/>
      <c r="AV397" s="37"/>
      <c r="AW397" s="38" t="str">
        <f t="shared" si="34"/>
        <v/>
      </c>
    </row>
    <row r="398" spans="1:49" ht="18" customHeight="1" x14ac:dyDescent="0.3">
      <c r="A398" s="39">
        <v>394</v>
      </c>
      <c r="B398" s="40" t="s">
        <v>5988</v>
      </c>
      <c r="C398" s="41" t="s">
        <v>5989</v>
      </c>
      <c r="D398" s="39" t="s">
        <v>5973</v>
      </c>
      <c r="E398" s="43">
        <v>46125</v>
      </c>
      <c r="F398" s="26" t="s">
        <v>23</v>
      </c>
      <c r="G398" s="44" t="s">
        <v>25</v>
      </c>
      <c r="H398" s="26" t="s">
        <v>25</v>
      </c>
      <c r="I398" s="44" t="s">
        <v>735</v>
      </c>
      <c r="J398" s="26" t="s">
        <v>25</v>
      </c>
      <c r="K398" s="27"/>
      <c r="L398" s="28" t="s">
        <v>24</v>
      </c>
      <c r="M398" s="29" t="str">
        <f t="shared" si="30"/>
        <v>⚠ Missing</v>
      </c>
      <c r="N398" s="43">
        <v>46196</v>
      </c>
      <c r="O398" s="26" t="s">
        <v>23</v>
      </c>
      <c r="P398" s="44" t="s">
        <v>25</v>
      </c>
      <c r="Q398" s="26" t="s">
        <v>25</v>
      </c>
      <c r="R398" s="44" t="s">
        <v>735</v>
      </c>
      <c r="S398" s="26" t="s">
        <v>25</v>
      </c>
      <c r="T398" s="27"/>
      <c r="U398" s="28" t="s">
        <v>24</v>
      </c>
      <c r="V398" s="29" t="str">
        <f t="shared" si="31"/>
        <v>⚠ Missing</v>
      </c>
      <c r="W398" s="45">
        <v>46248</v>
      </c>
      <c r="X398" s="30" t="s">
        <v>23</v>
      </c>
      <c r="Y398" s="30" t="s">
        <v>25</v>
      </c>
      <c r="Z398" s="30" t="s">
        <v>25</v>
      </c>
      <c r="AA398" s="30" t="s">
        <v>735</v>
      </c>
      <c r="AB398" s="30" t="s">
        <v>25</v>
      </c>
      <c r="AC398" s="27"/>
      <c r="AD398" s="31" t="s">
        <v>24</v>
      </c>
      <c r="AE398" s="32" t="str">
        <f t="shared" si="32"/>
        <v>⚠ Missing</v>
      </c>
      <c r="AF398" s="33" t="s">
        <v>27</v>
      </c>
      <c r="AG398" s="33" t="s">
        <v>23</v>
      </c>
      <c r="AH398" s="33" t="s">
        <v>25</v>
      </c>
      <c r="AI398" s="33" t="s">
        <v>24</v>
      </c>
      <c r="AJ398" s="33" t="s">
        <v>135</v>
      </c>
      <c r="AK398" s="33" t="s">
        <v>25</v>
      </c>
      <c r="AL398" s="27"/>
      <c r="AM398" s="34" t="s">
        <v>25</v>
      </c>
      <c r="AN398" s="35" t="str">
        <f t="shared" si="33"/>
        <v>❌ Disc</v>
      </c>
      <c r="AO398" s="36"/>
      <c r="AP398" s="36"/>
      <c r="AQ398" s="36"/>
      <c r="AR398" s="36"/>
      <c r="AS398" s="36"/>
      <c r="AT398" s="36"/>
      <c r="AU398" s="27"/>
      <c r="AV398" s="37"/>
      <c r="AW398" s="38" t="str">
        <f t="shared" si="34"/>
        <v/>
      </c>
    </row>
    <row r="399" spans="1:49" ht="18" customHeight="1" x14ac:dyDescent="0.3">
      <c r="A399" s="23">
        <v>395</v>
      </c>
      <c r="B399" s="24" t="s">
        <v>5990</v>
      </c>
      <c r="C399" s="25" t="s">
        <v>5991</v>
      </c>
      <c r="D399" s="23" t="s">
        <v>5973</v>
      </c>
      <c r="E399" s="43">
        <v>46125</v>
      </c>
      <c r="F399" s="26" t="s">
        <v>23</v>
      </c>
      <c r="G399" s="44" t="s">
        <v>25</v>
      </c>
      <c r="H399" s="26" t="s">
        <v>25</v>
      </c>
      <c r="I399" s="44" t="s">
        <v>735</v>
      </c>
      <c r="J399" s="26" t="s">
        <v>25</v>
      </c>
      <c r="K399" s="27"/>
      <c r="L399" s="28" t="s">
        <v>24</v>
      </c>
      <c r="M399" s="29" t="str">
        <f t="shared" si="30"/>
        <v>⚠ Missing</v>
      </c>
      <c r="N399" s="43">
        <v>46196</v>
      </c>
      <c r="O399" s="26" t="s">
        <v>23</v>
      </c>
      <c r="P399" s="44" t="s">
        <v>25</v>
      </c>
      <c r="Q399" s="26" t="s">
        <v>25</v>
      </c>
      <c r="R399" s="44" t="s">
        <v>735</v>
      </c>
      <c r="S399" s="26" t="s">
        <v>25</v>
      </c>
      <c r="T399" s="27"/>
      <c r="U399" s="28" t="s">
        <v>24</v>
      </c>
      <c r="V399" s="29" t="str">
        <f t="shared" si="31"/>
        <v>⚠ Missing</v>
      </c>
      <c r="W399" s="45">
        <v>46248</v>
      </c>
      <c r="X399" s="30" t="s">
        <v>23</v>
      </c>
      <c r="Y399" s="30" t="s">
        <v>25</v>
      </c>
      <c r="Z399" s="30" t="s">
        <v>25</v>
      </c>
      <c r="AA399" s="30" t="s">
        <v>735</v>
      </c>
      <c r="AB399" s="30" t="s">
        <v>25</v>
      </c>
      <c r="AC399" s="27"/>
      <c r="AD399" s="31" t="s">
        <v>24</v>
      </c>
      <c r="AE399" s="32" t="str">
        <f t="shared" si="32"/>
        <v>⚠ Missing</v>
      </c>
      <c r="AF399" s="33" t="s">
        <v>27</v>
      </c>
      <c r="AG399" s="33" t="s">
        <v>23</v>
      </c>
      <c r="AH399" s="33" t="s">
        <v>25</v>
      </c>
      <c r="AI399" s="33" t="s">
        <v>24</v>
      </c>
      <c r="AJ399" s="33" t="s">
        <v>135</v>
      </c>
      <c r="AK399" s="33" t="s">
        <v>25</v>
      </c>
      <c r="AL399" s="27"/>
      <c r="AM399" s="34" t="s">
        <v>25</v>
      </c>
      <c r="AN399" s="35" t="str">
        <f t="shared" si="33"/>
        <v>❌ Disc</v>
      </c>
      <c r="AO399" s="36"/>
      <c r="AP399" s="36"/>
      <c r="AQ399" s="36"/>
      <c r="AR399" s="36"/>
      <c r="AS399" s="36"/>
      <c r="AT399" s="36"/>
      <c r="AU399" s="27"/>
      <c r="AV399" s="37"/>
      <c r="AW399" s="38" t="str">
        <f t="shared" si="34"/>
        <v/>
      </c>
    </row>
    <row r="400" spans="1:49" ht="18" customHeight="1" x14ac:dyDescent="0.3">
      <c r="A400" s="39">
        <v>396</v>
      </c>
      <c r="B400" s="40" t="s">
        <v>5992</v>
      </c>
      <c r="C400" s="41" t="s">
        <v>5993</v>
      </c>
      <c r="D400" s="39" t="s">
        <v>5973</v>
      </c>
      <c r="E400" s="43">
        <v>46125</v>
      </c>
      <c r="F400" s="26" t="s">
        <v>23</v>
      </c>
      <c r="G400" s="44" t="s">
        <v>25</v>
      </c>
      <c r="H400" s="26" t="s">
        <v>25</v>
      </c>
      <c r="I400" s="44" t="s">
        <v>735</v>
      </c>
      <c r="J400" s="26" t="s">
        <v>25</v>
      </c>
      <c r="K400" s="27"/>
      <c r="L400" s="28" t="s">
        <v>24</v>
      </c>
      <c r="M400" s="29" t="str">
        <f t="shared" si="30"/>
        <v>⚠ Missing</v>
      </c>
      <c r="N400" s="43">
        <v>46196</v>
      </c>
      <c r="O400" s="26" t="s">
        <v>23</v>
      </c>
      <c r="P400" s="44" t="s">
        <v>25</v>
      </c>
      <c r="Q400" s="26" t="s">
        <v>25</v>
      </c>
      <c r="R400" s="44" t="s">
        <v>735</v>
      </c>
      <c r="S400" s="26" t="s">
        <v>25</v>
      </c>
      <c r="T400" s="27"/>
      <c r="U400" s="28" t="s">
        <v>24</v>
      </c>
      <c r="V400" s="29" t="str">
        <f t="shared" si="31"/>
        <v>⚠ Missing</v>
      </c>
      <c r="W400" s="45">
        <v>46248</v>
      </c>
      <c r="X400" s="30" t="s">
        <v>23</v>
      </c>
      <c r="Y400" s="30" t="s">
        <v>25</v>
      </c>
      <c r="Z400" s="30" t="s">
        <v>25</v>
      </c>
      <c r="AA400" s="30" t="s">
        <v>735</v>
      </c>
      <c r="AB400" s="30" t="s">
        <v>25</v>
      </c>
      <c r="AC400" s="27"/>
      <c r="AD400" s="31" t="s">
        <v>24</v>
      </c>
      <c r="AE400" s="32" t="str">
        <f t="shared" si="32"/>
        <v>⚠ Missing</v>
      </c>
      <c r="AF400" s="33" t="s">
        <v>27</v>
      </c>
      <c r="AG400" s="33" t="s">
        <v>23</v>
      </c>
      <c r="AH400" s="33" t="s">
        <v>25</v>
      </c>
      <c r="AI400" s="33" t="s">
        <v>24</v>
      </c>
      <c r="AJ400" s="33" t="s">
        <v>135</v>
      </c>
      <c r="AK400" s="33" t="s">
        <v>25</v>
      </c>
      <c r="AL400" s="27"/>
      <c r="AM400" s="34" t="s">
        <v>25</v>
      </c>
      <c r="AN400" s="35" t="str">
        <f t="shared" si="33"/>
        <v>❌ Disc</v>
      </c>
      <c r="AO400" s="36"/>
      <c r="AP400" s="36"/>
      <c r="AQ400" s="36"/>
      <c r="AR400" s="36"/>
      <c r="AS400" s="36"/>
      <c r="AT400" s="36"/>
      <c r="AU400" s="27"/>
      <c r="AV400" s="37"/>
      <c r="AW400" s="38" t="str">
        <f t="shared" si="34"/>
        <v/>
      </c>
    </row>
    <row r="401" spans="1:49" ht="18" customHeight="1" x14ac:dyDescent="0.3">
      <c r="A401" s="23">
        <v>397</v>
      </c>
      <c r="B401" s="24" t="s">
        <v>5994</v>
      </c>
      <c r="C401" s="25" t="s">
        <v>5995</v>
      </c>
      <c r="D401" s="23" t="s">
        <v>5973</v>
      </c>
      <c r="E401" s="43">
        <v>46125</v>
      </c>
      <c r="F401" s="26" t="s">
        <v>23</v>
      </c>
      <c r="G401" s="44" t="s">
        <v>25</v>
      </c>
      <c r="H401" s="26" t="s">
        <v>25</v>
      </c>
      <c r="I401" s="44" t="s">
        <v>735</v>
      </c>
      <c r="J401" s="26" t="s">
        <v>25</v>
      </c>
      <c r="K401" s="27"/>
      <c r="L401" s="28" t="s">
        <v>24</v>
      </c>
      <c r="M401" s="29" t="str">
        <f t="shared" si="30"/>
        <v>⚠ Missing</v>
      </c>
      <c r="N401" s="43">
        <v>46196</v>
      </c>
      <c r="O401" s="26" t="s">
        <v>23</v>
      </c>
      <c r="P401" s="44" t="s">
        <v>25</v>
      </c>
      <c r="Q401" s="26" t="s">
        <v>25</v>
      </c>
      <c r="R401" s="44" t="s">
        <v>735</v>
      </c>
      <c r="S401" s="26" t="s">
        <v>25</v>
      </c>
      <c r="T401" s="27"/>
      <c r="U401" s="28" t="s">
        <v>24</v>
      </c>
      <c r="V401" s="29" t="str">
        <f t="shared" si="31"/>
        <v>⚠ Missing</v>
      </c>
      <c r="W401" s="45">
        <v>46248</v>
      </c>
      <c r="X401" s="30" t="s">
        <v>23</v>
      </c>
      <c r="Y401" s="30" t="s">
        <v>25</v>
      </c>
      <c r="Z401" s="30" t="s">
        <v>25</v>
      </c>
      <c r="AA401" s="30" t="s">
        <v>735</v>
      </c>
      <c r="AB401" s="30" t="s">
        <v>25</v>
      </c>
      <c r="AC401" s="27"/>
      <c r="AD401" s="31" t="s">
        <v>24</v>
      </c>
      <c r="AE401" s="32" t="str">
        <f t="shared" si="32"/>
        <v>⚠ Missing</v>
      </c>
      <c r="AF401" s="33" t="s">
        <v>27</v>
      </c>
      <c r="AG401" s="33" t="s">
        <v>23</v>
      </c>
      <c r="AH401" s="33" t="s">
        <v>25</v>
      </c>
      <c r="AI401" s="33" t="s">
        <v>24</v>
      </c>
      <c r="AJ401" s="33" t="s">
        <v>135</v>
      </c>
      <c r="AK401" s="33" t="s">
        <v>25</v>
      </c>
      <c r="AL401" s="27"/>
      <c r="AM401" s="34" t="s">
        <v>25</v>
      </c>
      <c r="AN401" s="35" t="str">
        <f t="shared" si="33"/>
        <v>❌ Disc</v>
      </c>
      <c r="AO401" s="36"/>
      <c r="AP401" s="36"/>
      <c r="AQ401" s="36"/>
      <c r="AR401" s="36"/>
      <c r="AS401" s="36"/>
      <c r="AT401" s="36"/>
      <c r="AU401" s="27"/>
      <c r="AV401" s="37"/>
      <c r="AW401" s="38" t="str">
        <f t="shared" si="34"/>
        <v/>
      </c>
    </row>
    <row r="402" spans="1:49" ht="18" customHeight="1" x14ac:dyDescent="0.3">
      <c r="A402" s="39">
        <v>398</v>
      </c>
      <c r="B402" s="40" t="s">
        <v>5996</v>
      </c>
      <c r="C402" s="41" t="s">
        <v>5997</v>
      </c>
      <c r="D402" s="39" t="s">
        <v>5973</v>
      </c>
      <c r="E402" s="43">
        <v>46125</v>
      </c>
      <c r="F402" s="26" t="s">
        <v>23</v>
      </c>
      <c r="G402" s="44" t="s">
        <v>25</v>
      </c>
      <c r="H402" s="26" t="s">
        <v>25</v>
      </c>
      <c r="I402" s="44" t="s">
        <v>735</v>
      </c>
      <c r="J402" s="26" t="s">
        <v>25</v>
      </c>
      <c r="K402" s="27"/>
      <c r="L402" s="28" t="s">
        <v>24</v>
      </c>
      <c r="M402" s="29" t="str">
        <f t="shared" si="30"/>
        <v>⚠ Missing</v>
      </c>
      <c r="N402" s="43">
        <v>46196</v>
      </c>
      <c r="O402" s="26" t="s">
        <v>23</v>
      </c>
      <c r="P402" s="44" t="s">
        <v>25</v>
      </c>
      <c r="Q402" s="26" t="s">
        <v>25</v>
      </c>
      <c r="R402" s="44" t="s">
        <v>735</v>
      </c>
      <c r="S402" s="26" t="s">
        <v>25</v>
      </c>
      <c r="T402" s="27"/>
      <c r="U402" s="28" t="s">
        <v>24</v>
      </c>
      <c r="V402" s="29" t="str">
        <f t="shared" si="31"/>
        <v>⚠ Missing</v>
      </c>
      <c r="W402" s="45">
        <v>46248</v>
      </c>
      <c r="X402" s="30" t="s">
        <v>23</v>
      </c>
      <c r="Y402" s="30" t="s">
        <v>25</v>
      </c>
      <c r="Z402" s="30" t="s">
        <v>25</v>
      </c>
      <c r="AA402" s="30" t="s">
        <v>735</v>
      </c>
      <c r="AB402" s="30" t="s">
        <v>25</v>
      </c>
      <c r="AC402" s="27"/>
      <c r="AD402" s="31" t="s">
        <v>24</v>
      </c>
      <c r="AE402" s="32" t="str">
        <f t="shared" si="32"/>
        <v>⚠ Missing</v>
      </c>
      <c r="AF402" s="33" t="s">
        <v>27</v>
      </c>
      <c r="AG402" s="33" t="s">
        <v>23</v>
      </c>
      <c r="AH402" s="33" t="s">
        <v>25</v>
      </c>
      <c r="AI402" s="33" t="s">
        <v>24</v>
      </c>
      <c r="AJ402" s="33" t="s">
        <v>135</v>
      </c>
      <c r="AK402" s="33" t="s">
        <v>25</v>
      </c>
      <c r="AL402" s="27"/>
      <c r="AM402" s="34" t="s">
        <v>25</v>
      </c>
      <c r="AN402" s="35" t="str">
        <f t="shared" si="33"/>
        <v>❌ Disc</v>
      </c>
      <c r="AO402" s="36"/>
      <c r="AP402" s="36"/>
      <c r="AQ402" s="36"/>
      <c r="AR402" s="36"/>
      <c r="AS402" s="36"/>
      <c r="AT402" s="36"/>
      <c r="AU402" s="27"/>
      <c r="AV402" s="37"/>
      <c r="AW402" s="38" t="str">
        <f t="shared" si="34"/>
        <v/>
      </c>
    </row>
    <row r="403" spans="1:49" ht="18" customHeight="1" x14ac:dyDescent="0.3">
      <c r="A403" s="23">
        <v>399</v>
      </c>
      <c r="B403" s="24" t="s">
        <v>5998</v>
      </c>
      <c r="C403" s="25" t="s">
        <v>5999</v>
      </c>
      <c r="D403" s="23" t="s">
        <v>5973</v>
      </c>
      <c r="E403" s="43">
        <v>46125</v>
      </c>
      <c r="F403" s="26" t="s">
        <v>23</v>
      </c>
      <c r="G403" s="44" t="s">
        <v>25</v>
      </c>
      <c r="H403" s="26" t="s">
        <v>25</v>
      </c>
      <c r="I403" s="44" t="s">
        <v>735</v>
      </c>
      <c r="J403" s="26" t="s">
        <v>25</v>
      </c>
      <c r="K403" s="27"/>
      <c r="L403" s="28" t="s">
        <v>24</v>
      </c>
      <c r="M403" s="29" t="str">
        <f t="shared" si="30"/>
        <v>⚠ Missing</v>
      </c>
      <c r="N403" s="43">
        <v>46196</v>
      </c>
      <c r="O403" s="26" t="s">
        <v>23</v>
      </c>
      <c r="P403" s="44" t="s">
        <v>25</v>
      </c>
      <c r="Q403" s="26" t="s">
        <v>25</v>
      </c>
      <c r="R403" s="44" t="s">
        <v>735</v>
      </c>
      <c r="S403" s="26" t="s">
        <v>25</v>
      </c>
      <c r="T403" s="27"/>
      <c r="U403" s="28" t="s">
        <v>24</v>
      </c>
      <c r="V403" s="29" t="str">
        <f t="shared" si="31"/>
        <v>⚠ Missing</v>
      </c>
      <c r="W403" s="45">
        <v>46248</v>
      </c>
      <c r="X403" s="30" t="s">
        <v>23</v>
      </c>
      <c r="Y403" s="30" t="s">
        <v>25</v>
      </c>
      <c r="Z403" s="30" t="s">
        <v>25</v>
      </c>
      <c r="AA403" s="30" t="s">
        <v>735</v>
      </c>
      <c r="AB403" s="30" t="s">
        <v>25</v>
      </c>
      <c r="AC403" s="27"/>
      <c r="AD403" s="31" t="s">
        <v>24</v>
      </c>
      <c r="AE403" s="32" t="str">
        <f t="shared" si="32"/>
        <v>⚠ Missing</v>
      </c>
      <c r="AF403" s="33" t="s">
        <v>27</v>
      </c>
      <c r="AG403" s="33" t="s">
        <v>23</v>
      </c>
      <c r="AH403" s="33" t="s">
        <v>25</v>
      </c>
      <c r="AI403" s="33" t="s">
        <v>24</v>
      </c>
      <c r="AJ403" s="33" t="s">
        <v>135</v>
      </c>
      <c r="AK403" s="33" t="s">
        <v>25</v>
      </c>
      <c r="AL403" s="27"/>
      <c r="AM403" s="34" t="s">
        <v>25</v>
      </c>
      <c r="AN403" s="35" t="str">
        <f t="shared" si="33"/>
        <v>❌ Disc</v>
      </c>
      <c r="AO403" s="36"/>
      <c r="AP403" s="36"/>
      <c r="AQ403" s="36"/>
      <c r="AR403" s="36"/>
      <c r="AS403" s="36"/>
      <c r="AT403" s="36"/>
      <c r="AU403" s="27"/>
      <c r="AV403" s="37"/>
      <c r="AW403" s="38" t="str">
        <f t="shared" si="34"/>
        <v/>
      </c>
    </row>
    <row r="404" spans="1:49" ht="18" customHeight="1" x14ac:dyDescent="0.3">
      <c r="A404" s="39">
        <v>400</v>
      </c>
      <c r="B404" s="40" t="s">
        <v>6000</v>
      </c>
      <c r="C404" s="41" t="s">
        <v>6001</v>
      </c>
      <c r="D404" s="39" t="s">
        <v>5973</v>
      </c>
      <c r="E404" s="43">
        <v>46125</v>
      </c>
      <c r="F404" s="26" t="s">
        <v>23</v>
      </c>
      <c r="G404" s="44" t="s">
        <v>25</v>
      </c>
      <c r="H404" s="26" t="s">
        <v>25</v>
      </c>
      <c r="I404" s="44" t="s">
        <v>735</v>
      </c>
      <c r="J404" s="26" t="s">
        <v>25</v>
      </c>
      <c r="K404" s="27"/>
      <c r="L404" s="28" t="s">
        <v>24</v>
      </c>
      <c r="M404" s="29" t="str">
        <f t="shared" si="30"/>
        <v>⚠ Missing</v>
      </c>
      <c r="N404" s="43">
        <v>46196</v>
      </c>
      <c r="O404" s="26" t="s">
        <v>23</v>
      </c>
      <c r="P404" s="44" t="s">
        <v>25</v>
      </c>
      <c r="Q404" s="26" t="s">
        <v>25</v>
      </c>
      <c r="R404" s="44" t="s">
        <v>735</v>
      </c>
      <c r="S404" s="26" t="s">
        <v>25</v>
      </c>
      <c r="T404" s="27"/>
      <c r="U404" s="28" t="s">
        <v>24</v>
      </c>
      <c r="V404" s="29" t="str">
        <f t="shared" si="31"/>
        <v>⚠ Missing</v>
      </c>
      <c r="W404" s="45">
        <v>46248</v>
      </c>
      <c r="X404" s="30" t="s">
        <v>23</v>
      </c>
      <c r="Y404" s="30" t="s">
        <v>25</v>
      </c>
      <c r="Z404" s="30" t="s">
        <v>25</v>
      </c>
      <c r="AA404" s="30" t="s">
        <v>735</v>
      </c>
      <c r="AB404" s="30" t="s">
        <v>25</v>
      </c>
      <c r="AC404" s="27"/>
      <c r="AD404" s="31" t="s">
        <v>24</v>
      </c>
      <c r="AE404" s="32" t="str">
        <f t="shared" si="32"/>
        <v>⚠ Missing</v>
      </c>
      <c r="AF404" s="33" t="s">
        <v>27</v>
      </c>
      <c r="AG404" s="33" t="s">
        <v>23</v>
      </c>
      <c r="AH404" s="33" t="s">
        <v>25</v>
      </c>
      <c r="AI404" s="33" t="s">
        <v>24</v>
      </c>
      <c r="AJ404" s="33" t="s">
        <v>135</v>
      </c>
      <c r="AK404" s="33" t="s">
        <v>25</v>
      </c>
      <c r="AL404" s="27"/>
      <c r="AM404" s="34" t="s">
        <v>25</v>
      </c>
      <c r="AN404" s="35" t="str">
        <f t="shared" si="33"/>
        <v>❌ Disc</v>
      </c>
      <c r="AO404" s="36"/>
      <c r="AP404" s="36"/>
      <c r="AQ404" s="36"/>
      <c r="AR404" s="36"/>
      <c r="AS404" s="36"/>
      <c r="AT404" s="36"/>
      <c r="AU404" s="27"/>
      <c r="AV404" s="37"/>
      <c r="AW404" s="38" t="str">
        <f t="shared" si="34"/>
        <v/>
      </c>
    </row>
    <row r="405" spans="1:49" ht="18" customHeight="1" x14ac:dyDescent="0.3">
      <c r="A405" s="23">
        <v>401</v>
      </c>
      <c r="B405" s="24" t="s">
        <v>6002</v>
      </c>
      <c r="C405" s="25" t="s">
        <v>6003</v>
      </c>
      <c r="D405" s="23" t="s">
        <v>5973</v>
      </c>
      <c r="E405" s="43">
        <v>46125</v>
      </c>
      <c r="F405" s="26" t="s">
        <v>23</v>
      </c>
      <c r="G405" s="44" t="s">
        <v>25</v>
      </c>
      <c r="H405" s="26" t="s">
        <v>25</v>
      </c>
      <c r="I405" s="44" t="s">
        <v>735</v>
      </c>
      <c r="J405" s="26" t="s">
        <v>25</v>
      </c>
      <c r="K405" s="27"/>
      <c r="L405" s="28" t="s">
        <v>24</v>
      </c>
      <c r="M405" s="29" t="str">
        <f t="shared" si="30"/>
        <v>⚠ Missing</v>
      </c>
      <c r="N405" s="43">
        <v>46196</v>
      </c>
      <c r="O405" s="26" t="s">
        <v>23</v>
      </c>
      <c r="P405" s="44" t="s">
        <v>25</v>
      </c>
      <c r="Q405" s="26" t="s">
        <v>25</v>
      </c>
      <c r="R405" s="44" t="s">
        <v>735</v>
      </c>
      <c r="S405" s="26" t="s">
        <v>25</v>
      </c>
      <c r="T405" s="27"/>
      <c r="U405" s="28" t="s">
        <v>24</v>
      </c>
      <c r="V405" s="29" t="str">
        <f t="shared" si="31"/>
        <v>⚠ Missing</v>
      </c>
      <c r="W405" s="45">
        <v>46248</v>
      </c>
      <c r="X405" s="30" t="s">
        <v>23</v>
      </c>
      <c r="Y405" s="30" t="s">
        <v>25</v>
      </c>
      <c r="Z405" s="30" t="s">
        <v>25</v>
      </c>
      <c r="AA405" s="30" t="s">
        <v>735</v>
      </c>
      <c r="AB405" s="30" t="s">
        <v>25</v>
      </c>
      <c r="AC405" s="27"/>
      <c r="AD405" s="31" t="s">
        <v>24</v>
      </c>
      <c r="AE405" s="32" t="str">
        <f t="shared" si="32"/>
        <v>⚠ Missing</v>
      </c>
      <c r="AF405" s="33" t="s">
        <v>27</v>
      </c>
      <c r="AG405" s="33" t="s">
        <v>23</v>
      </c>
      <c r="AH405" s="33" t="s">
        <v>25</v>
      </c>
      <c r="AI405" s="33" t="s">
        <v>24</v>
      </c>
      <c r="AJ405" s="33" t="s">
        <v>135</v>
      </c>
      <c r="AK405" s="33" t="s">
        <v>25</v>
      </c>
      <c r="AL405" s="27"/>
      <c r="AM405" s="34" t="s">
        <v>25</v>
      </c>
      <c r="AN405" s="35" t="str">
        <f t="shared" si="33"/>
        <v>❌ Disc</v>
      </c>
      <c r="AO405" s="36"/>
      <c r="AP405" s="36"/>
      <c r="AQ405" s="36"/>
      <c r="AR405" s="36"/>
      <c r="AS405" s="36"/>
      <c r="AT405" s="36"/>
      <c r="AU405" s="27"/>
      <c r="AV405" s="37"/>
      <c r="AW405" s="38" t="str">
        <f t="shared" si="34"/>
        <v/>
      </c>
    </row>
    <row r="406" spans="1:49" ht="18" customHeight="1" x14ac:dyDescent="0.3">
      <c r="A406" s="39">
        <v>402</v>
      </c>
      <c r="B406" s="40" t="s">
        <v>6004</v>
      </c>
      <c r="C406" s="41" t="s">
        <v>6005</v>
      </c>
      <c r="D406" s="39" t="s">
        <v>5973</v>
      </c>
      <c r="E406" s="43">
        <v>46125</v>
      </c>
      <c r="F406" s="26" t="s">
        <v>23</v>
      </c>
      <c r="G406" s="44" t="s">
        <v>25</v>
      </c>
      <c r="H406" s="26" t="s">
        <v>25</v>
      </c>
      <c r="I406" s="44" t="s">
        <v>735</v>
      </c>
      <c r="J406" s="26" t="s">
        <v>25</v>
      </c>
      <c r="K406" s="27"/>
      <c r="L406" s="28" t="s">
        <v>24</v>
      </c>
      <c r="M406" s="29" t="str">
        <f t="shared" si="30"/>
        <v>⚠ Missing</v>
      </c>
      <c r="N406" s="43">
        <v>46196</v>
      </c>
      <c r="O406" s="26" t="s">
        <v>23</v>
      </c>
      <c r="P406" s="44" t="s">
        <v>25</v>
      </c>
      <c r="Q406" s="26" t="s">
        <v>25</v>
      </c>
      <c r="R406" s="44" t="s">
        <v>735</v>
      </c>
      <c r="S406" s="26" t="s">
        <v>25</v>
      </c>
      <c r="T406" s="27"/>
      <c r="U406" s="28" t="s">
        <v>24</v>
      </c>
      <c r="V406" s="29" t="str">
        <f t="shared" si="31"/>
        <v>⚠ Missing</v>
      </c>
      <c r="W406" s="45">
        <v>46248</v>
      </c>
      <c r="X406" s="30" t="s">
        <v>23</v>
      </c>
      <c r="Y406" s="30" t="s">
        <v>25</v>
      </c>
      <c r="Z406" s="30" t="s">
        <v>25</v>
      </c>
      <c r="AA406" s="30" t="s">
        <v>735</v>
      </c>
      <c r="AB406" s="30" t="s">
        <v>25</v>
      </c>
      <c r="AC406" s="27"/>
      <c r="AD406" s="31" t="s">
        <v>24</v>
      </c>
      <c r="AE406" s="32" t="str">
        <f t="shared" si="32"/>
        <v>⚠ Missing</v>
      </c>
      <c r="AF406" s="33" t="s">
        <v>27</v>
      </c>
      <c r="AG406" s="33" t="s">
        <v>23</v>
      </c>
      <c r="AH406" s="33" t="s">
        <v>25</v>
      </c>
      <c r="AI406" s="33" t="s">
        <v>24</v>
      </c>
      <c r="AJ406" s="33" t="s">
        <v>135</v>
      </c>
      <c r="AK406" s="33" t="s">
        <v>25</v>
      </c>
      <c r="AL406" s="27"/>
      <c r="AM406" s="34" t="s">
        <v>25</v>
      </c>
      <c r="AN406" s="35" t="str">
        <f t="shared" si="33"/>
        <v>❌ Disc</v>
      </c>
      <c r="AO406" s="36"/>
      <c r="AP406" s="36"/>
      <c r="AQ406" s="36"/>
      <c r="AR406" s="36"/>
      <c r="AS406" s="36"/>
      <c r="AT406" s="36"/>
      <c r="AU406" s="27"/>
      <c r="AV406" s="37"/>
      <c r="AW406" s="38" t="str">
        <f t="shared" si="34"/>
        <v/>
      </c>
    </row>
    <row r="407" spans="1:49" ht="18" customHeight="1" x14ac:dyDescent="0.3">
      <c r="A407" s="23">
        <v>403</v>
      </c>
      <c r="B407" s="24" t="s">
        <v>6006</v>
      </c>
      <c r="C407" s="25" t="s">
        <v>6007</v>
      </c>
      <c r="D407" s="23" t="s">
        <v>5973</v>
      </c>
      <c r="E407" s="43">
        <v>46125</v>
      </c>
      <c r="F407" s="26" t="s">
        <v>23</v>
      </c>
      <c r="G407" s="44" t="s">
        <v>25</v>
      </c>
      <c r="H407" s="26" t="s">
        <v>25</v>
      </c>
      <c r="I407" s="44" t="s">
        <v>735</v>
      </c>
      <c r="J407" s="26" t="s">
        <v>25</v>
      </c>
      <c r="K407" s="27"/>
      <c r="L407" s="28" t="s">
        <v>24</v>
      </c>
      <c r="M407" s="29" t="str">
        <f t="shared" si="30"/>
        <v>⚠ Missing</v>
      </c>
      <c r="N407" s="43">
        <v>46196</v>
      </c>
      <c r="O407" s="26" t="s">
        <v>23</v>
      </c>
      <c r="P407" s="44" t="s">
        <v>25</v>
      </c>
      <c r="Q407" s="26" t="s">
        <v>25</v>
      </c>
      <c r="R407" s="44" t="s">
        <v>735</v>
      </c>
      <c r="S407" s="26" t="s">
        <v>25</v>
      </c>
      <c r="T407" s="27"/>
      <c r="U407" s="28" t="s">
        <v>24</v>
      </c>
      <c r="V407" s="29" t="str">
        <f t="shared" si="31"/>
        <v>⚠ Missing</v>
      </c>
      <c r="W407" s="45">
        <v>46248</v>
      </c>
      <c r="X407" s="30" t="s">
        <v>23</v>
      </c>
      <c r="Y407" s="30" t="s">
        <v>25</v>
      </c>
      <c r="Z407" s="30" t="s">
        <v>25</v>
      </c>
      <c r="AA407" s="30" t="s">
        <v>735</v>
      </c>
      <c r="AB407" s="30" t="s">
        <v>25</v>
      </c>
      <c r="AC407" s="27"/>
      <c r="AD407" s="31" t="s">
        <v>24</v>
      </c>
      <c r="AE407" s="32" t="str">
        <f t="shared" si="32"/>
        <v>⚠ Missing</v>
      </c>
      <c r="AF407" s="33" t="s">
        <v>27</v>
      </c>
      <c r="AG407" s="33" t="s">
        <v>23</v>
      </c>
      <c r="AH407" s="33" t="s">
        <v>25</v>
      </c>
      <c r="AI407" s="33" t="s">
        <v>24</v>
      </c>
      <c r="AJ407" s="33" t="s">
        <v>135</v>
      </c>
      <c r="AK407" s="33" t="s">
        <v>25</v>
      </c>
      <c r="AL407" s="27"/>
      <c r="AM407" s="34" t="s">
        <v>25</v>
      </c>
      <c r="AN407" s="35" t="str">
        <f t="shared" si="33"/>
        <v>❌ Disc</v>
      </c>
      <c r="AO407" s="36"/>
      <c r="AP407" s="36"/>
      <c r="AQ407" s="36"/>
      <c r="AR407" s="36"/>
      <c r="AS407" s="36"/>
      <c r="AT407" s="36"/>
      <c r="AU407" s="27"/>
      <c r="AV407" s="37"/>
      <c r="AW407" s="38" t="str">
        <f t="shared" si="34"/>
        <v/>
      </c>
    </row>
    <row r="408" spans="1:49" ht="18" customHeight="1" x14ac:dyDescent="0.3">
      <c r="A408" s="39">
        <v>404</v>
      </c>
      <c r="B408" s="40" t="s">
        <v>6008</v>
      </c>
      <c r="C408" s="41" t="s">
        <v>6009</v>
      </c>
      <c r="D408" s="39" t="s">
        <v>5973</v>
      </c>
      <c r="E408" s="43">
        <v>46125</v>
      </c>
      <c r="F408" s="26" t="s">
        <v>23</v>
      </c>
      <c r="G408" s="44" t="s">
        <v>25</v>
      </c>
      <c r="H408" s="26" t="s">
        <v>25</v>
      </c>
      <c r="I408" s="44" t="s">
        <v>735</v>
      </c>
      <c r="J408" s="26" t="s">
        <v>25</v>
      </c>
      <c r="K408" s="27"/>
      <c r="L408" s="28" t="s">
        <v>24</v>
      </c>
      <c r="M408" s="29" t="str">
        <f t="shared" si="30"/>
        <v>⚠ Missing</v>
      </c>
      <c r="N408" s="43">
        <v>46196</v>
      </c>
      <c r="O408" s="26" t="s">
        <v>23</v>
      </c>
      <c r="P408" s="44" t="s">
        <v>25</v>
      </c>
      <c r="Q408" s="26" t="s">
        <v>25</v>
      </c>
      <c r="R408" s="44" t="s">
        <v>735</v>
      </c>
      <c r="S408" s="26" t="s">
        <v>25</v>
      </c>
      <c r="T408" s="27"/>
      <c r="U408" s="28" t="s">
        <v>24</v>
      </c>
      <c r="V408" s="29" t="str">
        <f t="shared" si="31"/>
        <v>⚠ Missing</v>
      </c>
      <c r="W408" s="45">
        <v>46248</v>
      </c>
      <c r="X408" s="30" t="s">
        <v>23</v>
      </c>
      <c r="Y408" s="30" t="s">
        <v>25</v>
      </c>
      <c r="Z408" s="30" t="s">
        <v>25</v>
      </c>
      <c r="AA408" s="30" t="s">
        <v>735</v>
      </c>
      <c r="AB408" s="30" t="s">
        <v>25</v>
      </c>
      <c r="AC408" s="27"/>
      <c r="AD408" s="31" t="s">
        <v>24</v>
      </c>
      <c r="AE408" s="32" t="str">
        <f t="shared" si="32"/>
        <v>⚠ Missing</v>
      </c>
      <c r="AF408" s="33" t="s">
        <v>27</v>
      </c>
      <c r="AG408" s="33" t="s">
        <v>23</v>
      </c>
      <c r="AH408" s="33" t="s">
        <v>25</v>
      </c>
      <c r="AI408" s="33" t="s">
        <v>24</v>
      </c>
      <c r="AJ408" s="33" t="s">
        <v>135</v>
      </c>
      <c r="AK408" s="33" t="s">
        <v>25</v>
      </c>
      <c r="AL408" s="27"/>
      <c r="AM408" s="34" t="s">
        <v>25</v>
      </c>
      <c r="AN408" s="35" t="str">
        <f t="shared" si="33"/>
        <v>❌ Disc</v>
      </c>
      <c r="AO408" s="36"/>
      <c r="AP408" s="36"/>
      <c r="AQ408" s="36"/>
      <c r="AR408" s="36"/>
      <c r="AS408" s="36"/>
      <c r="AT408" s="36"/>
      <c r="AU408" s="27"/>
      <c r="AV408" s="37"/>
      <c r="AW408" s="38" t="str">
        <f t="shared" si="34"/>
        <v/>
      </c>
    </row>
    <row r="409" spans="1:49" ht="18" customHeight="1" x14ac:dyDescent="0.3">
      <c r="A409" s="23">
        <v>405</v>
      </c>
      <c r="B409" s="24" t="s">
        <v>6010</v>
      </c>
      <c r="C409" s="25" t="s">
        <v>6011</v>
      </c>
      <c r="D409" s="23" t="s">
        <v>5973</v>
      </c>
      <c r="E409" s="43">
        <v>46125</v>
      </c>
      <c r="F409" s="26" t="s">
        <v>23</v>
      </c>
      <c r="G409" s="44" t="s">
        <v>25</v>
      </c>
      <c r="H409" s="26" t="s">
        <v>25</v>
      </c>
      <c r="I409" s="44" t="s">
        <v>735</v>
      </c>
      <c r="J409" s="26" t="s">
        <v>25</v>
      </c>
      <c r="K409" s="27"/>
      <c r="L409" s="28" t="s">
        <v>24</v>
      </c>
      <c r="M409" s="29" t="str">
        <f t="shared" si="30"/>
        <v>⚠ Missing</v>
      </c>
      <c r="N409" s="43">
        <v>46196</v>
      </c>
      <c r="O409" s="26" t="s">
        <v>23</v>
      </c>
      <c r="P409" s="44" t="s">
        <v>25</v>
      </c>
      <c r="Q409" s="26" t="s">
        <v>25</v>
      </c>
      <c r="R409" s="44" t="s">
        <v>735</v>
      </c>
      <c r="S409" s="26" t="s">
        <v>25</v>
      </c>
      <c r="T409" s="27"/>
      <c r="U409" s="28" t="s">
        <v>24</v>
      </c>
      <c r="V409" s="29" t="str">
        <f t="shared" si="31"/>
        <v>⚠ Missing</v>
      </c>
      <c r="W409" s="45">
        <v>46248</v>
      </c>
      <c r="X409" s="30" t="s">
        <v>23</v>
      </c>
      <c r="Y409" s="30" t="s">
        <v>25</v>
      </c>
      <c r="Z409" s="30" t="s">
        <v>25</v>
      </c>
      <c r="AA409" s="30" t="s">
        <v>735</v>
      </c>
      <c r="AB409" s="30" t="s">
        <v>25</v>
      </c>
      <c r="AC409" s="27"/>
      <c r="AD409" s="31" t="s">
        <v>24</v>
      </c>
      <c r="AE409" s="32" t="str">
        <f t="shared" si="32"/>
        <v>⚠ Missing</v>
      </c>
      <c r="AF409" s="33" t="s">
        <v>27</v>
      </c>
      <c r="AG409" s="33" t="s">
        <v>23</v>
      </c>
      <c r="AH409" s="33" t="s">
        <v>25</v>
      </c>
      <c r="AI409" s="33" t="s">
        <v>24</v>
      </c>
      <c r="AJ409" s="33" t="s">
        <v>135</v>
      </c>
      <c r="AK409" s="33" t="s">
        <v>25</v>
      </c>
      <c r="AL409" s="27"/>
      <c r="AM409" s="34" t="s">
        <v>25</v>
      </c>
      <c r="AN409" s="35" t="str">
        <f t="shared" si="33"/>
        <v>❌ Disc</v>
      </c>
      <c r="AO409" s="36"/>
      <c r="AP409" s="36"/>
      <c r="AQ409" s="36"/>
      <c r="AR409" s="36"/>
      <c r="AS409" s="36"/>
      <c r="AT409" s="36"/>
      <c r="AU409" s="27"/>
      <c r="AV409" s="37"/>
      <c r="AW409" s="38" t="str">
        <f t="shared" si="34"/>
        <v/>
      </c>
    </row>
    <row r="410" spans="1:49" ht="18" customHeight="1" x14ac:dyDescent="0.3">
      <c r="A410" s="39">
        <v>406</v>
      </c>
      <c r="B410" s="40" t="s">
        <v>6012</v>
      </c>
      <c r="C410" s="41" t="s">
        <v>6013</v>
      </c>
      <c r="D410" s="39" t="s">
        <v>5973</v>
      </c>
      <c r="E410" s="43">
        <v>46125</v>
      </c>
      <c r="F410" s="26" t="s">
        <v>23</v>
      </c>
      <c r="G410" s="44" t="s">
        <v>25</v>
      </c>
      <c r="H410" s="26" t="s">
        <v>25</v>
      </c>
      <c r="I410" s="44" t="s">
        <v>735</v>
      </c>
      <c r="J410" s="26" t="s">
        <v>25</v>
      </c>
      <c r="K410" s="27"/>
      <c r="L410" s="28" t="s">
        <v>24</v>
      </c>
      <c r="M410" s="29" t="str">
        <f t="shared" si="30"/>
        <v>⚠ Missing</v>
      </c>
      <c r="N410" s="43">
        <v>46196</v>
      </c>
      <c r="O410" s="26" t="s">
        <v>23</v>
      </c>
      <c r="P410" s="44" t="s">
        <v>25</v>
      </c>
      <c r="Q410" s="26" t="s">
        <v>25</v>
      </c>
      <c r="R410" s="44" t="s">
        <v>735</v>
      </c>
      <c r="S410" s="26" t="s">
        <v>25</v>
      </c>
      <c r="T410" s="27"/>
      <c r="U410" s="28" t="s">
        <v>24</v>
      </c>
      <c r="V410" s="29" t="str">
        <f t="shared" si="31"/>
        <v>⚠ Missing</v>
      </c>
      <c r="W410" s="45">
        <v>46248</v>
      </c>
      <c r="X410" s="30" t="s">
        <v>23</v>
      </c>
      <c r="Y410" s="30" t="s">
        <v>25</v>
      </c>
      <c r="Z410" s="30" t="s">
        <v>25</v>
      </c>
      <c r="AA410" s="30" t="s">
        <v>735</v>
      </c>
      <c r="AB410" s="30" t="s">
        <v>25</v>
      </c>
      <c r="AC410" s="27"/>
      <c r="AD410" s="31" t="s">
        <v>24</v>
      </c>
      <c r="AE410" s="32" t="str">
        <f t="shared" si="32"/>
        <v>⚠ Missing</v>
      </c>
      <c r="AF410" s="33" t="s">
        <v>27</v>
      </c>
      <c r="AG410" s="33" t="s">
        <v>23</v>
      </c>
      <c r="AH410" s="33" t="s">
        <v>25</v>
      </c>
      <c r="AI410" s="33" t="s">
        <v>24</v>
      </c>
      <c r="AJ410" s="33" t="s">
        <v>135</v>
      </c>
      <c r="AK410" s="33" t="s">
        <v>25</v>
      </c>
      <c r="AL410" s="27"/>
      <c r="AM410" s="34" t="s">
        <v>25</v>
      </c>
      <c r="AN410" s="35" t="str">
        <f t="shared" si="33"/>
        <v>❌ Disc</v>
      </c>
      <c r="AO410" s="36"/>
      <c r="AP410" s="36"/>
      <c r="AQ410" s="36"/>
      <c r="AR410" s="36"/>
      <c r="AS410" s="36"/>
      <c r="AT410" s="36"/>
      <c r="AU410" s="27"/>
      <c r="AV410" s="37"/>
      <c r="AW410" s="38" t="str">
        <f t="shared" si="34"/>
        <v/>
      </c>
    </row>
    <row r="411" spans="1:49" ht="18" customHeight="1" x14ac:dyDescent="0.3">
      <c r="A411" s="23">
        <v>407</v>
      </c>
      <c r="B411" s="24" t="s">
        <v>6014</v>
      </c>
      <c r="C411" s="25" t="s">
        <v>6015</v>
      </c>
      <c r="D411" s="23" t="s">
        <v>5973</v>
      </c>
      <c r="E411" s="43">
        <v>46125</v>
      </c>
      <c r="F411" s="26" t="s">
        <v>23</v>
      </c>
      <c r="G411" s="44" t="s">
        <v>25</v>
      </c>
      <c r="H411" s="26" t="s">
        <v>25</v>
      </c>
      <c r="I411" s="44" t="s">
        <v>735</v>
      </c>
      <c r="J411" s="26" t="s">
        <v>25</v>
      </c>
      <c r="K411" s="27"/>
      <c r="L411" s="28" t="s">
        <v>24</v>
      </c>
      <c r="M411" s="29" t="str">
        <f t="shared" si="30"/>
        <v>⚠ Missing</v>
      </c>
      <c r="N411" s="43">
        <v>46196</v>
      </c>
      <c r="O411" s="26" t="s">
        <v>23</v>
      </c>
      <c r="P411" s="44" t="s">
        <v>25</v>
      </c>
      <c r="Q411" s="26" t="s">
        <v>25</v>
      </c>
      <c r="R411" s="44" t="s">
        <v>735</v>
      </c>
      <c r="S411" s="26" t="s">
        <v>25</v>
      </c>
      <c r="T411" s="27"/>
      <c r="U411" s="28" t="s">
        <v>24</v>
      </c>
      <c r="V411" s="29" t="str">
        <f t="shared" si="31"/>
        <v>⚠ Missing</v>
      </c>
      <c r="W411" s="45">
        <v>46248</v>
      </c>
      <c r="X411" s="30" t="s">
        <v>23</v>
      </c>
      <c r="Y411" s="30" t="s">
        <v>25</v>
      </c>
      <c r="Z411" s="30" t="s">
        <v>25</v>
      </c>
      <c r="AA411" s="30" t="s">
        <v>735</v>
      </c>
      <c r="AB411" s="30" t="s">
        <v>25</v>
      </c>
      <c r="AC411" s="27"/>
      <c r="AD411" s="31" t="s">
        <v>24</v>
      </c>
      <c r="AE411" s="32" t="str">
        <f t="shared" si="32"/>
        <v>⚠ Missing</v>
      </c>
      <c r="AF411" s="33" t="s">
        <v>27</v>
      </c>
      <c r="AG411" s="33" t="s">
        <v>23</v>
      </c>
      <c r="AH411" s="33" t="s">
        <v>25</v>
      </c>
      <c r="AI411" s="33" t="s">
        <v>24</v>
      </c>
      <c r="AJ411" s="33" t="s">
        <v>135</v>
      </c>
      <c r="AK411" s="33" t="s">
        <v>25</v>
      </c>
      <c r="AL411" s="27"/>
      <c r="AM411" s="34" t="s">
        <v>25</v>
      </c>
      <c r="AN411" s="35" t="str">
        <f t="shared" si="33"/>
        <v>❌ Disc</v>
      </c>
      <c r="AO411" s="36"/>
      <c r="AP411" s="36"/>
      <c r="AQ411" s="36"/>
      <c r="AR411" s="36"/>
      <c r="AS411" s="36"/>
      <c r="AT411" s="36"/>
      <c r="AU411" s="27"/>
      <c r="AV411" s="37"/>
      <c r="AW411" s="38" t="str">
        <f t="shared" si="34"/>
        <v/>
      </c>
    </row>
    <row r="412" spans="1:49" ht="18" customHeight="1" x14ac:dyDescent="0.3">
      <c r="A412" s="39">
        <v>408</v>
      </c>
      <c r="B412" s="40" t="s">
        <v>6016</v>
      </c>
      <c r="C412" s="41" t="s">
        <v>6017</v>
      </c>
      <c r="D412" s="39" t="s">
        <v>5973</v>
      </c>
      <c r="E412" s="43">
        <v>46125</v>
      </c>
      <c r="F412" s="26" t="s">
        <v>23</v>
      </c>
      <c r="G412" s="44" t="s">
        <v>25</v>
      </c>
      <c r="H412" s="26" t="s">
        <v>25</v>
      </c>
      <c r="I412" s="44" t="s">
        <v>735</v>
      </c>
      <c r="J412" s="26" t="s">
        <v>25</v>
      </c>
      <c r="K412" s="27"/>
      <c r="L412" s="28" t="s">
        <v>24</v>
      </c>
      <c r="M412" s="29" t="str">
        <f t="shared" si="30"/>
        <v>⚠ Missing</v>
      </c>
      <c r="N412" s="43">
        <v>46196</v>
      </c>
      <c r="O412" s="26" t="s">
        <v>23</v>
      </c>
      <c r="P412" s="44" t="s">
        <v>25</v>
      </c>
      <c r="Q412" s="26" t="s">
        <v>25</v>
      </c>
      <c r="R412" s="44" t="s">
        <v>735</v>
      </c>
      <c r="S412" s="26" t="s">
        <v>25</v>
      </c>
      <c r="T412" s="27"/>
      <c r="U412" s="28" t="s">
        <v>24</v>
      </c>
      <c r="V412" s="29" t="str">
        <f t="shared" si="31"/>
        <v>⚠ Missing</v>
      </c>
      <c r="W412" s="45">
        <v>46248</v>
      </c>
      <c r="X412" s="30" t="s">
        <v>23</v>
      </c>
      <c r="Y412" s="30" t="s">
        <v>25</v>
      </c>
      <c r="Z412" s="30" t="s">
        <v>25</v>
      </c>
      <c r="AA412" s="30" t="s">
        <v>735</v>
      </c>
      <c r="AB412" s="30" t="s">
        <v>25</v>
      </c>
      <c r="AC412" s="27"/>
      <c r="AD412" s="31" t="s">
        <v>24</v>
      </c>
      <c r="AE412" s="32" t="str">
        <f t="shared" si="32"/>
        <v>⚠ Missing</v>
      </c>
      <c r="AF412" s="33" t="s">
        <v>27</v>
      </c>
      <c r="AG412" s="33" t="s">
        <v>23</v>
      </c>
      <c r="AH412" s="33" t="s">
        <v>25</v>
      </c>
      <c r="AI412" s="33" t="s">
        <v>24</v>
      </c>
      <c r="AJ412" s="33" t="s">
        <v>135</v>
      </c>
      <c r="AK412" s="33" t="s">
        <v>25</v>
      </c>
      <c r="AL412" s="27"/>
      <c r="AM412" s="34" t="s">
        <v>25</v>
      </c>
      <c r="AN412" s="35" t="str">
        <f t="shared" si="33"/>
        <v>❌ Disc</v>
      </c>
      <c r="AO412" s="36"/>
      <c r="AP412" s="36"/>
      <c r="AQ412" s="36"/>
      <c r="AR412" s="36"/>
      <c r="AS412" s="36"/>
      <c r="AT412" s="36"/>
      <c r="AU412" s="27"/>
      <c r="AV412" s="37"/>
      <c r="AW412" s="38" t="str">
        <f t="shared" si="34"/>
        <v/>
      </c>
    </row>
    <row r="413" spans="1:49" ht="18" customHeight="1" x14ac:dyDescent="0.3">
      <c r="A413" s="23">
        <v>409</v>
      </c>
      <c r="B413" s="24" t="s">
        <v>6018</v>
      </c>
      <c r="C413" s="25" t="s">
        <v>6019</v>
      </c>
      <c r="D413" s="23" t="s">
        <v>5973</v>
      </c>
      <c r="E413" s="43">
        <v>46125</v>
      </c>
      <c r="F413" s="26" t="s">
        <v>23</v>
      </c>
      <c r="G413" s="44" t="s">
        <v>25</v>
      </c>
      <c r="H413" s="26" t="s">
        <v>25</v>
      </c>
      <c r="I413" s="44" t="s">
        <v>735</v>
      </c>
      <c r="J413" s="26" t="s">
        <v>25</v>
      </c>
      <c r="K413" s="27"/>
      <c r="L413" s="28" t="s">
        <v>24</v>
      </c>
      <c r="M413" s="29" t="str">
        <f t="shared" si="30"/>
        <v>⚠ Missing</v>
      </c>
      <c r="N413" s="43">
        <v>46196</v>
      </c>
      <c r="O413" s="26" t="s">
        <v>23</v>
      </c>
      <c r="P413" s="44" t="s">
        <v>25</v>
      </c>
      <c r="Q413" s="26" t="s">
        <v>25</v>
      </c>
      <c r="R413" s="44" t="s">
        <v>735</v>
      </c>
      <c r="S413" s="26" t="s">
        <v>25</v>
      </c>
      <c r="T413" s="27"/>
      <c r="U413" s="28" t="s">
        <v>24</v>
      </c>
      <c r="V413" s="29" t="str">
        <f t="shared" si="31"/>
        <v>⚠ Missing</v>
      </c>
      <c r="W413" s="45">
        <v>46248</v>
      </c>
      <c r="X413" s="30" t="s">
        <v>23</v>
      </c>
      <c r="Y413" s="30" t="s">
        <v>25</v>
      </c>
      <c r="Z413" s="30" t="s">
        <v>25</v>
      </c>
      <c r="AA413" s="30" t="s">
        <v>735</v>
      </c>
      <c r="AB413" s="30" t="s">
        <v>25</v>
      </c>
      <c r="AC413" s="27"/>
      <c r="AD413" s="31" t="s">
        <v>24</v>
      </c>
      <c r="AE413" s="32" t="str">
        <f t="shared" si="32"/>
        <v>⚠ Missing</v>
      </c>
      <c r="AF413" s="33" t="s">
        <v>27</v>
      </c>
      <c r="AG413" s="33" t="s">
        <v>23</v>
      </c>
      <c r="AH413" s="33" t="s">
        <v>25</v>
      </c>
      <c r="AI413" s="33" t="s">
        <v>24</v>
      </c>
      <c r="AJ413" s="33" t="s">
        <v>135</v>
      </c>
      <c r="AK413" s="33" t="s">
        <v>25</v>
      </c>
      <c r="AL413" s="27"/>
      <c r="AM413" s="34" t="s">
        <v>25</v>
      </c>
      <c r="AN413" s="35" t="str">
        <f t="shared" si="33"/>
        <v>❌ Disc</v>
      </c>
      <c r="AO413" s="36"/>
      <c r="AP413" s="36"/>
      <c r="AQ413" s="36"/>
      <c r="AR413" s="36"/>
      <c r="AS413" s="36"/>
      <c r="AT413" s="36"/>
      <c r="AU413" s="27"/>
      <c r="AV413" s="37"/>
      <c r="AW413" s="38" t="str">
        <f t="shared" si="34"/>
        <v/>
      </c>
    </row>
    <row r="414" spans="1:49" ht="18" customHeight="1" x14ac:dyDescent="0.3">
      <c r="A414" s="39">
        <v>410</v>
      </c>
      <c r="B414" s="40" t="s">
        <v>6020</v>
      </c>
      <c r="C414" s="41" t="s">
        <v>6021</v>
      </c>
      <c r="D414" s="39" t="s">
        <v>5973</v>
      </c>
      <c r="E414" s="43">
        <v>46125</v>
      </c>
      <c r="F414" s="26" t="s">
        <v>23</v>
      </c>
      <c r="G414" s="44" t="s">
        <v>25</v>
      </c>
      <c r="H414" s="26" t="s">
        <v>25</v>
      </c>
      <c r="I414" s="44" t="s">
        <v>735</v>
      </c>
      <c r="J414" s="26" t="s">
        <v>25</v>
      </c>
      <c r="K414" s="27"/>
      <c r="L414" s="28" t="s">
        <v>24</v>
      </c>
      <c r="M414" s="29" t="str">
        <f t="shared" si="30"/>
        <v>⚠ Missing</v>
      </c>
      <c r="N414" s="43">
        <v>46196</v>
      </c>
      <c r="O414" s="26" t="s">
        <v>23</v>
      </c>
      <c r="P414" s="44" t="s">
        <v>25</v>
      </c>
      <c r="Q414" s="26" t="s">
        <v>25</v>
      </c>
      <c r="R414" s="44" t="s">
        <v>735</v>
      </c>
      <c r="S414" s="26" t="s">
        <v>25</v>
      </c>
      <c r="T414" s="27"/>
      <c r="U414" s="28" t="s">
        <v>24</v>
      </c>
      <c r="V414" s="29" t="str">
        <f t="shared" si="31"/>
        <v>⚠ Missing</v>
      </c>
      <c r="W414" s="45">
        <v>46248</v>
      </c>
      <c r="X414" s="30" t="s">
        <v>23</v>
      </c>
      <c r="Y414" s="30" t="s">
        <v>25</v>
      </c>
      <c r="Z414" s="30" t="s">
        <v>25</v>
      </c>
      <c r="AA414" s="30" t="s">
        <v>735</v>
      </c>
      <c r="AB414" s="30" t="s">
        <v>25</v>
      </c>
      <c r="AC414" s="27"/>
      <c r="AD414" s="31" t="s">
        <v>24</v>
      </c>
      <c r="AE414" s="32" t="str">
        <f t="shared" si="32"/>
        <v>⚠ Missing</v>
      </c>
      <c r="AF414" s="33" t="s">
        <v>27</v>
      </c>
      <c r="AG414" s="33" t="s">
        <v>23</v>
      </c>
      <c r="AH414" s="33" t="s">
        <v>25</v>
      </c>
      <c r="AI414" s="33" t="s">
        <v>24</v>
      </c>
      <c r="AJ414" s="33" t="s">
        <v>135</v>
      </c>
      <c r="AK414" s="33" t="s">
        <v>25</v>
      </c>
      <c r="AL414" s="27"/>
      <c r="AM414" s="34" t="s">
        <v>25</v>
      </c>
      <c r="AN414" s="35" t="str">
        <f t="shared" si="33"/>
        <v>❌ Disc</v>
      </c>
      <c r="AO414" s="36"/>
      <c r="AP414" s="36"/>
      <c r="AQ414" s="36"/>
      <c r="AR414" s="36"/>
      <c r="AS414" s="36"/>
      <c r="AT414" s="36"/>
      <c r="AU414" s="27"/>
      <c r="AV414" s="37"/>
      <c r="AW414" s="38" t="str">
        <f t="shared" si="34"/>
        <v/>
      </c>
    </row>
    <row r="415" spans="1:49" ht="18" customHeight="1" x14ac:dyDescent="0.3">
      <c r="A415" s="23">
        <v>411</v>
      </c>
      <c r="B415" s="24" t="s">
        <v>6022</v>
      </c>
      <c r="C415" s="25" t="s">
        <v>6023</v>
      </c>
      <c r="D415" s="23" t="s">
        <v>5973</v>
      </c>
      <c r="E415" s="43">
        <v>46125</v>
      </c>
      <c r="F415" s="26" t="s">
        <v>23</v>
      </c>
      <c r="G415" s="44" t="s">
        <v>25</v>
      </c>
      <c r="H415" s="26" t="s">
        <v>25</v>
      </c>
      <c r="I415" s="44" t="s">
        <v>735</v>
      </c>
      <c r="J415" s="26" t="s">
        <v>25</v>
      </c>
      <c r="K415" s="27"/>
      <c r="L415" s="28" t="s">
        <v>24</v>
      </c>
      <c r="M415" s="29" t="str">
        <f t="shared" si="30"/>
        <v>⚠ Missing</v>
      </c>
      <c r="N415" s="43">
        <v>46196</v>
      </c>
      <c r="O415" s="26" t="s">
        <v>23</v>
      </c>
      <c r="P415" s="44" t="s">
        <v>25</v>
      </c>
      <c r="Q415" s="26" t="s">
        <v>25</v>
      </c>
      <c r="R415" s="44" t="s">
        <v>735</v>
      </c>
      <c r="S415" s="26" t="s">
        <v>25</v>
      </c>
      <c r="T415" s="27"/>
      <c r="U415" s="28" t="s">
        <v>24</v>
      </c>
      <c r="V415" s="29" t="str">
        <f t="shared" si="31"/>
        <v>⚠ Missing</v>
      </c>
      <c r="W415" s="45">
        <v>46248</v>
      </c>
      <c r="X415" s="30" t="s">
        <v>23</v>
      </c>
      <c r="Y415" s="30" t="s">
        <v>25</v>
      </c>
      <c r="Z415" s="30" t="s">
        <v>25</v>
      </c>
      <c r="AA415" s="30" t="s">
        <v>735</v>
      </c>
      <c r="AB415" s="30" t="s">
        <v>25</v>
      </c>
      <c r="AC415" s="27"/>
      <c r="AD415" s="31" t="s">
        <v>24</v>
      </c>
      <c r="AE415" s="32" t="str">
        <f t="shared" si="32"/>
        <v>⚠ Missing</v>
      </c>
      <c r="AF415" s="33" t="s">
        <v>27</v>
      </c>
      <c r="AG415" s="33" t="s">
        <v>23</v>
      </c>
      <c r="AH415" s="33" t="s">
        <v>25</v>
      </c>
      <c r="AI415" s="33" t="s">
        <v>24</v>
      </c>
      <c r="AJ415" s="33" t="s">
        <v>135</v>
      </c>
      <c r="AK415" s="33" t="s">
        <v>25</v>
      </c>
      <c r="AL415" s="27"/>
      <c r="AM415" s="34" t="s">
        <v>25</v>
      </c>
      <c r="AN415" s="35" t="str">
        <f t="shared" si="33"/>
        <v>❌ Disc</v>
      </c>
      <c r="AO415" s="36"/>
      <c r="AP415" s="36"/>
      <c r="AQ415" s="36"/>
      <c r="AR415" s="36"/>
      <c r="AS415" s="36"/>
      <c r="AT415" s="36"/>
      <c r="AU415" s="27"/>
      <c r="AV415" s="37"/>
      <c r="AW415" s="38" t="str">
        <f t="shared" si="34"/>
        <v/>
      </c>
    </row>
    <row r="416" spans="1:49" ht="18" customHeight="1" x14ac:dyDescent="0.3">
      <c r="A416" s="39">
        <v>412</v>
      </c>
      <c r="B416" s="40" t="s">
        <v>6024</v>
      </c>
      <c r="C416" s="41" t="s">
        <v>6025</v>
      </c>
      <c r="D416" s="39" t="s">
        <v>5973</v>
      </c>
      <c r="E416" s="43">
        <v>46125</v>
      </c>
      <c r="F416" s="26" t="s">
        <v>23</v>
      </c>
      <c r="G416" s="44" t="s">
        <v>25</v>
      </c>
      <c r="H416" s="26" t="s">
        <v>25</v>
      </c>
      <c r="I416" s="44" t="s">
        <v>735</v>
      </c>
      <c r="J416" s="26" t="s">
        <v>25</v>
      </c>
      <c r="K416" s="27"/>
      <c r="L416" s="28" t="s">
        <v>24</v>
      </c>
      <c r="M416" s="29" t="str">
        <f t="shared" si="30"/>
        <v>⚠ Missing</v>
      </c>
      <c r="N416" s="43">
        <v>46196</v>
      </c>
      <c r="O416" s="26" t="s">
        <v>23</v>
      </c>
      <c r="P416" s="44" t="s">
        <v>25</v>
      </c>
      <c r="Q416" s="26" t="s">
        <v>25</v>
      </c>
      <c r="R416" s="44" t="s">
        <v>735</v>
      </c>
      <c r="S416" s="26" t="s">
        <v>25</v>
      </c>
      <c r="T416" s="27"/>
      <c r="U416" s="28" t="s">
        <v>24</v>
      </c>
      <c r="V416" s="29" t="str">
        <f t="shared" si="31"/>
        <v>⚠ Missing</v>
      </c>
      <c r="W416" s="45">
        <v>46248</v>
      </c>
      <c r="X416" s="30" t="s">
        <v>23</v>
      </c>
      <c r="Y416" s="30" t="s">
        <v>25</v>
      </c>
      <c r="Z416" s="30" t="s">
        <v>25</v>
      </c>
      <c r="AA416" s="30" t="s">
        <v>735</v>
      </c>
      <c r="AB416" s="30" t="s">
        <v>25</v>
      </c>
      <c r="AC416" s="27"/>
      <c r="AD416" s="31" t="s">
        <v>24</v>
      </c>
      <c r="AE416" s="32" t="str">
        <f t="shared" si="32"/>
        <v>⚠ Missing</v>
      </c>
      <c r="AF416" s="33" t="s">
        <v>27</v>
      </c>
      <c r="AG416" s="33" t="s">
        <v>23</v>
      </c>
      <c r="AH416" s="33" t="s">
        <v>25</v>
      </c>
      <c r="AI416" s="33" t="s">
        <v>24</v>
      </c>
      <c r="AJ416" s="33" t="s">
        <v>135</v>
      </c>
      <c r="AK416" s="33" t="s">
        <v>25</v>
      </c>
      <c r="AL416" s="27"/>
      <c r="AM416" s="34" t="s">
        <v>25</v>
      </c>
      <c r="AN416" s="35" t="str">
        <f t="shared" si="33"/>
        <v>❌ Disc</v>
      </c>
      <c r="AO416" s="36"/>
      <c r="AP416" s="36"/>
      <c r="AQ416" s="36"/>
      <c r="AR416" s="36"/>
      <c r="AS416" s="36"/>
      <c r="AT416" s="36"/>
      <c r="AU416" s="27"/>
      <c r="AV416" s="37"/>
      <c r="AW416" s="38" t="str">
        <f t="shared" si="34"/>
        <v/>
      </c>
    </row>
    <row r="417" spans="1:49" ht="18" customHeight="1" x14ac:dyDescent="0.3">
      <c r="A417" s="23">
        <v>413</v>
      </c>
      <c r="B417" s="24" t="s">
        <v>6026</v>
      </c>
      <c r="C417" s="25" t="s">
        <v>6027</v>
      </c>
      <c r="D417" s="23" t="s">
        <v>5973</v>
      </c>
      <c r="E417" s="43">
        <v>46125</v>
      </c>
      <c r="F417" s="26" t="s">
        <v>23</v>
      </c>
      <c r="G417" s="44" t="s">
        <v>25</v>
      </c>
      <c r="H417" s="26" t="s">
        <v>25</v>
      </c>
      <c r="I417" s="44" t="s">
        <v>735</v>
      </c>
      <c r="J417" s="26" t="s">
        <v>25</v>
      </c>
      <c r="K417" s="27"/>
      <c r="L417" s="28" t="s">
        <v>24</v>
      </c>
      <c r="M417" s="29" t="str">
        <f t="shared" si="30"/>
        <v>⚠ Missing</v>
      </c>
      <c r="N417" s="43">
        <v>46196</v>
      </c>
      <c r="O417" s="26" t="s">
        <v>23</v>
      </c>
      <c r="P417" s="44" t="s">
        <v>25</v>
      </c>
      <c r="Q417" s="26" t="s">
        <v>25</v>
      </c>
      <c r="R417" s="44" t="s">
        <v>735</v>
      </c>
      <c r="S417" s="26" t="s">
        <v>25</v>
      </c>
      <c r="T417" s="27"/>
      <c r="U417" s="28" t="s">
        <v>24</v>
      </c>
      <c r="V417" s="29" t="str">
        <f t="shared" si="31"/>
        <v>⚠ Missing</v>
      </c>
      <c r="W417" s="45">
        <v>46248</v>
      </c>
      <c r="X417" s="30" t="s">
        <v>23</v>
      </c>
      <c r="Y417" s="30" t="s">
        <v>25</v>
      </c>
      <c r="Z417" s="30" t="s">
        <v>25</v>
      </c>
      <c r="AA417" s="30" t="s">
        <v>735</v>
      </c>
      <c r="AB417" s="30" t="s">
        <v>25</v>
      </c>
      <c r="AC417" s="27"/>
      <c r="AD417" s="31" t="s">
        <v>24</v>
      </c>
      <c r="AE417" s="32" t="str">
        <f t="shared" si="32"/>
        <v>⚠ Missing</v>
      </c>
      <c r="AF417" s="33" t="s">
        <v>27</v>
      </c>
      <c r="AG417" s="33" t="s">
        <v>23</v>
      </c>
      <c r="AH417" s="33" t="s">
        <v>25</v>
      </c>
      <c r="AI417" s="33" t="s">
        <v>24</v>
      </c>
      <c r="AJ417" s="33" t="s">
        <v>135</v>
      </c>
      <c r="AK417" s="33" t="s">
        <v>25</v>
      </c>
      <c r="AL417" s="27"/>
      <c r="AM417" s="34" t="s">
        <v>25</v>
      </c>
      <c r="AN417" s="35" t="str">
        <f t="shared" si="33"/>
        <v>❌ Disc</v>
      </c>
      <c r="AO417" s="36"/>
      <c r="AP417" s="36"/>
      <c r="AQ417" s="36"/>
      <c r="AR417" s="36"/>
      <c r="AS417" s="36"/>
      <c r="AT417" s="36"/>
      <c r="AU417" s="27"/>
      <c r="AV417" s="37"/>
      <c r="AW417" s="38" t="str">
        <f t="shared" si="34"/>
        <v/>
      </c>
    </row>
    <row r="418" spans="1:49" ht="18" customHeight="1" x14ac:dyDescent="0.3">
      <c r="A418" s="39">
        <v>414</v>
      </c>
      <c r="B418" s="40" t="s">
        <v>6028</v>
      </c>
      <c r="C418" s="41" t="s">
        <v>6029</v>
      </c>
      <c r="D418" s="39" t="s">
        <v>5973</v>
      </c>
      <c r="E418" s="43">
        <v>46125</v>
      </c>
      <c r="F418" s="26" t="s">
        <v>23</v>
      </c>
      <c r="G418" s="44" t="s">
        <v>25</v>
      </c>
      <c r="H418" s="26" t="s">
        <v>25</v>
      </c>
      <c r="I418" s="44" t="s">
        <v>735</v>
      </c>
      <c r="J418" s="26" t="s">
        <v>25</v>
      </c>
      <c r="K418" s="27"/>
      <c r="L418" s="28" t="s">
        <v>24</v>
      </c>
      <c r="M418" s="29" t="str">
        <f t="shared" si="30"/>
        <v>⚠ Missing</v>
      </c>
      <c r="N418" s="43">
        <v>46196</v>
      </c>
      <c r="O418" s="26" t="s">
        <v>23</v>
      </c>
      <c r="P418" s="44" t="s">
        <v>25</v>
      </c>
      <c r="Q418" s="26" t="s">
        <v>25</v>
      </c>
      <c r="R418" s="44" t="s">
        <v>735</v>
      </c>
      <c r="S418" s="26" t="s">
        <v>25</v>
      </c>
      <c r="T418" s="27"/>
      <c r="U418" s="28" t="s">
        <v>24</v>
      </c>
      <c r="V418" s="29" t="str">
        <f t="shared" si="31"/>
        <v>⚠ Missing</v>
      </c>
      <c r="W418" s="45">
        <v>46248</v>
      </c>
      <c r="X418" s="30" t="s">
        <v>23</v>
      </c>
      <c r="Y418" s="30" t="s">
        <v>25</v>
      </c>
      <c r="Z418" s="30" t="s">
        <v>25</v>
      </c>
      <c r="AA418" s="30" t="s">
        <v>735</v>
      </c>
      <c r="AB418" s="30" t="s">
        <v>25</v>
      </c>
      <c r="AC418" s="27"/>
      <c r="AD418" s="31" t="s">
        <v>24</v>
      </c>
      <c r="AE418" s="32" t="str">
        <f t="shared" si="32"/>
        <v>⚠ Missing</v>
      </c>
      <c r="AF418" s="33" t="s">
        <v>27</v>
      </c>
      <c r="AG418" s="33" t="s">
        <v>23</v>
      </c>
      <c r="AH418" s="33" t="s">
        <v>25</v>
      </c>
      <c r="AI418" s="33" t="s">
        <v>24</v>
      </c>
      <c r="AJ418" s="33" t="s">
        <v>135</v>
      </c>
      <c r="AK418" s="33" t="s">
        <v>25</v>
      </c>
      <c r="AL418" s="27"/>
      <c r="AM418" s="34" t="s">
        <v>25</v>
      </c>
      <c r="AN418" s="35" t="str">
        <f t="shared" si="33"/>
        <v>❌ Disc</v>
      </c>
      <c r="AO418" s="36"/>
      <c r="AP418" s="36"/>
      <c r="AQ418" s="36"/>
      <c r="AR418" s="36"/>
      <c r="AS418" s="36"/>
      <c r="AT418" s="36"/>
      <c r="AU418" s="27"/>
      <c r="AV418" s="37"/>
      <c r="AW418" s="38" t="str">
        <f t="shared" si="34"/>
        <v/>
      </c>
    </row>
    <row r="419" spans="1:49" ht="18" customHeight="1" x14ac:dyDescent="0.3">
      <c r="A419" s="23">
        <v>415</v>
      </c>
      <c r="B419" s="24" t="s">
        <v>6030</v>
      </c>
      <c r="C419" s="25" t="s">
        <v>6031</v>
      </c>
      <c r="D419" s="23" t="s">
        <v>5973</v>
      </c>
      <c r="E419" s="43">
        <v>46125</v>
      </c>
      <c r="F419" s="26" t="s">
        <v>23</v>
      </c>
      <c r="G419" s="44" t="s">
        <v>25</v>
      </c>
      <c r="H419" s="26" t="s">
        <v>25</v>
      </c>
      <c r="I419" s="44" t="s">
        <v>735</v>
      </c>
      <c r="J419" s="26" t="s">
        <v>25</v>
      </c>
      <c r="K419" s="27"/>
      <c r="L419" s="28" t="s">
        <v>24</v>
      </c>
      <c r="M419" s="29" t="str">
        <f t="shared" si="30"/>
        <v>⚠ Missing</v>
      </c>
      <c r="N419" s="43">
        <v>46196</v>
      </c>
      <c r="O419" s="26" t="s">
        <v>23</v>
      </c>
      <c r="P419" s="44" t="s">
        <v>25</v>
      </c>
      <c r="Q419" s="26" t="s">
        <v>25</v>
      </c>
      <c r="R419" s="44" t="s">
        <v>735</v>
      </c>
      <c r="S419" s="26" t="s">
        <v>25</v>
      </c>
      <c r="T419" s="27"/>
      <c r="U419" s="28" t="s">
        <v>24</v>
      </c>
      <c r="V419" s="29" t="str">
        <f t="shared" si="31"/>
        <v>⚠ Missing</v>
      </c>
      <c r="W419" s="45">
        <v>46248</v>
      </c>
      <c r="X419" s="30" t="s">
        <v>23</v>
      </c>
      <c r="Y419" s="30" t="s">
        <v>25</v>
      </c>
      <c r="Z419" s="30" t="s">
        <v>25</v>
      </c>
      <c r="AA419" s="30" t="s">
        <v>735</v>
      </c>
      <c r="AB419" s="30" t="s">
        <v>25</v>
      </c>
      <c r="AC419" s="27"/>
      <c r="AD419" s="31" t="s">
        <v>24</v>
      </c>
      <c r="AE419" s="32" t="str">
        <f t="shared" si="32"/>
        <v>⚠ Missing</v>
      </c>
      <c r="AF419" s="33" t="s">
        <v>27</v>
      </c>
      <c r="AG419" s="33" t="s">
        <v>23</v>
      </c>
      <c r="AH419" s="33" t="s">
        <v>25</v>
      </c>
      <c r="AI419" s="33" t="s">
        <v>24</v>
      </c>
      <c r="AJ419" s="33" t="s">
        <v>135</v>
      </c>
      <c r="AK419" s="33" t="s">
        <v>25</v>
      </c>
      <c r="AL419" s="27"/>
      <c r="AM419" s="34" t="s">
        <v>25</v>
      </c>
      <c r="AN419" s="35" t="str">
        <f t="shared" si="33"/>
        <v>❌ Disc</v>
      </c>
      <c r="AO419" s="36"/>
      <c r="AP419" s="36"/>
      <c r="AQ419" s="36"/>
      <c r="AR419" s="36"/>
      <c r="AS419" s="36"/>
      <c r="AT419" s="36"/>
      <c r="AU419" s="27"/>
      <c r="AV419" s="37"/>
      <c r="AW419" s="38" t="str">
        <f t="shared" si="34"/>
        <v/>
      </c>
    </row>
    <row r="420" spans="1:49" ht="18" customHeight="1" x14ac:dyDescent="0.3">
      <c r="A420" s="39">
        <v>416</v>
      </c>
      <c r="B420" s="40" t="s">
        <v>6032</v>
      </c>
      <c r="C420" s="41" t="s">
        <v>6033</v>
      </c>
      <c r="D420" s="39" t="s">
        <v>5973</v>
      </c>
      <c r="E420" s="43">
        <v>46125</v>
      </c>
      <c r="F420" s="26" t="s">
        <v>23</v>
      </c>
      <c r="G420" s="44" t="s">
        <v>25</v>
      </c>
      <c r="H420" s="26" t="s">
        <v>25</v>
      </c>
      <c r="I420" s="44" t="s">
        <v>735</v>
      </c>
      <c r="J420" s="26" t="s">
        <v>25</v>
      </c>
      <c r="K420" s="27"/>
      <c r="L420" s="28" t="s">
        <v>24</v>
      </c>
      <c r="M420" s="29" t="str">
        <f t="shared" si="30"/>
        <v>⚠ Missing</v>
      </c>
      <c r="N420" s="43">
        <v>46196</v>
      </c>
      <c r="O420" s="26" t="s">
        <v>23</v>
      </c>
      <c r="P420" s="44" t="s">
        <v>25</v>
      </c>
      <c r="Q420" s="26" t="s">
        <v>25</v>
      </c>
      <c r="R420" s="44" t="s">
        <v>735</v>
      </c>
      <c r="S420" s="26" t="s">
        <v>25</v>
      </c>
      <c r="T420" s="27"/>
      <c r="U420" s="28" t="s">
        <v>24</v>
      </c>
      <c r="V420" s="29" t="str">
        <f t="shared" si="31"/>
        <v>⚠ Missing</v>
      </c>
      <c r="W420" s="45">
        <v>46248</v>
      </c>
      <c r="X420" s="30" t="s">
        <v>23</v>
      </c>
      <c r="Y420" s="30" t="s">
        <v>25</v>
      </c>
      <c r="Z420" s="30" t="s">
        <v>25</v>
      </c>
      <c r="AA420" s="30" t="s">
        <v>735</v>
      </c>
      <c r="AB420" s="30" t="s">
        <v>25</v>
      </c>
      <c r="AC420" s="27"/>
      <c r="AD420" s="31" t="s">
        <v>24</v>
      </c>
      <c r="AE420" s="32" t="str">
        <f t="shared" si="32"/>
        <v>⚠ Missing</v>
      </c>
      <c r="AF420" s="33" t="s">
        <v>27</v>
      </c>
      <c r="AG420" s="33" t="s">
        <v>23</v>
      </c>
      <c r="AH420" s="33" t="s">
        <v>25</v>
      </c>
      <c r="AI420" s="33" t="s">
        <v>24</v>
      </c>
      <c r="AJ420" s="33" t="s">
        <v>135</v>
      </c>
      <c r="AK420" s="33" t="s">
        <v>25</v>
      </c>
      <c r="AL420" s="27"/>
      <c r="AM420" s="34" t="s">
        <v>25</v>
      </c>
      <c r="AN420" s="35" t="str">
        <f t="shared" si="33"/>
        <v>❌ Disc</v>
      </c>
      <c r="AO420" s="36"/>
      <c r="AP420" s="36"/>
      <c r="AQ420" s="36"/>
      <c r="AR420" s="36"/>
      <c r="AS420" s="36"/>
      <c r="AT420" s="36"/>
      <c r="AU420" s="27"/>
      <c r="AV420" s="37"/>
      <c r="AW420" s="38" t="str">
        <f t="shared" si="34"/>
        <v/>
      </c>
    </row>
    <row r="421" spans="1:49" ht="18" customHeight="1" x14ac:dyDescent="0.3">
      <c r="A421" s="23">
        <v>417</v>
      </c>
      <c r="B421" s="24" t="s">
        <v>6034</v>
      </c>
      <c r="C421" s="25" t="s">
        <v>6035</v>
      </c>
      <c r="D421" s="23" t="s">
        <v>1268</v>
      </c>
      <c r="E421" s="43">
        <v>46125</v>
      </c>
      <c r="F421" s="26" t="s">
        <v>23</v>
      </c>
      <c r="G421" s="44" t="s">
        <v>24</v>
      </c>
      <c r="H421" s="26" t="s">
        <v>25</v>
      </c>
      <c r="I421" s="44" t="s">
        <v>26</v>
      </c>
      <c r="J421" s="26" t="s">
        <v>24</v>
      </c>
      <c r="K421" s="27"/>
      <c r="L421" s="28" t="s">
        <v>25</v>
      </c>
      <c r="M421" s="29" t="str">
        <f t="shared" si="30"/>
        <v>✓ OK</v>
      </c>
      <c r="N421" s="43">
        <v>46196</v>
      </c>
      <c r="O421" s="26" t="s">
        <v>23</v>
      </c>
      <c r="P421" s="44" t="s">
        <v>24</v>
      </c>
      <c r="Q421" s="26" t="s">
        <v>25</v>
      </c>
      <c r="R421" s="44" t="s">
        <v>26</v>
      </c>
      <c r="S421" s="26" t="s">
        <v>24</v>
      </c>
      <c r="T421" s="27"/>
      <c r="U421" s="28" t="s">
        <v>25</v>
      </c>
      <c r="V421" s="29" t="str">
        <f t="shared" si="31"/>
        <v>✓ OK</v>
      </c>
      <c r="W421" s="45">
        <v>46248</v>
      </c>
      <c r="X421" s="30" t="s">
        <v>23</v>
      </c>
      <c r="Y421" s="30" t="s">
        <v>24</v>
      </c>
      <c r="Z421" s="30" t="s">
        <v>25</v>
      </c>
      <c r="AA421" s="30" t="s">
        <v>26</v>
      </c>
      <c r="AB421" s="30" t="s">
        <v>24</v>
      </c>
      <c r="AC421" s="27"/>
      <c r="AD421" s="31" t="s">
        <v>25</v>
      </c>
      <c r="AE421" s="32" t="str">
        <f t="shared" si="32"/>
        <v>✓ OK</v>
      </c>
      <c r="AF421" s="33" t="s">
        <v>27</v>
      </c>
      <c r="AG421" s="33" t="s">
        <v>23</v>
      </c>
      <c r="AH421" s="33" t="s">
        <v>24</v>
      </c>
      <c r="AI421" s="33" t="s">
        <v>25</v>
      </c>
      <c r="AJ421" s="33" t="s">
        <v>26</v>
      </c>
      <c r="AK421" s="33" t="s">
        <v>24</v>
      </c>
      <c r="AL421" s="27"/>
      <c r="AM421" s="34" t="s">
        <v>25</v>
      </c>
      <c r="AN421" s="35" t="str">
        <f t="shared" si="33"/>
        <v>✓ OK</v>
      </c>
      <c r="AO421" s="36"/>
      <c r="AP421" s="36"/>
      <c r="AQ421" s="36"/>
      <c r="AR421" s="36"/>
      <c r="AS421" s="36"/>
      <c r="AT421" s="36"/>
      <c r="AU421" s="27"/>
      <c r="AV421" s="37"/>
      <c r="AW421" s="38" t="str">
        <f t="shared" si="34"/>
        <v/>
      </c>
    </row>
    <row r="422" spans="1:49" ht="18" customHeight="1" x14ac:dyDescent="0.3">
      <c r="A422" s="39">
        <v>418</v>
      </c>
      <c r="B422" s="40" t="s">
        <v>6036</v>
      </c>
      <c r="C422" s="41" t="s">
        <v>6037</v>
      </c>
      <c r="D422" s="39" t="s">
        <v>1268</v>
      </c>
      <c r="E422" s="43">
        <v>46125</v>
      </c>
      <c r="F422" s="26" t="s">
        <v>23</v>
      </c>
      <c r="G422" s="44" t="s">
        <v>24</v>
      </c>
      <c r="H422" s="26" t="s">
        <v>25</v>
      </c>
      <c r="I422" s="44" t="s">
        <v>26</v>
      </c>
      <c r="J422" s="26" t="s">
        <v>24</v>
      </c>
      <c r="K422" s="27"/>
      <c r="L422" s="28" t="s">
        <v>25</v>
      </c>
      <c r="M422" s="29" t="str">
        <f t="shared" si="30"/>
        <v>✓ OK</v>
      </c>
      <c r="N422" s="43">
        <v>46196</v>
      </c>
      <c r="O422" s="26" t="s">
        <v>23</v>
      </c>
      <c r="P422" s="44" t="s">
        <v>24</v>
      </c>
      <c r="Q422" s="26" t="s">
        <v>25</v>
      </c>
      <c r="R422" s="44" t="s">
        <v>26</v>
      </c>
      <c r="S422" s="26" t="s">
        <v>24</v>
      </c>
      <c r="T422" s="27"/>
      <c r="U422" s="28" t="s">
        <v>25</v>
      </c>
      <c r="V422" s="29" t="str">
        <f t="shared" si="31"/>
        <v>✓ OK</v>
      </c>
      <c r="W422" s="45">
        <v>46248</v>
      </c>
      <c r="X422" s="30" t="s">
        <v>23</v>
      </c>
      <c r="Y422" s="30" t="s">
        <v>25</v>
      </c>
      <c r="Z422" s="30" t="s">
        <v>24</v>
      </c>
      <c r="AA422" s="30" t="s">
        <v>135</v>
      </c>
      <c r="AB422" s="30" t="s">
        <v>25</v>
      </c>
      <c r="AC422" s="27"/>
      <c r="AD422" s="31" t="s">
        <v>25</v>
      </c>
      <c r="AE422" s="32" t="str">
        <f t="shared" si="32"/>
        <v>❌ Disc</v>
      </c>
      <c r="AF422" s="33" t="s">
        <v>27</v>
      </c>
      <c r="AG422" s="33" t="s">
        <v>23</v>
      </c>
      <c r="AH422" s="33" t="s">
        <v>25</v>
      </c>
      <c r="AI422" s="33" t="s">
        <v>24</v>
      </c>
      <c r="AJ422" s="33" t="s">
        <v>135</v>
      </c>
      <c r="AK422" s="33" t="s">
        <v>25</v>
      </c>
      <c r="AL422" s="27"/>
      <c r="AM422" s="34" t="s">
        <v>25</v>
      </c>
      <c r="AN422" s="35" t="str">
        <f t="shared" si="33"/>
        <v>❌ Disc</v>
      </c>
      <c r="AO422" s="36"/>
      <c r="AP422" s="36"/>
      <c r="AQ422" s="36"/>
      <c r="AR422" s="36"/>
      <c r="AS422" s="36"/>
      <c r="AT422" s="36"/>
      <c r="AU422" s="27"/>
      <c r="AV422" s="37"/>
      <c r="AW422" s="38" t="str">
        <f t="shared" si="34"/>
        <v/>
      </c>
    </row>
    <row r="423" spans="1:49" ht="18" customHeight="1" x14ac:dyDescent="0.3">
      <c r="A423" s="23">
        <v>419</v>
      </c>
      <c r="B423" s="24" t="s">
        <v>6038</v>
      </c>
      <c r="C423" s="25" t="s">
        <v>6039</v>
      </c>
      <c r="D423" s="23" t="s">
        <v>1268</v>
      </c>
      <c r="E423" s="43">
        <v>46125</v>
      </c>
      <c r="F423" s="26" t="s">
        <v>23</v>
      </c>
      <c r="G423" s="44" t="s">
        <v>24</v>
      </c>
      <c r="H423" s="26" t="s">
        <v>25</v>
      </c>
      <c r="I423" s="44" t="s">
        <v>26</v>
      </c>
      <c r="J423" s="26" t="s">
        <v>24</v>
      </c>
      <c r="K423" s="27"/>
      <c r="L423" s="28" t="s">
        <v>25</v>
      </c>
      <c r="M423" s="29" t="str">
        <f t="shared" si="30"/>
        <v>✓ OK</v>
      </c>
      <c r="N423" s="43">
        <v>46196</v>
      </c>
      <c r="O423" s="26" t="s">
        <v>23</v>
      </c>
      <c r="P423" s="44" t="s">
        <v>24</v>
      </c>
      <c r="Q423" s="26" t="s">
        <v>25</v>
      </c>
      <c r="R423" s="44" t="s">
        <v>26</v>
      </c>
      <c r="S423" s="26" t="s">
        <v>24</v>
      </c>
      <c r="T423" s="27"/>
      <c r="U423" s="28" t="s">
        <v>25</v>
      </c>
      <c r="V423" s="29" t="str">
        <f t="shared" si="31"/>
        <v>✓ OK</v>
      </c>
      <c r="W423" s="45">
        <v>46248</v>
      </c>
      <c r="X423" s="30" t="s">
        <v>23</v>
      </c>
      <c r="Y423" s="30" t="s">
        <v>24</v>
      </c>
      <c r="Z423" s="30" t="s">
        <v>25</v>
      </c>
      <c r="AA423" s="30" t="s">
        <v>26</v>
      </c>
      <c r="AB423" s="30" t="s">
        <v>24</v>
      </c>
      <c r="AC423" s="27"/>
      <c r="AD423" s="31" t="s">
        <v>25</v>
      </c>
      <c r="AE423" s="32" t="str">
        <f t="shared" si="32"/>
        <v>✓ OK</v>
      </c>
      <c r="AF423" s="33" t="s">
        <v>27</v>
      </c>
      <c r="AG423" s="33" t="s">
        <v>23</v>
      </c>
      <c r="AH423" s="33" t="s">
        <v>24</v>
      </c>
      <c r="AI423" s="33" t="s">
        <v>25</v>
      </c>
      <c r="AJ423" s="33" t="s">
        <v>26</v>
      </c>
      <c r="AK423" s="33" t="s">
        <v>24</v>
      </c>
      <c r="AL423" s="27"/>
      <c r="AM423" s="34" t="s">
        <v>25</v>
      </c>
      <c r="AN423" s="35" t="str">
        <f t="shared" si="33"/>
        <v>✓ OK</v>
      </c>
      <c r="AO423" s="36"/>
      <c r="AP423" s="36"/>
      <c r="AQ423" s="36"/>
      <c r="AR423" s="36"/>
      <c r="AS423" s="36"/>
      <c r="AT423" s="36"/>
      <c r="AU423" s="27"/>
      <c r="AV423" s="37"/>
      <c r="AW423" s="38" t="str">
        <f t="shared" si="34"/>
        <v/>
      </c>
    </row>
    <row r="424" spans="1:49" ht="18" customHeight="1" x14ac:dyDescent="0.3">
      <c r="A424" s="39">
        <v>420</v>
      </c>
      <c r="B424" s="40" t="s">
        <v>6040</v>
      </c>
      <c r="C424" s="41" t="s">
        <v>6041</v>
      </c>
      <c r="D424" s="39" t="s">
        <v>1268</v>
      </c>
      <c r="E424" s="43">
        <v>46125</v>
      </c>
      <c r="F424" s="26" t="s">
        <v>23</v>
      </c>
      <c r="G424" s="44" t="s">
        <v>24</v>
      </c>
      <c r="H424" s="26" t="s">
        <v>25</v>
      </c>
      <c r="I424" s="44" t="s">
        <v>26</v>
      </c>
      <c r="J424" s="26" t="s">
        <v>24</v>
      </c>
      <c r="K424" s="27"/>
      <c r="L424" s="28" t="s">
        <v>25</v>
      </c>
      <c r="M424" s="29" t="str">
        <f t="shared" si="30"/>
        <v>✓ OK</v>
      </c>
      <c r="N424" s="43">
        <v>46196</v>
      </c>
      <c r="O424" s="26" t="s">
        <v>23</v>
      </c>
      <c r="P424" s="44" t="s">
        <v>24</v>
      </c>
      <c r="Q424" s="26" t="s">
        <v>25</v>
      </c>
      <c r="R424" s="44" t="s">
        <v>26</v>
      </c>
      <c r="S424" s="26" t="s">
        <v>24</v>
      </c>
      <c r="T424" s="27"/>
      <c r="U424" s="28" t="s">
        <v>25</v>
      </c>
      <c r="V424" s="29" t="str">
        <f t="shared" si="31"/>
        <v>✓ OK</v>
      </c>
      <c r="W424" s="45">
        <v>46248</v>
      </c>
      <c r="X424" s="30" t="s">
        <v>23</v>
      </c>
      <c r="Y424" s="30" t="s">
        <v>24</v>
      </c>
      <c r="Z424" s="30" t="s">
        <v>25</v>
      </c>
      <c r="AA424" s="30" t="s">
        <v>26</v>
      </c>
      <c r="AB424" s="30" t="s">
        <v>24</v>
      </c>
      <c r="AC424" s="27"/>
      <c r="AD424" s="31" t="s">
        <v>25</v>
      </c>
      <c r="AE424" s="32" t="str">
        <f t="shared" si="32"/>
        <v>✓ OK</v>
      </c>
      <c r="AF424" s="33" t="s">
        <v>27</v>
      </c>
      <c r="AG424" s="33" t="s">
        <v>23</v>
      </c>
      <c r="AH424" s="33" t="s">
        <v>24</v>
      </c>
      <c r="AI424" s="33" t="s">
        <v>25</v>
      </c>
      <c r="AJ424" s="33" t="s">
        <v>26</v>
      </c>
      <c r="AK424" s="33" t="s">
        <v>24</v>
      </c>
      <c r="AL424" s="27"/>
      <c r="AM424" s="34" t="s">
        <v>25</v>
      </c>
      <c r="AN424" s="35" t="str">
        <f t="shared" si="33"/>
        <v>✓ OK</v>
      </c>
      <c r="AO424" s="36"/>
      <c r="AP424" s="36"/>
      <c r="AQ424" s="36"/>
      <c r="AR424" s="36"/>
      <c r="AS424" s="36"/>
      <c r="AT424" s="36"/>
      <c r="AU424" s="27"/>
      <c r="AV424" s="37"/>
      <c r="AW424" s="38" t="str">
        <f t="shared" si="34"/>
        <v/>
      </c>
    </row>
    <row r="425" spans="1:49" ht="18" customHeight="1" x14ac:dyDescent="0.3">
      <c r="A425" s="23">
        <v>421</v>
      </c>
      <c r="B425" s="24" t="s">
        <v>6042</v>
      </c>
      <c r="C425" s="25" t="s">
        <v>6043</v>
      </c>
      <c r="D425" s="23" t="s">
        <v>1268</v>
      </c>
      <c r="E425" s="43">
        <v>46125</v>
      </c>
      <c r="F425" s="26" t="s">
        <v>23</v>
      </c>
      <c r="G425" s="44" t="s">
        <v>1352</v>
      </c>
      <c r="H425" s="26" t="s">
        <v>25</v>
      </c>
      <c r="I425" s="44" t="s">
        <v>1352</v>
      </c>
      <c r="J425" s="26" t="s">
        <v>24</v>
      </c>
      <c r="K425" s="27"/>
      <c r="L425" s="28" t="s">
        <v>25</v>
      </c>
      <c r="M425" s="29" t="str">
        <f t="shared" si="30"/>
        <v>✓ OK</v>
      </c>
      <c r="N425" s="43">
        <v>46196</v>
      </c>
      <c r="O425" s="26" t="s">
        <v>23</v>
      </c>
      <c r="P425" s="44" t="s">
        <v>1352</v>
      </c>
      <c r="Q425" s="26" t="s">
        <v>25</v>
      </c>
      <c r="R425" s="44" t="s">
        <v>1352</v>
      </c>
      <c r="S425" s="26" t="s">
        <v>24</v>
      </c>
      <c r="T425" s="27"/>
      <c r="U425" s="28" t="s">
        <v>25</v>
      </c>
      <c r="V425" s="29" t="str">
        <f t="shared" si="31"/>
        <v>✓ OK</v>
      </c>
      <c r="W425" s="45">
        <v>46248</v>
      </c>
      <c r="X425" s="30" t="s">
        <v>23</v>
      </c>
      <c r="Y425" s="30" t="s">
        <v>1352</v>
      </c>
      <c r="Z425" s="30" t="s">
        <v>25</v>
      </c>
      <c r="AA425" s="30" t="s">
        <v>1352</v>
      </c>
      <c r="AB425" s="30" t="s">
        <v>24</v>
      </c>
      <c r="AC425" s="27"/>
      <c r="AD425" s="31" t="s">
        <v>25</v>
      </c>
      <c r="AE425" s="32" t="str">
        <f t="shared" si="32"/>
        <v>✓ OK</v>
      </c>
      <c r="AF425" s="33" t="s">
        <v>27</v>
      </c>
      <c r="AG425" s="33" t="s">
        <v>23</v>
      </c>
      <c r="AH425" s="33" t="s">
        <v>1352</v>
      </c>
      <c r="AI425" s="33" t="s">
        <v>25</v>
      </c>
      <c r="AJ425" s="33" t="s">
        <v>1352</v>
      </c>
      <c r="AK425" s="33" t="s">
        <v>24</v>
      </c>
      <c r="AL425" s="27"/>
      <c r="AM425" s="34" t="s">
        <v>25</v>
      </c>
      <c r="AN425" s="35" t="str">
        <f t="shared" si="33"/>
        <v>✓ OK</v>
      </c>
      <c r="AO425" s="36"/>
      <c r="AP425" s="36"/>
      <c r="AQ425" s="36"/>
      <c r="AR425" s="36"/>
      <c r="AS425" s="36"/>
      <c r="AT425" s="36"/>
      <c r="AU425" s="27"/>
      <c r="AV425" s="37"/>
      <c r="AW425" s="38" t="str">
        <f t="shared" si="34"/>
        <v/>
      </c>
    </row>
    <row r="426" spans="1:49" ht="18" customHeight="1" x14ac:dyDescent="0.3">
      <c r="A426" s="39">
        <v>422</v>
      </c>
      <c r="B426" s="40" t="s">
        <v>6044</v>
      </c>
      <c r="C426" s="41" t="s">
        <v>6045</v>
      </c>
      <c r="D426" s="39" t="s">
        <v>1268</v>
      </c>
      <c r="E426" s="43">
        <v>46125</v>
      </c>
      <c r="F426" s="26" t="s">
        <v>23</v>
      </c>
      <c r="G426" s="44" t="s">
        <v>1352</v>
      </c>
      <c r="H426" s="26" t="s">
        <v>25</v>
      </c>
      <c r="I426" s="44" t="s">
        <v>1352</v>
      </c>
      <c r="J426" s="26" t="s">
        <v>24</v>
      </c>
      <c r="K426" s="27"/>
      <c r="L426" s="28" t="s">
        <v>25</v>
      </c>
      <c r="M426" s="29" t="str">
        <f t="shared" si="30"/>
        <v>✓ OK</v>
      </c>
      <c r="N426" s="43">
        <v>46196</v>
      </c>
      <c r="O426" s="26" t="s">
        <v>23</v>
      </c>
      <c r="P426" s="44" t="s">
        <v>1352</v>
      </c>
      <c r="Q426" s="26" t="s">
        <v>25</v>
      </c>
      <c r="R426" s="44" t="s">
        <v>1352</v>
      </c>
      <c r="S426" s="26" t="s">
        <v>24</v>
      </c>
      <c r="T426" s="27"/>
      <c r="U426" s="28" t="s">
        <v>25</v>
      </c>
      <c r="V426" s="29" t="str">
        <f t="shared" si="31"/>
        <v>✓ OK</v>
      </c>
      <c r="W426" s="45">
        <v>46248</v>
      </c>
      <c r="X426" s="30" t="s">
        <v>23</v>
      </c>
      <c r="Y426" s="30" t="s">
        <v>1352</v>
      </c>
      <c r="Z426" s="30" t="s">
        <v>25</v>
      </c>
      <c r="AA426" s="30" t="s">
        <v>1352</v>
      </c>
      <c r="AB426" s="30" t="s">
        <v>24</v>
      </c>
      <c r="AC426" s="27"/>
      <c r="AD426" s="31" t="s">
        <v>25</v>
      </c>
      <c r="AE426" s="32" t="str">
        <f t="shared" si="32"/>
        <v>✓ OK</v>
      </c>
      <c r="AF426" s="33" t="s">
        <v>27</v>
      </c>
      <c r="AG426" s="33" t="s">
        <v>23</v>
      </c>
      <c r="AH426" s="33" t="s">
        <v>1352</v>
      </c>
      <c r="AI426" s="33" t="s">
        <v>25</v>
      </c>
      <c r="AJ426" s="33" t="s">
        <v>1352</v>
      </c>
      <c r="AK426" s="33" t="s">
        <v>24</v>
      </c>
      <c r="AL426" s="27"/>
      <c r="AM426" s="34" t="s">
        <v>25</v>
      </c>
      <c r="AN426" s="35" t="str">
        <f t="shared" si="33"/>
        <v>✓ OK</v>
      </c>
      <c r="AO426" s="36"/>
      <c r="AP426" s="36"/>
      <c r="AQ426" s="36"/>
      <c r="AR426" s="36"/>
      <c r="AS426" s="36"/>
      <c r="AT426" s="36"/>
      <c r="AU426" s="27"/>
      <c r="AV426" s="37"/>
      <c r="AW426" s="38" t="str">
        <f t="shared" si="34"/>
        <v/>
      </c>
    </row>
    <row r="427" spans="1:49" ht="18" customHeight="1" x14ac:dyDescent="0.3">
      <c r="A427" s="23">
        <v>423</v>
      </c>
      <c r="B427" s="24" t="s">
        <v>6046</v>
      </c>
      <c r="C427" s="25" t="s">
        <v>6047</v>
      </c>
      <c r="D427" s="23" t="s">
        <v>1268</v>
      </c>
      <c r="E427" s="43">
        <v>46125</v>
      </c>
      <c r="F427" s="26" t="s">
        <v>23</v>
      </c>
      <c r="G427" s="44" t="s">
        <v>1352</v>
      </c>
      <c r="H427" s="26" t="s">
        <v>25</v>
      </c>
      <c r="I427" s="44" t="s">
        <v>1352</v>
      </c>
      <c r="J427" s="26" t="s">
        <v>24</v>
      </c>
      <c r="K427" s="27"/>
      <c r="L427" s="28" t="s">
        <v>25</v>
      </c>
      <c r="M427" s="29" t="str">
        <f t="shared" si="30"/>
        <v>✓ OK</v>
      </c>
      <c r="N427" s="43">
        <v>46196</v>
      </c>
      <c r="O427" s="26" t="s">
        <v>23</v>
      </c>
      <c r="P427" s="44" t="s">
        <v>1352</v>
      </c>
      <c r="Q427" s="26" t="s">
        <v>25</v>
      </c>
      <c r="R427" s="44" t="s">
        <v>1352</v>
      </c>
      <c r="S427" s="26" t="s">
        <v>24</v>
      </c>
      <c r="T427" s="27"/>
      <c r="U427" s="28" t="s">
        <v>25</v>
      </c>
      <c r="V427" s="29" t="str">
        <f t="shared" si="31"/>
        <v>✓ OK</v>
      </c>
      <c r="W427" s="45">
        <v>46248</v>
      </c>
      <c r="X427" s="30" t="s">
        <v>23</v>
      </c>
      <c r="Y427" s="30" t="s">
        <v>1352</v>
      </c>
      <c r="Z427" s="30" t="s">
        <v>25</v>
      </c>
      <c r="AA427" s="30" t="s">
        <v>1352</v>
      </c>
      <c r="AB427" s="30" t="s">
        <v>24</v>
      </c>
      <c r="AC427" s="27"/>
      <c r="AD427" s="31" t="s">
        <v>25</v>
      </c>
      <c r="AE427" s="32" t="str">
        <f t="shared" si="32"/>
        <v>✓ OK</v>
      </c>
      <c r="AF427" s="33" t="s">
        <v>27</v>
      </c>
      <c r="AG427" s="33" t="s">
        <v>23</v>
      </c>
      <c r="AH427" s="33" t="s">
        <v>1352</v>
      </c>
      <c r="AI427" s="33" t="s">
        <v>25</v>
      </c>
      <c r="AJ427" s="33" t="s">
        <v>1352</v>
      </c>
      <c r="AK427" s="33" t="s">
        <v>24</v>
      </c>
      <c r="AL427" s="27"/>
      <c r="AM427" s="34" t="s">
        <v>25</v>
      </c>
      <c r="AN427" s="35" t="str">
        <f t="shared" si="33"/>
        <v>✓ OK</v>
      </c>
      <c r="AO427" s="36"/>
      <c r="AP427" s="36"/>
      <c r="AQ427" s="36"/>
      <c r="AR427" s="36"/>
      <c r="AS427" s="36"/>
      <c r="AT427" s="36"/>
      <c r="AU427" s="27"/>
      <c r="AV427" s="37"/>
      <c r="AW427" s="38" t="str">
        <f t="shared" si="34"/>
        <v/>
      </c>
    </row>
    <row r="428" spans="1:49" ht="18" customHeight="1" x14ac:dyDescent="0.3">
      <c r="A428" s="39">
        <v>424</v>
      </c>
      <c r="B428" s="40" t="s">
        <v>6048</v>
      </c>
      <c r="C428" s="41" t="s">
        <v>6049</v>
      </c>
      <c r="D428" s="39" t="s">
        <v>1268</v>
      </c>
      <c r="E428" s="43">
        <v>46125</v>
      </c>
      <c r="F428" s="26" t="s">
        <v>23</v>
      </c>
      <c r="G428" s="44" t="s">
        <v>1352</v>
      </c>
      <c r="H428" s="26" t="s">
        <v>25</v>
      </c>
      <c r="I428" s="44" t="s">
        <v>1352</v>
      </c>
      <c r="J428" s="26" t="s">
        <v>24</v>
      </c>
      <c r="K428" s="27"/>
      <c r="L428" s="28" t="s">
        <v>25</v>
      </c>
      <c r="M428" s="29" t="str">
        <f t="shared" si="30"/>
        <v>✓ OK</v>
      </c>
      <c r="N428" s="43">
        <v>46196</v>
      </c>
      <c r="O428" s="26" t="s">
        <v>23</v>
      </c>
      <c r="P428" s="44" t="s">
        <v>1352</v>
      </c>
      <c r="Q428" s="26" t="s">
        <v>25</v>
      </c>
      <c r="R428" s="44" t="s">
        <v>1352</v>
      </c>
      <c r="S428" s="26" t="s">
        <v>24</v>
      </c>
      <c r="T428" s="27"/>
      <c r="U428" s="28" t="s">
        <v>25</v>
      </c>
      <c r="V428" s="29" t="str">
        <f t="shared" si="31"/>
        <v>✓ OK</v>
      </c>
      <c r="W428" s="45">
        <v>46248</v>
      </c>
      <c r="X428" s="30" t="s">
        <v>23</v>
      </c>
      <c r="Y428" s="30" t="s">
        <v>1352</v>
      </c>
      <c r="Z428" s="30" t="s">
        <v>25</v>
      </c>
      <c r="AA428" s="30" t="s">
        <v>1352</v>
      </c>
      <c r="AB428" s="30" t="s">
        <v>24</v>
      </c>
      <c r="AC428" s="27"/>
      <c r="AD428" s="31" t="s">
        <v>25</v>
      </c>
      <c r="AE428" s="32" t="str">
        <f t="shared" si="32"/>
        <v>✓ OK</v>
      </c>
      <c r="AF428" s="33" t="s">
        <v>27</v>
      </c>
      <c r="AG428" s="33" t="s">
        <v>23</v>
      </c>
      <c r="AH428" s="33" t="s">
        <v>1352</v>
      </c>
      <c r="AI428" s="33" t="s">
        <v>25</v>
      </c>
      <c r="AJ428" s="33" t="s">
        <v>1352</v>
      </c>
      <c r="AK428" s="33" t="s">
        <v>24</v>
      </c>
      <c r="AL428" s="27"/>
      <c r="AM428" s="34" t="s">
        <v>25</v>
      </c>
      <c r="AN428" s="35" t="str">
        <f t="shared" si="33"/>
        <v>✓ OK</v>
      </c>
      <c r="AO428" s="36"/>
      <c r="AP428" s="36"/>
      <c r="AQ428" s="36"/>
      <c r="AR428" s="36"/>
      <c r="AS428" s="36"/>
      <c r="AT428" s="36"/>
      <c r="AU428" s="27"/>
      <c r="AV428" s="37"/>
      <c r="AW428" s="38" t="str">
        <f t="shared" si="34"/>
        <v/>
      </c>
    </row>
    <row r="429" spans="1:49" ht="18" customHeight="1" x14ac:dyDescent="0.3">
      <c r="A429" s="23">
        <v>425</v>
      </c>
      <c r="B429" s="24" t="s">
        <v>6050</v>
      </c>
      <c r="C429" s="25" t="s">
        <v>6051</v>
      </c>
      <c r="D429" s="23" t="s">
        <v>1268</v>
      </c>
      <c r="E429" s="43">
        <v>46125</v>
      </c>
      <c r="F429" s="26" t="s">
        <v>23</v>
      </c>
      <c r="G429" s="44" t="s">
        <v>1352</v>
      </c>
      <c r="H429" s="26" t="s">
        <v>25</v>
      </c>
      <c r="I429" s="44" t="s">
        <v>1352</v>
      </c>
      <c r="J429" s="26" t="s">
        <v>24</v>
      </c>
      <c r="K429" s="27"/>
      <c r="L429" s="28" t="s">
        <v>25</v>
      </c>
      <c r="M429" s="29" t="str">
        <f t="shared" si="30"/>
        <v>✓ OK</v>
      </c>
      <c r="N429" s="43">
        <v>46196</v>
      </c>
      <c r="O429" s="26" t="s">
        <v>23</v>
      </c>
      <c r="P429" s="44" t="s">
        <v>1352</v>
      </c>
      <c r="Q429" s="26" t="s">
        <v>25</v>
      </c>
      <c r="R429" s="44" t="s">
        <v>1352</v>
      </c>
      <c r="S429" s="26" t="s">
        <v>24</v>
      </c>
      <c r="T429" s="27"/>
      <c r="U429" s="28" t="s">
        <v>25</v>
      </c>
      <c r="V429" s="29" t="str">
        <f t="shared" si="31"/>
        <v>✓ OK</v>
      </c>
      <c r="W429" s="45">
        <v>46248</v>
      </c>
      <c r="X429" s="30" t="s">
        <v>23</v>
      </c>
      <c r="Y429" s="30" t="s">
        <v>1352</v>
      </c>
      <c r="Z429" s="30" t="s">
        <v>25</v>
      </c>
      <c r="AA429" s="30" t="s">
        <v>1352</v>
      </c>
      <c r="AB429" s="30" t="s">
        <v>24</v>
      </c>
      <c r="AC429" s="27"/>
      <c r="AD429" s="31" t="s">
        <v>25</v>
      </c>
      <c r="AE429" s="32" t="str">
        <f t="shared" si="32"/>
        <v>✓ OK</v>
      </c>
      <c r="AF429" s="33" t="s">
        <v>27</v>
      </c>
      <c r="AG429" s="33" t="s">
        <v>23</v>
      </c>
      <c r="AH429" s="33" t="s">
        <v>1352</v>
      </c>
      <c r="AI429" s="33" t="s">
        <v>25</v>
      </c>
      <c r="AJ429" s="33" t="s">
        <v>1352</v>
      </c>
      <c r="AK429" s="33" t="s">
        <v>24</v>
      </c>
      <c r="AL429" s="27"/>
      <c r="AM429" s="34" t="s">
        <v>25</v>
      </c>
      <c r="AN429" s="35" t="str">
        <f t="shared" si="33"/>
        <v>✓ OK</v>
      </c>
      <c r="AO429" s="36"/>
      <c r="AP429" s="36"/>
      <c r="AQ429" s="36"/>
      <c r="AR429" s="36"/>
      <c r="AS429" s="36"/>
      <c r="AT429" s="36"/>
      <c r="AU429" s="27"/>
      <c r="AV429" s="37"/>
      <c r="AW429" s="38" t="str">
        <f t="shared" si="34"/>
        <v/>
      </c>
    </row>
    <row r="430" spans="1:49" ht="18" customHeight="1" x14ac:dyDescent="0.3">
      <c r="A430" s="39">
        <v>426</v>
      </c>
      <c r="B430" s="40" t="s">
        <v>6052</v>
      </c>
      <c r="C430" s="41" t="s">
        <v>6053</v>
      </c>
      <c r="D430" s="39" t="s">
        <v>1268</v>
      </c>
      <c r="E430" s="43">
        <v>46125</v>
      </c>
      <c r="F430" s="26" t="s">
        <v>23</v>
      </c>
      <c r="G430" s="44" t="s">
        <v>24</v>
      </c>
      <c r="H430" s="26" t="s">
        <v>25</v>
      </c>
      <c r="I430" s="44" t="s">
        <v>26</v>
      </c>
      <c r="J430" s="26" t="s">
        <v>24</v>
      </c>
      <c r="K430" s="27"/>
      <c r="L430" s="28" t="s">
        <v>25</v>
      </c>
      <c r="M430" s="29" t="str">
        <f t="shared" si="30"/>
        <v>✓ OK</v>
      </c>
      <c r="N430" s="43">
        <v>46196</v>
      </c>
      <c r="O430" s="26" t="s">
        <v>23</v>
      </c>
      <c r="P430" s="44" t="s">
        <v>24</v>
      </c>
      <c r="Q430" s="26" t="s">
        <v>25</v>
      </c>
      <c r="R430" s="44" t="s">
        <v>26</v>
      </c>
      <c r="S430" s="26" t="s">
        <v>24</v>
      </c>
      <c r="T430" s="27"/>
      <c r="U430" s="28" t="s">
        <v>25</v>
      </c>
      <c r="V430" s="29" t="str">
        <f t="shared" si="31"/>
        <v>✓ OK</v>
      </c>
      <c r="W430" s="45">
        <v>46248</v>
      </c>
      <c r="X430" s="30" t="s">
        <v>23</v>
      </c>
      <c r="Y430" s="30" t="s">
        <v>24</v>
      </c>
      <c r="Z430" s="30" t="s">
        <v>25</v>
      </c>
      <c r="AA430" s="30" t="s">
        <v>26</v>
      </c>
      <c r="AB430" s="30" t="s">
        <v>24</v>
      </c>
      <c r="AC430" s="27"/>
      <c r="AD430" s="31" t="s">
        <v>25</v>
      </c>
      <c r="AE430" s="32" t="str">
        <f t="shared" si="32"/>
        <v>✓ OK</v>
      </c>
      <c r="AF430" s="33" t="s">
        <v>27</v>
      </c>
      <c r="AG430" s="33" t="s">
        <v>23</v>
      </c>
      <c r="AH430" s="33" t="s">
        <v>24</v>
      </c>
      <c r="AI430" s="33" t="s">
        <v>25</v>
      </c>
      <c r="AJ430" s="33" t="s">
        <v>26</v>
      </c>
      <c r="AK430" s="33" t="s">
        <v>24</v>
      </c>
      <c r="AL430" s="27"/>
      <c r="AM430" s="34" t="s">
        <v>25</v>
      </c>
      <c r="AN430" s="35" t="str">
        <f t="shared" si="33"/>
        <v>✓ OK</v>
      </c>
      <c r="AO430" s="36"/>
      <c r="AP430" s="36"/>
      <c r="AQ430" s="36"/>
      <c r="AR430" s="36"/>
      <c r="AS430" s="36"/>
      <c r="AT430" s="36"/>
      <c r="AU430" s="27"/>
      <c r="AV430" s="37"/>
      <c r="AW430" s="38" t="str">
        <f t="shared" si="34"/>
        <v/>
      </c>
    </row>
    <row r="431" spans="1:49" ht="18" customHeight="1" x14ac:dyDescent="0.3">
      <c r="A431" s="23">
        <v>427</v>
      </c>
      <c r="B431" s="24" t="s">
        <v>6054</v>
      </c>
      <c r="C431" s="25" t="s">
        <v>6055</v>
      </c>
      <c r="D431" s="23" t="s">
        <v>1268</v>
      </c>
      <c r="E431" s="43">
        <v>46125</v>
      </c>
      <c r="F431" s="26" t="s">
        <v>23</v>
      </c>
      <c r="G431" s="44" t="s">
        <v>1352</v>
      </c>
      <c r="H431" s="26" t="s">
        <v>25</v>
      </c>
      <c r="I431" s="44" t="s">
        <v>1352</v>
      </c>
      <c r="J431" s="26" t="s">
        <v>24</v>
      </c>
      <c r="K431" s="27"/>
      <c r="L431" s="28" t="s">
        <v>25</v>
      </c>
      <c r="M431" s="29" t="str">
        <f t="shared" si="30"/>
        <v>✓ OK</v>
      </c>
      <c r="N431" s="43">
        <v>46196</v>
      </c>
      <c r="O431" s="26" t="s">
        <v>23</v>
      </c>
      <c r="P431" s="44" t="s">
        <v>1352</v>
      </c>
      <c r="Q431" s="26" t="s">
        <v>25</v>
      </c>
      <c r="R431" s="44" t="s">
        <v>1352</v>
      </c>
      <c r="S431" s="26" t="s">
        <v>24</v>
      </c>
      <c r="T431" s="27"/>
      <c r="U431" s="28" t="s">
        <v>25</v>
      </c>
      <c r="V431" s="29" t="str">
        <f t="shared" si="31"/>
        <v>✓ OK</v>
      </c>
      <c r="W431" s="45">
        <v>46248</v>
      </c>
      <c r="X431" s="30" t="s">
        <v>23</v>
      </c>
      <c r="Y431" s="30" t="s">
        <v>1352</v>
      </c>
      <c r="Z431" s="30" t="s">
        <v>25</v>
      </c>
      <c r="AA431" s="30" t="s">
        <v>1352</v>
      </c>
      <c r="AB431" s="30" t="s">
        <v>24</v>
      </c>
      <c r="AC431" s="27"/>
      <c r="AD431" s="31" t="s">
        <v>25</v>
      </c>
      <c r="AE431" s="32" t="str">
        <f t="shared" si="32"/>
        <v>✓ OK</v>
      </c>
      <c r="AF431" s="33" t="s">
        <v>27</v>
      </c>
      <c r="AG431" s="33" t="s">
        <v>23</v>
      </c>
      <c r="AH431" s="33" t="s">
        <v>1352</v>
      </c>
      <c r="AI431" s="33" t="s">
        <v>25</v>
      </c>
      <c r="AJ431" s="33" t="s">
        <v>1352</v>
      </c>
      <c r="AK431" s="33" t="s">
        <v>24</v>
      </c>
      <c r="AL431" s="27"/>
      <c r="AM431" s="34" t="s">
        <v>25</v>
      </c>
      <c r="AN431" s="35" t="str">
        <f t="shared" si="33"/>
        <v>✓ OK</v>
      </c>
      <c r="AO431" s="36"/>
      <c r="AP431" s="36"/>
      <c r="AQ431" s="36"/>
      <c r="AR431" s="36"/>
      <c r="AS431" s="36"/>
      <c r="AT431" s="36"/>
      <c r="AU431" s="27"/>
      <c r="AV431" s="37"/>
      <c r="AW431" s="38" t="str">
        <f t="shared" si="34"/>
        <v/>
      </c>
    </row>
    <row r="432" spans="1:49" ht="18" customHeight="1" x14ac:dyDescent="0.3">
      <c r="A432" s="39">
        <v>428</v>
      </c>
      <c r="B432" s="40" t="s">
        <v>6056</v>
      </c>
      <c r="C432" s="41" t="s">
        <v>6057</v>
      </c>
      <c r="D432" s="39" t="s">
        <v>1268</v>
      </c>
      <c r="E432" s="43">
        <v>46125</v>
      </c>
      <c r="F432" s="26" t="s">
        <v>23</v>
      </c>
      <c r="G432" s="44" t="s">
        <v>1352</v>
      </c>
      <c r="H432" s="26" t="s">
        <v>25</v>
      </c>
      <c r="I432" s="44" t="s">
        <v>1352</v>
      </c>
      <c r="J432" s="26" t="s">
        <v>24</v>
      </c>
      <c r="K432" s="27"/>
      <c r="L432" s="28" t="s">
        <v>25</v>
      </c>
      <c r="M432" s="29" t="str">
        <f t="shared" si="30"/>
        <v>✓ OK</v>
      </c>
      <c r="N432" s="43">
        <v>46196</v>
      </c>
      <c r="O432" s="26" t="s">
        <v>23</v>
      </c>
      <c r="P432" s="44" t="s">
        <v>1352</v>
      </c>
      <c r="Q432" s="26" t="s">
        <v>25</v>
      </c>
      <c r="R432" s="44" t="s">
        <v>1352</v>
      </c>
      <c r="S432" s="26" t="s">
        <v>24</v>
      </c>
      <c r="T432" s="27"/>
      <c r="U432" s="28" t="s">
        <v>25</v>
      </c>
      <c r="V432" s="29" t="str">
        <f t="shared" si="31"/>
        <v>✓ OK</v>
      </c>
      <c r="W432" s="45">
        <v>46248</v>
      </c>
      <c r="X432" s="30" t="s">
        <v>23</v>
      </c>
      <c r="Y432" s="30" t="s">
        <v>1352</v>
      </c>
      <c r="Z432" s="30" t="s">
        <v>25</v>
      </c>
      <c r="AA432" s="30" t="s">
        <v>1352</v>
      </c>
      <c r="AB432" s="30" t="s">
        <v>24</v>
      </c>
      <c r="AC432" s="27"/>
      <c r="AD432" s="31" t="s">
        <v>25</v>
      </c>
      <c r="AE432" s="32" t="str">
        <f t="shared" si="32"/>
        <v>✓ OK</v>
      </c>
      <c r="AF432" s="33" t="s">
        <v>27</v>
      </c>
      <c r="AG432" s="33" t="s">
        <v>23</v>
      </c>
      <c r="AH432" s="33" t="s">
        <v>1352</v>
      </c>
      <c r="AI432" s="33" t="s">
        <v>25</v>
      </c>
      <c r="AJ432" s="33" t="s">
        <v>1352</v>
      </c>
      <c r="AK432" s="33" t="s">
        <v>24</v>
      </c>
      <c r="AL432" s="27"/>
      <c r="AM432" s="34" t="s">
        <v>25</v>
      </c>
      <c r="AN432" s="35" t="str">
        <f t="shared" si="33"/>
        <v>✓ OK</v>
      </c>
      <c r="AO432" s="36"/>
      <c r="AP432" s="36"/>
      <c r="AQ432" s="36"/>
      <c r="AR432" s="36"/>
      <c r="AS432" s="36"/>
      <c r="AT432" s="36"/>
      <c r="AU432" s="27"/>
      <c r="AV432" s="37"/>
      <c r="AW432" s="38" t="str">
        <f t="shared" si="34"/>
        <v/>
      </c>
    </row>
    <row r="433" spans="1:49" ht="18" customHeight="1" x14ac:dyDescent="0.3">
      <c r="A433" s="23">
        <v>429</v>
      </c>
      <c r="B433" s="24" t="s">
        <v>6058</v>
      </c>
      <c r="C433" s="25" t="s">
        <v>6059</v>
      </c>
      <c r="D433" s="23" t="s">
        <v>1268</v>
      </c>
      <c r="E433" s="43">
        <v>46125</v>
      </c>
      <c r="F433" s="26" t="s">
        <v>23</v>
      </c>
      <c r="G433" s="44" t="s">
        <v>1352</v>
      </c>
      <c r="H433" s="26" t="s">
        <v>25</v>
      </c>
      <c r="I433" s="44" t="s">
        <v>1352</v>
      </c>
      <c r="J433" s="26" t="s">
        <v>24</v>
      </c>
      <c r="K433" s="27"/>
      <c r="L433" s="28" t="s">
        <v>25</v>
      </c>
      <c r="M433" s="29" t="str">
        <f t="shared" si="30"/>
        <v>✓ OK</v>
      </c>
      <c r="N433" s="43">
        <v>46196</v>
      </c>
      <c r="O433" s="26" t="s">
        <v>23</v>
      </c>
      <c r="P433" s="44" t="s">
        <v>1352</v>
      </c>
      <c r="Q433" s="26" t="s">
        <v>25</v>
      </c>
      <c r="R433" s="44" t="s">
        <v>1352</v>
      </c>
      <c r="S433" s="26" t="s">
        <v>24</v>
      </c>
      <c r="T433" s="27"/>
      <c r="U433" s="28" t="s">
        <v>25</v>
      </c>
      <c r="V433" s="29" t="str">
        <f t="shared" si="31"/>
        <v>✓ OK</v>
      </c>
      <c r="W433" s="45">
        <v>46248</v>
      </c>
      <c r="X433" s="30" t="s">
        <v>23</v>
      </c>
      <c r="Y433" s="30" t="s">
        <v>1352</v>
      </c>
      <c r="Z433" s="30" t="s">
        <v>25</v>
      </c>
      <c r="AA433" s="30" t="s">
        <v>1352</v>
      </c>
      <c r="AB433" s="30" t="s">
        <v>24</v>
      </c>
      <c r="AC433" s="27"/>
      <c r="AD433" s="31" t="s">
        <v>25</v>
      </c>
      <c r="AE433" s="32" t="str">
        <f t="shared" si="32"/>
        <v>✓ OK</v>
      </c>
      <c r="AF433" s="33" t="s">
        <v>27</v>
      </c>
      <c r="AG433" s="33" t="s">
        <v>23</v>
      </c>
      <c r="AH433" s="33" t="s">
        <v>1352</v>
      </c>
      <c r="AI433" s="33" t="s">
        <v>25</v>
      </c>
      <c r="AJ433" s="33" t="s">
        <v>1352</v>
      </c>
      <c r="AK433" s="33" t="s">
        <v>24</v>
      </c>
      <c r="AL433" s="27"/>
      <c r="AM433" s="34" t="s">
        <v>25</v>
      </c>
      <c r="AN433" s="35" t="str">
        <f t="shared" si="33"/>
        <v>✓ OK</v>
      </c>
      <c r="AO433" s="36"/>
      <c r="AP433" s="36"/>
      <c r="AQ433" s="36"/>
      <c r="AR433" s="36"/>
      <c r="AS433" s="36"/>
      <c r="AT433" s="36"/>
      <c r="AU433" s="27"/>
      <c r="AV433" s="37"/>
      <c r="AW433" s="38" t="str">
        <f t="shared" si="34"/>
        <v/>
      </c>
    </row>
    <row r="434" spans="1:49" ht="18" customHeight="1" x14ac:dyDescent="0.3">
      <c r="A434" s="39">
        <v>430</v>
      </c>
      <c r="B434" s="40" t="s">
        <v>6060</v>
      </c>
      <c r="C434" s="41" t="s">
        <v>6061</v>
      </c>
      <c r="D434" s="39" t="s">
        <v>1268</v>
      </c>
      <c r="E434" s="43">
        <v>46125</v>
      </c>
      <c r="F434" s="26" t="s">
        <v>23</v>
      </c>
      <c r="G434" s="44" t="s">
        <v>1352</v>
      </c>
      <c r="H434" s="26" t="s">
        <v>25</v>
      </c>
      <c r="I434" s="44" t="s">
        <v>1352</v>
      </c>
      <c r="J434" s="26" t="s">
        <v>24</v>
      </c>
      <c r="K434" s="27"/>
      <c r="L434" s="28" t="s">
        <v>25</v>
      </c>
      <c r="M434" s="29" t="str">
        <f t="shared" si="30"/>
        <v>✓ OK</v>
      </c>
      <c r="N434" s="43">
        <v>46196</v>
      </c>
      <c r="O434" s="26" t="s">
        <v>23</v>
      </c>
      <c r="P434" s="44" t="s">
        <v>1352</v>
      </c>
      <c r="Q434" s="26" t="s">
        <v>25</v>
      </c>
      <c r="R434" s="44" t="s">
        <v>1352</v>
      </c>
      <c r="S434" s="26" t="s">
        <v>24</v>
      </c>
      <c r="T434" s="27"/>
      <c r="U434" s="28" t="s">
        <v>25</v>
      </c>
      <c r="V434" s="29" t="str">
        <f t="shared" si="31"/>
        <v>✓ OK</v>
      </c>
      <c r="W434" s="45">
        <v>46248</v>
      </c>
      <c r="X434" s="30" t="s">
        <v>23</v>
      </c>
      <c r="Y434" s="30" t="s">
        <v>1352</v>
      </c>
      <c r="Z434" s="30" t="s">
        <v>25</v>
      </c>
      <c r="AA434" s="30" t="s">
        <v>1352</v>
      </c>
      <c r="AB434" s="30" t="s">
        <v>24</v>
      </c>
      <c r="AC434" s="27"/>
      <c r="AD434" s="31" t="s">
        <v>25</v>
      </c>
      <c r="AE434" s="32" t="str">
        <f t="shared" si="32"/>
        <v>✓ OK</v>
      </c>
      <c r="AF434" s="33" t="s">
        <v>27</v>
      </c>
      <c r="AG434" s="33" t="s">
        <v>23</v>
      </c>
      <c r="AH434" s="33" t="s">
        <v>1352</v>
      </c>
      <c r="AI434" s="33" t="s">
        <v>25</v>
      </c>
      <c r="AJ434" s="33" t="s">
        <v>1352</v>
      </c>
      <c r="AK434" s="33" t="s">
        <v>24</v>
      </c>
      <c r="AL434" s="27"/>
      <c r="AM434" s="34" t="s">
        <v>25</v>
      </c>
      <c r="AN434" s="35" t="str">
        <f t="shared" si="33"/>
        <v>✓ OK</v>
      </c>
      <c r="AO434" s="36"/>
      <c r="AP434" s="36"/>
      <c r="AQ434" s="36"/>
      <c r="AR434" s="36"/>
      <c r="AS434" s="36"/>
      <c r="AT434" s="36"/>
      <c r="AU434" s="27"/>
      <c r="AV434" s="37"/>
      <c r="AW434" s="38" t="str">
        <f t="shared" si="34"/>
        <v/>
      </c>
    </row>
    <row r="435" spans="1:49" ht="18" customHeight="1" x14ac:dyDescent="0.3">
      <c r="A435" s="23">
        <v>431</v>
      </c>
      <c r="B435" s="24" t="s">
        <v>6062</v>
      </c>
      <c r="C435" s="25" t="s">
        <v>6063</v>
      </c>
      <c r="D435" s="23" t="s">
        <v>1268</v>
      </c>
      <c r="E435" s="43">
        <v>46125</v>
      </c>
      <c r="F435" s="26" t="s">
        <v>23</v>
      </c>
      <c r="G435" s="44" t="s">
        <v>1352</v>
      </c>
      <c r="H435" s="26" t="s">
        <v>25</v>
      </c>
      <c r="I435" s="44" t="s">
        <v>1352</v>
      </c>
      <c r="J435" s="26" t="s">
        <v>24</v>
      </c>
      <c r="K435" s="27"/>
      <c r="L435" s="28" t="s">
        <v>25</v>
      </c>
      <c r="M435" s="29" t="str">
        <f t="shared" si="30"/>
        <v>✓ OK</v>
      </c>
      <c r="N435" s="43">
        <v>46196</v>
      </c>
      <c r="O435" s="26" t="s">
        <v>23</v>
      </c>
      <c r="P435" s="44" t="s">
        <v>1352</v>
      </c>
      <c r="Q435" s="26" t="s">
        <v>25</v>
      </c>
      <c r="R435" s="44" t="s">
        <v>1352</v>
      </c>
      <c r="S435" s="26" t="s">
        <v>24</v>
      </c>
      <c r="T435" s="27"/>
      <c r="U435" s="28" t="s">
        <v>25</v>
      </c>
      <c r="V435" s="29" t="str">
        <f t="shared" si="31"/>
        <v>✓ OK</v>
      </c>
      <c r="W435" s="45">
        <v>46248</v>
      </c>
      <c r="X435" s="30" t="s">
        <v>23</v>
      </c>
      <c r="Y435" s="30" t="s">
        <v>1352</v>
      </c>
      <c r="Z435" s="30" t="s">
        <v>25</v>
      </c>
      <c r="AA435" s="30" t="s">
        <v>1352</v>
      </c>
      <c r="AB435" s="30" t="s">
        <v>24</v>
      </c>
      <c r="AC435" s="27"/>
      <c r="AD435" s="31" t="s">
        <v>25</v>
      </c>
      <c r="AE435" s="32" t="str">
        <f t="shared" si="32"/>
        <v>✓ OK</v>
      </c>
      <c r="AF435" s="33" t="s">
        <v>27</v>
      </c>
      <c r="AG435" s="33" t="s">
        <v>23</v>
      </c>
      <c r="AH435" s="33" t="s">
        <v>1352</v>
      </c>
      <c r="AI435" s="33" t="s">
        <v>25</v>
      </c>
      <c r="AJ435" s="33" t="s">
        <v>1352</v>
      </c>
      <c r="AK435" s="33" t="s">
        <v>24</v>
      </c>
      <c r="AL435" s="27"/>
      <c r="AM435" s="34" t="s">
        <v>25</v>
      </c>
      <c r="AN435" s="35" t="str">
        <f t="shared" si="33"/>
        <v>✓ OK</v>
      </c>
      <c r="AO435" s="36"/>
      <c r="AP435" s="36"/>
      <c r="AQ435" s="36"/>
      <c r="AR435" s="36"/>
      <c r="AS435" s="36"/>
      <c r="AT435" s="36"/>
      <c r="AU435" s="27"/>
      <c r="AV435" s="37"/>
      <c r="AW435" s="38" t="str">
        <f t="shared" si="34"/>
        <v/>
      </c>
    </row>
    <row r="436" spans="1:49" ht="18" customHeight="1" x14ac:dyDescent="0.3">
      <c r="A436" s="39">
        <v>432</v>
      </c>
      <c r="B436" s="40" t="s">
        <v>6064</v>
      </c>
      <c r="C436" s="41" t="s">
        <v>6065</v>
      </c>
      <c r="D436" s="39" t="s">
        <v>1268</v>
      </c>
      <c r="E436" s="43">
        <v>46125</v>
      </c>
      <c r="F436" s="26" t="s">
        <v>23</v>
      </c>
      <c r="G436" s="44" t="s">
        <v>1352</v>
      </c>
      <c r="H436" s="26" t="s">
        <v>25</v>
      </c>
      <c r="I436" s="44" t="s">
        <v>1352</v>
      </c>
      <c r="J436" s="26" t="s">
        <v>24</v>
      </c>
      <c r="K436" s="27"/>
      <c r="L436" s="28" t="s">
        <v>25</v>
      </c>
      <c r="M436" s="29" t="str">
        <f t="shared" si="30"/>
        <v>✓ OK</v>
      </c>
      <c r="N436" s="43">
        <v>46196</v>
      </c>
      <c r="O436" s="26" t="s">
        <v>23</v>
      </c>
      <c r="P436" s="44" t="s">
        <v>1352</v>
      </c>
      <c r="Q436" s="26" t="s">
        <v>25</v>
      </c>
      <c r="R436" s="44" t="s">
        <v>1352</v>
      </c>
      <c r="S436" s="26" t="s">
        <v>24</v>
      </c>
      <c r="T436" s="27"/>
      <c r="U436" s="28" t="s">
        <v>25</v>
      </c>
      <c r="V436" s="29" t="str">
        <f t="shared" si="31"/>
        <v>✓ OK</v>
      </c>
      <c r="W436" s="45">
        <v>46248</v>
      </c>
      <c r="X436" s="30" t="s">
        <v>23</v>
      </c>
      <c r="Y436" s="30" t="s">
        <v>1352</v>
      </c>
      <c r="Z436" s="30" t="s">
        <v>25</v>
      </c>
      <c r="AA436" s="30" t="s">
        <v>1352</v>
      </c>
      <c r="AB436" s="30" t="s">
        <v>24</v>
      </c>
      <c r="AC436" s="27"/>
      <c r="AD436" s="31" t="s">
        <v>25</v>
      </c>
      <c r="AE436" s="32" t="str">
        <f t="shared" si="32"/>
        <v>✓ OK</v>
      </c>
      <c r="AF436" s="33" t="s">
        <v>27</v>
      </c>
      <c r="AG436" s="33" t="s">
        <v>23</v>
      </c>
      <c r="AH436" s="33" t="s">
        <v>1352</v>
      </c>
      <c r="AI436" s="33" t="s">
        <v>25</v>
      </c>
      <c r="AJ436" s="33" t="s">
        <v>1352</v>
      </c>
      <c r="AK436" s="33" t="s">
        <v>24</v>
      </c>
      <c r="AL436" s="27"/>
      <c r="AM436" s="34" t="s">
        <v>25</v>
      </c>
      <c r="AN436" s="35" t="str">
        <f t="shared" si="33"/>
        <v>✓ OK</v>
      </c>
      <c r="AO436" s="36"/>
      <c r="AP436" s="36"/>
      <c r="AQ436" s="36"/>
      <c r="AR436" s="36"/>
      <c r="AS436" s="36"/>
      <c r="AT436" s="36"/>
      <c r="AU436" s="27"/>
      <c r="AV436" s="37"/>
      <c r="AW436" s="38" t="str">
        <f t="shared" si="34"/>
        <v/>
      </c>
    </row>
    <row r="437" spans="1:49" ht="18" customHeight="1" x14ac:dyDescent="0.3">
      <c r="A437" s="23">
        <v>433</v>
      </c>
      <c r="B437" s="24" t="s">
        <v>6066</v>
      </c>
      <c r="C437" s="25" t="s">
        <v>6067</v>
      </c>
      <c r="D437" s="23" t="s">
        <v>1268</v>
      </c>
      <c r="E437" s="43">
        <v>46125</v>
      </c>
      <c r="F437" s="26" t="s">
        <v>23</v>
      </c>
      <c r="G437" s="44" t="s">
        <v>1352</v>
      </c>
      <c r="H437" s="26" t="s">
        <v>25</v>
      </c>
      <c r="I437" s="44" t="s">
        <v>1352</v>
      </c>
      <c r="J437" s="26" t="s">
        <v>24</v>
      </c>
      <c r="K437" s="27"/>
      <c r="L437" s="28" t="s">
        <v>25</v>
      </c>
      <c r="M437" s="29" t="str">
        <f t="shared" si="30"/>
        <v>✓ OK</v>
      </c>
      <c r="N437" s="43">
        <v>46196</v>
      </c>
      <c r="O437" s="26" t="s">
        <v>23</v>
      </c>
      <c r="P437" s="44" t="s">
        <v>1352</v>
      </c>
      <c r="Q437" s="26" t="s">
        <v>25</v>
      </c>
      <c r="R437" s="44" t="s">
        <v>1352</v>
      </c>
      <c r="S437" s="26" t="s">
        <v>24</v>
      </c>
      <c r="T437" s="27"/>
      <c r="U437" s="28" t="s">
        <v>25</v>
      </c>
      <c r="V437" s="29" t="str">
        <f t="shared" si="31"/>
        <v>✓ OK</v>
      </c>
      <c r="W437" s="45">
        <v>46248</v>
      </c>
      <c r="X437" s="30" t="s">
        <v>23</v>
      </c>
      <c r="Y437" s="30" t="s">
        <v>1352</v>
      </c>
      <c r="Z437" s="30" t="s">
        <v>25</v>
      </c>
      <c r="AA437" s="30" t="s">
        <v>1352</v>
      </c>
      <c r="AB437" s="30" t="s">
        <v>24</v>
      </c>
      <c r="AC437" s="27"/>
      <c r="AD437" s="31" t="s">
        <v>25</v>
      </c>
      <c r="AE437" s="32" t="str">
        <f t="shared" si="32"/>
        <v>✓ OK</v>
      </c>
      <c r="AF437" s="33" t="s">
        <v>27</v>
      </c>
      <c r="AG437" s="33" t="s">
        <v>23</v>
      </c>
      <c r="AH437" s="33" t="s">
        <v>1352</v>
      </c>
      <c r="AI437" s="33" t="s">
        <v>25</v>
      </c>
      <c r="AJ437" s="33" t="s">
        <v>1352</v>
      </c>
      <c r="AK437" s="33" t="s">
        <v>24</v>
      </c>
      <c r="AL437" s="27"/>
      <c r="AM437" s="34" t="s">
        <v>25</v>
      </c>
      <c r="AN437" s="35" t="str">
        <f t="shared" si="33"/>
        <v>✓ OK</v>
      </c>
      <c r="AO437" s="36"/>
      <c r="AP437" s="36"/>
      <c r="AQ437" s="36"/>
      <c r="AR437" s="36"/>
      <c r="AS437" s="36"/>
      <c r="AT437" s="36"/>
      <c r="AU437" s="27"/>
      <c r="AV437" s="37"/>
      <c r="AW437" s="38" t="str">
        <f t="shared" si="34"/>
        <v/>
      </c>
    </row>
    <row r="438" spans="1:49" ht="18" customHeight="1" x14ac:dyDescent="0.3">
      <c r="A438" s="39">
        <v>434</v>
      </c>
      <c r="B438" s="40" t="s">
        <v>6068</v>
      </c>
      <c r="C438" s="41" t="s">
        <v>6069</v>
      </c>
      <c r="D438" s="39" t="s">
        <v>1268</v>
      </c>
      <c r="E438" s="43">
        <v>46125</v>
      </c>
      <c r="F438" s="26" t="s">
        <v>23</v>
      </c>
      <c r="G438" s="44" t="s">
        <v>24</v>
      </c>
      <c r="H438" s="26" t="s">
        <v>25</v>
      </c>
      <c r="I438" s="44" t="s">
        <v>26</v>
      </c>
      <c r="J438" s="26" t="s">
        <v>24</v>
      </c>
      <c r="K438" s="27"/>
      <c r="L438" s="28" t="s">
        <v>25</v>
      </c>
      <c r="M438" s="29" t="str">
        <f t="shared" si="30"/>
        <v>✓ OK</v>
      </c>
      <c r="N438" s="43">
        <v>46196</v>
      </c>
      <c r="O438" s="26" t="s">
        <v>23</v>
      </c>
      <c r="P438" s="44" t="s">
        <v>24</v>
      </c>
      <c r="Q438" s="26" t="s">
        <v>25</v>
      </c>
      <c r="R438" s="44" t="s">
        <v>26</v>
      </c>
      <c r="S438" s="26" t="s">
        <v>24</v>
      </c>
      <c r="T438" s="27"/>
      <c r="U438" s="28" t="s">
        <v>25</v>
      </c>
      <c r="V438" s="29" t="str">
        <f t="shared" si="31"/>
        <v>✓ OK</v>
      </c>
      <c r="W438" s="45">
        <v>46248</v>
      </c>
      <c r="X438" s="30" t="s">
        <v>23</v>
      </c>
      <c r="Y438" s="30" t="s">
        <v>24</v>
      </c>
      <c r="Z438" s="30" t="s">
        <v>25</v>
      </c>
      <c r="AA438" s="30" t="s">
        <v>26</v>
      </c>
      <c r="AB438" s="30" t="s">
        <v>24</v>
      </c>
      <c r="AC438" s="27"/>
      <c r="AD438" s="31" t="s">
        <v>25</v>
      </c>
      <c r="AE438" s="32" t="str">
        <f t="shared" si="32"/>
        <v>✓ OK</v>
      </c>
      <c r="AF438" s="33" t="s">
        <v>27</v>
      </c>
      <c r="AG438" s="33" t="s">
        <v>23</v>
      </c>
      <c r="AH438" s="33" t="s">
        <v>24</v>
      </c>
      <c r="AI438" s="33" t="s">
        <v>25</v>
      </c>
      <c r="AJ438" s="33" t="s">
        <v>26</v>
      </c>
      <c r="AK438" s="33" t="s">
        <v>24</v>
      </c>
      <c r="AL438" s="27"/>
      <c r="AM438" s="34" t="s">
        <v>25</v>
      </c>
      <c r="AN438" s="35" t="str">
        <f t="shared" si="33"/>
        <v>✓ OK</v>
      </c>
      <c r="AO438" s="36"/>
      <c r="AP438" s="36"/>
      <c r="AQ438" s="36"/>
      <c r="AR438" s="36"/>
      <c r="AS438" s="36"/>
      <c r="AT438" s="36"/>
      <c r="AU438" s="27"/>
      <c r="AV438" s="37"/>
      <c r="AW438" s="38" t="str">
        <f t="shared" si="34"/>
        <v/>
      </c>
    </row>
    <row r="439" spans="1:49" ht="18" customHeight="1" x14ac:dyDescent="0.3">
      <c r="A439" s="23">
        <v>435</v>
      </c>
      <c r="B439" s="24" t="s">
        <v>6070</v>
      </c>
      <c r="C439" s="25" t="s">
        <v>6071</v>
      </c>
      <c r="D439" s="23" t="s">
        <v>1268</v>
      </c>
      <c r="E439" s="43">
        <v>46125</v>
      </c>
      <c r="F439" s="26" t="s">
        <v>23</v>
      </c>
      <c r="G439" s="44" t="s">
        <v>1352</v>
      </c>
      <c r="H439" s="26" t="s">
        <v>25</v>
      </c>
      <c r="I439" s="44" t="s">
        <v>1352</v>
      </c>
      <c r="J439" s="26" t="s">
        <v>24</v>
      </c>
      <c r="K439" s="27"/>
      <c r="L439" s="28" t="s">
        <v>25</v>
      </c>
      <c r="M439" s="29" t="str">
        <f t="shared" si="30"/>
        <v>✓ OK</v>
      </c>
      <c r="N439" s="43">
        <v>46196</v>
      </c>
      <c r="O439" s="26" t="s">
        <v>23</v>
      </c>
      <c r="P439" s="44" t="s">
        <v>1352</v>
      </c>
      <c r="Q439" s="26" t="s">
        <v>25</v>
      </c>
      <c r="R439" s="44" t="s">
        <v>1352</v>
      </c>
      <c r="S439" s="26" t="s">
        <v>24</v>
      </c>
      <c r="T439" s="27"/>
      <c r="U439" s="28" t="s">
        <v>25</v>
      </c>
      <c r="V439" s="29" t="str">
        <f t="shared" si="31"/>
        <v>✓ OK</v>
      </c>
      <c r="W439" s="45">
        <v>46248</v>
      </c>
      <c r="X439" s="30" t="s">
        <v>23</v>
      </c>
      <c r="Y439" s="30" t="s">
        <v>1352</v>
      </c>
      <c r="Z439" s="30" t="s">
        <v>25</v>
      </c>
      <c r="AA439" s="30" t="s">
        <v>1352</v>
      </c>
      <c r="AB439" s="30" t="s">
        <v>24</v>
      </c>
      <c r="AC439" s="27"/>
      <c r="AD439" s="31" t="s">
        <v>25</v>
      </c>
      <c r="AE439" s="32" t="str">
        <f t="shared" si="32"/>
        <v>✓ OK</v>
      </c>
      <c r="AF439" s="33" t="s">
        <v>27</v>
      </c>
      <c r="AG439" s="33" t="s">
        <v>23</v>
      </c>
      <c r="AH439" s="33" t="s">
        <v>1352</v>
      </c>
      <c r="AI439" s="33" t="s">
        <v>25</v>
      </c>
      <c r="AJ439" s="33" t="s">
        <v>1352</v>
      </c>
      <c r="AK439" s="33" t="s">
        <v>24</v>
      </c>
      <c r="AL439" s="27"/>
      <c r="AM439" s="34" t="s">
        <v>25</v>
      </c>
      <c r="AN439" s="35" t="str">
        <f t="shared" si="33"/>
        <v>✓ OK</v>
      </c>
      <c r="AO439" s="36"/>
      <c r="AP439" s="36"/>
      <c r="AQ439" s="36"/>
      <c r="AR439" s="36"/>
      <c r="AS439" s="36"/>
      <c r="AT439" s="36"/>
      <c r="AU439" s="27"/>
      <c r="AV439" s="37"/>
      <c r="AW439" s="38" t="str">
        <f t="shared" si="34"/>
        <v/>
      </c>
    </row>
    <row r="440" spans="1:49" ht="18" customHeight="1" x14ac:dyDescent="0.3">
      <c r="A440" s="39">
        <v>436</v>
      </c>
      <c r="B440" s="40" t="s">
        <v>6072</v>
      </c>
      <c r="C440" s="41" t="s">
        <v>6073</v>
      </c>
      <c r="D440" s="39" t="s">
        <v>1268</v>
      </c>
      <c r="E440" s="43">
        <v>46125</v>
      </c>
      <c r="F440" s="26" t="s">
        <v>23</v>
      </c>
      <c r="G440" s="44" t="s">
        <v>1352</v>
      </c>
      <c r="H440" s="26" t="s">
        <v>25</v>
      </c>
      <c r="I440" s="44" t="s">
        <v>1352</v>
      </c>
      <c r="J440" s="26" t="s">
        <v>24</v>
      </c>
      <c r="K440" s="27"/>
      <c r="L440" s="28" t="s">
        <v>25</v>
      </c>
      <c r="M440" s="29" t="str">
        <f t="shared" si="30"/>
        <v>✓ OK</v>
      </c>
      <c r="N440" s="43">
        <v>46196</v>
      </c>
      <c r="O440" s="26" t="s">
        <v>23</v>
      </c>
      <c r="P440" s="44" t="s">
        <v>1352</v>
      </c>
      <c r="Q440" s="26" t="s">
        <v>25</v>
      </c>
      <c r="R440" s="44" t="s">
        <v>1352</v>
      </c>
      <c r="S440" s="26" t="s">
        <v>24</v>
      </c>
      <c r="T440" s="27"/>
      <c r="U440" s="28" t="s">
        <v>25</v>
      </c>
      <c r="V440" s="29" t="str">
        <f t="shared" si="31"/>
        <v>✓ OK</v>
      </c>
      <c r="W440" s="45">
        <v>46248</v>
      </c>
      <c r="X440" s="30" t="s">
        <v>23</v>
      </c>
      <c r="Y440" s="30" t="s">
        <v>25</v>
      </c>
      <c r="Z440" s="30" t="s">
        <v>24</v>
      </c>
      <c r="AA440" s="30" t="s">
        <v>135</v>
      </c>
      <c r="AB440" s="30" t="s">
        <v>25</v>
      </c>
      <c r="AC440" s="27"/>
      <c r="AD440" s="31" t="s">
        <v>25</v>
      </c>
      <c r="AE440" s="32" t="str">
        <f t="shared" si="32"/>
        <v>❌ Disc</v>
      </c>
      <c r="AF440" s="33" t="s">
        <v>27</v>
      </c>
      <c r="AG440" s="33" t="s">
        <v>23</v>
      </c>
      <c r="AH440" s="33" t="s">
        <v>25</v>
      </c>
      <c r="AI440" s="33" t="s">
        <v>24</v>
      </c>
      <c r="AJ440" s="33" t="s">
        <v>135</v>
      </c>
      <c r="AK440" s="33" t="s">
        <v>25</v>
      </c>
      <c r="AL440" s="27"/>
      <c r="AM440" s="34" t="s">
        <v>25</v>
      </c>
      <c r="AN440" s="35" t="str">
        <f t="shared" si="33"/>
        <v>❌ Disc</v>
      </c>
      <c r="AO440" s="36"/>
      <c r="AP440" s="36"/>
      <c r="AQ440" s="36"/>
      <c r="AR440" s="36"/>
      <c r="AS440" s="36"/>
      <c r="AT440" s="36"/>
      <c r="AU440" s="27"/>
      <c r="AV440" s="37"/>
      <c r="AW440" s="38" t="str">
        <f t="shared" si="34"/>
        <v/>
      </c>
    </row>
    <row r="441" spans="1:49" ht="18" customHeight="1" x14ac:dyDescent="0.3">
      <c r="A441" s="23">
        <v>437</v>
      </c>
      <c r="B441" s="24" t="s">
        <v>6074</v>
      </c>
      <c r="C441" s="25" t="s">
        <v>6075</v>
      </c>
      <c r="D441" s="23" t="s">
        <v>1268</v>
      </c>
      <c r="E441" s="43">
        <v>46125</v>
      </c>
      <c r="F441" s="26" t="s">
        <v>23</v>
      </c>
      <c r="G441" s="44" t="s">
        <v>1352</v>
      </c>
      <c r="H441" s="26" t="s">
        <v>25</v>
      </c>
      <c r="I441" s="44" t="s">
        <v>1352</v>
      </c>
      <c r="J441" s="26" t="s">
        <v>24</v>
      </c>
      <c r="K441" s="27"/>
      <c r="L441" s="28" t="s">
        <v>25</v>
      </c>
      <c r="M441" s="29" t="str">
        <f t="shared" si="30"/>
        <v>✓ OK</v>
      </c>
      <c r="N441" s="43">
        <v>46196</v>
      </c>
      <c r="O441" s="26" t="s">
        <v>23</v>
      </c>
      <c r="P441" s="44" t="s">
        <v>1352</v>
      </c>
      <c r="Q441" s="26" t="s">
        <v>25</v>
      </c>
      <c r="R441" s="44" t="s">
        <v>1352</v>
      </c>
      <c r="S441" s="26" t="s">
        <v>24</v>
      </c>
      <c r="T441" s="27"/>
      <c r="U441" s="28" t="s">
        <v>25</v>
      </c>
      <c r="V441" s="29" t="str">
        <f t="shared" si="31"/>
        <v>✓ OK</v>
      </c>
      <c r="W441" s="45">
        <v>46248</v>
      </c>
      <c r="X441" s="30" t="s">
        <v>23</v>
      </c>
      <c r="Y441" s="30" t="s">
        <v>1352</v>
      </c>
      <c r="Z441" s="30" t="s">
        <v>25</v>
      </c>
      <c r="AA441" s="30" t="s">
        <v>1352</v>
      </c>
      <c r="AB441" s="30" t="s">
        <v>24</v>
      </c>
      <c r="AC441" s="27"/>
      <c r="AD441" s="31" t="s">
        <v>25</v>
      </c>
      <c r="AE441" s="32" t="str">
        <f t="shared" si="32"/>
        <v>✓ OK</v>
      </c>
      <c r="AF441" s="33" t="s">
        <v>27</v>
      </c>
      <c r="AG441" s="33" t="s">
        <v>23</v>
      </c>
      <c r="AH441" s="33" t="s">
        <v>1352</v>
      </c>
      <c r="AI441" s="33" t="s">
        <v>25</v>
      </c>
      <c r="AJ441" s="33" t="s">
        <v>1352</v>
      </c>
      <c r="AK441" s="33" t="s">
        <v>24</v>
      </c>
      <c r="AL441" s="27"/>
      <c r="AM441" s="34" t="s">
        <v>25</v>
      </c>
      <c r="AN441" s="35" t="str">
        <f t="shared" si="33"/>
        <v>✓ OK</v>
      </c>
      <c r="AO441" s="36"/>
      <c r="AP441" s="36"/>
      <c r="AQ441" s="36"/>
      <c r="AR441" s="36"/>
      <c r="AS441" s="36"/>
      <c r="AT441" s="36"/>
      <c r="AU441" s="27"/>
      <c r="AV441" s="37"/>
      <c r="AW441" s="38" t="str">
        <f t="shared" si="34"/>
        <v/>
      </c>
    </row>
    <row r="442" spans="1:49" ht="18" customHeight="1" x14ac:dyDescent="0.3">
      <c r="A442" s="39">
        <v>438</v>
      </c>
      <c r="B442" s="40" t="s">
        <v>6076</v>
      </c>
      <c r="C442" s="41" t="s">
        <v>6077</v>
      </c>
      <c r="D442" s="39" t="s">
        <v>1268</v>
      </c>
      <c r="E442" s="43">
        <v>46125</v>
      </c>
      <c r="F442" s="26" t="s">
        <v>23</v>
      </c>
      <c r="G442" s="44" t="s">
        <v>1352</v>
      </c>
      <c r="H442" s="26" t="s">
        <v>25</v>
      </c>
      <c r="I442" s="44" t="s">
        <v>1352</v>
      </c>
      <c r="J442" s="26" t="s">
        <v>24</v>
      </c>
      <c r="K442" s="27"/>
      <c r="L442" s="28" t="s">
        <v>25</v>
      </c>
      <c r="M442" s="29" t="str">
        <f t="shared" si="30"/>
        <v>✓ OK</v>
      </c>
      <c r="N442" s="43">
        <v>46196</v>
      </c>
      <c r="O442" s="26" t="s">
        <v>23</v>
      </c>
      <c r="P442" s="44" t="s">
        <v>1352</v>
      </c>
      <c r="Q442" s="26" t="s">
        <v>25</v>
      </c>
      <c r="R442" s="44" t="s">
        <v>1352</v>
      </c>
      <c r="S442" s="26" t="s">
        <v>24</v>
      </c>
      <c r="T442" s="27"/>
      <c r="U442" s="28" t="s">
        <v>25</v>
      </c>
      <c r="V442" s="29" t="str">
        <f t="shared" si="31"/>
        <v>✓ OK</v>
      </c>
      <c r="W442" s="45">
        <v>46248</v>
      </c>
      <c r="X442" s="30" t="s">
        <v>23</v>
      </c>
      <c r="Y442" s="30" t="s">
        <v>1352</v>
      </c>
      <c r="Z442" s="30" t="s">
        <v>25</v>
      </c>
      <c r="AA442" s="30" t="s">
        <v>1352</v>
      </c>
      <c r="AB442" s="30" t="s">
        <v>24</v>
      </c>
      <c r="AC442" s="27"/>
      <c r="AD442" s="31" t="s">
        <v>25</v>
      </c>
      <c r="AE442" s="32" t="str">
        <f t="shared" si="32"/>
        <v>✓ OK</v>
      </c>
      <c r="AF442" s="33" t="s">
        <v>27</v>
      </c>
      <c r="AG442" s="33" t="s">
        <v>23</v>
      </c>
      <c r="AH442" s="33" t="s">
        <v>1352</v>
      </c>
      <c r="AI442" s="33" t="s">
        <v>25</v>
      </c>
      <c r="AJ442" s="33" t="s">
        <v>1352</v>
      </c>
      <c r="AK442" s="33" t="s">
        <v>24</v>
      </c>
      <c r="AL442" s="27"/>
      <c r="AM442" s="34" t="s">
        <v>25</v>
      </c>
      <c r="AN442" s="35" t="str">
        <f t="shared" si="33"/>
        <v>✓ OK</v>
      </c>
      <c r="AO442" s="36"/>
      <c r="AP442" s="36"/>
      <c r="AQ442" s="36"/>
      <c r="AR442" s="36"/>
      <c r="AS442" s="36"/>
      <c r="AT442" s="36"/>
      <c r="AU442" s="27"/>
      <c r="AV442" s="37"/>
      <c r="AW442" s="38" t="str">
        <f t="shared" si="34"/>
        <v/>
      </c>
    </row>
    <row r="443" spans="1:49" ht="18" customHeight="1" x14ac:dyDescent="0.3">
      <c r="A443" s="23">
        <v>439</v>
      </c>
      <c r="B443" s="24" t="s">
        <v>6078</v>
      </c>
      <c r="C443" s="25" t="s">
        <v>6079</v>
      </c>
      <c r="D443" s="23" t="s">
        <v>1268</v>
      </c>
      <c r="E443" s="43">
        <v>46125</v>
      </c>
      <c r="F443" s="26" t="s">
        <v>23</v>
      </c>
      <c r="G443" s="44" t="s">
        <v>1352</v>
      </c>
      <c r="H443" s="26" t="s">
        <v>25</v>
      </c>
      <c r="I443" s="44" t="s">
        <v>1352</v>
      </c>
      <c r="J443" s="26" t="s">
        <v>24</v>
      </c>
      <c r="K443" s="27"/>
      <c r="L443" s="28" t="s">
        <v>25</v>
      </c>
      <c r="M443" s="29" t="str">
        <f t="shared" si="30"/>
        <v>✓ OK</v>
      </c>
      <c r="N443" s="43">
        <v>46196</v>
      </c>
      <c r="O443" s="26" t="s">
        <v>23</v>
      </c>
      <c r="P443" s="44" t="s">
        <v>1352</v>
      </c>
      <c r="Q443" s="26" t="s">
        <v>25</v>
      </c>
      <c r="R443" s="44" t="s">
        <v>1352</v>
      </c>
      <c r="S443" s="26" t="s">
        <v>24</v>
      </c>
      <c r="T443" s="27"/>
      <c r="U443" s="28" t="s">
        <v>25</v>
      </c>
      <c r="V443" s="29" t="str">
        <f t="shared" si="31"/>
        <v>✓ OK</v>
      </c>
      <c r="W443" s="45">
        <v>46248</v>
      </c>
      <c r="X443" s="30" t="s">
        <v>23</v>
      </c>
      <c r="Y443" s="30" t="s">
        <v>1352</v>
      </c>
      <c r="Z443" s="30" t="s">
        <v>25</v>
      </c>
      <c r="AA443" s="30" t="s">
        <v>1352</v>
      </c>
      <c r="AB443" s="30" t="s">
        <v>24</v>
      </c>
      <c r="AC443" s="27"/>
      <c r="AD443" s="31" t="s">
        <v>25</v>
      </c>
      <c r="AE443" s="32" t="str">
        <f t="shared" si="32"/>
        <v>✓ OK</v>
      </c>
      <c r="AF443" s="33" t="s">
        <v>27</v>
      </c>
      <c r="AG443" s="33" t="s">
        <v>23</v>
      </c>
      <c r="AH443" s="33" t="s">
        <v>1352</v>
      </c>
      <c r="AI443" s="33" t="s">
        <v>25</v>
      </c>
      <c r="AJ443" s="33" t="s">
        <v>1352</v>
      </c>
      <c r="AK443" s="33" t="s">
        <v>24</v>
      </c>
      <c r="AL443" s="27"/>
      <c r="AM443" s="34" t="s">
        <v>25</v>
      </c>
      <c r="AN443" s="35" t="str">
        <f t="shared" si="33"/>
        <v>✓ OK</v>
      </c>
      <c r="AO443" s="36"/>
      <c r="AP443" s="36"/>
      <c r="AQ443" s="36"/>
      <c r="AR443" s="36"/>
      <c r="AS443" s="36"/>
      <c r="AT443" s="36"/>
      <c r="AU443" s="27"/>
      <c r="AV443" s="37"/>
      <c r="AW443" s="38" t="str">
        <f t="shared" si="34"/>
        <v/>
      </c>
    </row>
    <row r="444" spans="1:49" ht="18" customHeight="1" x14ac:dyDescent="0.3">
      <c r="A444" s="39">
        <v>440</v>
      </c>
      <c r="B444" s="40" t="s">
        <v>6080</v>
      </c>
      <c r="C444" s="41" t="s">
        <v>6081</v>
      </c>
      <c r="D444" s="39" t="s">
        <v>1268</v>
      </c>
      <c r="E444" s="43">
        <v>46125</v>
      </c>
      <c r="F444" s="26" t="s">
        <v>23</v>
      </c>
      <c r="G444" s="44" t="s">
        <v>24</v>
      </c>
      <c r="H444" s="26" t="s">
        <v>25</v>
      </c>
      <c r="I444" s="44" t="s">
        <v>26</v>
      </c>
      <c r="J444" s="26" t="s">
        <v>24</v>
      </c>
      <c r="K444" s="27"/>
      <c r="L444" s="28" t="s">
        <v>25</v>
      </c>
      <c r="M444" s="29" t="str">
        <f t="shared" si="30"/>
        <v>✓ OK</v>
      </c>
      <c r="N444" s="43">
        <v>46196</v>
      </c>
      <c r="O444" s="26" t="s">
        <v>23</v>
      </c>
      <c r="P444" s="44" t="s">
        <v>24</v>
      </c>
      <c r="Q444" s="26" t="s">
        <v>25</v>
      </c>
      <c r="R444" s="44" t="s">
        <v>26</v>
      </c>
      <c r="S444" s="26" t="s">
        <v>24</v>
      </c>
      <c r="T444" s="27"/>
      <c r="U444" s="28" t="s">
        <v>25</v>
      </c>
      <c r="V444" s="29" t="str">
        <f t="shared" si="31"/>
        <v>✓ OK</v>
      </c>
      <c r="W444" s="45">
        <v>46248</v>
      </c>
      <c r="X444" s="30" t="s">
        <v>23</v>
      </c>
      <c r="Y444" s="30" t="s">
        <v>24</v>
      </c>
      <c r="Z444" s="30" t="s">
        <v>25</v>
      </c>
      <c r="AA444" s="30" t="s">
        <v>26</v>
      </c>
      <c r="AB444" s="30" t="s">
        <v>24</v>
      </c>
      <c r="AC444" s="27"/>
      <c r="AD444" s="31" t="s">
        <v>25</v>
      </c>
      <c r="AE444" s="32" t="str">
        <f t="shared" si="32"/>
        <v>✓ OK</v>
      </c>
      <c r="AF444" s="33" t="s">
        <v>27</v>
      </c>
      <c r="AG444" s="33" t="s">
        <v>23</v>
      </c>
      <c r="AH444" s="33" t="s">
        <v>24</v>
      </c>
      <c r="AI444" s="33" t="s">
        <v>25</v>
      </c>
      <c r="AJ444" s="33" t="s">
        <v>26</v>
      </c>
      <c r="AK444" s="33" t="s">
        <v>24</v>
      </c>
      <c r="AL444" s="27"/>
      <c r="AM444" s="34" t="s">
        <v>25</v>
      </c>
      <c r="AN444" s="35" t="str">
        <f t="shared" si="33"/>
        <v>✓ OK</v>
      </c>
      <c r="AO444" s="36"/>
      <c r="AP444" s="36"/>
      <c r="AQ444" s="36"/>
      <c r="AR444" s="36"/>
      <c r="AS444" s="36"/>
      <c r="AT444" s="36"/>
      <c r="AU444" s="27"/>
      <c r="AV444" s="37"/>
      <c r="AW444" s="38" t="str">
        <f t="shared" si="34"/>
        <v/>
      </c>
    </row>
    <row r="445" spans="1:49" ht="18" customHeight="1" x14ac:dyDescent="0.3">
      <c r="A445" s="23">
        <v>441</v>
      </c>
      <c r="B445" s="24" t="s">
        <v>6082</v>
      </c>
      <c r="C445" s="25" t="s">
        <v>6083</v>
      </c>
      <c r="D445" s="23" t="s">
        <v>1268</v>
      </c>
      <c r="E445" s="43">
        <v>46125</v>
      </c>
      <c r="F445" s="26" t="s">
        <v>23</v>
      </c>
      <c r="G445" s="44" t="s">
        <v>1352</v>
      </c>
      <c r="H445" s="26" t="s">
        <v>25</v>
      </c>
      <c r="I445" s="44" t="s">
        <v>1352</v>
      </c>
      <c r="J445" s="26" t="s">
        <v>24</v>
      </c>
      <c r="K445" s="27"/>
      <c r="L445" s="28" t="s">
        <v>25</v>
      </c>
      <c r="M445" s="29" t="str">
        <f t="shared" si="30"/>
        <v>✓ OK</v>
      </c>
      <c r="N445" s="43">
        <v>46196</v>
      </c>
      <c r="O445" s="26" t="s">
        <v>23</v>
      </c>
      <c r="P445" s="44" t="s">
        <v>1352</v>
      </c>
      <c r="Q445" s="26" t="s">
        <v>25</v>
      </c>
      <c r="R445" s="44" t="s">
        <v>1352</v>
      </c>
      <c r="S445" s="26" t="s">
        <v>24</v>
      </c>
      <c r="T445" s="27"/>
      <c r="U445" s="28" t="s">
        <v>25</v>
      </c>
      <c r="V445" s="29" t="str">
        <f t="shared" si="31"/>
        <v>✓ OK</v>
      </c>
      <c r="W445" s="45">
        <v>46248</v>
      </c>
      <c r="X445" s="30" t="s">
        <v>23</v>
      </c>
      <c r="Y445" s="30" t="s">
        <v>1352</v>
      </c>
      <c r="Z445" s="30" t="s">
        <v>25</v>
      </c>
      <c r="AA445" s="30" t="s">
        <v>1352</v>
      </c>
      <c r="AB445" s="30" t="s">
        <v>24</v>
      </c>
      <c r="AC445" s="27"/>
      <c r="AD445" s="31" t="s">
        <v>25</v>
      </c>
      <c r="AE445" s="32" t="str">
        <f t="shared" si="32"/>
        <v>✓ OK</v>
      </c>
      <c r="AF445" s="33" t="s">
        <v>27</v>
      </c>
      <c r="AG445" s="33" t="s">
        <v>23</v>
      </c>
      <c r="AH445" s="33" t="s">
        <v>1352</v>
      </c>
      <c r="AI445" s="33" t="s">
        <v>25</v>
      </c>
      <c r="AJ445" s="33" t="s">
        <v>1352</v>
      </c>
      <c r="AK445" s="33" t="s">
        <v>24</v>
      </c>
      <c r="AL445" s="27"/>
      <c r="AM445" s="34" t="s">
        <v>25</v>
      </c>
      <c r="AN445" s="35" t="str">
        <f t="shared" si="33"/>
        <v>✓ OK</v>
      </c>
      <c r="AO445" s="36"/>
      <c r="AP445" s="36"/>
      <c r="AQ445" s="36"/>
      <c r="AR445" s="36"/>
      <c r="AS445" s="36"/>
      <c r="AT445" s="36"/>
      <c r="AU445" s="27"/>
      <c r="AV445" s="37"/>
      <c r="AW445" s="38" t="str">
        <f t="shared" si="34"/>
        <v/>
      </c>
    </row>
    <row r="446" spans="1:49" ht="18" customHeight="1" x14ac:dyDescent="0.3">
      <c r="A446" s="39">
        <v>442</v>
      </c>
      <c r="B446" s="40" t="s">
        <v>6084</v>
      </c>
      <c r="C446" s="41" t="s">
        <v>6085</v>
      </c>
      <c r="D446" s="39" t="s">
        <v>1268</v>
      </c>
      <c r="E446" s="43">
        <v>46125</v>
      </c>
      <c r="F446" s="26" t="s">
        <v>23</v>
      </c>
      <c r="G446" s="44" t="s">
        <v>1352</v>
      </c>
      <c r="H446" s="26" t="s">
        <v>25</v>
      </c>
      <c r="I446" s="44" t="s">
        <v>1352</v>
      </c>
      <c r="J446" s="26" t="s">
        <v>24</v>
      </c>
      <c r="K446" s="27"/>
      <c r="L446" s="28" t="s">
        <v>25</v>
      </c>
      <c r="M446" s="29" t="str">
        <f t="shared" si="30"/>
        <v>✓ OK</v>
      </c>
      <c r="N446" s="43">
        <v>46196</v>
      </c>
      <c r="O446" s="26" t="s">
        <v>23</v>
      </c>
      <c r="P446" s="44" t="s">
        <v>1352</v>
      </c>
      <c r="Q446" s="26" t="s">
        <v>25</v>
      </c>
      <c r="R446" s="44" t="s">
        <v>1352</v>
      </c>
      <c r="S446" s="26" t="s">
        <v>24</v>
      </c>
      <c r="T446" s="27"/>
      <c r="U446" s="28" t="s">
        <v>25</v>
      </c>
      <c r="V446" s="29" t="str">
        <f t="shared" si="31"/>
        <v>✓ OK</v>
      </c>
      <c r="W446" s="45">
        <v>46248</v>
      </c>
      <c r="X446" s="30" t="s">
        <v>23</v>
      </c>
      <c r="Y446" s="30" t="s">
        <v>1352</v>
      </c>
      <c r="Z446" s="30" t="s">
        <v>25</v>
      </c>
      <c r="AA446" s="30" t="s">
        <v>1352</v>
      </c>
      <c r="AB446" s="30" t="s">
        <v>24</v>
      </c>
      <c r="AC446" s="27"/>
      <c r="AD446" s="31" t="s">
        <v>25</v>
      </c>
      <c r="AE446" s="32" t="str">
        <f t="shared" si="32"/>
        <v>✓ OK</v>
      </c>
      <c r="AF446" s="33" t="s">
        <v>27</v>
      </c>
      <c r="AG446" s="33" t="s">
        <v>23</v>
      </c>
      <c r="AH446" s="33" t="s">
        <v>1352</v>
      </c>
      <c r="AI446" s="33" t="s">
        <v>25</v>
      </c>
      <c r="AJ446" s="33" t="s">
        <v>1352</v>
      </c>
      <c r="AK446" s="33" t="s">
        <v>24</v>
      </c>
      <c r="AL446" s="27"/>
      <c r="AM446" s="34" t="s">
        <v>25</v>
      </c>
      <c r="AN446" s="35" t="str">
        <f t="shared" si="33"/>
        <v>✓ OK</v>
      </c>
      <c r="AO446" s="36"/>
      <c r="AP446" s="36"/>
      <c r="AQ446" s="36"/>
      <c r="AR446" s="36"/>
      <c r="AS446" s="36"/>
      <c r="AT446" s="36"/>
      <c r="AU446" s="27"/>
      <c r="AV446" s="37"/>
      <c r="AW446" s="38" t="str">
        <f t="shared" si="34"/>
        <v/>
      </c>
    </row>
    <row r="447" spans="1:49" ht="18" customHeight="1" x14ac:dyDescent="0.3">
      <c r="A447" s="23">
        <v>443</v>
      </c>
      <c r="B447" s="24" t="s">
        <v>6086</v>
      </c>
      <c r="C447" s="25" t="s">
        <v>6087</v>
      </c>
      <c r="D447" s="23" t="s">
        <v>1268</v>
      </c>
      <c r="E447" s="43">
        <v>46125</v>
      </c>
      <c r="F447" s="26" t="s">
        <v>23</v>
      </c>
      <c r="G447" s="44" t="s">
        <v>1352</v>
      </c>
      <c r="H447" s="26" t="s">
        <v>25</v>
      </c>
      <c r="I447" s="44" t="s">
        <v>1352</v>
      </c>
      <c r="J447" s="26" t="s">
        <v>24</v>
      </c>
      <c r="K447" s="27"/>
      <c r="L447" s="28" t="s">
        <v>25</v>
      </c>
      <c r="M447" s="29" t="str">
        <f t="shared" si="30"/>
        <v>✓ OK</v>
      </c>
      <c r="N447" s="43">
        <v>46196</v>
      </c>
      <c r="O447" s="26" t="s">
        <v>23</v>
      </c>
      <c r="P447" s="44" t="s">
        <v>1352</v>
      </c>
      <c r="Q447" s="26" t="s">
        <v>25</v>
      </c>
      <c r="R447" s="44" t="s">
        <v>1352</v>
      </c>
      <c r="S447" s="26" t="s">
        <v>24</v>
      </c>
      <c r="T447" s="27"/>
      <c r="U447" s="28" t="s">
        <v>25</v>
      </c>
      <c r="V447" s="29" t="str">
        <f t="shared" si="31"/>
        <v>✓ OK</v>
      </c>
      <c r="W447" s="45">
        <v>46248</v>
      </c>
      <c r="X447" s="30" t="s">
        <v>23</v>
      </c>
      <c r="Y447" s="30" t="s">
        <v>1352</v>
      </c>
      <c r="Z447" s="30" t="s">
        <v>25</v>
      </c>
      <c r="AA447" s="30" t="s">
        <v>1352</v>
      </c>
      <c r="AB447" s="30" t="s">
        <v>24</v>
      </c>
      <c r="AC447" s="27"/>
      <c r="AD447" s="31" t="s">
        <v>25</v>
      </c>
      <c r="AE447" s="32" t="str">
        <f t="shared" si="32"/>
        <v>✓ OK</v>
      </c>
      <c r="AF447" s="33" t="s">
        <v>27</v>
      </c>
      <c r="AG447" s="33" t="s">
        <v>23</v>
      </c>
      <c r="AH447" s="33" t="s">
        <v>1352</v>
      </c>
      <c r="AI447" s="33" t="s">
        <v>25</v>
      </c>
      <c r="AJ447" s="33" t="s">
        <v>1352</v>
      </c>
      <c r="AK447" s="33" t="s">
        <v>24</v>
      </c>
      <c r="AL447" s="27"/>
      <c r="AM447" s="34" t="s">
        <v>25</v>
      </c>
      <c r="AN447" s="35" t="str">
        <f t="shared" si="33"/>
        <v>✓ OK</v>
      </c>
      <c r="AO447" s="36"/>
      <c r="AP447" s="36"/>
      <c r="AQ447" s="36"/>
      <c r="AR447" s="36"/>
      <c r="AS447" s="36"/>
      <c r="AT447" s="36"/>
      <c r="AU447" s="27"/>
      <c r="AV447" s="37"/>
      <c r="AW447" s="38" t="str">
        <f t="shared" si="34"/>
        <v/>
      </c>
    </row>
    <row r="448" spans="1:49" ht="18" customHeight="1" x14ac:dyDescent="0.3">
      <c r="A448" s="39">
        <v>444</v>
      </c>
      <c r="B448" s="40" t="s">
        <v>6088</v>
      </c>
      <c r="C448" s="41" t="s">
        <v>6089</v>
      </c>
      <c r="D448" s="39" t="s">
        <v>1268</v>
      </c>
      <c r="E448" s="43">
        <v>46125</v>
      </c>
      <c r="F448" s="26" t="s">
        <v>23</v>
      </c>
      <c r="G448" s="44" t="s">
        <v>1352</v>
      </c>
      <c r="H448" s="26" t="s">
        <v>25</v>
      </c>
      <c r="I448" s="44" t="s">
        <v>1352</v>
      </c>
      <c r="J448" s="26" t="s">
        <v>24</v>
      </c>
      <c r="K448" s="27"/>
      <c r="L448" s="28" t="s">
        <v>25</v>
      </c>
      <c r="M448" s="29" t="str">
        <f t="shared" si="30"/>
        <v>✓ OK</v>
      </c>
      <c r="N448" s="43">
        <v>46196</v>
      </c>
      <c r="O448" s="26" t="s">
        <v>23</v>
      </c>
      <c r="P448" s="44" t="s">
        <v>1352</v>
      </c>
      <c r="Q448" s="26" t="s">
        <v>25</v>
      </c>
      <c r="R448" s="44" t="s">
        <v>1352</v>
      </c>
      <c r="S448" s="26" t="s">
        <v>24</v>
      </c>
      <c r="T448" s="27"/>
      <c r="U448" s="28" t="s">
        <v>25</v>
      </c>
      <c r="V448" s="29" t="str">
        <f t="shared" si="31"/>
        <v>✓ OK</v>
      </c>
      <c r="W448" s="45">
        <v>46248</v>
      </c>
      <c r="X448" s="30" t="s">
        <v>23</v>
      </c>
      <c r="Y448" s="30" t="s">
        <v>1352</v>
      </c>
      <c r="Z448" s="30" t="s">
        <v>25</v>
      </c>
      <c r="AA448" s="30" t="s">
        <v>1352</v>
      </c>
      <c r="AB448" s="30" t="s">
        <v>24</v>
      </c>
      <c r="AC448" s="27"/>
      <c r="AD448" s="31" t="s">
        <v>25</v>
      </c>
      <c r="AE448" s="32" t="str">
        <f t="shared" si="32"/>
        <v>✓ OK</v>
      </c>
      <c r="AF448" s="33" t="s">
        <v>27</v>
      </c>
      <c r="AG448" s="33" t="s">
        <v>23</v>
      </c>
      <c r="AH448" s="33" t="s">
        <v>1352</v>
      </c>
      <c r="AI448" s="33" t="s">
        <v>25</v>
      </c>
      <c r="AJ448" s="33" t="s">
        <v>1352</v>
      </c>
      <c r="AK448" s="33" t="s">
        <v>24</v>
      </c>
      <c r="AL448" s="27"/>
      <c r="AM448" s="34" t="s">
        <v>25</v>
      </c>
      <c r="AN448" s="35" t="str">
        <f t="shared" si="33"/>
        <v>✓ OK</v>
      </c>
      <c r="AO448" s="36"/>
      <c r="AP448" s="36"/>
      <c r="AQ448" s="36"/>
      <c r="AR448" s="36"/>
      <c r="AS448" s="36"/>
      <c r="AT448" s="36"/>
      <c r="AU448" s="27"/>
      <c r="AV448" s="37"/>
      <c r="AW448" s="38" t="str">
        <f t="shared" si="34"/>
        <v/>
      </c>
    </row>
    <row r="449" spans="1:49" ht="18" customHeight="1" x14ac:dyDescent="0.3">
      <c r="A449" s="23">
        <v>445</v>
      </c>
      <c r="B449" s="24" t="s">
        <v>6090</v>
      </c>
      <c r="C449" s="25" t="s">
        <v>6091</v>
      </c>
      <c r="D449" s="23" t="s">
        <v>1268</v>
      </c>
      <c r="E449" s="43">
        <v>46125</v>
      </c>
      <c r="F449" s="26" t="s">
        <v>23</v>
      </c>
      <c r="G449" s="44" t="s">
        <v>1352</v>
      </c>
      <c r="H449" s="26" t="s">
        <v>25</v>
      </c>
      <c r="I449" s="44" t="s">
        <v>1352</v>
      </c>
      <c r="J449" s="26" t="s">
        <v>24</v>
      </c>
      <c r="K449" s="27"/>
      <c r="L449" s="28" t="s">
        <v>25</v>
      </c>
      <c r="M449" s="29" t="str">
        <f t="shared" si="30"/>
        <v>✓ OK</v>
      </c>
      <c r="N449" s="43">
        <v>46196</v>
      </c>
      <c r="O449" s="26" t="s">
        <v>23</v>
      </c>
      <c r="P449" s="44" t="s">
        <v>1352</v>
      </c>
      <c r="Q449" s="26" t="s">
        <v>25</v>
      </c>
      <c r="R449" s="44" t="s">
        <v>1352</v>
      </c>
      <c r="S449" s="26" t="s">
        <v>24</v>
      </c>
      <c r="T449" s="27"/>
      <c r="U449" s="28" t="s">
        <v>25</v>
      </c>
      <c r="V449" s="29" t="str">
        <f t="shared" si="31"/>
        <v>✓ OK</v>
      </c>
      <c r="W449" s="45">
        <v>46248</v>
      </c>
      <c r="X449" s="30" t="s">
        <v>23</v>
      </c>
      <c r="Y449" s="30" t="s">
        <v>1352</v>
      </c>
      <c r="Z449" s="30" t="s">
        <v>25</v>
      </c>
      <c r="AA449" s="30" t="s">
        <v>1352</v>
      </c>
      <c r="AB449" s="30" t="s">
        <v>24</v>
      </c>
      <c r="AC449" s="27"/>
      <c r="AD449" s="31" t="s">
        <v>25</v>
      </c>
      <c r="AE449" s="32" t="str">
        <f t="shared" si="32"/>
        <v>✓ OK</v>
      </c>
      <c r="AF449" s="33" t="s">
        <v>27</v>
      </c>
      <c r="AG449" s="33" t="s">
        <v>23</v>
      </c>
      <c r="AH449" s="33" t="s">
        <v>1352</v>
      </c>
      <c r="AI449" s="33" t="s">
        <v>25</v>
      </c>
      <c r="AJ449" s="33" t="s">
        <v>1352</v>
      </c>
      <c r="AK449" s="33" t="s">
        <v>24</v>
      </c>
      <c r="AL449" s="27"/>
      <c r="AM449" s="34" t="s">
        <v>25</v>
      </c>
      <c r="AN449" s="35" t="str">
        <f t="shared" si="33"/>
        <v>✓ OK</v>
      </c>
      <c r="AO449" s="36"/>
      <c r="AP449" s="36"/>
      <c r="AQ449" s="36"/>
      <c r="AR449" s="36"/>
      <c r="AS449" s="36"/>
      <c r="AT449" s="36"/>
      <c r="AU449" s="27"/>
      <c r="AV449" s="37"/>
      <c r="AW449" s="38" t="str">
        <f t="shared" si="34"/>
        <v/>
      </c>
    </row>
    <row r="450" spans="1:49" ht="18" customHeight="1" x14ac:dyDescent="0.3">
      <c r="A450" s="39">
        <v>446</v>
      </c>
      <c r="B450" s="40" t="s">
        <v>6092</v>
      </c>
      <c r="C450" s="41" t="s">
        <v>6093</v>
      </c>
      <c r="D450" s="39" t="s">
        <v>1268</v>
      </c>
      <c r="E450" s="43">
        <v>46125</v>
      </c>
      <c r="F450" s="26" t="s">
        <v>23</v>
      </c>
      <c r="G450" s="44" t="s">
        <v>1352</v>
      </c>
      <c r="H450" s="26" t="s">
        <v>25</v>
      </c>
      <c r="I450" s="44" t="s">
        <v>1352</v>
      </c>
      <c r="J450" s="26" t="s">
        <v>24</v>
      </c>
      <c r="K450" s="27"/>
      <c r="L450" s="28" t="s">
        <v>25</v>
      </c>
      <c r="M450" s="29" t="str">
        <f t="shared" si="30"/>
        <v>✓ OK</v>
      </c>
      <c r="N450" s="43">
        <v>46196</v>
      </c>
      <c r="O450" s="26" t="s">
        <v>23</v>
      </c>
      <c r="P450" s="44" t="s">
        <v>1352</v>
      </c>
      <c r="Q450" s="26" t="s">
        <v>25</v>
      </c>
      <c r="R450" s="44" t="s">
        <v>1352</v>
      </c>
      <c r="S450" s="26" t="s">
        <v>24</v>
      </c>
      <c r="T450" s="27"/>
      <c r="U450" s="28" t="s">
        <v>25</v>
      </c>
      <c r="V450" s="29" t="str">
        <f t="shared" si="31"/>
        <v>✓ OK</v>
      </c>
      <c r="W450" s="45">
        <v>46248</v>
      </c>
      <c r="X450" s="30" t="s">
        <v>23</v>
      </c>
      <c r="Y450" s="30" t="s">
        <v>1352</v>
      </c>
      <c r="Z450" s="30" t="s">
        <v>25</v>
      </c>
      <c r="AA450" s="30" t="s">
        <v>1352</v>
      </c>
      <c r="AB450" s="30" t="s">
        <v>24</v>
      </c>
      <c r="AC450" s="27"/>
      <c r="AD450" s="31" t="s">
        <v>25</v>
      </c>
      <c r="AE450" s="32" t="str">
        <f t="shared" si="32"/>
        <v>✓ OK</v>
      </c>
      <c r="AF450" s="33" t="s">
        <v>27</v>
      </c>
      <c r="AG450" s="33" t="s">
        <v>23</v>
      </c>
      <c r="AH450" s="33" t="s">
        <v>1352</v>
      </c>
      <c r="AI450" s="33" t="s">
        <v>25</v>
      </c>
      <c r="AJ450" s="33" t="s">
        <v>1352</v>
      </c>
      <c r="AK450" s="33" t="s">
        <v>24</v>
      </c>
      <c r="AL450" s="27"/>
      <c r="AM450" s="34" t="s">
        <v>25</v>
      </c>
      <c r="AN450" s="35" t="str">
        <f t="shared" si="33"/>
        <v>✓ OK</v>
      </c>
      <c r="AO450" s="36"/>
      <c r="AP450" s="36"/>
      <c r="AQ450" s="36"/>
      <c r="AR450" s="36"/>
      <c r="AS450" s="36"/>
      <c r="AT450" s="36"/>
      <c r="AU450" s="27"/>
      <c r="AV450" s="37"/>
      <c r="AW450" s="38" t="str">
        <f t="shared" si="34"/>
        <v/>
      </c>
    </row>
    <row r="451" spans="1:49" ht="18" customHeight="1" x14ac:dyDescent="0.3">
      <c r="A451" s="23">
        <v>447</v>
      </c>
      <c r="B451" s="24" t="s">
        <v>6094</v>
      </c>
      <c r="C451" s="25" t="s">
        <v>6095</v>
      </c>
      <c r="D451" s="23" t="s">
        <v>1268</v>
      </c>
      <c r="E451" s="43">
        <v>46125</v>
      </c>
      <c r="F451" s="26" t="s">
        <v>23</v>
      </c>
      <c r="G451" s="44" t="s">
        <v>1352</v>
      </c>
      <c r="H451" s="26" t="s">
        <v>25</v>
      </c>
      <c r="I451" s="44" t="s">
        <v>1352</v>
      </c>
      <c r="J451" s="26" t="s">
        <v>24</v>
      </c>
      <c r="K451" s="27"/>
      <c r="L451" s="28" t="s">
        <v>25</v>
      </c>
      <c r="M451" s="29" t="str">
        <f t="shared" si="30"/>
        <v>✓ OK</v>
      </c>
      <c r="N451" s="43">
        <v>46196</v>
      </c>
      <c r="O451" s="26" t="s">
        <v>23</v>
      </c>
      <c r="P451" s="44" t="s">
        <v>1352</v>
      </c>
      <c r="Q451" s="26" t="s">
        <v>25</v>
      </c>
      <c r="R451" s="44" t="s">
        <v>1352</v>
      </c>
      <c r="S451" s="26" t="s">
        <v>24</v>
      </c>
      <c r="T451" s="27"/>
      <c r="U451" s="28" t="s">
        <v>25</v>
      </c>
      <c r="V451" s="29" t="str">
        <f t="shared" si="31"/>
        <v>✓ OK</v>
      </c>
      <c r="W451" s="45">
        <v>46248</v>
      </c>
      <c r="X451" s="30" t="s">
        <v>23</v>
      </c>
      <c r="Y451" s="30" t="s">
        <v>1352</v>
      </c>
      <c r="Z451" s="30" t="s">
        <v>25</v>
      </c>
      <c r="AA451" s="30" t="s">
        <v>1352</v>
      </c>
      <c r="AB451" s="30" t="s">
        <v>24</v>
      </c>
      <c r="AC451" s="27"/>
      <c r="AD451" s="31" t="s">
        <v>25</v>
      </c>
      <c r="AE451" s="32" t="str">
        <f t="shared" si="32"/>
        <v>✓ OK</v>
      </c>
      <c r="AF451" s="33" t="s">
        <v>27</v>
      </c>
      <c r="AG451" s="33" t="s">
        <v>23</v>
      </c>
      <c r="AH451" s="33" t="s">
        <v>1352</v>
      </c>
      <c r="AI451" s="33" t="s">
        <v>25</v>
      </c>
      <c r="AJ451" s="33" t="s">
        <v>1352</v>
      </c>
      <c r="AK451" s="33" t="s">
        <v>24</v>
      </c>
      <c r="AL451" s="27"/>
      <c r="AM451" s="34" t="s">
        <v>25</v>
      </c>
      <c r="AN451" s="35" t="str">
        <f t="shared" si="33"/>
        <v>✓ OK</v>
      </c>
      <c r="AO451" s="36"/>
      <c r="AP451" s="36"/>
      <c r="AQ451" s="36"/>
      <c r="AR451" s="36"/>
      <c r="AS451" s="36"/>
      <c r="AT451" s="36"/>
      <c r="AU451" s="27"/>
      <c r="AV451" s="37"/>
      <c r="AW451" s="38" t="str">
        <f t="shared" si="34"/>
        <v/>
      </c>
    </row>
    <row r="452" spans="1:49" ht="18" customHeight="1" x14ac:dyDescent="0.3">
      <c r="A452" s="39">
        <v>448</v>
      </c>
      <c r="B452" s="40" t="s">
        <v>6096</v>
      </c>
      <c r="C452" s="41" t="s">
        <v>6097</v>
      </c>
      <c r="D452" s="39" t="s">
        <v>6098</v>
      </c>
      <c r="E452" s="43">
        <v>46125</v>
      </c>
      <c r="F452" s="26" t="s">
        <v>23</v>
      </c>
      <c r="G452" s="44" t="s">
        <v>25</v>
      </c>
      <c r="H452" s="26" t="s">
        <v>25</v>
      </c>
      <c r="I452" s="44" t="s">
        <v>735</v>
      </c>
      <c r="J452" s="26" t="s">
        <v>25</v>
      </c>
      <c r="K452" s="27"/>
      <c r="L452" s="28" t="s">
        <v>24</v>
      </c>
      <c r="M452" s="29" t="str">
        <f t="shared" si="30"/>
        <v>⚠ Missing</v>
      </c>
      <c r="N452" s="43">
        <v>46196</v>
      </c>
      <c r="O452" s="26" t="s">
        <v>23</v>
      </c>
      <c r="P452" s="44" t="s">
        <v>25</v>
      </c>
      <c r="Q452" s="26" t="s">
        <v>25</v>
      </c>
      <c r="R452" s="44" t="s">
        <v>735</v>
      </c>
      <c r="S452" s="26" t="s">
        <v>25</v>
      </c>
      <c r="T452" s="27"/>
      <c r="U452" s="28" t="s">
        <v>24</v>
      </c>
      <c r="V452" s="29" t="str">
        <f t="shared" si="31"/>
        <v>⚠ Missing</v>
      </c>
      <c r="W452" s="45">
        <v>46248</v>
      </c>
      <c r="X452" s="30" t="s">
        <v>23</v>
      </c>
      <c r="Y452" s="30" t="s">
        <v>25</v>
      </c>
      <c r="Z452" s="30" t="s">
        <v>25</v>
      </c>
      <c r="AA452" s="30" t="s">
        <v>735</v>
      </c>
      <c r="AB452" s="30" t="s">
        <v>25</v>
      </c>
      <c r="AC452" s="27"/>
      <c r="AD452" s="31" t="s">
        <v>24</v>
      </c>
      <c r="AE452" s="32" t="str">
        <f t="shared" si="32"/>
        <v>⚠ Missing</v>
      </c>
      <c r="AF452" s="33" t="s">
        <v>27</v>
      </c>
      <c r="AG452" s="33" t="s">
        <v>23</v>
      </c>
      <c r="AH452" s="33" t="s">
        <v>25</v>
      </c>
      <c r="AI452" s="33" t="s">
        <v>24</v>
      </c>
      <c r="AJ452" s="33" t="s">
        <v>135</v>
      </c>
      <c r="AK452" s="33" t="s">
        <v>25</v>
      </c>
      <c r="AL452" s="27"/>
      <c r="AM452" s="34" t="s">
        <v>25</v>
      </c>
      <c r="AN452" s="35" t="str">
        <f t="shared" si="33"/>
        <v>❌ Disc</v>
      </c>
      <c r="AO452" s="36"/>
      <c r="AP452" s="36"/>
      <c r="AQ452" s="36"/>
      <c r="AR452" s="36"/>
      <c r="AS452" s="36"/>
      <c r="AT452" s="36"/>
      <c r="AU452" s="27"/>
      <c r="AV452" s="37"/>
      <c r="AW452" s="38" t="str">
        <f t="shared" si="34"/>
        <v/>
      </c>
    </row>
    <row r="453" spans="1:49" ht="18" customHeight="1" x14ac:dyDescent="0.3">
      <c r="A453" s="23">
        <v>449</v>
      </c>
      <c r="B453" s="24" t="s">
        <v>6099</v>
      </c>
      <c r="C453" s="25" t="s">
        <v>6100</v>
      </c>
      <c r="D453" s="23" t="s">
        <v>6098</v>
      </c>
      <c r="E453" s="43">
        <v>46125</v>
      </c>
      <c r="F453" s="26" t="s">
        <v>23</v>
      </c>
      <c r="G453" s="44" t="s">
        <v>25</v>
      </c>
      <c r="H453" s="26" t="s">
        <v>25</v>
      </c>
      <c r="I453" s="44" t="s">
        <v>735</v>
      </c>
      <c r="J453" s="26" t="s">
        <v>25</v>
      </c>
      <c r="K453" s="27"/>
      <c r="L453" s="28" t="s">
        <v>24</v>
      </c>
      <c r="M453" s="29" t="str">
        <f t="shared" ref="M453:M516" si="35">IF(E453="","",IF(H453="Yes","❌ Disc",IF(G453="No","⚠ Missing",IF(J453="Yes","✓ OK","⚠ Check"))))</f>
        <v>⚠ Missing</v>
      </c>
      <c r="N453" s="43">
        <v>46196</v>
      </c>
      <c r="O453" s="26" t="s">
        <v>23</v>
      </c>
      <c r="P453" s="44" t="s">
        <v>25</v>
      </c>
      <c r="Q453" s="26" t="s">
        <v>25</v>
      </c>
      <c r="R453" s="44" t="s">
        <v>735</v>
      </c>
      <c r="S453" s="26" t="s">
        <v>25</v>
      </c>
      <c r="T453" s="27"/>
      <c r="U453" s="28" t="s">
        <v>24</v>
      </c>
      <c r="V453" s="29" t="str">
        <f t="shared" ref="V453:V516" si="36">IF(N453="","",IF(Q453="Yes","❌ Disc",IF(P453="No","⚠ Missing",IF(S453="Yes","✓ OK","⚠ Check"))))</f>
        <v>⚠ Missing</v>
      </c>
      <c r="W453" s="45">
        <v>46248</v>
      </c>
      <c r="X453" s="30" t="s">
        <v>23</v>
      </c>
      <c r="Y453" s="30" t="s">
        <v>25</v>
      </c>
      <c r="Z453" s="30" t="s">
        <v>25</v>
      </c>
      <c r="AA453" s="30" t="s">
        <v>735</v>
      </c>
      <c r="AB453" s="30" t="s">
        <v>25</v>
      </c>
      <c r="AC453" s="27"/>
      <c r="AD453" s="31" t="s">
        <v>24</v>
      </c>
      <c r="AE453" s="32" t="str">
        <f t="shared" ref="AE453:AE516" si="37">IF(W453="","",IF(Z453="Yes","❌ Disc",IF(Y453="No","⚠ Missing",IF(AB453="Yes","✓ OK","⚠ Check"))))</f>
        <v>⚠ Missing</v>
      </c>
      <c r="AF453" s="33" t="s">
        <v>27</v>
      </c>
      <c r="AG453" s="33" t="s">
        <v>23</v>
      </c>
      <c r="AH453" s="33" t="s">
        <v>25</v>
      </c>
      <c r="AI453" s="33" t="s">
        <v>24</v>
      </c>
      <c r="AJ453" s="33" t="s">
        <v>135</v>
      </c>
      <c r="AK453" s="33" t="s">
        <v>25</v>
      </c>
      <c r="AL453" s="27"/>
      <c r="AM453" s="34" t="s">
        <v>25</v>
      </c>
      <c r="AN453" s="35" t="str">
        <f t="shared" ref="AN453:AN516" si="38">IF(AF453="","",IF(AI453="Yes","❌ Disc",IF(AH453="No","⚠ Missing",IF(AK453="Yes","✓ OK","⚠ Check"))))</f>
        <v>❌ Disc</v>
      </c>
      <c r="AO453" s="36"/>
      <c r="AP453" s="36"/>
      <c r="AQ453" s="36"/>
      <c r="AR453" s="36"/>
      <c r="AS453" s="36"/>
      <c r="AT453" s="36"/>
      <c r="AU453" s="27"/>
      <c r="AV453" s="37"/>
      <c r="AW453" s="38" t="str">
        <f t="shared" ref="AW453:AW516" si="39">IF(AO453="","",IF(AR453="Yes","❌ Disc",IF(AQ453="No","⚠ Missing",IF(AT453="Yes","✓ OK","⚠ Check"))))</f>
        <v/>
      </c>
    </row>
    <row r="454" spans="1:49" ht="18" customHeight="1" x14ac:dyDescent="0.3">
      <c r="A454" s="39">
        <v>450</v>
      </c>
      <c r="B454" s="40" t="s">
        <v>6101</v>
      </c>
      <c r="C454" s="41" t="s">
        <v>6102</v>
      </c>
      <c r="D454" s="39" t="s">
        <v>6098</v>
      </c>
      <c r="E454" s="43">
        <v>46125</v>
      </c>
      <c r="F454" s="26" t="s">
        <v>23</v>
      </c>
      <c r="G454" s="44" t="s">
        <v>25</v>
      </c>
      <c r="H454" s="26" t="s">
        <v>25</v>
      </c>
      <c r="I454" s="44" t="s">
        <v>735</v>
      </c>
      <c r="J454" s="26" t="s">
        <v>25</v>
      </c>
      <c r="K454" s="27"/>
      <c r="L454" s="28" t="s">
        <v>24</v>
      </c>
      <c r="M454" s="29" t="str">
        <f t="shared" si="35"/>
        <v>⚠ Missing</v>
      </c>
      <c r="N454" s="43">
        <v>46196</v>
      </c>
      <c r="O454" s="26" t="s">
        <v>23</v>
      </c>
      <c r="P454" s="44" t="s">
        <v>25</v>
      </c>
      <c r="Q454" s="26" t="s">
        <v>25</v>
      </c>
      <c r="R454" s="44" t="s">
        <v>735</v>
      </c>
      <c r="S454" s="26" t="s">
        <v>25</v>
      </c>
      <c r="T454" s="27"/>
      <c r="U454" s="28" t="s">
        <v>24</v>
      </c>
      <c r="V454" s="29" t="str">
        <f t="shared" si="36"/>
        <v>⚠ Missing</v>
      </c>
      <c r="W454" s="45">
        <v>46248</v>
      </c>
      <c r="X454" s="30" t="s">
        <v>23</v>
      </c>
      <c r="Y454" s="30" t="s">
        <v>25</v>
      </c>
      <c r="Z454" s="30" t="s">
        <v>25</v>
      </c>
      <c r="AA454" s="30" t="s">
        <v>735</v>
      </c>
      <c r="AB454" s="30" t="s">
        <v>25</v>
      </c>
      <c r="AC454" s="27"/>
      <c r="AD454" s="31" t="s">
        <v>24</v>
      </c>
      <c r="AE454" s="32" t="str">
        <f t="shared" si="37"/>
        <v>⚠ Missing</v>
      </c>
      <c r="AF454" s="33" t="s">
        <v>27</v>
      </c>
      <c r="AG454" s="33" t="s">
        <v>23</v>
      </c>
      <c r="AH454" s="33" t="s">
        <v>25</v>
      </c>
      <c r="AI454" s="33" t="s">
        <v>24</v>
      </c>
      <c r="AJ454" s="33" t="s">
        <v>135</v>
      </c>
      <c r="AK454" s="33" t="s">
        <v>25</v>
      </c>
      <c r="AL454" s="27"/>
      <c r="AM454" s="34" t="s">
        <v>25</v>
      </c>
      <c r="AN454" s="35" t="str">
        <f t="shared" si="38"/>
        <v>❌ Disc</v>
      </c>
      <c r="AO454" s="36"/>
      <c r="AP454" s="36"/>
      <c r="AQ454" s="36"/>
      <c r="AR454" s="36"/>
      <c r="AS454" s="36"/>
      <c r="AT454" s="36"/>
      <c r="AU454" s="27"/>
      <c r="AV454" s="37"/>
      <c r="AW454" s="38" t="str">
        <f t="shared" si="39"/>
        <v/>
      </c>
    </row>
    <row r="455" spans="1:49" ht="18" customHeight="1" x14ac:dyDescent="0.3">
      <c r="A455" s="23">
        <v>451</v>
      </c>
      <c r="B455" s="24" t="s">
        <v>6103</v>
      </c>
      <c r="C455" s="25" t="s">
        <v>6104</v>
      </c>
      <c r="D455" s="23" t="s">
        <v>6098</v>
      </c>
      <c r="E455" s="43">
        <v>46125</v>
      </c>
      <c r="F455" s="26" t="s">
        <v>23</v>
      </c>
      <c r="G455" s="44" t="s">
        <v>25</v>
      </c>
      <c r="H455" s="26" t="s">
        <v>25</v>
      </c>
      <c r="I455" s="44" t="s">
        <v>735</v>
      </c>
      <c r="J455" s="26" t="s">
        <v>25</v>
      </c>
      <c r="K455" s="27"/>
      <c r="L455" s="28" t="s">
        <v>24</v>
      </c>
      <c r="M455" s="29" t="str">
        <f t="shared" si="35"/>
        <v>⚠ Missing</v>
      </c>
      <c r="N455" s="43">
        <v>46196</v>
      </c>
      <c r="O455" s="26" t="s">
        <v>23</v>
      </c>
      <c r="P455" s="44" t="s">
        <v>25</v>
      </c>
      <c r="Q455" s="26" t="s">
        <v>25</v>
      </c>
      <c r="R455" s="44" t="s">
        <v>735</v>
      </c>
      <c r="S455" s="26" t="s">
        <v>25</v>
      </c>
      <c r="T455" s="27"/>
      <c r="U455" s="28" t="s">
        <v>24</v>
      </c>
      <c r="V455" s="29" t="str">
        <f t="shared" si="36"/>
        <v>⚠ Missing</v>
      </c>
      <c r="W455" s="45">
        <v>46248</v>
      </c>
      <c r="X455" s="30" t="s">
        <v>23</v>
      </c>
      <c r="Y455" s="30" t="s">
        <v>25</v>
      </c>
      <c r="Z455" s="30" t="s">
        <v>25</v>
      </c>
      <c r="AA455" s="30" t="s">
        <v>735</v>
      </c>
      <c r="AB455" s="30" t="s">
        <v>25</v>
      </c>
      <c r="AC455" s="27"/>
      <c r="AD455" s="31" t="s">
        <v>24</v>
      </c>
      <c r="AE455" s="32" t="str">
        <f t="shared" si="37"/>
        <v>⚠ Missing</v>
      </c>
      <c r="AF455" s="33" t="s">
        <v>27</v>
      </c>
      <c r="AG455" s="33" t="s">
        <v>23</v>
      </c>
      <c r="AH455" s="33" t="s">
        <v>25</v>
      </c>
      <c r="AI455" s="33" t="s">
        <v>24</v>
      </c>
      <c r="AJ455" s="33" t="s">
        <v>135</v>
      </c>
      <c r="AK455" s="33" t="s">
        <v>25</v>
      </c>
      <c r="AL455" s="27"/>
      <c r="AM455" s="34" t="s">
        <v>25</v>
      </c>
      <c r="AN455" s="35" t="str">
        <f t="shared" si="38"/>
        <v>❌ Disc</v>
      </c>
      <c r="AO455" s="36"/>
      <c r="AP455" s="36"/>
      <c r="AQ455" s="36"/>
      <c r="AR455" s="36"/>
      <c r="AS455" s="36"/>
      <c r="AT455" s="36"/>
      <c r="AU455" s="27"/>
      <c r="AV455" s="37"/>
      <c r="AW455" s="38" t="str">
        <f t="shared" si="39"/>
        <v/>
      </c>
    </row>
    <row r="456" spans="1:49" ht="18" customHeight="1" x14ac:dyDescent="0.3">
      <c r="A456" s="39">
        <v>452</v>
      </c>
      <c r="B456" s="40" t="s">
        <v>6105</v>
      </c>
      <c r="C456" s="41" t="s">
        <v>6106</v>
      </c>
      <c r="D456" s="39" t="s">
        <v>6098</v>
      </c>
      <c r="E456" s="43">
        <v>46125</v>
      </c>
      <c r="F456" s="26" t="s">
        <v>23</v>
      </c>
      <c r="G456" s="44" t="s">
        <v>25</v>
      </c>
      <c r="H456" s="26" t="s">
        <v>25</v>
      </c>
      <c r="I456" s="44" t="s">
        <v>735</v>
      </c>
      <c r="J456" s="26" t="s">
        <v>25</v>
      </c>
      <c r="K456" s="27"/>
      <c r="L456" s="28" t="s">
        <v>24</v>
      </c>
      <c r="M456" s="29" t="str">
        <f t="shared" si="35"/>
        <v>⚠ Missing</v>
      </c>
      <c r="N456" s="43">
        <v>46196</v>
      </c>
      <c r="O456" s="26" t="s">
        <v>23</v>
      </c>
      <c r="P456" s="44" t="s">
        <v>25</v>
      </c>
      <c r="Q456" s="26" t="s">
        <v>25</v>
      </c>
      <c r="R456" s="44" t="s">
        <v>735</v>
      </c>
      <c r="S456" s="26" t="s">
        <v>25</v>
      </c>
      <c r="T456" s="27"/>
      <c r="U456" s="28" t="s">
        <v>24</v>
      </c>
      <c r="V456" s="29" t="str">
        <f t="shared" si="36"/>
        <v>⚠ Missing</v>
      </c>
      <c r="W456" s="45">
        <v>46248</v>
      </c>
      <c r="X456" s="30" t="s">
        <v>23</v>
      </c>
      <c r="Y456" s="30" t="s">
        <v>25</v>
      </c>
      <c r="Z456" s="30" t="s">
        <v>25</v>
      </c>
      <c r="AA456" s="30" t="s">
        <v>735</v>
      </c>
      <c r="AB456" s="30" t="s">
        <v>25</v>
      </c>
      <c r="AC456" s="27"/>
      <c r="AD456" s="31" t="s">
        <v>24</v>
      </c>
      <c r="AE456" s="32" t="str">
        <f t="shared" si="37"/>
        <v>⚠ Missing</v>
      </c>
      <c r="AF456" s="33" t="s">
        <v>27</v>
      </c>
      <c r="AG456" s="33" t="s">
        <v>23</v>
      </c>
      <c r="AH456" s="33" t="s">
        <v>25</v>
      </c>
      <c r="AI456" s="33" t="s">
        <v>25</v>
      </c>
      <c r="AJ456" s="33" t="s">
        <v>735</v>
      </c>
      <c r="AK456" s="33" t="s">
        <v>25</v>
      </c>
      <c r="AL456" s="27"/>
      <c r="AM456" s="34" t="s">
        <v>24</v>
      </c>
      <c r="AN456" s="35" t="str">
        <f t="shared" si="38"/>
        <v>⚠ Missing</v>
      </c>
      <c r="AO456" s="36"/>
      <c r="AP456" s="36"/>
      <c r="AQ456" s="36"/>
      <c r="AR456" s="36"/>
      <c r="AS456" s="36"/>
      <c r="AT456" s="36"/>
      <c r="AU456" s="27"/>
      <c r="AV456" s="37"/>
      <c r="AW456" s="38" t="str">
        <f t="shared" si="39"/>
        <v/>
      </c>
    </row>
    <row r="457" spans="1:49" ht="18" customHeight="1" x14ac:dyDescent="0.3">
      <c r="A457" s="23">
        <v>453</v>
      </c>
      <c r="B457" s="24" t="s">
        <v>6107</v>
      </c>
      <c r="C457" s="25" t="s">
        <v>6108</v>
      </c>
      <c r="D457" s="23" t="s">
        <v>6098</v>
      </c>
      <c r="E457" s="43">
        <v>46125</v>
      </c>
      <c r="F457" s="26" t="s">
        <v>23</v>
      </c>
      <c r="G457" s="44" t="s">
        <v>25</v>
      </c>
      <c r="H457" s="26" t="s">
        <v>25</v>
      </c>
      <c r="I457" s="44" t="s">
        <v>735</v>
      </c>
      <c r="J457" s="26" t="s">
        <v>25</v>
      </c>
      <c r="K457" s="27"/>
      <c r="L457" s="28" t="s">
        <v>24</v>
      </c>
      <c r="M457" s="29" t="str">
        <f t="shared" si="35"/>
        <v>⚠ Missing</v>
      </c>
      <c r="N457" s="43">
        <v>46196</v>
      </c>
      <c r="O457" s="26" t="s">
        <v>23</v>
      </c>
      <c r="P457" s="44" t="s">
        <v>25</v>
      </c>
      <c r="Q457" s="26" t="s">
        <v>25</v>
      </c>
      <c r="R457" s="44" t="s">
        <v>735</v>
      </c>
      <c r="S457" s="26" t="s">
        <v>25</v>
      </c>
      <c r="T457" s="27"/>
      <c r="U457" s="28" t="s">
        <v>24</v>
      </c>
      <c r="V457" s="29" t="str">
        <f t="shared" si="36"/>
        <v>⚠ Missing</v>
      </c>
      <c r="W457" s="45">
        <v>46248</v>
      </c>
      <c r="X457" s="30" t="s">
        <v>23</v>
      </c>
      <c r="Y457" s="30" t="s">
        <v>25</v>
      </c>
      <c r="Z457" s="30" t="s">
        <v>25</v>
      </c>
      <c r="AA457" s="30" t="s">
        <v>735</v>
      </c>
      <c r="AB457" s="30" t="s">
        <v>25</v>
      </c>
      <c r="AC457" s="27"/>
      <c r="AD457" s="31" t="s">
        <v>24</v>
      </c>
      <c r="AE457" s="32" t="str">
        <f t="shared" si="37"/>
        <v>⚠ Missing</v>
      </c>
      <c r="AF457" s="33" t="s">
        <v>27</v>
      </c>
      <c r="AG457" s="33" t="s">
        <v>23</v>
      </c>
      <c r="AH457" s="33" t="s">
        <v>25</v>
      </c>
      <c r="AI457" s="33" t="s">
        <v>24</v>
      </c>
      <c r="AJ457" s="33" t="s">
        <v>135</v>
      </c>
      <c r="AK457" s="33" t="s">
        <v>25</v>
      </c>
      <c r="AL457" s="27"/>
      <c r="AM457" s="34" t="s">
        <v>25</v>
      </c>
      <c r="AN457" s="35" t="str">
        <f t="shared" si="38"/>
        <v>❌ Disc</v>
      </c>
      <c r="AO457" s="36"/>
      <c r="AP457" s="36"/>
      <c r="AQ457" s="36"/>
      <c r="AR457" s="36"/>
      <c r="AS457" s="36"/>
      <c r="AT457" s="36"/>
      <c r="AU457" s="27"/>
      <c r="AV457" s="37"/>
      <c r="AW457" s="38" t="str">
        <f t="shared" si="39"/>
        <v/>
      </c>
    </row>
    <row r="458" spans="1:49" ht="18" customHeight="1" x14ac:dyDescent="0.3">
      <c r="A458" s="39">
        <v>454</v>
      </c>
      <c r="B458" s="40" t="s">
        <v>6109</v>
      </c>
      <c r="C458" s="41" t="s">
        <v>6110</v>
      </c>
      <c r="D458" s="39" t="s">
        <v>6098</v>
      </c>
      <c r="E458" s="43">
        <v>46125</v>
      </c>
      <c r="F458" s="26" t="s">
        <v>23</v>
      </c>
      <c r="G458" s="44" t="s">
        <v>25</v>
      </c>
      <c r="H458" s="26" t="s">
        <v>25</v>
      </c>
      <c r="I458" s="44" t="s">
        <v>735</v>
      </c>
      <c r="J458" s="26" t="s">
        <v>25</v>
      </c>
      <c r="K458" s="27"/>
      <c r="L458" s="28" t="s">
        <v>24</v>
      </c>
      <c r="M458" s="29" t="str">
        <f t="shared" si="35"/>
        <v>⚠ Missing</v>
      </c>
      <c r="N458" s="43">
        <v>46196</v>
      </c>
      <c r="O458" s="26" t="s">
        <v>23</v>
      </c>
      <c r="P458" s="44" t="s">
        <v>25</v>
      </c>
      <c r="Q458" s="26" t="s">
        <v>25</v>
      </c>
      <c r="R458" s="44" t="s">
        <v>735</v>
      </c>
      <c r="S458" s="26" t="s">
        <v>25</v>
      </c>
      <c r="T458" s="27"/>
      <c r="U458" s="28" t="s">
        <v>24</v>
      </c>
      <c r="V458" s="29" t="str">
        <f t="shared" si="36"/>
        <v>⚠ Missing</v>
      </c>
      <c r="W458" s="45">
        <v>46248</v>
      </c>
      <c r="X458" s="30" t="s">
        <v>23</v>
      </c>
      <c r="Y458" s="30" t="s">
        <v>25</v>
      </c>
      <c r="Z458" s="30" t="s">
        <v>25</v>
      </c>
      <c r="AA458" s="30" t="s">
        <v>735</v>
      </c>
      <c r="AB458" s="30" t="s">
        <v>25</v>
      </c>
      <c r="AC458" s="27"/>
      <c r="AD458" s="31" t="s">
        <v>24</v>
      </c>
      <c r="AE458" s="32" t="str">
        <f t="shared" si="37"/>
        <v>⚠ Missing</v>
      </c>
      <c r="AF458" s="33" t="s">
        <v>27</v>
      </c>
      <c r="AG458" s="33" t="s">
        <v>23</v>
      </c>
      <c r="AH458" s="33" t="s">
        <v>25</v>
      </c>
      <c r="AI458" s="33" t="s">
        <v>24</v>
      </c>
      <c r="AJ458" s="33" t="s">
        <v>135</v>
      </c>
      <c r="AK458" s="33" t="s">
        <v>25</v>
      </c>
      <c r="AL458" s="27"/>
      <c r="AM458" s="34" t="s">
        <v>25</v>
      </c>
      <c r="AN458" s="35" t="str">
        <f t="shared" si="38"/>
        <v>❌ Disc</v>
      </c>
      <c r="AO458" s="36"/>
      <c r="AP458" s="36"/>
      <c r="AQ458" s="36"/>
      <c r="AR458" s="36"/>
      <c r="AS458" s="36"/>
      <c r="AT458" s="36"/>
      <c r="AU458" s="27"/>
      <c r="AV458" s="37"/>
      <c r="AW458" s="38" t="str">
        <f t="shared" si="39"/>
        <v/>
      </c>
    </row>
    <row r="459" spans="1:49" ht="18" customHeight="1" x14ac:dyDescent="0.3">
      <c r="A459" s="23">
        <v>455</v>
      </c>
      <c r="B459" s="24" t="s">
        <v>6111</v>
      </c>
      <c r="C459" s="25" t="s">
        <v>6112</v>
      </c>
      <c r="D459" s="23" t="s">
        <v>6098</v>
      </c>
      <c r="E459" s="43">
        <v>46125</v>
      </c>
      <c r="F459" s="26" t="s">
        <v>23</v>
      </c>
      <c r="G459" s="44" t="s">
        <v>25</v>
      </c>
      <c r="H459" s="26" t="s">
        <v>25</v>
      </c>
      <c r="I459" s="44" t="s">
        <v>735</v>
      </c>
      <c r="J459" s="26" t="s">
        <v>25</v>
      </c>
      <c r="K459" s="27"/>
      <c r="L459" s="28" t="s">
        <v>24</v>
      </c>
      <c r="M459" s="29" t="str">
        <f t="shared" si="35"/>
        <v>⚠ Missing</v>
      </c>
      <c r="N459" s="43">
        <v>46196</v>
      </c>
      <c r="O459" s="26" t="s">
        <v>23</v>
      </c>
      <c r="P459" s="44" t="s">
        <v>25</v>
      </c>
      <c r="Q459" s="26" t="s">
        <v>25</v>
      </c>
      <c r="R459" s="44" t="s">
        <v>735</v>
      </c>
      <c r="S459" s="26" t="s">
        <v>25</v>
      </c>
      <c r="T459" s="27"/>
      <c r="U459" s="28" t="s">
        <v>24</v>
      </c>
      <c r="V459" s="29" t="str">
        <f t="shared" si="36"/>
        <v>⚠ Missing</v>
      </c>
      <c r="W459" s="45">
        <v>46248</v>
      </c>
      <c r="X459" s="30" t="s">
        <v>23</v>
      </c>
      <c r="Y459" s="30" t="s">
        <v>25</v>
      </c>
      <c r="Z459" s="30" t="s">
        <v>25</v>
      </c>
      <c r="AA459" s="30" t="s">
        <v>735</v>
      </c>
      <c r="AB459" s="30" t="s">
        <v>25</v>
      </c>
      <c r="AC459" s="27"/>
      <c r="AD459" s="31" t="s">
        <v>24</v>
      </c>
      <c r="AE459" s="32" t="str">
        <f t="shared" si="37"/>
        <v>⚠ Missing</v>
      </c>
      <c r="AF459" s="33" t="s">
        <v>27</v>
      </c>
      <c r="AG459" s="33" t="s">
        <v>23</v>
      </c>
      <c r="AH459" s="33" t="s">
        <v>25</v>
      </c>
      <c r="AI459" s="33" t="s">
        <v>24</v>
      </c>
      <c r="AJ459" s="33" t="s">
        <v>135</v>
      </c>
      <c r="AK459" s="33" t="s">
        <v>25</v>
      </c>
      <c r="AL459" s="27"/>
      <c r="AM459" s="34" t="s">
        <v>25</v>
      </c>
      <c r="AN459" s="35" t="str">
        <f t="shared" si="38"/>
        <v>❌ Disc</v>
      </c>
      <c r="AO459" s="36"/>
      <c r="AP459" s="36"/>
      <c r="AQ459" s="36"/>
      <c r="AR459" s="36"/>
      <c r="AS459" s="36"/>
      <c r="AT459" s="36"/>
      <c r="AU459" s="27"/>
      <c r="AV459" s="37"/>
      <c r="AW459" s="38" t="str">
        <f t="shared" si="39"/>
        <v/>
      </c>
    </row>
    <row r="460" spans="1:49" ht="18" customHeight="1" x14ac:dyDescent="0.3">
      <c r="A460" s="39">
        <v>456</v>
      </c>
      <c r="B460" s="40" t="s">
        <v>6113</v>
      </c>
      <c r="C460" s="41" t="s">
        <v>6114</v>
      </c>
      <c r="D460" s="39" t="s">
        <v>6098</v>
      </c>
      <c r="E460" s="43">
        <v>46125</v>
      </c>
      <c r="F460" s="26" t="s">
        <v>23</v>
      </c>
      <c r="G460" s="44" t="s">
        <v>25</v>
      </c>
      <c r="H460" s="26" t="s">
        <v>25</v>
      </c>
      <c r="I460" s="44" t="s">
        <v>735</v>
      </c>
      <c r="J460" s="26" t="s">
        <v>25</v>
      </c>
      <c r="K460" s="27"/>
      <c r="L460" s="28" t="s">
        <v>24</v>
      </c>
      <c r="M460" s="29" t="str">
        <f t="shared" si="35"/>
        <v>⚠ Missing</v>
      </c>
      <c r="N460" s="43">
        <v>46196</v>
      </c>
      <c r="O460" s="26" t="s">
        <v>23</v>
      </c>
      <c r="P460" s="44" t="s">
        <v>25</v>
      </c>
      <c r="Q460" s="26" t="s">
        <v>25</v>
      </c>
      <c r="R460" s="44" t="s">
        <v>735</v>
      </c>
      <c r="S460" s="26" t="s">
        <v>25</v>
      </c>
      <c r="T460" s="27"/>
      <c r="U460" s="28" t="s">
        <v>24</v>
      </c>
      <c r="V460" s="29" t="str">
        <f t="shared" si="36"/>
        <v>⚠ Missing</v>
      </c>
      <c r="W460" s="45">
        <v>46248</v>
      </c>
      <c r="X460" s="30" t="s">
        <v>23</v>
      </c>
      <c r="Y460" s="30" t="s">
        <v>25</v>
      </c>
      <c r="Z460" s="30" t="s">
        <v>25</v>
      </c>
      <c r="AA460" s="30" t="s">
        <v>735</v>
      </c>
      <c r="AB460" s="30" t="s">
        <v>25</v>
      </c>
      <c r="AC460" s="27"/>
      <c r="AD460" s="31" t="s">
        <v>24</v>
      </c>
      <c r="AE460" s="32" t="str">
        <f t="shared" si="37"/>
        <v>⚠ Missing</v>
      </c>
      <c r="AF460" s="33" t="s">
        <v>27</v>
      </c>
      <c r="AG460" s="33" t="s">
        <v>23</v>
      </c>
      <c r="AH460" s="33" t="s">
        <v>25</v>
      </c>
      <c r="AI460" s="33" t="s">
        <v>24</v>
      </c>
      <c r="AJ460" s="33" t="s">
        <v>135</v>
      </c>
      <c r="AK460" s="33" t="s">
        <v>25</v>
      </c>
      <c r="AL460" s="27"/>
      <c r="AM460" s="34" t="s">
        <v>25</v>
      </c>
      <c r="AN460" s="35" t="str">
        <f t="shared" si="38"/>
        <v>❌ Disc</v>
      </c>
      <c r="AO460" s="36"/>
      <c r="AP460" s="36"/>
      <c r="AQ460" s="36"/>
      <c r="AR460" s="36"/>
      <c r="AS460" s="36"/>
      <c r="AT460" s="36"/>
      <c r="AU460" s="27"/>
      <c r="AV460" s="37"/>
      <c r="AW460" s="38" t="str">
        <f t="shared" si="39"/>
        <v/>
      </c>
    </row>
    <row r="461" spans="1:49" ht="18" customHeight="1" x14ac:dyDescent="0.3">
      <c r="A461" s="23">
        <v>457</v>
      </c>
      <c r="B461" s="24" t="s">
        <v>6115</v>
      </c>
      <c r="C461" s="25" t="s">
        <v>6116</v>
      </c>
      <c r="D461" s="23" t="s">
        <v>6098</v>
      </c>
      <c r="E461" s="43">
        <v>46125</v>
      </c>
      <c r="F461" s="26" t="s">
        <v>23</v>
      </c>
      <c r="G461" s="44" t="s">
        <v>25</v>
      </c>
      <c r="H461" s="26" t="s">
        <v>25</v>
      </c>
      <c r="I461" s="44" t="s">
        <v>735</v>
      </c>
      <c r="J461" s="26" t="s">
        <v>25</v>
      </c>
      <c r="K461" s="27"/>
      <c r="L461" s="28" t="s">
        <v>24</v>
      </c>
      <c r="M461" s="29" t="str">
        <f t="shared" si="35"/>
        <v>⚠ Missing</v>
      </c>
      <c r="N461" s="43">
        <v>46196</v>
      </c>
      <c r="O461" s="26" t="s">
        <v>23</v>
      </c>
      <c r="P461" s="44" t="s">
        <v>25</v>
      </c>
      <c r="Q461" s="26" t="s">
        <v>25</v>
      </c>
      <c r="R461" s="44" t="s">
        <v>735</v>
      </c>
      <c r="S461" s="26" t="s">
        <v>25</v>
      </c>
      <c r="T461" s="27"/>
      <c r="U461" s="28" t="s">
        <v>24</v>
      </c>
      <c r="V461" s="29" t="str">
        <f t="shared" si="36"/>
        <v>⚠ Missing</v>
      </c>
      <c r="W461" s="45">
        <v>46248</v>
      </c>
      <c r="X461" s="30" t="s">
        <v>23</v>
      </c>
      <c r="Y461" s="30" t="s">
        <v>25</v>
      </c>
      <c r="Z461" s="30" t="s">
        <v>25</v>
      </c>
      <c r="AA461" s="30" t="s">
        <v>735</v>
      </c>
      <c r="AB461" s="30" t="s">
        <v>25</v>
      </c>
      <c r="AC461" s="27"/>
      <c r="AD461" s="31" t="s">
        <v>24</v>
      </c>
      <c r="AE461" s="32" t="str">
        <f t="shared" si="37"/>
        <v>⚠ Missing</v>
      </c>
      <c r="AF461" s="33" t="s">
        <v>27</v>
      </c>
      <c r="AG461" s="33" t="s">
        <v>23</v>
      </c>
      <c r="AH461" s="33" t="s">
        <v>25</v>
      </c>
      <c r="AI461" s="33" t="s">
        <v>24</v>
      </c>
      <c r="AJ461" s="33" t="s">
        <v>135</v>
      </c>
      <c r="AK461" s="33" t="s">
        <v>25</v>
      </c>
      <c r="AL461" s="27"/>
      <c r="AM461" s="34" t="s">
        <v>25</v>
      </c>
      <c r="AN461" s="35" t="str">
        <f t="shared" si="38"/>
        <v>❌ Disc</v>
      </c>
      <c r="AO461" s="36"/>
      <c r="AP461" s="36"/>
      <c r="AQ461" s="36"/>
      <c r="AR461" s="36"/>
      <c r="AS461" s="36"/>
      <c r="AT461" s="36"/>
      <c r="AU461" s="27"/>
      <c r="AV461" s="37"/>
      <c r="AW461" s="38" t="str">
        <f t="shared" si="39"/>
        <v/>
      </c>
    </row>
    <row r="462" spans="1:49" ht="18" customHeight="1" x14ac:dyDescent="0.3">
      <c r="A462" s="39">
        <v>458</v>
      </c>
      <c r="B462" s="40" t="s">
        <v>6117</v>
      </c>
      <c r="C462" s="41" t="s">
        <v>6118</v>
      </c>
      <c r="D462" s="39" t="s">
        <v>6098</v>
      </c>
      <c r="E462" s="43">
        <v>46125</v>
      </c>
      <c r="F462" s="26" t="s">
        <v>23</v>
      </c>
      <c r="G462" s="44" t="s">
        <v>25</v>
      </c>
      <c r="H462" s="26" t="s">
        <v>25</v>
      </c>
      <c r="I462" s="44" t="s">
        <v>735</v>
      </c>
      <c r="J462" s="26" t="s">
        <v>25</v>
      </c>
      <c r="K462" s="27"/>
      <c r="L462" s="28" t="s">
        <v>24</v>
      </c>
      <c r="M462" s="29" t="str">
        <f t="shared" si="35"/>
        <v>⚠ Missing</v>
      </c>
      <c r="N462" s="43">
        <v>46196</v>
      </c>
      <c r="O462" s="26" t="s">
        <v>23</v>
      </c>
      <c r="P462" s="44" t="s">
        <v>25</v>
      </c>
      <c r="Q462" s="26" t="s">
        <v>25</v>
      </c>
      <c r="R462" s="44" t="s">
        <v>735</v>
      </c>
      <c r="S462" s="26" t="s">
        <v>25</v>
      </c>
      <c r="T462" s="27"/>
      <c r="U462" s="28" t="s">
        <v>24</v>
      </c>
      <c r="V462" s="29" t="str">
        <f t="shared" si="36"/>
        <v>⚠ Missing</v>
      </c>
      <c r="W462" s="45">
        <v>46248</v>
      </c>
      <c r="X462" s="30" t="s">
        <v>23</v>
      </c>
      <c r="Y462" s="30" t="s">
        <v>25</v>
      </c>
      <c r="Z462" s="30" t="s">
        <v>25</v>
      </c>
      <c r="AA462" s="30" t="s">
        <v>735</v>
      </c>
      <c r="AB462" s="30" t="s">
        <v>25</v>
      </c>
      <c r="AC462" s="27"/>
      <c r="AD462" s="31" t="s">
        <v>24</v>
      </c>
      <c r="AE462" s="32" t="str">
        <f t="shared" si="37"/>
        <v>⚠ Missing</v>
      </c>
      <c r="AF462" s="33" t="s">
        <v>27</v>
      </c>
      <c r="AG462" s="33" t="s">
        <v>23</v>
      </c>
      <c r="AH462" s="33" t="s">
        <v>25</v>
      </c>
      <c r="AI462" s="33" t="s">
        <v>24</v>
      </c>
      <c r="AJ462" s="33" t="s">
        <v>135</v>
      </c>
      <c r="AK462" s="33" t="s">
        <v>25</v>
      </c>
      <c r="AL462" s="27"/>
      <c r="AM462" s="34" t="s">
        <v>25</v>
      </c>
      <c r="AN462" s="35" t="str">
        <f t="shared" si="38"/>
        <v>❌ Disc</v>
      </c>
      <c r="AO462" s="36"/>
      <c r="AP462" s="36"/>
      <c r="AQ462" s="36"/>
      <c r="AR462" s="36"/>
      <c r="AS462" s="36"/>
      <c r="AT462" s="36"/>
      <c r="AU462" s="27"/>
      <c r="AV462" s="37"/>
      <c r="AW462" s="38" t="str">
        <f t="shared" si="39"/>
        <v/>
      </c>
    </row>
    <row r="463" spans="1:49" ht="18" customHeight="1" x14ac:dyDescent="0.3">
      <c r="A463" s="23">
        <v>459</v>
      </c>
      <c r="B463" s="24" t="s">
        <v>6119</v>
      </c>
      <c r="C463" s="25" t="s">
        <v>6120</v>
      </c>
      <c r="D463" s="23" t="s">
        <v>6098</v>
      </c>
      <c r="E463" s="43">
        <v>46125</v>
      </c>
      <c r="F463" s="26" t="s">
        <v>23</v>
      </c>
      <c r="G463" s="44" t="s">
        <v>25</v>
      </c>
      <c r="H463" s="26" t="s">
        <v>25</v>
      </c>
      <c r="I463" s="44" t="s">
        <v>735</v>
      </c>
      <c r="J463" s="26" t="s">
        <v>25</v>
      </c>
      <c r="K463" s="27"/>
      <c r="L463" s="28" t="s">
        <v>24</v>
      </c>
      <c r="M463" s="29" t="str">
        <f t="shared" si="35"/>
        <v>⚠ Missing</v>
      </c>
      <c r="N463" s="43">
        <v>46196</v>
      </c>
      <c r="O463" s="26" t="s">
        <v>23</v>
      </c>
      <c r="P463" s="44" t="s">
        <v>25</v>
      </c>
      <c r="Q463" s="26" t="s">
        <v>25</v>
      </c>
      <c r="R463" s="44" t="s">
        <v>735</v>
      </c>
      <c r="S463" s="26" t="s">
        <v>25</v>
      </c>
      <c r="T463" s="27"/>
      <c r="U463" s="28" t="s">
        <v>24</v>
      </c>
      <c r="V463" s="29" t="str">
        <f t="shared" si="36"/>
        <v>⚠ Missing</v>
      </c>
      <c r="W463" s="45">
        <v>46248</v>
      </c>
      <c r="X463" s="30" t="s">
        <v>23</v>
      </c>
      <c r="Y463" s="30" t="s">
        <v>25</v>
      </c>
      <c r="Z463" s="30" t="s">
        <v>25</v>
      </c>
      <c r="AA463" s="30" t="s">
        <v>735</v>
      </c>
      <c r="AB463" s="30" t="s">
        <v>25</v>
      </c>
      <c r="AC463" s="27"/>
      <c r="AD463" s="31" t="s">
        <v>24</v>
      </c>
      <c r="AE463" s="32" t="str">
        <f t="shared" si="37"/>
        <v>⚠ Missing</v>
      </c>
      <c r="AF463" s="33" t="s">
        <v>27</v>
      </c>
      <c r="AG463" s="33" t="s">
        <v>23</v>
      </c>
      <c r="AH463" s="33" t="s">
        <v>25</v>
      </c>
      <c r="AI463" s="33" t="s">
        <v>24</v>
      </c>
      <c r="AJ463" s="33" t="s">
        <v>135</v>
      </c>
      <c r="AK463" s="33" t="s">
        <v>25</v>
      </c>
      <c r="AL463" s="27"/>
      <c r="AM463" s="34" t="s">
        <v>25</v>
      </c>
      <c r="AN463" s="35" t="str">
        <f t="shared" si="38"/>
        <v>❌ Disc</v>
      </c>
      <c r="AO463" s="36"/>
      <c r="AP463" s="36"/>
      <c r="AQ463" s="36"/>
      <c r="AR463" s="36"/>
      <c r="AS463" s="36"/>
      <c r="AT463" s="36"/>
      <c r="AU463" s="27"/>
      <c r="AV463" s="37"/>
      <c r="AW463" s="38" t="str">
        <f t="shared" si="39"/>
        <v/>
      </c>
    </row>
    <row r="464" spans="1:49" ht="18" customHeight="1" x14ac:dyDescent="0.3">
      <c r="A464" s="39">
        <v>460</v>
      </c>
      <c r="B464" s="40" t="s">
        <v>6121</v>
      </c>
      <c r="C464" s="41" t="s">
        <v>6122</v>
      </c>
      <c r="D464" s="39" t="s">
        <v>6098</v>
      </c>
      <c r="E464" s="43">
        <v>46125</v>
      </c>
      <c r="F464" s="26" t="s">
        <v>23</v>
      </c>
      <c r="G464" s="44" t="s">
        <v>25</v>
      </c>
      <c r="H464" s="26" t="s">
        <v>25</v>
      </c>
      <c r="I464" s="44" t="s">
        <v>735</v>
      </c>
      <c r="J464" s="26" t="s">
        <v>25</v>
      </c>
      <c r="K464" s="27"/>
      <c r="L464" s="28" t="s">
        <v>24</v>
      </c>
      <c r="M464" s="29" t="str">
        <f t="shared" si="35"/>
        <v>⚠ Missing</v>
      </c>
      <c r="N464" s="43">
        <v>46196</v>
      </c>
      <c r="O464" s="26" t="s">
        <v>23</v>
      </c>
      <c r="P464" s="44" t="s">
        <v>25</v>
      </c>
      <c r="Q464" s="26" t="s">
        <v>25</v>
      </c>
      <c r="R464" s="44" t="s">
        <v>735</v>
      </c>
      <c r="S464" s="26" t="s">
        <v>25</v>
      </c>
      <c r="T464" s="27"/>
      <c r="U464" s="28" t="s">
        <v>24</v>
      </c>
      <c r="V464" s="29" t="str">
        <f t="shared" si="36"/>
        <v>⚠ Missing</v>
      </c>
      <c r="W464" s="45">
        <v>46248</v>
      </c>
      <c r="X464" s="30" t="s">
        <v>23</v>
      </c>
      <c r="Y464" s="30" t="s">
        <v>25</v>
      </c>
      <c r="Z464" s="30" t="s">
        <v>25</v>
      </c>
      <c r="AA464" s="30" t="s">
        <v>735</v>
      </c>
      <c r="AB464" s="30" t="s">
        <v>25</v>
      </c>
      <c r="AC464" s="27"/>
      <c r="AD464" s="31" t="s">
        <v>24</v>
      </c>
      <c r="AE464" s="32" t="str">
        <f t="shared" si="37"/>
        <v>⚠ Missing</v>
      </c>
      <c r="AF464" s="33" t="s">
        <v>27</v>
      </c>
      <c r="AG464" s="33" t="s">
        <v>23</v>
      </c>
      <c r="AH464" s="33" t="s">
        <v>25</v>
      </c>
      <c r="AI464" s="33" t="s">
        <v>24</v>
      </c>
      <c r="AJ464" s="33" t="s">
        <v>135</v>
      </c>
      <c r="AK464" s="33" t="s">
        <v>25</v>
      </c>
      <c r="AL464" s="27"/>
      <c r="AM464" s="34" t="s">
        <v>25</v>
      </c>
      <c r="AN464" s="35" t="str">
        <f t="shared" si="38"/>
        <v>❌ Disc</v>
      </c>
      <c r="AO464" s="36"/>
      <c r="AP464" s="36"/>
      <c r="AQ464" s="36"/>
      <c r="AR464" s="36"/>
      <c r="AS464" s="36"/>
      <c r="AT464" s="36"/>
      <c r="AU464" s="27"/>
      <c r="AV464" s="37"/>
      <c r="AW464" s="38" t="str">
        <f t="shared" si="39"/>
        <v/>
      </c>
    </row>
    <row r="465" spans="1:49" ht="18" customHeight="1" x14ac:dyDescent="0.3">
      <c r="A465" s="23">
        <v>461</v>
      </c>
      <c r="B465" s="24" t="s">
        <v>6123</v>
      </c>
      <c r="C465" s="25" t="s">
        <v>6124</v>
      </c>
      <c r="D465" s="23" t="s">
        <v>6098</v>
      </c>
      <c r="E465" s="43">
        <v>46125</v>
      </c>
      <c r="F465" s="26" t="s">
        <v>23</v>
      </c>
      <c r="G465" s="44" t="s">
        <v>25</v>
      </c>
      <c r="H465" s="26" t="s">
        <v>25</v>
      </c>
      <c r="I465" s="44" t="s">
        <v>735</v>
      </c>
      <c r="J465" s="26" t="s">
        <v>25</v>
      </c>
      <c r="K465" s="27"/>
      <c r="L465" s="28" t="s">
        <v>24</v>
      </c>
      <c r="M465" s="29" t="str">
        <f t="shared" si="35"/>
        <v>⚠ Missing</v>
      </c>
      <c r="N465" s="43">
        <v>46196</v>
      </c>
      <c r="O465" s="26" t="s">
        <v>23</v>
      </c>
      <c r="P465" s="44" t="s">
        <v>25</v>
      </c>
      <c r="Q465" s="26" t="s">
        <v>25</v>
      </c>
      <c r="R465" s="44" t="s">
        <v>735</v>
      </c>
      <c r="S465" s="26" t="s">
        <v>25</v>
      </c>
      <c r="T465" s="27"/>
      <c r="U465" s="28" t="s">
        <v>24</v>
      </c>
      <c r="V465" s="29" t="str">
        <f t="shared" si="36"/>
        <v>⚠ Missing</v>
      </c>
      <c r="W465" s="45">
        <v>46248</v>
      </c>
      <c r="X465" s="30" t="s">
        <v>23</v>
      </c>
      <c r="Y465" s="30" t="s">
        <v>25</v>
      </c>
      <c r="Z465" s="30" t="s">
        <v>25</v>
      </c>
      <c r="AA465" s="30" t="s">
        <v>735</v>
      </c>
      <c r="AB465" s="30" t="s">
        <v>25</v>
      </c>
      <c r="AC465" s="27"/>
      <c r="AD465" s="31" t="s">
        <v>24</v>
      </c>
      <c r="AE465" s="32" t="str">
        <f t="shared" si="37"/>
        <v>⚠ Missing</v>
      </c>
      <c r="AF465" s="33" t="s">
        <v>27</v>
      </c>
      <c r="AG465" s="33" t="s">
        <v>23</v>
      </c>
      <c r="AH465" s="33" t="s">
        <v>25</v>
      </c>
      <c r="AI465" s="33" t="s">
        <v>24</v>
      </c>
      <c r="AJ465" s="33" t="s">
        <v>135</v>
      </c>
      <c r="AK465" s="33" t="s">
        <v>25</v>
      </c>
      <c r="AL465" s="27"/>
      <c r="AM465" s="34" t="s">
        <v>25</v>
      </c>
      <c r="AN465" s="35" t="str">
        <f t="shared" si="38"/>
        <v>❌ Disc</v>
      </c>
      <c r="AO465" s="36"/>
      <c r="AP465" s="36"/>
      <c r="AQ465" s="36"/>
      <c r="AR465" s="36"/>
      <c r="AS465" s="36"/>
      <c r="AT465" s="36"/>
      <c r="AU465" s="27"/>
      <c r="AV465" s="37"/>
      <c r="AW465" s="38" t="str">
        <f t="shared" si="39"/>
        <v/>
      </c>
    </row>
    <row r="466" spans="1:49" ht="18" customHeight="1" x14ac:dyDescent="0.3">
      <c r="A466" s="39">
        <v>462</v>
      </c>
      <c r="B466" s="40" t="s">
        <v>6125</v>
      </c>
      <c r="C466" s="41" t="s">
        <v>6126</v>
      </c>
      <c r="D466" s="39" t="s">
        <v>6098</v>
      </c>
      <c r="E466" s="43">
        <v>46125</v>
      </c>
      <c r="F466" s="26" t="s">
        <v>23</v>
      </c>
      <c r="G466" s="44" t="s">
        <v>25</v>
      </c>
      <c r="H466" s="26" t="s">
        <v>25</v>
      </c>
      <c r="I466" s="44" t="s">
        <v>735</v>
      </c>
      <c r="J466" s="26" t="s">
        <v>25</v>
      </c>
      <c r="K466" s="27"/>
      <c r="L466" s="28" t="s">
        <v>24</v>
      </c>
      <c r="M466" s="29" t="str">
        <f t="shared" si="35"/>
        <v>⚠ Missing</v>
      </c>
      <c r="N466" s="43">
        <v>46196</v>
      </c>
      <c r="O466" s="26" t="s">
        <v>23</v>
      </c>
      <c r="P466" s="44" t="s">
        <v>25</v>
      </c>
      <c r="Q466" s="26" t="s">
        <v>25</v>
      </c>
      <c r="R466" s="44" t="s">
        <v>735</v>
      </c>
      <c r="S466" s="26" t="s">
        <v>25</v>
      </c>
      <c r="T466" s="27"/>
      <c r="U466" s="28" t="s">
        <v>24</v>
      </c>
      <c r="V466" s="29" t="str">
        <f t="shared" si="36"/>
        <v>⚠ Missing</v>
      </c>
      <c r="W466" s="45">
        <v>46248</v>
      </c>
      <c r="X466" s="30" t="s">
        <v>23</v>
      </c>
      <c r="Y466" s="30" t="s">
        <v>25</v>
      </c>
      <c r="Z466" s="30" t="s">
        <v>25</v>
      </c>
      <c r="AA466" s="30" t="s">
        <v>735</v>
      </c>
      <c r="AB466" s="30" t="s">
        <v>25</v>
      </c>
      <c r="AC466" s="27"/>
      <c r="AD466" s="31" t="s">
        <v>24</v>
      </c>
      <c r="AE466" s="32" t="str">
        <f t="shared" si="37"/>
        <v>⚠ Missing</v>
      </c>
      <c r="AF466" s="33" t="s">
        <v>27</v>
      </c>
      <c r="AG466" s="33" t="s">
        <v>23</v>
      </c>
      <c r="AH466" s="33" t="s">
        <v>25</v>
      </c>
      <c r="AI466" s="33" t="s">
        <v>24</v>
      </c>
      <c r="AJ466" s="33" t="s">
        <v>135</v>
      </c>
      <c r="AK466" s="33" t="s">
        <v>25</v>
      </c>
      <c r="AL466" s="27"/>
      <c r="AM466" s="34" t="s">
        <v>25</v>
      </c>
      <c r="AN466" s="35" t="str">
        <f t="shared" si="38"/>
        <v>❌ Disc</v>
      </c>
      <c r="AO466" s="36"/>
      <c r="AP466" s="36"/>
      <c r="AQ466" s="36"/>
      <c r="AR466" s="36"/>
      <c r="AS466" s="36"/>
      <c r="AT466" s="36"/>
      <c r="AU466" s="27"/>
      <c r="AV466" s="37"/>
      <c r="AW466" s="38" t="str">
        <f t="shared" si="39"/>
        <v/>
      </c>
    </row>
    <row r="467" spans="1:49" ht="18" customHeight="1" x14ac:dyDescent="0.3">
      <c r="A467" s="23">
        <v>463</v>
      </c>
      <c r="B467" s="24" t="s">
        <v>6127</v>
      </c>
      <c r="C467" s="25" t="s">
        <v>6128</v>
      </c>
      <c r="D467" s="23" t="s">
        <v>6098</v>
      </c>
      <c r="E467" s="43">
        <v>46125</v>
      </c>
      <c r="F467" s="26" t="s">
        <v>23</v>
      </c>
      <c r="G467" s="44" t="s">
        <v>25</v>
      </c>
      <c r="H467" s="26" t="s">
        <v>25</v>
      </c>
      <c r="I467" s="44" t="s">
        <v>735</v>
      </c>
      <c r="J467" s="26" t="s">
        <v>25</v>
      </c>
      <c r="K467" s="27"/>
      <c r="L467" s="28" t="s">
        <v>24</v>
      </c>
      <c r="M467" s="29" t="str">
        <f t="shared" si="35"/>
        <v>⚠ Missing</v>
      </c>
      <c r="N467" s="43">
        <v>46196</v>
      </c>
      <c r="O467" s="26" t="s">
        <v>23</v>
      </c>
      <c r="P467" s="44" t="s">
        <v>25</v>
      </c>
      <c r="Q467" s="26" t="s">
        <v>25</v>
      </c>
      <c r="R467" s="44" t="s">
        <v>735</v>
      </c>
      <c r="S467" s="26" t="s">
        <v>25</v>
      </c>
      <c r="T467" s="27"/>
      <c r="U467" s="28" t="s">
        <v>24</v>
      </c>
      <c r="V467" s="29" t="str">
        <f t="shared" si="36"/>
        <v>⚠ Missing</v>
      </c>
      <c r="W467" s="45">
        <v>46248</v>
      </c>
      <c r="X467" s="30" t="s">
        <v>23</v>
      </c>
      <c r="Y467" s="30" t="s">
        <v>25</v>
      </c>
      <c r="Z467" s="30" t="s">
        <v>25</v>
      </c>
      <c r="AA467" s="30" t="s">
        <v>735</v>
      </c>
      <c r="AB467" s="30" t="s">
        <v>25</v>
      </c>
      <c r="AC467" s="27"/>
      <c r="AD467" s="31" t="s">
        <v>24</v>
      </c>
      <c r="AE467" s="32" t="str">
        <f t="shared" si="37"/>
        <v>⚠ Missing</v>
      </c>
      <c r="AF467" s="33" t="s">
        <v>27</v>
      </c>
      <c r="AG467" s="33" t="s">
        <v>23</v>
      </c>
      <c r="AH467" s="33" t="s">
        <v>25</v>
      </c>
      <c r="AI467" s="33" t="s">
        <v>24</v>
      </c>
      <c r="AJ467" s="33" t="s">
        <v>135</v>
      </c>
      <c r="AK467" s="33" t="s">
        <v>25</v>
      </c>
      <c r="AL467" s="27"/>
      <c r="AM467" s="34" t="s">
        <v>25</v>
      </c>
      <c r="AN467" s="35" t="str">
        <f t="shared" si="38"/>
        <v>❌ Disc</v>
      </c>
      <c r="AO467" s="36"/>
      <c r="AP467" s="36"/>
      <c r="AQ467" s="36"/>
      <c r="AR467" s="36"/>
      <c r="AS467" s="36"/>
      <c r="AT467" s="36"/>
      <c r="AU467" s="27"/>
      <c r="AV467" s="37"/>
      <c r="AW467" s="38" t="str">
        <f t="shared" si="39"/>
        <v/>
      </c>
    </row>
    <row r="468" spans="1:49" ht="18" customHeight="1" x14ac:dyDescent="0.3">
      <c r="A468" s="39">
        <v>464</v>
      </c>
      <c r="B468" s="40" t="s">
        <v>6129</v>
      </c>
      <c r="C468" s="41" t="s">
        <v>6130</v>
      </c>
      <c r="D468" s="39" t="s">
        <v>6098</v>
      </c>
      <c r="E468" s="43">
        <v>46125</v>
      </c>
      <c r="F468" s="26" t="s">
        <v>23</v>
      </c>
      <c r="G468" s="44" t="s">
        <v>25</v>
      </c>
      <c r="H468" s="26" t="s">
        <v>25</v>
      </c>
      <c r="I468" s="44" t="s">
        <v>735</v>
      </c>
      <c r="J468" s="26" t="s">
        <v>25</v>
      </c>
      <c r="K468" s="27"/>
      <c r="L468" s="28" t="s">
        <v>24</v>
      </c>
      <c r="M468" s="29" t="str">
        <f t="shared" si="35"/>
        <v>⚠ Missing</v>
      </c>
      <c r="N468" s="43">
        <v>46196</v>
      </c>
      <c r="O468" s="26" t="s">
        <v>23</v>
      </c>
      <c r="P468" s="44" t="s">
        <v>25</v>
      </c>
      <c r="Q468" s="26" t="s">
        <v>25</v>
      </c>
      <c r="R468" s="44" t="s">
        <v>735</v>
      </c>
      <c r="S468" s="26" t="s">
        <v>25</v>
      </c>
      <c r="T468" s="27"/>
      <c r="U468" s="28" t="s">
        <v>24</v>
      </c>
      <c r="V468" s="29" t="str">
        <f t="shared" si="36"/>
        <v>⚠ Missing</v>
      </c>
      <c r="W468" s="45">
        <v>46248</v>
      </c>
      <c r="X468" s="30" t="s">
        <v>23</v>
      </c>
      <c r="Y468" s="30" t="s">
        <v>25</v>
      </c>
      <c r="Z468" s="30" t="s">
        <v>25</v>
      </c>
      <c r="AA468" s="30" t="s">
        <v>735</v>
      </c>
      <c r="AB468" s="30" t="s">
        <v>25</v>
      </c>
      <c r="AC468" s="27"/>
      <c r="AD468" s="31" t="s">
        <v>24</v>
      </c>
      <c r="AE468" s="32" t="str">
        <f t="shared" si="37"/>
        <v>⚠ Missing</v>
      </c>
      <c r="AF468" s="33" t="s">
        <v>27</v>
      </c>
      <c r="AG468" s="33" t="s">
        <v>23</v>
      </c>
      <c r="AH468" s="33" t="s">
        <v>25</v>
      </c>
      <c r="AI468" s="33" t="s">
        <v>24</v>
      </c>
      <c r="AJ468" s="33" t="s">
        <v>135</v>
      </c>
      <c r="AK468" s="33" t="s">
        <v>25</v>
      </c>
      <c r="AL468" s="27"/>
      <c r="AM468" s="34" t="s">
        <v>25</v>
      </c>
      <c r="AN468" s="35" t="str">
        <f t="shared" si="38"/>
        <v>❌ Disc</v>
      </c>
      <c r="AO468" s="36"/>
      <c r="AP468" s="36"/>
      <c r="AQ468" s="36"/>
      <c r="AR468" s="36"/>
      <c r="AS468" s="36"/>
      <c r="AT468" s="36"/>
      <c r="AU468" s="27"/>
      <c r="AV468" s="37"/>
      <c r="AW468" s="38" t="str">
        <f t="shared" si="39"/>
        <v/>
      </c>
    </row>
    <row r="469" spans="1:49" ht="18" customHeight="1" x14ac:dyDescent="0.3">
      <c r="A469" s="23">
        <v>465</v>
      </c>
      <c r="B469" s="24" t="s">
        <v>6131</v>
      </c>
      <c r="C469" s="25" t="s">
        <v>6132</v>
      </c>
      <c r="D469" s="23" t="s">
        <v>6098</v>
      </c>
      <c r="E469" s="43">
        <v>46125</v>
      </c>
      <c r="F469" s="26" t="s">
        <v>23</v>
      </c>
      <c r="G469" s="44" t="s">
        <v>25</v>
      </c>
      <c r="H469" s="26" t="s">
        <v>25</v>
      </c>
      <c r="I469" s="44" t="s">
        <v>735</v>
      </c>
      <c r="J469" s="26" t="s">
        <v>25</v>
      </c>
      <c r="K469" s="27"/>
      <c r="L469" s="28" t="s">
        <v>24</v>
      </c>
      <c r="M469" s="29" t="str">
        <f t="shared" si="35"/>
        <v>⚠ Missing</v>
      </c>
      <c r="N469" s="43">
        <v>46196</v>
      </c>
      <c r="O469" s="26" t="s">
        <v>23</v>
      </c>
      <c r="P469" s="44" t="s">
        <v>25</v>
      </c>
      <c r="Q469" s="26" t="s">
        <v>25</v>
      </c>
      <c r="R469" s="44" t="s">
        <v>735</v>
      </c>
      <c r="S469" s="26" t="s">
        <v>25</v>
      </c>
      <c r="T469" s="27"/>
      <c r="U469" s="28" t="s">
        <v>24</v>
      </c>
      <c r="V469" s="29" t="str">
        <f t="shared" si="36"/>
        <v>⚠ Missing</v>
      </c>
      <c r="W469" s="45">
        <v>46248</v>
      </c>
      <c r="X469" s="30" t="s">
        <v>23</v>
      </c>
      <c r="Y469" s="30" t="s">
        <v>25</v>
      </c>
      <c r="Z469" s="30" t="s">
        <v>25</v>
      </c>
      <c r="AA469" s="30" t="s">
        <v>735</v>
      </c>
      <c r="AB469" s="30" t="s">
        <v>25</v>
      </c>
      <c r="AC469" s="27"/>
      <c r="AD469" s="31" t="s">
        <v>24</v>
      </c>
      <c r="AE469" s="32" t="str">
        <f t="shared" si="37"/>
        <v>⚠ Missing</v>
      </c>
      <c r="AF469" s="33" t="s">
        <v>27</v>
      </c>
      <c r="AG469" s="33" t="s">
        <v>23</v>
      </c>
      <c r="AH469" s="33" t="s">
        <v>25</v>
      </c>
      <c r="AI469" s="33" t="s">
        <v>24</v>
      </c>
      <c r="AJ469" s="33" t="s">
        <v>135</v>
      </c>
      <c r="AK469" s="33" t="s">
        <v>25</v>
      </c>
      <c r="AL469" s="27"/>
      <c r="AM469" s="34" t="s">
        <v>25</v>
      </c>
      <c r="AN469" s="35" t="str">
        <f t="shared" si="38"/>
        <v>❌ Disc</v>
      </c>
      <c r="AO469" s="36"/>
      <c r="AP469" s="36"/>
      <c r="AQ469" s="36"/>
      <c r="AR469" s="36"/>
      <c r="AS469" s="36"/>
      <c r="AT469" s="36"/>
      <c r="AU469" s="27"/>
      <c r="AV469" s="37"/>
      <c r="AW469" s="38" t="str">
        <f t="shared" si="39"/>
        <v/>
      </c>
    </row>
    <row r="470" spans="1:49" ht="18" customHeight="1" x14ac:dyDescent="0.3">
      <c r="A470" s="39">
        <v>466</v>
      </c>
      <c r="B470" s="40" t="s">
        <v>6133</v>
      </c>
      <c r="C470" s="41" t="s">
        <v>6134</v>
      </c>
      <c r="D470" s="39" t="s">
        <v>6098</v>
      </c>
      <c r="E470" s="43">
        <v>46125</v>
      </c>
      <c r="F470" s="26" t="s">
        <v>23</v>
      </c>
      <c r="G470" s="44" t="s">
        <v>25</v>
      </c>
      <c r="H470" s="26" t="s">
        <v>25</v>
      </c>
      <c r="I470" s="44" t="s">
        <v>735</v>
      </c>
      <c r="J470" s="26" t="s">
        <v>25</v>
      </c>
      <c r="K470" s="27"/>
      <c r="L470" s="28" t="s">
        <v>24</v>
      </c>
      <c r="M470" s="29" t="str">
        <f t="shared" si="35"/>
        <v>⚠ Missing</v>
      </c>
      <c r="N470" s="43">
        <v>46196</v>
      </c>
      <c r="O470" s="26" t="s">
        <v>23</v>
      </c>
      <c r="P470" s="44" t="s">
        <v>25</v>
      </c>
      <c r="Q470" s="26" t="s">
        <v>25</v>
      </c>
      <c r="R470" s="44" t="s">
        <v>735</v>
      </c>
      <c r="S470" s="26" t="s">
        <v>25</v>
      </c>
      <c r="T470" s="27"/>
      <c r="U470" s="28" t="s">
        <v>24</v>
      </c>
      <c r="V470" s="29" t="str">
        <f t="shared" si="36"/>
        <v>⚠ Missing</v>
      </c>
      <c r="W470" s="45">
        <v>46248</v>
      </c>
      <c r="X470" s="30" t="s">
        <v>23</v>
      </c>
      <c r="Y470" s="30" t="s">
        <v>25</v>
      </c>
      <c r="Z470" s="30" t="s">
        <v>25</v>
      </c>
      <c r="AA470" s="30" t="s">
        <v>735</v>
      </c>
      <c r="AB470" s="30" t="s">
        <v>25</v>
      </c>
      <c r="AC470" s="27"/>
      <c r="AD470" s="31" t="s">
        <v>24</v>
      </c>
      <c r="AE470" s="32" t="str">
        <f t="shared" si="37"/>
        <v>⚠ Missing</v>
      </c>
      <c r="AF470" s="33" t="s">
        <v>27</v>
      </c>
      <c r="AG470" s="33" t="s">
        <v>23</v>
      </c>
      <c r="AH470" s="33" t="s">
        <v>25</v>
      </c>
      <c r="AI470" s="33" t="s">
        <v>24</v>
      </c>
      <c r="AJ470" s="33" t="s">
        <v>135</v>
      </c>
      <c r="AK470" s="33" t="s">
        <v>25</v>
      </c>
      <c r="AL470" s="27"/>
      <c r="AM470" s="34" t="s">
        <v>25</v>
      </c>
      <c r="AN470" s="35" t="str">
        <f t="shared" si="38"/>
        <v>❌ Disc</v>
      </c>
      <c r="AO470" s="36"/>
      <c r="AP470" s="36"/>
      <c r="AQ470" s="36"/>
      <c r="AR470" s="36"/>
      <c r="AS470" s="36"/>
      <c r="AT470" s="36"/>
      <c r="AU470" s="27"/>
      <c r="AV470" s="37"/>
      <c r="AW470" s="38" t="str">
        <f t="shared" si="39"/>
        <v/>
      </c>
    </row>
    <row r="471" spans="1:49" ht="18" customHeight="1" x14ac:dyDescent="0.3">
      <c r="A471" s="23">
        <v>467</v>
      </c>
      <c r="B471" s="24" t="s">
        <v>6135</v>
      </c>
      <c r="C471" s="25" t="s">
        <v>6136</v>
      </c>
      <c r="D471" s="23" t="s">
        <v>6098</v>
      </c>
      <c r="E471" s="43">
        <v>46125</v>
      </c>
      <c r="F471" s="26" t="s">
        <v>23</v>
      </c>
      <c r="G471" s="44" t="s">
        <v>25</v>
      </c>
      <c r="H471" s="26" t="s">
        <v>25</v>
      </c>
      <c r="I471" s="44" t="s">
        <v>735</v>
      </c>
      <c r="J471" s="26" t="s">
        <v>25</v>
      </c>
      <c r="K471" s="27"/>
      <c r="L471" s="28" t="s">
        <v>24</v>
      </c>
      <c r="M471" s="29" t="str">
        <f t="shared" si="35"/>
        <v>⚠ Missing</v>
      </c>
      <c r="N471" s="43">
        <v>46196</v>
      </c>
      <c r="O471" s="26" t="s">
        <v>23</v>
      </c>
      <c r="P471" s="44" t="s">
        <v>25</v>
      </c>
      <c r="Q471" s="26" t="s">
        <v>25</v>
      </c>
      <c r="R471" s="44" t="s">
        <v>735</v>
      </c>
      <c r="S471" s="26" t="s">
        <v>25</v>
      </c>
      <c r="T471" s="27"/>
      <c r="U471" s="28" t="s">
        <v>24</v>
      </c>
      <c r="V471" s="29" t="str">
        <f t="shared" si="36"/>
        <v>⚠ Missing</v>
      </c>
      <c r="W471" s="45">
        <v>46248</v>
      </c>
      <c r="X471" s="30" t="s">
        <v>23</v>
      </c>
      <c r="Y471" s="30" t="s">
        <v>25</v>
      </c>
      <c r="Z471" s="30" t="s">
        <v>25</v>
      </c>
      <c r="AA471" s="30" t="s">
        <v>735</v>
      </c>
      <c r="AB471" s="30" t="s">
        <v>25</v>
      </c>
      <c r="AC471" s="27"/>
      <c r="AD471" s="31" t="s">
        <v>24</v>
      </c>
      <c r="AE471" s="32" t="str">
        <f t="shared" si="37"/>
        <v>⚠ Missing</v>
      </c>
      <c r="AF471" s="33" t="s">
        <v>27</v>
      </c>
      <c r="AG471" s="33" t="s">
        <v>23</v>
      </c>
      <c r="AH471" s="33" t="s">
        <v>25</v>
      </c>
      <c r="AI471" s="33" t="s">
        <v>24</v>
      </c>
      <c r="AJ471" s="33" t="s">
        <v>135</v>
      </c>
      <c r="AK471" s="33" t="s">
        <v>25</v>
      </c>
      <c r="AL471" s="27"/>
      <c r="AM471" s="34" t="s">
        <v>25</v>
      </c>
      <c r="AN471" s="35" t="str">
        <f t="shared" si="38"/>
        <v>❌ Disc</v>
      </c>
      <c r="AO471" s="36"/>
      <c r="AP471" s="36"/>
      <c r="AQ471" s="36"/>
      <c r="AR471" s="36"/>
      <c r="AS471" s="36"/>
      <c r="AT471" s="36"/>
      <c r="AU471" s="27"/>
      <c r="AV471" s="37"/>
      <c r="AW471" s="38" t="str">
        <f t="shared" si="39"/>
        <v/>
      </c>
    </row>
    <row r="472" spans="1:49" ht="18" customHeight="1" x14ac:dyDescent="0.3">
      <c r="A472" s="39">
        <v>468</v>
      </c>
      <c r="B472" s="40" t="s">
        <v>6137</v>
      </c>
      <c r="C472" s="41" t="s">
        <v>6138</v>
      </c>
      <c r="D472" s="39" t="s">
        <v>6098</v>
      </c>
      <c r="E472" s="43">
        <v>46125</v>
      </c>
      <c r="F472" s="26" t="s">
        <v>23</v>
      </c>
      <c r="G472" s="44" t="s">
        <v>24</v>
      </c>
      <c r="H472" s="26" t="s">
        <v>25</v>
      </c>
      <c r="I472" s="44" t="s">
        <v>26</v>
      </c>
      <c r="J472" s="26" t="s">
        <v>24</v>
      </c>
      <c r="K472" s="27"/>
      <c r="L472" s="28" t="s">
        <v>25</v>
      </c>
      <c r="M472" s="29" t="str">
        <f t="shared" si="35"/>
        <v>✓ OK</v>
      </c>
      <c r="N472" s="43">
        <v>46196</v>
      </c>
      <c r="O472" s="26" t="s">
        <v>23</v>
      </c>
      <c r="P472" s="44" t="s">
        <v>24</v>
      </c>
      <c r="Q472" s="26" t="s">
        <v>25</v>
      </c>
      <c r="R472" s="44" t="s">
        <v>26</v>
      </c>
      <c r="S472" s="26" t="s">
        <v>24</v>
      </c>
      <c r="T472" s="27"/>
      <c r="U472" s="28" t="s">
        <v>25</v>
      </c>
      <c r="V472" s="29" t="str">
        <f t="shared" si="36"/>
        <v>✓ OK</v>
      </c>
      <c r="W472" s="45">
        <v>46248</v>
      </c>
      <c r="X472" s="30" t="s">
        <v>23</v>
      </c>
      <c r="Y472" s="30" t="s">
        <v>24</v>
      </c>
      <c r="Z472" s="30" t="s">
        <v>25</v>
      </c>
      <c r="AA472" s="30" t="s">
        <v>26</v>
      </c>
      <c r="AB472" s="30" t="s">
        <v>24</v>
      </c>
      <c r="AC472" s="27"/>
      <c r="AD472" s="31" t="s">
        <v>25</v>
      </c>
      <c r="AE472" s="32" t="str">
        <f t="shared" si="37"/>
        <v>✓ OK</v>
      </c>
      <c r="AF472" s="33" t="s">
        <v>27</v>
      </c>
      <c r="AG472" s="33" t="s">
        <v>23</v>
      </c>
      <c r="AH472" s="33" t="s">
        <v>24</v>
      </c>
      <c r="AI472" s="33" t="s">
        <v>25</v>
      </c>
      <c r="AJ472" s="33" t="s">
        <v>26</v>
      </c>
      <c r="AK472" s="33" t="s">
        <v>24</v>
      </c>
      <c r="AL472" s="27"/>
      <c r="AM472" s="34" t="s">
        <v>25</v>
      </c>
      <c r="AN472" s="35" t="str">
        <f t="shared" si="38"/>
        <v>✓ OK</v>
      </c>
      <c r="AO472" s="36"/>
      <c r="AP472" s="36"/>
      <c r="AQ472" s="36"/>
      <c r="AR472" s="36"/>
      <c r="AS472" s="36"/>
      <c r="AT472" s="36"/>
      <c r="AU472" s="27"/>
      <c r="AV472" s="37"/>
      <c r="AW472" s="38" t="str">
        <f t="shared" si="39"/>
        <v/>
      </c>
    </row>
    <row r="473" spans="1:49" ht="18" customHeight="1" x14ac:dyDescent="0.3">
      <c r="A473" s="23">
        <v>469</v>
      </c>
      <c r="B473" s="24" t="s">
        <v>6139</v>
      </c>
      <c r="C473" s="25" t="s">
        <v>6140</v>
      </c>
      <c r="D473" s="23" t="s">
        <v>6098</v>
      </c>
      <c r="E473" s="43">
        <v>46125</v>
      </c>
      <c r="F473" s="26" t="s">
        <v>23</v>
      </c>
      <c r="G473" s="44" t="s">
        <v>1352</v>
      </c>
      <c r="H473" s="26" t="s">
        <v>25</v>
      </c>
      <c r="I473" s="44" t="s">
        <v>1352</v>
      </c>
      <c r="J473" s="26" t="s">
        <v>24</v>
      </c>
      <c r="K473" s="27"/>
      <c r="L473" s="28" t="s">
        <v>25</v>
      </c>
      <c r="M473" s="29" t="str">
        <f t="shared" si="35"/>
        <v>✓ OK</v>
      </c>
      <c r="N473" s="43">
        <v>46196</v>
      </c>
      <c r="O473" s="26" t="s">
        <v>23</v>
      </c>
      <c r="P473" s="44" t="s">
        <v>1352</v>
      </c>
      <c r="Q473" s="26" t="s">
        <v>25</v>
      </c>
      <c r="R473" s="44" t="s">
        <v>1352</v>
      </c>
      <c r="S473" s="26" t="s">
        <v>24</v>
      </c>
      <c r="T473" s="27"/>
      <c r="U473" s="28" t="s">
        <v>25</v>
      </c>
      <c r="V473" s="29" t="str">
        <f t="shared" si="36"/>
        <v>✓ OK</v>
      </c>
      <c r="W473" s="45">
        <v>46248</v>
      </c>
      <c r="X473" s="30" t="s">
        <v>23</v>
      </c>
      <c r="Y473" s="30" t="s">
        <v>1352</v>
      </c>
      <c r="Z473" s="30" t="s">
        <v>25</v>
      </c>
      <c r="AA473" s="30" t="s">
        <v>1352</v>
      </c>
      <c r="AB473" s="30" t="s">
        <v>24</v>
      </c>
      <c r="AC473" s="27"/>
      <c r="AD473" s="31" t="s">
        <v>25</v>
      </c>
      <c r="AE473" s="32" t="str">
        <f t="shared" si="37"/>
        <v>✓ OK</v>
      </c>
      <c r="AF473" s="33" t="s">
        <v>27</v>
      </c>
      <c r="AG473" s="33" t="s">
        <v>23</v>
      </c>
      <c r="AH473" s="33" t="s">
        <v>1352</v>
      </c>
      <c r="AI473" s="33" t="s">
        <v>25</v>
      </c>
      <c r="AJ473" s="33" t="s">
        <v>1352</v>
      </c>
      <c r="AK473" s="33" t="s">
        <v>24</v>
      </c>
      <c r="AL473" s="27"/>
      <c r="AM473" s="34" t="s">
        <v>25</v>
      </c>
      <c r="AN473" s="35" t="str">
        <f t="shared" si="38"/>
        <v>✓ OK</v>
      </c>
      <c r="AO473" s="36"/>
      <c r="AP473" s="36"/>
      <c r="AQ473" s="36"/>
      <c r="AR473" s="36"/>
      <c r="AS473" s="36"/>
      <c r="AT473" s="36"/>
      <c r="AU473" s="27"/>
      <c r="AV473" s="37"/>
      <c r="AW473" s="38" t="str">
        <f t="shared" si="39"/>
        <v/>
      </c>
    </row>
    <row r="474" spans="1:49" ht="18" customHeight="1" x14ac:dyDescent="0.3">
      <c r="A474" s="39">
        <v>470</v>
      </c>
      <c r="B474" s="40" t="s">
        <v>6141</v>
      </c>
      <c r="C474" s="41" t="s">
        <v>6142</v>
      </c>
      <c r="D474" s="39" t="s">
        <v>6098</v>
      </c>
      <c r="E474" s="43">
        <v>46125</v>
      </c>
      <c r="F474" s="26" t="s">
        <v>23</v>
      </c>
      <c r="G474" s="44" t="s">
        <v>1352</v>
      </c>
      <c r="H474" s="26" t="s">
        <v>25</v>
      </c>
      <c r="I474" s="44" t="s">
        <v>1352</v>
      </c>
      <c r="J474" s="26" t="s">
        <v>24</v>
      </c>
      <c r="K474" s="27"/>
      <c r="L474" s="28" t="s">
        <v>25</v>
      </c>
      <c r="M474" s="29" t="str">
        <f t="shared" si="35"/>
        <v>✓ OK</v>
      </c>
      <c r="N474" s="43">
        <v>46196</v>
      </c>
      <c r="O474" s="26" t="s">
        <v>23</v>
      </c>
      <c r="P474" s="44" t="s">
        <v>1352</v>
      </c>
      <c r="Q474" s="26" t="s">
        <v>25</v>
      </c>
      <c r="R474" s="44" t="s">
        <v>1352</v>
      </c>
      <c r="S474" s="26" t="s">
        <v>24</v>
      </c>
      <c r="T474" s="27"/>
      <c r="U474" s="28" t="s">
        <v>25</v>
      </c>
      <c r="V474" s="29" t="str">
        <f t="shared" si="36"/>
        <v>✓ OK</v>
      </c>
      <c r="W474" s="45">
        <v>46248</v>
      </c>
      <c r="X474" s="30" t="s">
        <v>23</v>
      </c>
      <c r="Y474" s="30" t="s">
        <v>1352</v>
      </c>
      <c r="Z474" s="30" t="s">
        <v>25</v>
      </c>
      <c r="AA474" s="30" t="s">
        <v>1352</v>
      </c>
      <c r="AB474" s="30" t="s">
        <v>24</v>
      </c>
      <c r="AC474" s="27"/>
      <c r="AD474" s="31" t="s">
        <v>25</v>
      </c>
      <c r="AE474" s="32" t="str">
        <f t="shared" si="37"/>
        <v>✓ OK</v>
      </c>
      <c r="AF474" s="33" t="s">
        <v>27</v>
      </c>
      <c r="AG474" s="33" t="s">
        <v>23</v>
      </c>
      <c r="AH474" s="33" t="s">
        <v>1352</v>
      </c>
      <c r="AI474" s="33" t="s">
        <v>25</v>
      </c>
      <c r="AJ474" s="33" t="s">
        <v>1352</v>
      </c>
      <c r="AK474" s="33" t="s">
        <v>24</v>
      </c>
      <c r="AL474" s="27"/>
      <c r="AM474" s="34" t="s">
        <v>25</v>
      </c>
      <c r="AN474" s="35" t="str">
        <f t="shared" si="38"/>
        <v>✓ OK</v>
      </c>
      <c r="AO474" s="36"/>
      <c r="AP474" s="36"/>
      <c r="AQ474" s="36"/>
      <c r="AR474" s="36"/>
      <c r="AS474" s="36"/>
      <c r="AT474" s="36"/>
      <c r="AU474" s="27"/>
      <c r="AV474" s="37"/>
      <c r="AW474" s="38" t="str">
        <f t="shared" si="39"/>
        <v/>
      </c>
    </row>
    <row r="475" spans="1:49" ht="18" customHeight="1" x14ac:dyDescent="0.3">
      <c r="A475" s="23">
        <v>471</v>
      </c>
      <c r="B475" s="24" t="s">
        <v>6143</v>
      </c>
      <c r="C475" s="25" t="s">
        <v>6144</v>
      </c>
      <c r="D475" s="23" t="s">
        <v>6098</v>
      </c>
      <c r="E475" s="43">
        <v>46125</v>
      </c>
      <c r="F475" s="26" t="s">
        <v>23</v>
      </c>
      <c r="G475" s="44" t="s">
        <v>1352</v>
      </c>
      <c r="H475" s="26" t="s">
        <v>25</v>
      </c>
      <c r="I475" s="44" t="s">
        <v>1352</v>
      </c>
      <c r="J475" s="26" t="s">
        <v>24</v>
      </c>
      <c r="K475" s="27"/>
      <c r="L475" s="28" t="s">
        <v>25</v>
      </c>
      <c r="M475" s="29" t="str">
        <f t="shared" si="35"/>
        <v>✓ OK</v>
      </c>
      <c r="N475" s="43">
        <v>46196</v>
      </c>
      <c r="O475" s="26" t="s">
        <v>23</v>
      </c>
      <c r="P475" s="44" t="s">
        <v>1352</v>
      </c>
      <c r="Q475" s="26" t="s">
        <v>25</v>
      </c>
      <c r="R475" s="44" t="s">
        <v>1352</v>
      </c>
      <c r="S475" s="26" t="s">
        <v>24</v>
      </c>
      <c r="T475" s="27"/>
      <c r="U475" s="28" t="s">
        <v>25</v>
      </c>
      <c r="V475" s="29" t="str">
        <f t="shared" si="36"/>
        <v>✓ OK</v>
      </c>
      <c r="W475" s="45">
        <v>46248</v>
      </c>
      <c r="X475" s="30" t="s">
        <v>23</v>
      </c>
      <c r="Y475" s="30" t="s">
        <v>1352</v>
      </c>
      <c r="Z475" s="30" t="s">
        <v>25</v>
      </c>
      <c r="AA475" s="30" t="s">
        <v>1352</v>
      </c>
      <c r="AB475" s="30" t="s">
        <v>24</v>
      </c>
      <c r="AC475" s="27"/>
      <c r="AD475" s="31" t="s">
        <v>25</v>
      </c>
      <c r="AE475" s="32" t="str">
        <f t="shared" si="37"/>
        <v>✓ OK</v>
      </c>
      <c r="AF475" s="33" t="s">
        <v>27</v>
      </c>
      <c r="AG475" s="33" t="s">
        <v>23</v>
      </c>
      <c r="AH475" s="33" t="s">
        <v>1352</v>
      </c>
      <c r="AI475" s="33" t="s">
        <v>25</v>
      </c>
      <c r="AJ475" s="33" t="s">
        <v>1352</v>
      </c>
      <c r="AK475" s="33" t="s">
        <v>24</v>
      </c>
      <c r="AL475" s="27"/>
      <c r="AM475" s="34" t="s">
        <v>25</v>
      </c>
      <c r="AN475" s="35" t="str">
        <f t="shared" si="38"/>
        <v>✓ OK</v>
      </c>
      <c r="AO475" s="36"/>
      <c r="AP475" s="36"/>
      <c r="AQ475" s="36"/>
      <c r="AR475" s="36"/>
      <c r="AS475" s="36"/>
      <c r="AT475" s="36"/>
      <c r="AU475" s="27"/>
      <c r="AV475" s="37"/>
      <c r="AW475" s="38" t="str">
        <f t="shared" si="39"/>
        <v/>
      </c>
    </row>
    <row r="476" spans="1:49" ht="18" customHeight="1" x14ac:dyDescent="0.3">
      <c r="A476" s="39">
        <v>472</v>
      </c>
      <c r="B476" s="40" t="s">
        <v>6145</v>
      </c>
      <c r="C476" s="41" t="s">
        <v>6146</v>
      </c>
      <c r="D476" s="39" t="s">
        <v>6098</v>
      </c>
      <c r="E476" s="43">
        <v>46125</v>
      </c>
      <c r="F476" s="26" t="s">
        <v>23</v>
      </c>
      <c r="G476" s="44" t="s">
        <v>24</v>
      </c>
      <c r="H476" s="26" t="s">
        <v>25</v>
      </c>
      <c r="I476" s="44" t="s">
        <v>26</v>
      </c>
      <c r="J476" s="26" t="s">
        <v>24</v>
      </c>
      <c r="K476" s="27"/>
      <c r="L476" s="28" t="s">
        <v>25</v>
      </c>
      <c r="M476" s="29" t="str">
        <f t="shared" si="35"/>
        <v>✓ OK</v>
      </c>
      <c r="N476" s="43">
        <v>46196</v>
      </c>
      <c r="O476" s="26" t="s">
        <v>23</v>
      </c>
      <c r="P476" s="44" t="s">
        <v>24</v>
      </c>
      <c r="Q476" s="26" t="s">
        <v>25</v>
      </c>
      <c r="R476" s="44" t="s">
        <v>26</v>
      </c>
      <c r="S476" s="26" t="s">
        <v>24</v>
      </c>
      <c r="T476" s="27"/>
      <c r="U476" s="28" t="s">
        <v>25</v>
      </c>
      <c r="V476" s="29" t="str">
        <f t="shared" si="36"/>
        <v>✓ OK</v>
      </c>
      <c r="W476" s="45">
        <v>46248</v>
      </c>
      <c r="X476" s="30" t="s">
        <v>23</v>
      </c>
      <c r="Y476" s="30" t="s">
        <v>24</v>
      </c>
      <c r="Z476" s="30" t="s">
        <v>25</v>
      </c>
      <c r="AA476" s="30" t="s">
        <v>26</v>
      </c>
      <c r="AB476" s="30" t="s">
        <v>24</v>
      </c>
      <c r="AC476" s="27"/>
      <c r="AD476" s="31" t="s">
        <v>25</v>
      </c>
      <c r="AE476" s="32" t="str">
        <f t="shared" si="37"/>
        <v>✓ OK</v>
      </c>
      <c r="AF476" s="33" t="s">
        <v>27</v>
      </c>
      <c r="AG476" s="33" t="s">
        <v>23</v>
      </c>
      <c r="AH476" s="33" t="s">
        <v>24</v>
      </c>
      <c r="AI476" s="33" t="s">
        <v>25</v>
      </c>
      <c r="AJ476" s="33" t="s">
        <v>26</v>
      </c>
      <c r="AK476" s="33" t="s">
        <v>24</v>
      </c>
      <c r="AL476" s="27"/>
      <c r="AM476" s="34" t="s">
        <v>25</v>
      </c>
      <c r="AN476" s="35" t="str">
        <f t="shared" si="38"/>
        <v>✓ OK</v>
      </c>
      <c r="AO476" s="36"/>
      <c r="AP476" s="36"/>
      <c r="AQ476" s="36"/>
      <c r="AR476" s="36"/>
      <c r="AS476" s="36"/>
      <c r="AT476" s="36"/>
      <c r="AU476" s="27"/>
      <c r="AV476" s="37"/>
      <c r="AW476" s="38" t="str">
        <f t="shared" si="39"/>
        <v/>
      </c>
    </row>
    <row r="477" spans="1:49" ht="18" customHeight="1" x14ac:dyDescent="0.3">
      <c r="A477" s="23">
        <v>473</v>
      </c>
      <c r="B477" s="24" t="s">
        <v>6147</v>
      </c>
      <c r="C477" s="25" t="s">
        <v>6148</v>
      </c>
      <c r="D477" s="23" t="s">
        <v>6098</v>
      </c>
      <c r="E477" s="43">
        <v>46125</v>
      </c>
      <c r="F477" s="26" t="s">
        <v>23</v>
      </c>
      <c r="G477" s="44" t="s">
        <v>1352</v>
      </c>
      <c r="H477" s="26" t="s">
        <v>25</v>
      </c>
      <c r="I477" s="44" t="s">
        <v>1352</v>
      </c>
      <c r="J477" s="26" t="s">
        <v>24</v>
      </c>
      <c r="K477" s="27"/>
      <c r="L477" s="28" t="s">
        <v>25</v>
      </c>
      <c r="M477" s="29" t="str">
        <f t="shared" si="35"/>
        <v>✓ OK</v>
      </c>
      <c r="N477" s="43">
        <v>46196</v>
      </c>
      <c r="O477" s="26" t="s">
        <v>23</v>
      </c>
      <c r="P477" s="44" t="s">
        <v>1352</v>
      </c>
      <c r="Q477" s="26" t="s">
        <v>25</v>
      </c>
      <c r="R477" s="44" t="s">
        <v>1352</v>
      </c>
      <c r="S477" s="26" t="s">
        <v>24</v>
      </c>
      <c r="T477" s="27"/>
      <c r="U477" s="28" t="s">
        <v>25</v>
      </c>
      <c r="V477" s="29" t="str">
        <f t="shared" si="36"/>
        <v>✓ OK</v>
      </c>
      <c r="W477" s="45">
        <v>46248</v>
      </c>
      <c r="X477" s="30" t="s">
        <v>23</v>
      </c>
      <c r="Y477" s="30" t="s">
        <v>1352</v>
      </c>
      <c r="Z477" s="30" t="s">
        <v>25</v>
      </c>
      <c r="AA477" s="30" t="s">
        <v>1352</v>
      </c>
      <c r="AB477" s="30" t="s">
        <v>24</v>
      </c>
      <c r="AC477" s="27"/>
      <c r="AD477" s="31" t="s">
        <v>25</v>
      </c>
      <c r="AE477" s="32" t="str">
        <f t="shared" si="37"/>
        <v>✓ OK</v>
      </c>
      <c r="AF477" s="33" t="s">
        <v>27</v>
      </c>
      <c r="AG477" s="33" t="s">
        <v>23</v>
      </c>
      <c r="AH477" s="33" t="s">
        <v>1352</v>
      </c>
      <c r="AI477" s="33" t="s">
        <v>25</v>
      </c>
      <c r="AJ477" s="33" t="s">
        <v>1352</v>
      </c>
      <c r="AK477" s="33" t="s">
        <v>24</v>
      </c>
      <c r="AL477" s="27"/>
      <c r="AM477" s="34" t="s">
        <v>25</v>
      </c>
      <c r="AN477" s="35" t="str">
        <f t="shared" si="38"/>
        <v>✓ OK</v>
      </c>
      <c r="AO477" s="36"/>
      <c r="AP477" s="36"/>
      <c r="AQ477" s="36"/>
      <c r="AR477" s="36"/>
      <c r="AS477" s="36"/>
      <c r="AT477" s="36"/>
      <c r="AU477" s="27"/>
      <c r="AV477" s="37"/>
      <c r="AW477" s="38" t="str">
        <f t="shared" si="39"/>
        <v/>
      </c>
    </row>
    <row r="478" spans="1:49" ht="18" customHeight="1" x14ac:dyDescent="0.3">
      <c r="A478" s="39">
        <v>474</v>
      </c>
      <c r="B478" s="40" t="s">
        <v>6149</v>
      </c>
      <c r="C478" s="41" t="s">
        <v>6150</v>
      </c>
      <c r="D478" s="39" t="s">
        <v>6098</v>
      </c>
      <c r="E478" s="43">
        <v>46125</v>
      </c>
      <c r="F478" s="26" t="s">
        <v>23</v>
      </c>
      <c r="G478" s="44" t="s">
        <v>1352</v>
      </c>
      <c r="H478" s="26" t="s">
        <v>25</v>
      </c>
      <c r="I478" s="44" t="s">
        <v>1352</v>
      </c>
      <c r="J478" s="26" t="s">
        <v>24</v>
      </c>
      <c r="K478" s="27"/>
      <c r="L478" s="28" t="s">
        <v>25</v>
      </c>
      <c r="M478" s="29" t="str">
        <f t="shared" si="35"/>
        <v>✓ OK</v>
      </c>
      <c r="N478" s="43">
        <v>46196</v>
      </c>
      <c r="O478" s="26" t="s">
        <v>23</v>
      </c>
      <c r="P478" s="44" t="s">
        <v>1352</v>
      </c>
      <c r="Q478" s="26" t="s">
        <v>25</v>
      </c>
      <c r="R478" s="44" t="s">
        <v>1352</v>
      </c>
      <c r="S478" s="26" t="s">
        <v>24</v>
      </c>
      <c r="T478" s="27"/>
      <c r="U478" s="28" t="s">
        <v>25</v>
      </c>
      <c r="V478" s="29" t="str">
        <f t="shared" si="36"/>
        <v>✓ OK</v>
      </c>
      <c r="W478" s="45">
        <v>46248</v>
      </c>
      <c r="X478" s="30" t="s">
        <v>23</v>
      </c>
      <c r="Y478" s="30" t="s">
        <v>1352</v>
      </c>
      <c r="Z478" s="30" t="s">
        <v>25</v>
      </c>
      <c r="AA478" s="30" t="s">
        <v>1352</v>
      </c>
      <c r="AB478" s="30" t="s">
        <v>24</v>
      </c>
      <c r="AC478" s="27"/>
      <c r="AD478" s="31" t="s">
        <v>25</v>
      </c>
      <c r="AE478" s="32" t="str">
        <f t="shared" si="37"/>
        <v>✓ OK</v>
      </c>
      <c r="AF478" s="33" t="s">
        <v>27</v>
      </c>
      <c r="AG478" s="33" t="s">
        <v>23</v>
      </c>
      <c r="AH478" s="33" t="s">
        <v>1352</v>
      </c>
      <c r="AI478" s="33" t="s">
        <v>25</v>
      </c>
      <c r="AJ478" s="33" t="s">
        <v>1352</v>
      </c>
      <c r="AK478" s="33" t="s">
        <v>24</v>
      </c>
      <c r="AL478" s="27"/>
      <c r="AM478" s="34" t="s">
        <v>25</v>
      </c>
      <c r="AN478" s="35" t="str">
        <f t="shared" si="38"/>
        <v>✓ OK</v>
      </c>
      <c r="AO478" s="36"/>
      <c r="AP478" s="36"/>
      <c r="AQ478" s="36"/>
      <c r="AR478" s="36"/>
      <c r="AS478" s="36"/>
      <c r="AT478" s="36"/>
      <c r="AU478" s="27"/>
      <c r="AV478" s="37"/>
      <c r="AW478" s="38" t="str">
        <f t="shared" si="39"/>
        <v/>
      </c>
    </row>
    <row r="479" spans="1:49" ht="18" customHeight="1" x14ac:dyDescent="0.3">
      <c r="A479" s="23">
        <v>475</v>
      </c>
      <c r="B479" s="24" t="s">
        <v>6151</v>
      </c>
      <c r="C479" s="25" t="s">
        <v>6152</v>
      </c>
      <c r="D479" s="23" t="s">
        <v>6098</v>
      </c>
      <c r="E479" s="43">
        <v>46125</v>
      </c>
      <c r="F479" s="26" t="s">
        <v>23</v>
      </c>
      <c r="G479" s="44" t="s">
        <v>1352</v>
      </c>
      <c r="H479" s="26" t="s">
        <v>25</v>
      </c>
      <c r="I479" s="44" t="s">
        <v>1352</v>
      </c>
      <c r="J479" s="26" t="s">
        <v>24</v>
      </c>
      <c r="K479" s="27"/>
      <c r="L479" s="28" t="s">
        <v>25</v>
      </c>
      <c r="M479" s="29" t="str">
        <f t="shared" si="35"/>
        <v>✓ OK</v>
      </c>
      <c r="N479" s="43">
        <v>46196</v>
      </c>
      <c r="O479" s="26" t="s">
        <v>23</v>
      </c>
      <c r="P479" s="44" t="s">
        <v>1352</v>
      </c>
      <c r="Q479" s="26" t="s">
        <v>25</v>
      </c>
      <c r="R479" s="44" t="s">
        <v>1352</v>
      </c>
      <c r="S479" s="26" t="s">
        <v>24</v>
      </c>
      <c r="T479" s="27"/>
      <c r="U479" s="28" t="s">
        <v>25</v>
      </c>
      <c r="V479" s="29" t="str">
        <f t="shared" si="36"/>
        <v>✓ OK</v>
      </c>
      <c r="W479" s="45">
        <v>46248</v>
      </c>
      <c r="X479" s="30" t="s">
        <v>23</v>
      </c>
      <c r="Y479" s="30" t="s">
        <v>1352</v>
      </c>
      <c r="Z479" s="30" t="s">
        <v>25</v>
      </c>
      <c r="AA479" s="30" t="s">
        <v>1352</v>
      </c>
      <c r="AB479" s="30" t="s">
        <v>24</v>
      </c>
      <c r="AC479" s="27"/>
      <c r="AD479" s="31" t="s">
        <v>25</v>
      </c>
      <c r="AE479" s="32" t="str">
        <f t="shared" si="37"/>
        <v>✓ OK</v>
      </c>
      <c r="AF479" s="33" t="s">
        <v>27</v>
      </c>
      <c r="AG479" s="33" t="s">
        <v>23</v>
      </c>
      <c r="AH479" s="33" t="s">
        <v>1352</v>
      </c>
      <c r="AI479" s="33" t="s">
        <v>25</v>
      </c>
      <c r="AJ479" s="33" t="s">
        <v>1352</v>
      </c>
      <c r="AK479" s="33" t="s">
        <v>24</v>
      </c>
      <c r="AL479" s="27"/>
      <c r="AM479" s="34" t="s">
        <v>25</v>
      </c>
      <c r="AN479" s="35" t="str">
        <f t="shared" si="38"/>
        <v>✓ OK</v>
      </c>
      <c r="AO479" s="36"/>
      <c r="AP479" s="36"/>
      <c r="AQ479" s="36"/>
      <c r="AR479" s="36"/>
      <c r="AS479" s="36"/>
      <c r="AT479" s="36"/>
      <c r="AU479" s="27"/>
      <c r="AV479" s="37"/>
      <c r="AW479" s="38" t="str">
        <f t="shared" si="39"/>
        <v/>
      </c>
    </row>
    <row r="480" spans="1:49" ht="18" customHeight="1" x14ac:dyDescent="0.3">
      <c r="A480" s="39">
        <v>476</v>
      </c>
      <c r="B480" s="40" t="s">
        <v>6153</v>
      </c>
      <c r="C480" s="41" t="s">
        <v>6154</v>
      </c>
      <c r="D480" s="39" t="s">
        <v>6098</v>
      </c>
      <c r="E480" s="43">
        <v>46125</v>
      </c>
      <c r="F480" s="26" t="s">
        <v>23</v>
      </c>
      <c r="G480" s="44" t="s">
        <v>1352</v>
      </c>
      <c r="H480" s="26" t="s">
        <v>25</v>
      </c>
      <c r="I480" s="44" t="s">
        <v>1352</v>
      </c>
      <c r="J480" s="26" t="s">
        <v>24</v>
      </c>
      <c r="K480" s="27"/>
      <c r="L480" s="28" t="s">
        <v>25</v>
      </c>
      <c r="M480" s="29" t="str">
        <f t="shared" si="35"/>
        <v>✓ OK</v>
      </c>
      <c r="N480" s="43">
        <v>46196</v>
      </c>
      <c r="O480" s="26" t="s">
        <v>23</v>
      </c>
      <c r="P480" s="44" t="s">
        <v>1352</v>
      </c>
      <c r="Q480" s="26" t="s">
        <v>25</v>
      </c>
      <c r="R480" s="44" t="s">
        <v>1352</v>
      </c>
      <c r="S480" s="26" t="s">
        <v>24</v>
      </c>
      <c r="T480" s="27"/>
      <c r="U480" s="28" t="s">
        <v>25</v>
      </c>
      <c r="V480" s="29" t="str">
        <f t="shared" si="36"/>
        <v>✓ OK</v>
      </c>
      <c r="W480" s="45">
        <v>46248</v>
      </c>
      <c r="X480" s="30" t="s">
        <v>23</v>
      </c>
      <c r="Y480" s="30" t="s">
        <v>1352</v>
      </c>
      <c r="Z480" s="30" t="s">
        <v>25</v>
      </c>
      <c r="AA480" s="30" t="s">
        <v>1352</v>
      </c>
      <c r="AB480" s="30" t="s">
        <v>24</v>
      </c>
      <c r="AC480" s="27"/>
      <c r="AD480" s="31" t="s">
        <v>25</v>
      </c>
      <c r="AE480" s="32" t="str">
        <f t="shared" si="37"/>
        <v>✓ OK</v>
      </c>
      <c r="AF480" s="33" t="s">
        <v>27</v>
      </c>
      <c r="AG480" s="33" t="s">
        <v>23</v>
      </c>
      <c r="AH480" s="33" t="s">
        <v>1352</v>
      </c>
      <c r="AI480" s="33" t="s">
        <v>25</v>
      </c>
      <c r="AJ480" s="33" t="s">
        <v>1352</v>
      </c>
      <c r="AK480" s="33" t="s">
        <v>24</v>
      </c>
      <c r="AL480" s="27"/>
      <c r="AM480" s="34" t="s">
        <v>25</v>
      </c>
      <c r="AN480" s="35" t="str">
        <f t="shared" si="38"/>
        <v>✓ OK</v>
      </c>
      <c r="AO480" s="36"/>
      <c r="AP480" s="36"/>
      <c r="AQ480" s="36"/>
      <c r="AR480" s="36"/>
      <c r="AS480" s="36"/>
      <c r="AT480" s="36"/>
      <c r="AU480" s="27"/>
      <c r="AV480" s="37"/>
      <c r="AW480" s="38" t="str">
        <f t="shared" si="39"/>
        <v/>
      </c>
    </row>
    <row r="481" spans="1:49" ht="18" customHeight="1" x14ac:dyDescent="0.3">
      <c r="A481" s="23">
        <v>477</v>
      </c>
      <c r="B481" s="24" t="s">
        <v>6155</v>
      </c>
      <c r="C481" s="25" t="s">
        <v>6156</v>
      </c>
      <c r="D481" s="23" t="s">
        <v>6098</v>
      </c>
      <c r="E481" s="43">
        <v>46125</v>
      </c>
      <c r="F481" s="26" t="s">
        <v>23</v>
      </c>
      <c r="G481" s="44" t="s">
        <v>1352</v>
      </c>
      <c r="H481" s="26" t="s">
        <v>25</v>
      </c>
      <c r="I481" s="44" t="s">
        <v>1352</v>
      </c>
      <c r="J481" s="26" t="s">
        <v>24</v>
      </c>
      <c r="K481" s="27"/>
      <c r="L481" s="28" t="s">
        <v>25</v>
      </c>
      <c r="M481" s="29" t="str">
        <f t="shared" si="35"/>
        <v>✓ OK</v>
      </c>
      <c r="N481" s="43">
        <v>46196</v>
      </c>
      <c r="O481" s="26" t="s">
        <v>23</v>
      </c>
      <c r="P481" s="44" t="s">
        <v>1352</v>
      </c>
      <c r="Q481" s="26" t="s">
        <v>25</v>
      </c>
      <c r="R481" s="44" t="s">
        <v>1352</v>
      </c>
      <c r="S481" s="26" t="s">
        <v>24</v>
      </c>
      <c r="T481" s="27"/>
      <c r="U481" s="28" t="s">
        <v>25</v>
      </c>
      <c r="V481" s="29" t="str">
        <f t="shared" si="36"/>
        <v>✓ OK</v>
      </c>
      <c r="W481" s="45">
        <v>46248</v>
      </c>
      <c r="X481" s="30" t="s">
        <v>23</v>
      </c>
      <c r="Y481" s="30" t="s">
        <v>1352</v>
      </c>
      <c r="Z481" s="30" t="s">
        <v>25</v>
      </c>
      <c r="AA481" s="30" t="s">
        <v>1352</v>
      </c>
      <c r="AB481" s="30" t="s">
        <v>24</v>
      </c>
      <c r="AC481" s="27"/>
      <c r="AD481" s="31" t="s">
        <v>25</v>
      </c>
      <c r="AE481" s="32" t="str">
        <f t="shared" si="37"/>
        <v>✓ OK</v>
      </c>
      <c r="AF481" s="33" t="s">
        <v>27</v>
      </c>
      <c r="AG481" s="33" t="s">
        <v>23</v>
      </c>
      <c r="AH481" s="33" t="s">
        <v>1352</v>
      </c>
      <c r="AI481" s="33" t="s">
        <v>25</v>
      </c>
      <c r="AJ481" s="33" t="s">
        <v>1352</v>
      </c>
      <c r="AK481" s="33" t="s">
        <v>24</v>
      </c>
      <c r="AL481" s="27"/>
      <c r="AM481" s="34" t="s">
        <v>25</v>
      </c>
      <c r="AN481" s="35" t="str">
        <f t="shared" si="38"/>
        <v>✓ OK</v>
      </c>
      <c r="AO481" s="36"/>
      <c r="AP481" s="36"/>
      <c r="AQ481" s="36"/>
      <c r="AR481" s="36"/>
      <c r="AS481" s="36"/>
      <c r="AT481" s="36"/>
      <c r="AU481" s="27"/>
      <c r="AV481" s="37"/>
      <c r="AW481" s="38" t="str">
        <f t="shared" si="39"/>
        <v/>
      </c>
    </row>
    <row r="482" spans="1:49" ht="18" customHeight="1" x14ac:dyDescent="0.3">
      <c r="A482" s="39">
        <v>478</v>
      </c>
      <c r="B482" s="40" t="s">
        <v>6157</v>
      </c>
      <c r="C482" s="41" t="s">
        <v>6158</v>
      </c>
      <c r="D482" s="39" t="s">
        <v>6098</v>
      </c>
      <c r="E482" s="43">
        <v>46125</v>
      </c>
      <c r="F482" s="26" t="s">
        <v>23</v>
      </c>
      <c r="G482" s="44" t="s">
        <v>1352</v>
      </c>
      <c r="H482" s="26" t="s">
        <v>25</v>
      </c>
      <c r="I482" s="44" t="s">
        <v>1352</v>
      </c>
      <c r="J482" s="26" t="s">
        <v>24</v>
      </c>
      <c r="K482" s="27"/>
      <c r="L482" s="28" t="s">
        <v>25</v>
      </c>
      <c r="M482" s="29" t="str">
        <f t="shared" si="35"/>
        <v>✓ OK</v>
      </c>
      <c r="N482" s="43">
        <v>46196</v>
      </c>
      <c r="O482" s="26" t="s">
        <v>23</v>
      </c>
      <c r="P482" s="44" t="s">
        <v>1352</v>
      </c>
      <c r="Q482" s="26" t="s">
        <v>25</v>
      </c>
      <c r="R482" s="44" t="s">
        <v>1352</v>
      </c>
      <c r="S482" s="26" t="s">
        <v>24</v>
      </c>
      <c r="T482" s="27"/>
      <c r="U482" s="28" t="s">
        <v>25</v>
      </c>
      <c r="V482" s="29" t="str">
        <f t="shared" si="36"/>
        <v>✓ OK</v>
      </c>
      <c r="W482" s="45">
        <v>46248</v>
      </c>
      <c r="X482" s="30" t="s">
        <v>23</v>
      </c>
      <c r="Y482" s="30" t="s">
        <v>1352</v>
      </c>
      <c r="Z482" s="30" t="s">
        <v>25</v>
      </c>
      <c r="AA482" s="30" t="s">
        <v>1352</v>
      </c>
      <c r="AB482" s="30" t="s">
        <v>24</v>
      </c>
      <c r="AC482" s="27"/>
      <c r="AD482" s="31" t="s">
        <v>25</v>
      </c>
      <c r="AE482" s="32" t="str">
        <f t="shared" si="37"/>
        <v>✓ OK</v>
      </c>
      <c r="AF482" s="33" t="s">
        <v>27</v>
      </c>
      <c r="AG482" s="33" t="s">
        <v>23</v>
      </c>
      <c r="AH482" s="33" t="s">
        <v>1352</v>
      </c>
      <c r="AI482" s="33" t="s">
        <v>25</v>
      </c>
      <c r="AJ482" s="33" t="s">
        <v>1352</v>
      </c>
      <c r="AK482" s="33" t="s">
        <v>24</v>
      </c>
      <c r="AL482" s="27"/>
      <c r="AM482" s="34" t="s">
        <v>25</v>
      </c>
      <c r="AN482" s="35" t="str">
        <f t="shared" si="38"/>
        <v>✓ OK</v>
      </c>
      <c r="AO482" s="36"/>
      <c r="AP482" s="36"/>
      <c r="AQ482" s="36"/>
      <c r="AR482" s="36"/>
      <c r="AS482" s="36"/>
      <c r="AT482" s="36"/>
      <c r="AU482" s="27"/>
      <c r="AV482" s="37"/>
      <c r="AW482" s="38" t="str">
        <f t="shared" si="39"/>
        <v/>
      </c>
    </row>
    <row r="483" spans="1:49" ht="18" customHeight="1" x14ac:dyDescent="0.3">
      <c r="A483" s="23">
        <v>479</v>
      </c>
      <c r="B483" s="24" t="s">
        <v>6159</v>
      </c>
      <c r="C483" s="25" t="s">
        <v>6160</v>
      </c>
      <c r="D483" s="23" t="s">
        <v>6098</v>
      </c>
      <c r="E483" s="43">
        <v>46125</v>
      </c>
      <c r="F483" s="26" t="s">
        <v>23</v>
      </c>
      <c r="G483" s="44" t="s">
        <v>24</v>
      </c>
      <c r="H483" s="26" t="s">
        <v>25</v>
      </c>
      <c r="I483" s="44" t="s">
        <v>26</v>
      </c>
      <c r="J483" s="26" t="s">
        <v>24</v>
      </c>
      <c r="K483" s="27"/>
      <c r="L483" s="28" t="s">
        <v>25</v>
      </c>
      <c r="M483" s="29" t="str">
        <f t="shared" si="35"/>
        <v>✓ OK</v>
      </c>
      <c r="N483" s="43">
        <v>46196</v>
      </c>
      <c r="O483" s="26" t="s">
        <v>23</v>
      </c>
      <c r="P483" s="44" t="s">
        <v>24</v>
      </c>
      <c r="Q483" s="26" t="s">
        <v>25</v>
      </c>
      <c r="R483" s="44" t="s">
        <v>26</v>
      </c>
      <c r="S483" s="26" t="s">
        <v>24</v>
      </c>
      <c r="T483" s="27"/>
      <c r="U483" s="28" t="s">
        <v>25</v>
      </c>
      <c r="V483" s="29" t="str">
        <f t="shared" si="36"/>
        <v>✓ OK</v>
      </c>
      <c r="W483" s="45">
        <v>46248</v>
      </c>
      <c r="X483" s="30" t="s">
        <v>23</v>
      </c>
      <c r="Y483" s="30" t="s">
        <v>24</v>
      </c>
      <c r="Z483" s="30" t="s">
        <v>25</v>
      </c>
      <c r="AA483" s="30" t="s">
        <v>26</v>
      </c>
      <c r="AB483" s="30" t="s">
        <v>24</v>
      </c>
      <c r="AC483" s="27"/>
      <c r="AD483" s="31" t="s">
        <v>25</v>
      </c>
      <c r="AE483" s="32" t="str">
        <f t="shared" si="37"/>
        <v>✓ OK</v>
      </c>
      <c r="AF483" s="33" t="s">
        <v>27</v>
      </c>
      <c r="AG483" s="33" t="s">
        <v>23</v>
      </c>
      <c r="AH483" s="33" t="s">
        <v>24</v>
      </c>
      <c r="AI483" s="33" t="s">
        <v>25</v>
      </c>
      <c r="AJ483" s="33" t="s">
        <v>26</v>
      </c>
      <c r="AK483" s="33" t="s">
        <v>24</v>
      </c>
      <c r="AL483" s="27"/>
      <c r="AM483" s="34" t="s">
        <v>25</v>
      </c>
      <c r="AN483" s="35" t="str">
        <f t="shared" si="38"/>
        <v>✓ OK</v>
      </c>
      <c r="AO483" s="36"/>
      <c r="AP483" s="36"/>
      <c r="AQ483" s="36"/>
      <c r="AR483" s="36"/>
      <c r="AS483" s="36"/>
      <c r="AT483" s="36"/>
      <c r="AU483" s="27"/>
      <c r="AV483" s="37"/>
      <c r="AW483" s="38" t="str">
        <f t="shared" si="39"/>
        <v/>
      </c>
    </row>
    <row r="484" spans="1:49" ht="18" customHeight="1" x14ac:dyDescent="0.3">
      <c r="A484" s="39">
        <v>480</v>
      </c>
      <c r="B484" s="40" t="s">
        <v>6161</v>
      </c>
      <c r="C484" s="41" t="s">
        <v>6162</v>
      </c>
      <c r="D484" s="39" t="s">
        <v>6098</v>
      </c>
      <c r="E484" s="43">
        <v>46125</v>
      </c>
      <c r="F484" s="26" t="s">
        <v>23</v>
      </c>
      <c r="G484" s="44" t="s">
        <v>1352</v>
      </c>
      <c r="H484" s="26" t="s">
        <v>25</v>
      </c>
      <c r="I484" s="44" t="s">
        <v>1352</v>
      </c>
      <c r="J484" s="26" t="s">
        <v>24</v>
      </c>
      <c r="K484" s="27"/>
      <c r="L484" s="28" t="s">
        <v>25</v>
      </c>
      <c r="M484" s="29" t="str">
        <f t="shared" si="35"/>
        <v>✓ OK</v>
      </c>
      <c r="N484" s="43">
        <v>46196</v>
      </c>
      <c r="O484" s="26" t="s">
        <v>23</v>
      </c>
      <c r="P484" s="44" t="s">
        <v>1352</v>
      </c>
      <c r="Q484" s="26" t="s">
        <v>25</v>
      </c>
      <c r="R484" s="44" t="s">
        <v>1352</v>
      </c>
      <c r="S484" s="26" t="s">
        <v>24</v>
      </c>
      <c r="T484" s="27"/>
      <c r="U484" s="28" t="s">
        <v>25</v>
      </c>
      <c r="V484" s="29" t="str">
        <f t="shared" si="36"/>
        <v>✓ OK</v>
      </c>
      <c r="W484" s="45">
        <v>46248</v>
      </c>
      <c r="X484" s="30" t="s">
        <v>23</v>
      </c>
      <c r="Y484" s="30" t="s">
        <v>1352</v>
      </c>
      <c r="Z484" s="30" t="s">
        <v>25</v>
      </c>
      <c r="AA484" s="30" t="s">
        <v>1352</v>
      </c>
      <c r="AB484" s="30" t="s">
        <v>24</v>
      </c>
      <c r="AC484" s="27"/>
      <c r="AD484" s="31" t="s">
        <v>25</v>
      </c>
      <c r="AE484" s="32" t="str">
        <f t="shared" si="37"/>
        <v>✓ OK</v>
      </c>
      <c r="AF484" s="33" t="s">
        <v>27</v>
      </c>
      <c r="AG484" s="33" t="s">
        <v>23</v>
      </c>
      <c r="AH484" s="33" t="s">
        <v>1352</v>
      </c>
      <c r="AI484" s="33" t="s">
        <v>25</v>
      </c>
      <c r="AJ484" s="33" t="s">
        <v>1352</v>
      </c>
      <c r="AK484" s="33" t="s">
        <v>24</v>
      </c>
      <c r="AL484" s="27"/>
      <c r="AM484" s="34" t="s">
        <v>25</v>
      </c>
      <c r="AN484" s="35" t="str">
        <f t="shared" si="38"/>
        <v>✓ OK</v>
      </c>
      <c r="AO484" s="36"/>
      <c r="AP484" s="36"/>
      <c r="AQ484" s="36"/>
      <c r="AR484" s="36"/>
      <c r="AS484" s="36"/>
      <c r="AT484" s="36"/>
      <c r="AU484" s="27"/>
      <c r="AV484" s="37"/>
      <c r="AW484" s="38" t="str">
        <f t="shared" si="39"/>
        <v/>
      </c>
    </row>
    <row r="485" spans="1:49" ht="18" customHeight="1" x14ac:dyDescent="0.3">
      <c r="A485" s="23">
        <v>481</v>
      </c>
      <c r="B485" s="24" t="s">
        <v>6163</v>
      </c>
      <c r="C485" s="25" t="s">
        <v>6164</v>
      </c>
      <c r="D485" s="23" t="s">
        <v>6098</v>
      </c>
      <c r="E485" s="43">
        <v>46125</v>
      </c>
      <c r="F485" s="26" t="s">
        <v>23</v>
      </c>
      <c r="G485" s="44" t="s">
        <v>1352</v>
      </c>
      <c r="H485" s="26" t="s">
        <v>25</v>
      </c>
      <c r="I485" s="44" t="s">
        <v>1352</v>
      </c>
      <c r="J485" s="26" t="s">
        <v>24</v>
      </c>
      <c r="K485" s="27"/>
      <c r="L485" s="28" t="s">
        <v>25</v>
      </c>
      <c r="M485" s="29" t="str">
        <f t="shared" si="35"/>
        <v>✓ OK</v>
      </c>
      <c r="N485" s="43">
        <v>46196</v>
      </c>
      <c r="O485" s="26" t="s">
        <v>23</v>
      </c>
      <c r="P485" s="44" t="s">
        <v>1352</v>
      </c>
      <c r="Q485" s="26" t="s">
        <v>25</v>
      </c>
      <c r="R485" s="44" t="s">
        <v>1352</v>
      </c>
      <c r="S485" s="26" t="s">
        <v>24</v>
      </c>
      <c r="T485" s="27"/>
      <c r="U485" s="28" t="s">
        <v>25</v>
      </c>
      <c r="V485" s="29" t="str">
        <f t="shared" si="36"/>
        <v>✓ OK</v>
      </c>
      <c r="W485" s="45">
        <v>46248</v>
      </c>
      <c r="X485" s="30" t="s">
        <v>23</v>
      </c>
      <c r="Y485" s="30" t="s">
        <v>1352</v>
      </c>
      <c r="Z485" s="30" t="s">
        <v>25</v>
      </c>
      <c r="AA485" s="30" t="s">
        <v>1352</v>
      </c>
      <c r="AB485" s="30" t="s">
        <v>24</v>
      </c>
      <c r="AC485" s="27"/>
      <c r="AD485" s="31" t="s">
        <v>25</v>
      </c>
      <c r="AE485" s="32" t="str">
        <f t="shared" si="37"/>
        <v>✓ OK</v>
      </c>
      <c r="AF485" s="33" t="s">
        <v>27</v>
      </c>
      <c r="AG485" s="33" t="s">
        <v>23</v>
      </c>
      <c r="AH485" s="33" t="s">
        <v>1352</v>
      </c>
      <c r="AI485" s="33" t="s">
        <v>25</v>
      </c>
      <c r="AJ485" s="33" t="s">
        <v>1352</v>
      </c>
      <c r="AK485" s="33" t="s">
        <v>24</v>
      </c>
      <c r="AL485" s="27"/>
      <c r="AM485" s="34" t="s">
        <v>25</v>
      </c>
      <c r="AN485" s="35" t="str">
        <f t="shared" si="38"/>
        <v>✓ OK</v>
      </c>
      <c r="AO485" s="36"/>
      <c r="AP485" s="36"/>
      <c r="AQ485" s="36"/>
      <c r="AR485" s="36"/>
      <c r="AS485" s="36"/>
      <c r="AT485" s="36"/>
      <c r="AU485" s="27"/>
      <c r="AV485" s="37"/>
      <c r="AW485" s="38" t="str">
        <f t="shared" si="39"/>
        <v/>
      </c>
    </row>
    <row r="486" spans="1:49" ht="18" customHeight="1" x14ac:dyDescent="0.3">
      <c r="A486" s="39">
        <v>482</v>
      </c>
      <c r="B486" s="40" t="s">
        <v>6165</v>
      </c>
      <c r="C486" s="41" t="s">
        <v>6166</v>
      </c>
      <c r="D486" s="39" t="s">
        <v>6098</v>
      </c>
      <c r="E486" s="43">
        <v>46125</v>
      </c>
      <c r="F486" s="26" t="s">
        <v>23</v>
      </c>
      <c r="G486" s="44" t="s">
        <v>1352</v>
      </c>
      <c r="H486" s="26" t="s">
        <v>25</v>
      </c>
      <c r="I486" s="44" t="s">
        <v>1352</v>
      </c>
      <c r="J486" s="26" t="s">
        <v>24</v>
      </c>
      <c r="K486" s="27"/>
      <c r="L486" s="28" t="s">
        <v>25</v>
      </c>
      <c r="M486" s="29" t="str">
        <f t="shared" si="35"/>
        <v>✓ OK</v>
      </c>
      <c r="N486" s="43">
        <v>46196</v>
      </c>
      <c r="O486" s="26" t="s">
        <v>23</v>
      </c>
      <c r="P486" s="44" t="s">
        <v>1352</v>
      </c>
      <c r="Q486" s="26" t="s">
        <v>25</v>
      </c>
      <c r="R486" s="44" t="s">
        <v>1352</v>
      </c>
      <c r="S486" s="26" t="s">
        <v>24</v>
      </c>
      <c r="T486" s="27"/>
      <c r="U486" s="28" t="s">
        <v>25</v>
      </c>
      <c r="V486" s="29" t="str">
        <f t="shared" si="36"/>
        <v>✓ OK</v>
      </c>
      <c r="W486" s="45">
        <v>46248</v>
      </c>
      <c r="X486" s="30" t="s">
        <v>23</v>
      </c>
      <c r="Y486" s="30" t="s">
        <v>1352</v>
      </c>
      <c r="Z486" s="30" t="s">
        <v>25</v>
      </c>
      <c r="AA486" s="30" t="s">
        <v>1352</v>
      </c>
      <c r="AB486" s="30" t="s">
        <v>24</v>
      </c>
      <c r="AC486" s="27"/>
      <c r="AD486" s="31" t="s">
        <v>25</v>
      </c>
      <c r="AE486" s="32" t="str">
        <f t="shared" si="37"/>
        <v>✓ OK</v>
      </c>
      <c r="AF486" s="33" t="s">
        <v>27</v>
      </c>
      <c r="AG486" s="33" t="s">
        <v>23</v>
      </c>
      <c r="AH486" s="33" t="s">
        <v>1352</v>
      </c>
      <c r="AI486" s="33" t="s">
        <v>25</v>
      </c>
      <c r="AJ486" s="33" t="s">
        <v>1352</v>
      </c>
      <c r="AK486" s="33" t="s">
        <v>24</v>
      </c>
      <c r="AL486" s="27"/>
      <c r="AM486" s="34" t="s">
        <v>25</v>
      </c>
      <c r="AN486" s="35" t="str">
        <f t="shared" si="38"/>
        <v>✓ OK</v>
      </c>
      <c r="AO486" s="36"/>
      <c r="AP486" s="36"/>
      <c r="AQ486" s="36"/>
      <c r="AR486" s="36"/>
      <c r="AS486" s="36"/>
      <c r="AT486" s="36"/>
      <c r="AU486" s="27"/>
      <c r="AV486" s="37"/>
      <c r="AW486" s="38" t="str">
        <f t="shared" si="39"/>
        <v/>
      </c>
    </row>
    <row r="487" spans="1:49" ht="18" customHeight="1" x14ac:dyDescent="0.3">
      <c r="A487" s="23">
        <v>483</v>
      </c>
      <c r="B487" s="24" t="s">
        <v>6167</v>
      </c>
      <c r="C487" s="25" t="s">
        <v>6168</v>
      </c>
      <c r="D487" s="23" t="s">
        <v>6098</v>
      </c>
      <c r="E487" s="43">
        <v>46125</v>
      </c>
      <c r="F487" s="26" t="s">
        <v>23</v>
      </c>
      <c r="G487" s="44" t="s">
        <v>1352</v>
      </c>
      <c r="H487" s="26" t="s">
        <v>25</v>
      </c>
      <c r="I487" s="44" t="s">
        <v>1352</v>
      </c>
      <c r="J487" s="26" t="s">
        <v>24</v>
      </c>
      <c r="K487" s="27"/>
      <c r="L487" s="28" t="s">
        <v>25</v>
      </c>
      <c r="M487" s="29" t="str">
        <f t="shared" si="35"/>
        <v>✓ OK</v>
      </c>
      <c r="N487" s="43">
        <v>46196</v>
      </c>
      <c r="O487" s="26" t="s">
        <v>23</v>
      </c>
      <c r="P487" s="44" t="s">
        <v>1352</v>
      </c>
      <c r="Q487" s="26" t="s">
        <v>25</v>
      </c>
      <c r="R487" s="44" t="s">
        <v>1352</v>
      </c>
      <c r="S487" s="26" t="s">
        <v>24</v>
      </c>
      <c r="T487" s="27"/>
      <c r="U487" s="28" t="s">
        <v>25</v>
      </c>
      <c r="V487" s="29" t="str">
        <f t="shared" si="36"/>
        <v>✓ OK</v>
      </c>
      <c r="W487" s="45">
        <v>46248</v>
      </c>
      <c r="X487" s="30" t="s">
        <v>23</v>
      </c>
      <c r="Y487" s="30" t="s">
        <v>1352</v>
      </c>
      <c r="Z487" s="30" t="s">
        <v>25</v>
      </c>
      <c r="AA487" s="30" t="s">
        <v>1352</v>
      </c>
      <c r="AB487" s="30" t="s">
        <v>24</v>
      </c>
      <c r="AC487" s="27"/>
      <c r="AD487" s="31" t="s">
        <v>25</v>
      </c>
      <c r="AE487" s="32" t="str">
        <f t="shared" si="37"/>
        <v>✓ OK</v>
      </c>
      <c r="AF487" s="33" t="s">
        <v>27</v>
      </c>
      <c r="AG487" s="33" t="s">
        <v>23</v>
      </c>
      <c r="AH487" s="33" t="s">
        <v>1352</v>
      </c>
      <c r="AI487" s="33" t="s">
        <v>25</v>
      </c>
      <c r="AJ487" s="33" t="s">
        <v>1352</v>
      </c>
      <c r="AK487" s="33" t="s">
        <v>24</v>
      </c>
      <c r="AL487" s="27"/>
      <c r="AM487" s="34" t="s">
        <v>25</v>
      </c>
      <c r="AN487" s="35" t="str">
        <f t="shared" si="38"/>
        <v>✓ OK</v>
      </c>
      <c r="AO487" s="36"/>
      <c r="AP487" s="36"/>
      <c r="AQ487" s="36"/>
      <c r="AR487" s="36"/>
      <c r="AS487" s="36"/>
      <c r="AT487" s="36"/>
      <c r="AU487" s="27"/>
      <c r="AV487" s="37"/>
      <c r="AW487" s="38" t="str">
        <f t="shared" si="39"/>
        <v/>
      </c>
    </row>
    <row r="488" spans="1:49" ht="18" customHeight="1" x14ac:dyDescent="0.3">
      <c r="A488" s="39">
        <v>484</v>
      </c>
      <c r="B488" s="40" t="s">
        <v>6169</v>
      </c>
      <c r="C488" s="41" t="s">
        <v>6170</v>
      </c>
      <c r="D488" s="39" t="s">
        <v>6098</v>
      </c>
      <c r="E488" s="43">
        <v>46125</v>
      </c>
      <c r="F488" s="26" t="s">
        <v>23</v>
      </c>
      <c r="G488" s="44" t="s">
        <v>1352</v>
      </c>
      <c r="H488" s="26" t="s">
        <v>25</v>
      </c>
      <c r="I488" s="44" t="s">
        <v>1352</v>
      </c>
      <c r="J488" s="26" t="s">
        <v>24</v>
      </c>
      <c r="K488" s="27"/>
      <c r="L488" s="28" t="s">
        <v>25</v>
      </c>
      <c r="M488" s="29" t="str">
        <f t="shared" si="35"/>
        <v>✓ OK</v>
      </c>
      <c r="N488" s="43">
        <v>46196</v>
      </c>
      <c r="O488" s="26" t="s">
        <v>23</v>
      </c>
      <c r="P488" s="44" t="s">
        <v>1352</v>
      </c>
      <c r="Q488" s="26" t="s">
        <v>25</v>
      </c>
      <c r="R488" s="44" t="s">
        <v>1352</v>
      </c>
      <c r="S488" s="26" t="s">
        <v>24</v>
      </c>
      <c r="T488" s="27"/>
      <c r="U488" s="28" t="s">
        <v>25</v>
      </c>
      <c r="V488" s="29" t="str">
        <f t="shared" si="36"/>
        <v>✓ OK</v>
      </c>
      <c r="W488" s="45">
        <v>46248</v>
      </c>
      <c r="X488" s="30" t="s">
        <v>23</v>
      </c>
      <c r="Y488" s="30" t="s">
        <v>1352</v>
      </c>
      <c r="Z488" s="30" t="s">
        <v>25</v>
      </c>
      <c r="AA488" s="30" t="s">
        <v>1352</v>
      </c>
      <c r="AB488" s="30" t="s">
        <v>24</v>
      </c>
      <c r="AC488" s="27"/>
      <c r="AD488" s="31" t="s">
        <v>25</v>
      </c>
      <c r="AE488" s="32" t="str">
        <f t="shared" si="37"/>
        <v>✓ OK</v>
      </c>
      <c r="AF488" s="33" t="s">
        <v>27</v>
      </c>
      <c r="AG488" s="33" t="s">
        <v>23</v>
      </c>
      <c r="AH488" s="33" t="s">
        <v>1352</v>
      </c>
      <c r="AI488" s="33" t="s">
        <v>25</v>
      </c>
      <c r="AJ488" s="33" t="s">
        <v>1352</v>
      </c>
      <c r="AK488" s="33" t="s">
        <v>24</v>
      </c>
      <c r="AL488" s="27"/>
      <c r="AM488" s="34" t="s">
        <v>25</v>
      </c>
      <c r="AN488" s="35" t="str">
        <f t="shared" si="38"/>
        <v>✓ OK</v>
      </c>
      <c r="AO488" s="36"/>
      <c r="AP488" s="36"/>
      <c r="AQ488" s="36"/>
      <c r="AR488" s="36"/>
      <c r="AS488" s="36"/>
      <c r="AT488" s="36"/>
      <c r="AU488" s="27"/>
      <c r="AV488" s="37"/>
      <c r="AW488" s="38" t="str">
        <f t="shared" si="39"/>
        <v/>
      </c>
    </row>
    <row r="489" spans="1:49" ht="18" customHeight="1" x14ac:dyDescent="0.3">
      <c r="A489" s="23">
        <v>485</v>
      </c>
      <c r="B489" s="24" t="s">
        <v>6171</v>
      </c>
      <c r="C489" s="25" t="s">
        <v>6172</v>
      </c>
      <c r="D489" s="23" t="s">
        <v>6098</v>
      </c>
      <c r="E489" s="43">
        <v>46125</v>
      </c>
      <c r="F489" s="26" t="s">
        <v>23</v>
      </c>
      <c r="G489" s="44" t="s">
        <v>1352</v>
      </c>
      <c r="H489" s="26" t="s">
        <v>25</v>
      </c>
      <c r="I489" s="44" t="s">
        <v>1352</v>
      </c>
      <c r="J489" s="26" t="s">
        <v>24</v>
      </c>
      <c r="K489" s="27"/>
      <c r="L489" s="28" t="s">
        <v>25</v>
      </c>
      <c r="M489" s="29" t="str">
        <f t="shared" si="35"/>
        <v>✓ OK</v>
      </c>
      <c r="N489" s="43">
        <v>46196</v>
      </c>
      <c r="O489" s="26" t="s">
        <v>23</v>
      </c>
      <c r="P489" s="44" t="s">
        <v>1352</v>
      </c>
      <c r="Q489" s="26" t="s">
        <v>25</v>
      </c>
      <c r="R489" s="44" t="s">
        <v>1352</v>
      </c>
      <c r="S489" s="26" t="s">
        <v>24</v>
      </c>
      <c r="T489" s="27"/>
      <c r="U489" s="28" t="s">
        <v>25</v>
      </c>
      <c r="V489" s="29" t="str">
        <f t="shared" si="36"/>
        <v>✓ OK</v>
      </c>
      <c r="W489" s="45">
        <v>46248</v>
      </c>
      <c r="X489" s="30" t="s">
        <v>23</v>
      </c>
      <c r="Y489" s="30" t="s">
        <v>1352</v>
      </c>
      <c r="Z489" s="30" t="s">
        <v>25</v>
      </c>
      <c r="AA489" s="30" t="s">
        <v>1352</v>
      </c>
      <c r="AB489" s="30" t="s">
        <v>24</v>
      </c>
      <c r="AC489" s="27"/>
      <c r="AD489" s="31" t="s">
        <v>25</v>
      </c>
      <c r="AE489" s="32" t="str">
        <f t="shared" si="37"/>
        <v>✓ OK</v>
      </c>
      <c r="AF489" s="33" t="s">
        <v>27</v>
      </c>
      <c r="AG489" s="33" t="s">
        <v>23</v>
      </c>
      <c r="AH489" s="33" t="s">
        <v>1352</v>
      </c>
      <c r="AI489" s="33" t="s">
        <v>25</v>
      </c>
      <c r="AJ489" s="33" t="s">
        <v>1352</v>
      </c>
      <c r="AK489" s="33" t="s">
        <v>24</v>
      </c>
      <c r="AL489" s="27"/>
      <c r="AM489" s="34" t="s">
        <v>25</v>
      </c>
      <c r="AN489" s="35" t="str">
        <f t="shared" si="38"/>
        <v>✓ OK</v>
      </c>
      <c r="AO489" s="36"/>
      <c r="AP489" s="36"/>
      <c r="AQ489" s="36"/>
      <c r="AR489" s="36"/>
      <c r="AS489" s="36"/>
      <c r="AT489" s="36"/>
      <c r="AU489" s="27"/>
      <c r="AV489" s="37"/>
      <c r="AW489" s="38" t="str">
        <f t="shared" si="39"/>
        <v/>
      </c>
    </row>
    <row r="490" spans="1:49" ht="18" customHeight="1" x14ac:dyDescent="0.3">
      <c r="A490" s="39">
        <v>486</v>
      </c>
      <c r="B490" s="40" t="s">
        <v>6173</v>
      </c>
      <c r="C490" s="41" t="s">
        <v>6174</v>
      </c>
      <c r="D490" s="39" t="s">
        <v>6098</v>
      </c>
      <c r="E490" s="43">
        <v>46125</v>
      </c>
      <c r="F490" s="26" t="s">
        <v>23</v>
      </c>
      <c r="G490" s="44" t="s">
        <v>1352</v>
      </c>
      <c r="H490" s="26" t="s">
        <v>25</v>
      </c>
      <c r="I490" s="44" t="s">
        <v>1352</v>
      </c>
      <c r="J490" s="26" t="s">
        <v>24</v>
      </c>
      <c r="K490" s="27"/>
      <c r="L490" s="28" t="s">
        <v>25</v>
      </c>
      <c r="M490" s="29" t="str">
        <f t="shared" si="35"/>
        <v>✓ OK</v>
      </c>
      <c r="N490" s="43">
        <v>46196</v>
      </c>
      <c r="O490" s="26" t="s">
        <v>23</v>
      </c>
      <c r="P490" s="44" t="s">
        <v>1352</v>
      </c>
      <c r="Q490" s="26" t="s">
        <v>25</v>
      </c>
      <c r="R490" s="44" t="s">
        <v>1352</v>
      </c>
      <c r="S490" s="26" t="s">
        <v>24</v>
      </c>
      <c r="T490" s="27"/>
      <c r="U490" s="28" t="s">
        <v>25</v>
      </c>
      <c r="V490" s="29" t="str">
        <f t="shared" si="36"/>
        <v>✓ OK</v>
      </c>
      <c r="W490" s="45">
        <v>46248</v>
      </c>
      <c r="X490" s="30" t="s">
        <v>23</v>
      </c>
      <c r="Y490" s="30" t="s">
        <v>1352</v>
      </c>
      <c r="Z490" s="30" t="s">
        <v>25</v>
      </c>
      <c r="AA490" s="30" t="s">
        <v>1352</v>
      </c>
      <c r="AB490" s="30" t="s">
        <v>24</v>
      </c>
      <c r="AC490" s="27"/>
      <c r="AD490" s="31" t="s">
        <v>25</v>
      </c>
      <c r="AE490" s="32" t="str">
        <f t="shared" si="37"/>
        <v>✓ OK</v>
      </c>
      <c r="AF490" s="33" t="s">
        <v>27</v>
      </c>
      <c r="AG490" s="33" t="s">
        <v>23</v>
      </c>
      <c r="AH490" s="33" t="s">
        <v>1352</v>
      </c>
      <c r="AI490" s="33" t="s">
        <v>25</v>
      </c>
      <c r="AJ490" s="33" t="s">
        <v>1352</v>
      </c>
      <c r="AK490" s="33" t="s">
        <v>24</v>
      </c>
      <c r="AL490" s="27"/>
      <c r="AM490" s="34" t="s">
        <v>25</v>
      </c>
      <c r="AN490" s="35" t="str">
        <f t="shared" si="38"/>
        <v>✓ OK</v>
      </c>
      <c r="AO490" s="36"/>
      <c r="AP490" s="36"/>
      <c r="AQ490" s="36"/>
      <c r="AR490" s="36"/>
      <c r="AS490" s="36"/>
      <c r="AT490" s="36"/>
      <c r="AU490" s="27"/>
      <c r="AV490" s="37"/>
      <c r="AW490" s="38" t="str">
        <f t="shared" si="39"/>
        <v/>
      </c>
    </row>
    <row r="491" spans="1:49" ht="18" customHeight="1" x14ac:dyDescent="0.3">
      <c r="A491" s="23">
        <v>487</v>
      </c>
      <c r="B491" s="24" t="s">
        <v>6175</v>
      </c>
      <c r="C491" s="25" t="s">
        <v>6176</v>
      </c>
      <c r="D491" s="23" t="s">
        <v>6098</v>
      </c>
      <c r="E491" s="43">
        <v>46125</v>
      </c>
      <c r="F491" s="26" t="s">
        <v>23</v>
      </c>
      <c r="G491" s="44" t="s">
        <v>24</v>
      </c>
      <c r="H491" s="26" t="s">
        <v>25</v>
      </c>
      <c r="I491" s="44" t="s">
        <v>26</v>
      </c>
      <c r="J491" s="26" t="s">
        <v>24</v>
      </c>
      <c r="K491" s="27"/>
      <c r="L491" s="28" t="s">
        <v>25</v>
      </c>
      <c r="M491" s="29" t="str">
        <f t="shared" si="35"/>
        <v>✓ OK</v>
      </c>
      <c r="N491" s="43">
        <v>46196</v>
      </c>
      <c r="O491" s="26" t="s">
        <v>23</v>
      </c>
      <c r="P491" s="44" t="s">
        <v>24</v>
      </c>
      <c r="Q491" s="26" t="s">
        <v>25</v>
      </c>
      <c r="R491" s="44" t="s">
        <v>26</v>
      </c>
      <c r="S491" s="26" t="s">
        <v>24</v>
      </c>
      <c r="T491" s="27"/>
      <c r="U491" s="28" t="s">
        <v>25</v>
      </c>
      <c r="V491" s="29" t="str">
        <f t="shared" si="36"/>
        <v>✓ OK</v>
      </c>
      <c r="W491" s="45">
        <v>46248</v>
      </c>
      <c r="X491" s="30" t="s">
        <v>23</v>
      </c>
      <c r="Y491" s="30" t="s">
        <v>24</v>
      </c>
      <c r="Z491" s="30" t="s">
        <v>25</v>
      </c>
      <c r="AA491" s="30" t="s">
        <v>26</v>
      </c>
      <c r="AB491" s="30" t="s">
        <v>24</v>
      </c>
      <c r="AC491" s="27"/>
      <c r="AD491" s="31" t="s">
        <v>25</v>
      </c>
      <c r="AE491" s="32" t="str">
        <f t="shared" si="37"/>
        <v>✓ OK</v>
      </c>
      <c r="AF491" s="33" t="s">
        <v>27</v>
      </c>
      <c r="AG491" s="33" t="s">
        <v>23</v>
      </c>
      <c r="AH491" s="33" t="s">
        <v>24</v>
      </c>
      <c r="AI491" s="33" t="s">
        <v>25</v>
      </c>
      <c r="AJ491" s="33" t="s">
        <v>26</v>
      </c>
      <c r="AK491" s="33" t="s">
        <v>24</v>
      </c>
      <c r="AL491" s="27"/>
      <c r="AM491" s="34" t="s">
        <v>25</v>
      </c>
      <c r="AN491" s="35" t="str">
        <f t="shared" si="38"/>
        <v>✓ OK</v>
      </c>
      <c r="AO491" s="36"/>
      <c r="AP491" s="36"/>
      <c r="AQ491" s="36"/>
      <c r="AR491" s="36"/>
      <c r="AS491" s="36"/>
      <c r="AT491" s="36"/>
      <c r="AU491" s="27"/>
      <c r="AV491" s="37"/>
      <c r="AW491" s="38" t="str">
        <f t="shared" si="39"/>
        <v/>
      </c>
    </row>
    <row r="492" spans="1:49" ht="18" customHeight="1" x14ac:dyDescent="0.3">
      <c r="A492" s="39">
        <v>488</v>
      </c>
      <c r="B492" s="40" t="s">
        <v>6177</v>
      </c>
      <c r="C492" s="41" t="s">
        <v>6178</v>
      </c>
      <c r="D492" s="39" t="s">
        <v>6098</v>
      </c>
      <c r="E492" s="43">
        <v>46125</v>
      </c>
      <c r="F492" s="26" t="s">
        <v>23</v>
      </c>
      <c r="G492" s="44" t="s">
        <v>1352</v>
      </c>
      <c r="H492" s="26" t="s">
        <v>25</v>
      </c>
      <c r="I492" s="44" t="s">
        <v>1352</v>
      </c>
      <c r="J492" s="26" t="s">
        <v>24</v>
      </c>
      <c r="K492" s="27"/>
      <c r="L492" s="28" t="s">
        <v>25</v>
      </c>
      <c r="M492" s="29" t="str">
        <f t="shared" si="35"/>
        <v>✓ OK</v>
      </c>
      <c r="N492" s="43">
        <v>46196</v>
      </c>
      <c r="O492" s="26" t="s">
        <v>23</v>
      </c>
      <c r="P492" s="44" t="s">
        <v>1352</v>
      </c>
      <c r="Q492" s="26" t="s">
        <v>25</v>
      </c>
      <c r="R492" s="44" t="s">
        <v>1352</v>
      </c>
      <c r="S492" s="26" t="s">
        <v>24</v>
      </c>
      <c r="T492" s="27"/>
      <c r="U492" s="28" t="s">
        <v>25</v>
      </c>
      <c r="V492" s="29" t="str">
        <f t="shared" si="36"/>
        <v>✓ OK</v>
      </c>
      <c r="W492" s="45">
        <v>46248</v>
      </c>
      <c r="X492" s="30" t="s">
        <v>23</v>
      </c>
      <c r="Y492" s="30" t="s">
        <v>1352</v>
      </c>
      <c r="Z492" s="30" t="s">
        <v>25</v>
      </c>
      <c r="AA492" s="30" t="s">
        <v>1352</v>
      </c>
      <c r="AB492" s="30" t="s">
        <v>24</v>
      </c>
      <c r="AC492" s="27"/>
      <c r="AD492" s="31" t="s">
        <v>25</v>
      </c>
      <c r="AE492" s="32" t="str">
        <f t="shared" si="37"/>
        <v>✓ OK</v>
      </c>
      <c r="AF492" s="33" t="s">
        <v>27</v>
      </c>
      <c r="AG492" s="33" t="s">
        <v>23</v>
      </c>
      <c r="AH492" s="33" t="s">
        <v>1352</v>
      </c>
      <c r="AI492" s="33" t="s">
        <v>25</v>
      </c>
      <c r="AJ492" s="33" t="s">
        <v>1352</v>
      </c>
      <c r="AK492" s="33" t="s">
        <v>24</v>
      </c>
      <c r="AL492" s="27"/>
      <c r="AM492" s="34" t="s">
        <v>25</v>
      </c>
      <c r="AN492" s="35" t="str">
        <f t="shared" si="38"/>
        <v>✓ OK</v>
      </c>
      <c r="AO492" s="36"/>
      <c r="AP492" s="36"/>
      <c r="AQ492" s="36"/>
      <c r="AR492" s="36"/>
      <c r="AS492" s="36"/>
      <c r="AT492" s="36"/>
      <c r="AU492" s="27"/>
      <c r="AV492" s="37"/>
      <c r="AW492" s="38" t="str">
        <f t="shared" si="39"/>
        <v/>
      </c>
    </row>
    <row r="493" spans="1:49" ht="18" customHeight="1" x14ac:dyDescent="0.3">
      <c r="A493" s="23">
        <v>489</v>
      </c>
      <c r="B493" s="24" t="s">
        <v>6179</v>
      </c>
      <c r="C493" s="25" t="s">
        <v>6180</v>
      </c>
      <c r="D493" s="23" t="s">
        <v>6098</v>
      </c>
      <c r="E493" s="43">
        <v>46125</v>
      </c>
      <c r="F493" s="26" t="s">
        <v>23</v>
      </c>
      <c r="G493" s="44" t="s">
        <v>1352</v>
      </c>
      <c r="H493" s="26" t="s">
        <v>25</v>
      </c>
      <c r="I493" s="44" t="s">
        <v>1352</v>
      </c>
      <c r="J493" s="26" t="s">
        <v>24</v>
      </c>
      <c r="K493" s="27"/>
      <c r="L493" s="28" t="s">
        <v>25</v>
      </c>
      <c r="M493" s="29" t="str">
        <f t="shared" si="35"/>
        <v>✓ OK</v>
      </c>
      <c r="N493" s="43">
        <v>46196</v>
      </c>
      <c r="O493" s="26" t="s">
        <v>23</v>
      </c>
      <c r="P493" s="44" t="s">
        <v>1352</v>
      </c>
      <c r="Q493" s="26" t="s">
        <v>25</v>
      </c>
      <c r="R493" s="44" t="s">
        <v>1352</v>
      </c>
      <c r="S493" s="26" t="s">
        <v>24</v>
      </c>
      <c r="T493" s="27"/>
      <c r="U493" s="28" t="s">
        <v>25</v>
      </c>
      <c r="V493" s="29" t="str">
        <f t="shared" si="36"/>
        <v>✓ OK</v>
      </c>
      <c r="W493" s="45">
        <v>46248</v>
      </c>
      <c r="X493" s="30" t="s">
        <v>23</v>
      </c>
      <c r="Y493" s="30" t="s">
        <v>1352</v>
      </c>
      <c r="Z493" s="30" t="s">
        <v>25</v>
      </c>
      <c r="AA493" s="30" t="s">
        <v>1352</v>
      </c>
      <c r="AB493" s="30" t="s">
        <v>24</v>
      </c>
      <c r="AC493" s="27"/>
      <c r="AD493" s="31" t="s">
        <v>25</v>
      </c>
      <c r="AE493" s="32" t="str">
        <f t="shared" si="37"/>
        <v>✓ OK</v>
      </c>
      <c r="AF493" s="33" t="s">
        <v>27</v>
      </c>
      <c r="AG493" s="33" t="s">
        <v>23</v>
      </c>
      <c r="AH493" s="33" t="s">
        <v>1352</v>
      </c>
      <c r="AI493" s="33" t="s">
        <v>25</v>
      </c>
      <c r="AJ493" s="33" t="s">
        <v>1352</v>
      </c>
      <c r="AK493" s="33" t="s">
        <v>24</v>
      </c>
      <c r="AL493" s="27"/>
      <c r="AM493" s="34" t="s">
        <v>25</v>
      </c>
      <c r="AN493" s="35" t="str">
        <f t="shared" si="38"/>
        <v>✓ OK</v>
      </c>
      <c r="AO493" s="36"/>
      <c r="AP493" s="36"/>
      <c r="AQ493" s="36"/>
      <c r="AR493" s="36"/>
      <c r="AS493" s="36"/>
      <c r="AT493" s="36"/>
      <c r="AU493" s="27"/>
      <c r="AV493" s="37"/>
      <c r="AW493" s="38" t="str">
        <f t="shared" si="39"/>
        <v/>
      </c>
    </row>
    <row r="494" spans="1:49" ht="18" customHeight="1" x14ac:dyDescent="0.3">
      <c r="A494" s="39">
        <v>490</v>
      </c>
      <c r="B494" s="40" t="s">
        <v>6181</v>
      </c>
      <c r="C494" s="41" t="s">
        <v>6182</v>
      </c>
      <c r="D494" s="39" t="s">
        <v>6098</v>
      </c>
      <c r="E494" s="43">
        <v>46125</v>
      </c>
      <c r="F494" s="26" t="s">
        <v>23</v>
      </c>
      <c r="G494" s="44" t="s">
        <v>1352</v>
      </c>
      <c r="H494" s="26" t="s">
        <v>25</v>
      </c>
      <c r="I494" s="44" t="s">
        <v>1352</v>
      </c>
      <c r="J494" s="26" t="s">
        <v>24</v>
      </c>
      <c r="K494" s="27"/>
      <c r="L494" s="28" t="s">
        <v>25</v>
      </c>
      <c r="M494" s="29" t="str">
        <f t="shared" si="35"/>
        <v>✓ OK</v>
      </c>
      <c r="N494" s="43">
        <v>46196</v>
      </c>
      <c r="O494" s="26" t="s">
        <v>23</v>
      </c>
      <c r="P494" s="44" t="s">
        <v>1352</v>
      </c>
      <c r="Q494" s="26" t="s">
        <v>25</v>
      </c>
      <c r="R494" s="44" t="s">
        <v>1352</v>
      </c>
      <c r="S494" s="26" t="s">
        <v>24</v>
      </c>
      <c r="T494" s="27"/>
      <c r="U494" s="28" t="s">
        <v>25</v>
      </c>
      <c r="V494" s="29" t="str">
        <f t="shared" si="36"/>
        <v>✓ OK</v>
      </c>
      <c r="W494" s="45">
        <v>46248</v>
      </c>
      <c r="X494" s="30" t="s">
        <v>23</v>
      </c>
      <c r="Y494" s="30" t="s">
        <v>1352</v>
      </c>
      <c r="Z494" s="30" t="s">
        <v>25</v>
      </c>
      <c r="AA494" s="30" t="s">
        <v>1352</v>
      </c>
      <c r="AB494" s="30" t="s">
        <v>24</v>
      </c>
      <c r="AC494" s="27"/>
      <c r="AD494" s="31" t="s">
        <v>25</v>
      </c>
      <c r="AE494" s="32" t="str">
        <f t="shared" si="37"/>
        <v>✓ OK</v>
      </c>
      <c r="AF494" s="33" t="s">
        <v>27</v>
      </c>
      <c r="AG494" s="33" t="s">
        <v>23</v>
      </c>
      <c r="AH494" s="33" t="s">
        <v>1352</v>
      </c>
      <c r="AI494" s="33" t="s">
        <v>25</v>
      </c>
      <c r="AJ494" s="33" t="s">
        <v>1352</v>
      </c>
      <c r="AK494" s="33" t="s">
        <v>24</v>
      </c>
      <c r="AL494" s="27"/>
      <c r="AM494" s="34" t="s">
        <v>25</v>
      </c>
      <c r="AN494" s="35" t="str">
        <f t="shared" si="38"/>
        <v>✓ OK</v>
      </c>
      <c r="AO494" s="36"/>
      <c r="AP494" s="36"/>
      <c r="AQ494" s="36"/>
      <c r="AR494" s="36"/>
      <c r="AS494" s="36"/>
      <c r="AT494" s="36"/>
      <c r="AU494" s="27"/>
      <c r="AV494" s="37"/>
      <c r="AW494" s="38" t="str">
        <f t="shared" si="39"/>
        <v/>
      </c>
    </row>
    <row r="495" spans="1:49" ht="18" customHeight="1" x14ac:dyDescent="0.3">
      <c r="A495" s="23">
        <v>491</v>
      </c>
      <c r="B495" s="24" t="s">
        <v>6183</v>
      </c>
      <c r="C495" s="25" t="s">
        <v>6184</v>
      </c>
      <c r="D495" s="23" t="s">
        <v>6098</v>
      </c>
      <c r="E495" s="43">
        <v>46125</v>
      </c>
      <c r="F495" s="26" t="s">
        <v>23</v>
      </c>
      <c r="G495" s="44" t="s">
        <v>1352</v>
      </c>
      <c r="H495" s="26" t="s">
        <v>25</v>
      </c>
      <c r="I495" s="44" t="s">
        <v>1352</v>
      </c>
      <c r="J495" s="26" t="s">
        <v>24</v>
      </c>
      <c r="K495" s="27"/>
      <c r="L495" s="28" t="s">
        <v>25</v>
      </c>
      <c r="M495" s="29" t="str">
        <f t="shared" si="35"/>
        <v>✓ OK</v>
      </c>
      <c r="N495" s="43">
        <v>46196</v>
      </c>
      <c r="O495" s="26" t="s">
        <v>23</v>
      </c>
      <c r="P495" s="44" t="s">
        <v>1352</v>
      </c>
      <c r="Q495" s="26" t="s">
        <v>25</v>
      </c>
      <c r="R495" s="44" t="s">
        <v>1352</v>
      </c>
      <c r="S495" s="26" t="s">
        <v>24</v>
      </c>
      <c r="T495" s="27"/>
      <c r="U495" s="28" t="s">
        <v>25</v>
      </c>
      <c r="V495" s="29" t="str">
        <f t="shared" si="36"/>
        <v>✓ OK</v>
      </c>
      <c r="W495" s="45">
        <v>46248</v>
      </c>
      <c r="X495" s="30" t="s">
        <v>23</v>
      </c>
      <c r="Y495" s="30" t="s">
        <v>1352</v>
      </c>
      <c r="Z495" s="30" t="s">
        <v>25</v>
      </c>
      <c r="AA495" s="30" t="s">
        <v>1352</v>
      </c>
      <c r="AB495" s="30" t="s">
        <v>24</v>
      </c>
      <c r="AC495" s="27"/>
      <c r="AD495" s="31" t="s">
        <v>25</v>
      </c>
      <c r="AE495" s="32" t="str">
        <f t="shared" si="37"/>
        <v>✓ OK</v>
      </c>
      <c r="AF495" s="33" t="s">
        <v>27</v>
      </c>
      <c r="AG495" s="33" t="s">
        <v>23</v>
      </c>
      <c r="AH495" s="33" t="s">
        <v>1352</v>
      </c>
      <c r="AI495" s="33" t="s">
        <v>25</v>
      </c>
      <c r="AJ495" s="33" t="s">
        <v>1352</v>
      </c>
      <c r="AK495" s="33" t="s">
        <v>24</v>
      </c>
      <c r="AL495" s="27"/>
      <c r="AM495" s="34" t="s">
        <v>25</v>
      </c>
      <c r="AN495" s="35" t="str">
        <f t="shared" si="38"/>
        <v>✓ OK</v>
      </c>
      <c r="AO495" s="36"/>
      <c r="AP495" s="36"/>
      <c r="AQ495" s="36"/>
      <c r="AR495" s="36"/>
      <c r="AS495" s="36"/>
      <c r="AT495" s="36"/>
      <c r="AU495" s="27"/>
      <c r="AV495" s="37"/>
      <c r="AW495" s="38" t="str">
        <f t="shared" si="39"/>
        <v/>
      </c>
    </row>
    <row r="496" spans="1:49" ht="18" customHeight="1" x14ac:dyDescent="0.3">
      <c r="A496" s="39">
        <v>492</v>
      </c>
      <c r="B496" s="40" t="s">
        <v>6185</v>
      </c>
      <c r="C496" s="41" t="s">
        <v>6186</v>
      </c>
      <c r="D496" s="39" t="s">
        <v>6098</v>
      </c>
      <c r="E496" s="43">
        <v>46125</v>
      </c>
      <c r="F496" s="26" t="s">
        <v>23</v>
      </c>
      <c r="G496" s="44" t="s">
        <v>1352</v>
      </c>
      <c r="H496" s="26" t="s">
        <v>25</v>
      </c>
      <c r="I496" s="44" t="s">
        <v>1352</v>
      </c>
      <c r="J496" s="26" t="s">
        <v>24</v>
      </c>
      <c r="K496" s="27"/>
      <c r="L496" s="28" t="s">
        <v>25</v>
      </c>
      <c r="M496" s="29" t="str">
        <f t="shared" si="35"/>
        <v>✓ OK</v>
      </c>
      <c r="N496" s="43">
        <v>46196</v>
      </c>
      <c r="O496" s="26" t="s">
        <v>23</v>
      </c>
      <c r="P496" s="44" t="s">
        <v>1352</v>
      </c>
      <c r="Q496" s="26" t="s">
        <v>25</v>
      </c>
      <c r="R496" s="44" t="s">
        <v>1352</v>
      </c>
      <c r="S496" s="26" t="s">
        <v>24</v>
      </c>
      <c r="T496" s="27"/>
      <c r="U496" s="28" t="s">
        <v>25</v>
      </c>
      <c r="V496" s="29" t="str">
        <f t="shared" si="36"/>
        <v>✓ OK</v>
      </c>
      <c r="W496" s="45">
        <v>46248</v>
      </c>
      <c r="X496" s="30" t="s">
        <v>23</v>
      </c>
      <c r="Y496" s="30" t="s">
        <v>1352</v>
      </c>
      <c r="Z496" s="30" t="s">
        <v>25</v>
      </c>
      <c r="AA496" s="30" t="s">
        <v>1352</v>
      </c>
      <c r="AB496" s="30" t="s">
        <v>24</v>
      </c>
      <c r="AC496" s="27"/>
      <c r="AD496" s="31" t="s">
        <v>25</v>
      </c>
      <c r="AE496" s="32" t="str">
        <f t="shared" si="37"/>
        <v>✓ OK</v>
      </c>
      <c r="AF496" s="33" t="s">
        <v>27</v>
      </c>
      <c r="AG496" s="33" t="s">
        <v>23</v>
      </c>
      <c r="AH496" s="33" t="s">
        <v>1352</v>
      </c>
      <c r="AI496" s="33" t="s">
        <v>25</v>
      </c>
      <c r="AJ496" s="33" t="s">
        <v>1352</v>
      </c>
      <c r="AK496" s="33" t="s">
        <v>24</v>
      </c>
      <c r="AL496" s="27"/>
      <c r="AM496" s="34" t="s">
        <v>25</v>
      </c>
      <c r="AN496" s="35" t="str">
        <f t="shared" si="38"/>
        <v>✓ OK</v>
      </c>
      <c r="AO496" s="36"/>
      <c r="AP496" s="36"/>
      <c r="AQ496" s="36"/>
      <c r="AR496" s="36"/>
      <c r="AS496" s="36"/>
      <c r="AT496" s="36"/>
      <c r="AU496" s="27"/>
      <c r="AV496" s="37"/>
      <c r="AW496" s="38" t="str">
        <f t="shared" si="39"/>
        <v/>
      </c>
    </row>
    <row r="497" spans="1:49" ht="18" customHeight="1" x14ac:dyDescent="0.3">
      <c r="A497" s="23">
        <v>493</v>
      </c>
      <c r="B497" s="24" t="s">
        <v>6187</v>
      </c>
      <c r="C497" s="25" t="s">
        <v>6188</v>
      </c>
      <c r="D497" s="23" t="s">
        <v>6098</v>
      </c>
      <c r="E497" s="43">
        <v>46125</v>
      </c>
      <c r="F497" s="26" t="s">
        <v>23</v>
      </c>
      <c r="G497" s="44" t="s">
        <v>1352</v>
      </c>
      <c r="H497" s="26" t="s">
        <v>25</v>
      </c>
      <c r="I497" s="44" t="s">
        <v>1352</v>
      </c>
      <c r="J497" s="26" t="s">
        <v>24</v>
      </c>
      <c r="K497" s="27"/>
      <c r="L497" s="28" t="s">
        <v>25</v>
      </c>
      <c r="M497" s="29" t="str">
        <f t="shared" si="35"/>
        <v>✓ OK</v>
      </c>
      <c r="N497" s="43">
        <v>46196</v>
      </c>
      <c r="O497" s="26" t="s">
        <v>23</v>
      </c>
      <c r="P497" s="44" t="s">
        <v>1352</v>
      </c>
      <c r="Q497" s="26" t="s">
        <v>25</v>
      </c>
      <c r="R497" s="44" t="s">
        <v>1352</v>
      </c>
      <c r="S497" s="26" t="s">
        <v>24</v>
      </c>
      <c r="T497" s="27"/>
      <c r="U497" s="28" t="s">
        <v>25</v>
      </c>
      <c r="V497" s="29" t="str">
        <f t="shared" si="36"/>
        <v>✓ OK</v>
      </c>
      <c r="W497" s="45">
        <v>46248</v>
      </c>
      <c r="X497" s="30" t="s">
        <v>23</v>
      </c>
      <c r="Y497" s="30" t="s">
        <v>1352</v>
      </c>
      <c r="Z497" s="30" t="s">
        <v>25</v>
      </c>
      <c r="AA497" s="30" t="s">
        <v>1352</v>
      </c>
      <c r="AB497" s="30" t="s">
        <v>24</v>
      </c>
      <c r="AC497" s="27"/>
      <c r="AD497" s="31" t="s">
        <v>25</v>
      </c>
      <c r="AE497" s="32" t="str">
        <f t="shared" si="37"/>
        <v>✓ OK</v>
      </c>
      <c r="AF497" s="33" t="s">
        <v>27</v>
      </c>
      <c r="AG497" s="33" t="s">
        <v>23</v>
      </c>
      <c r="AH497" s="33" t="s">
        <v>1352</v>
      </c>
      <c r="AI497" s="33" t="s">
        <v>25</v>
      </c>
      <c r="AJ497" s="33" t="s">
        <v>1352</v>
      </c>
      <c r="AK497" s="33" t="s">
        <v>24</v>
      </c>
      <c r="AL497" s="27"/>
      <c r="AM497" s="34" t="s">
        <v>25</v>
      </c>
      <c r="AN497" s="35" t="str">
        <f t="shared" si="38"/>
        <v>✓ OK</v>
      </c>
      <c r="AO497" s="36"/>
      <c r="AP497" s="36"/>
      <c r="AQ497" s="36"/>
      <c r="AR497" s="36"/>
      <c r="AS497" s="36"/>
      <c r="AT497" s="36"/>
      <c r="AU497" s="27"/>
      <c r="AV497" s="37"/>
      <c r="AW497" s="38" t="str">
        <f t="shared" si="39"/>
        <v/>
      </c>
    </row>
    <row r="498" spans="1:49" ht="18" customHeight="1" x14ac:dyDescent="0.3">
      <c r="A498" s="39">
        <v>494</v>
      </c>
      <c r="B498" s="40" t="s">
        <v>6189</v>
      </c>
      <c r="C498" s="41" t="s">
        <v>6190</v>
      </c>
      <c r="D498" s="39" t="s">
        <v>6098</v>
      </c>
      <c r="E498" s="43">
        <v>46125</v>
      </c>
      <c r="F498" s="26" t="s">
        <v>23</v>
      </c>
      <c r="G498" s="44" t="s">
        <v>1352</v>
      </c>
      <c r="H498" s="26" t="s">
        <v>25</v>
      </c>
      <c r="I498" s="44" t="s">
        <v>1352</v>
      </c>
      <c r="J498" s="26" t="s">
        <v>24</v>
      </c>
      <c r="K498" s="27"/>
      <c r="L498" s="28" t="s">
        <v>25</v>
      </c>
      <c r="M498" s="29" t="str">
        <f t="shared" si="35"/>
        <v>✓ OK</v>
      </c>
      <c r="N498" s="43">
        <v>46196</v>
      </c>
      <c r="O498" s="26" t="s">
        <v>23</v>
      </c>
      <c r="P498" s="44" t="s">
        <v>1352</v>
      </c>
      <c r="Q498" s="26" t="s">
        <v>25</v>
      </c>
      <c r="R498" s="44" t="s">
        <v>1352</v>
      </c>
      <c r="S498" s="26" t="s">
        <v>24</v>
      </c>
      <c r="T498" s="27"/>
      <c r="U498" s="28" t="s">
        <v>25</v>
      </c>
      <c r="V498" s="29" t="str">
        <f t="shared" si="36"/>
        <v>✓ OK</v>
      </c>
      <c r="W498" s="45">
        <v>46248</v>
      </c>
      <c r="X498" s="30" t="s">
        <v>23</v>
      </c>
      <c r="Y498" s="30" t="s">
        <v>1352</v>
      </c>
      <c r="Z498" s="30" t="s">
        <v>25</v>
      </c>
      <c r="AA498" s="30" t="s">
        <v>1352</v>
      </c>
      <c r="AB498" s="30" t="s">
        <v>24</v>
      </c>
      <c r="AC498" s="27"/>
      <c r="AD498" s="31" t="s">
        <v>25</v>
      </c>
      <c r="AE498" s="32" t="str">
        <f t="shared" si="37"/>
        <v>✓ OK</v>
      </c>
      <c r="AF498" s="33" t="s">
        <v>27</v>
      </c>
      <c r="AG498" s="33" t="s">
        <v>23</v>
      </c>
      <c r="AH498" s="33" t="s">
        <v>1352</v>
      </c>
      <c r="AI498" s="33" t="s">
        <v>25</v>
      </c>
      <c r="AJ498" s="33" t="s">
        <v>1352</v>
      </c>
      <c r="AK498" s="33" t="s">
        <v>24</v>
      </c>
      <c r="AL498" s="27"/>
      <c r="AM498" s="34" t="s">
        <v>25</v>
      </c>
      <c r="AN498" s="35" t="str">
        <f t="shared" si="38"/>
        <v>✓ OK</v>
      </c>
      <c r="AO498" s="36"/>
      <c r="AP498" s="36"/>
      <c r="AQ498" s="36"/>
      <c r="AR498" s="36"/>
      <c r="AS498" s="36"/>
      <c r="AT498" s="36"/>
      <c r="AU498" s="27"/>
      <c r="AV498" s="37"/>
      <c r="AW498" s="38" t="str">
        <f t="shared" si="39"/>
        <v/>
      </c>
    </row>
    <row r="499" spans="1:49" ht="18" customHeight="1" x14ac:dyDescent="0.3">
      <c r="A499" s="23">
        <v>495</v>
      </c>
      <c r="B499" s="24" t="s">
        <v>6191</v>
      </c>
      <c r="C499" s="25" t="s">
        <v>6192</v>
      </c>
      <c r="D499" s="23" t="s">
        <v>6098</v>
      </c>
      <c r="E499" s="43">
        <v>46125</v>
      </c>
      <c r="F499" s="26" t="s">
        <v>23</v>
      </c>
      <c r="G499" s="44" t="s">
        <v>1352</v>
      </c>
      <c r="H499" s="26" t="s">
        <v>25</v>
      </c>
      <c r="I499" s="44" t="s">
        <v>1352</v>
      </c>
      <c r="J499" s="26" t="s">
        <v>24</v>
      </c>
      <c r="K499" s="27"/>
      <c r="L499" s="28" t="s">
        <v>25</v>
      </c>
      <c r="M499" s="29" t="str">
        <f t="shared" si="35"/>
        <v>✓ OK</v>
      </c>
      <c r="N499" s="43">
        <v>46196</v>
      </c>
      <c r="O499" s="26" t="s">
        <v>23</v>
      </c>
      <c r="P499" s="44" t="s">
        <v>1352</v>
      </c>
      <c r="Q499" s="26" t="s">
        <v>25</v>
      </c>
      <c r="R499" s="44" t="s">
        <v>1352</v>
      </c>
      <c r="S499" s="26" t="s">
        <v>24</v>
      </c>
      <c r="T499" s="27"/>
      <c r="U499" s="28" t="s">
        <v>25</v>
      </c>
      <c r="V499" s="29" t="str">
        <f t="shared" si="36"/>
        <v>✓ OK</v>
      </c>
      <c r="W499" s="45">
        <v>46248</v>
      </c>
      <c r="X499" s="30" t="s">
        <v>23</v>
      </c>
      <c r="Y499" s="30" t="s">
        <v>1352</v>
      </c>
      <c r="Z499" s="30" t="s">
        <v>25</v>
      </c>
      <c r="AA499" s="30" t="s">
        <v>1352</v>
      </c>
      <c r="AB499" s="30" t="s">
        <v>24</v>
      </c>
      <c r="AC499" s="27"/>
      <c r="AD499" s="31" t="s">
        <v>25</v>
      </c>
      <c r="AE499" s="32" t="str">
        <f t="shared" si="37"/>
        <v>✓ OK</v>
      </c>
      <c r="AF499" s="33" t="s">
        <v>27</v>
      </c>
      <c r="AG499" s="33" t="s">
        <v>23</v>
      </c>
      <c r="AH499" s="33" t="s">
        <v>1352</v>
      </c>
      <c r="AI499" s="33" t="s">
        <v>25</v>
      </c>
      <c r="AJ499" s="33" t="s">
        <v>1352</v>
      </c>
      <c r="AK499" s="33" t="s">
        <v>24</v>
      </c>
      <c r="AL499" s="27"/>
      <c r="AM499" s="34" t="s">
        <v>25</v>
      </c>
      <c r="AN499" s="35" t="str">
        <f t="shared" si="38"/>
        <v>✓ OK</v>
      </c>
      <c r="AO499" s="36"/>
      <c r="AP499" s="36"/>
      <c r="AQ499" s="36"/>
      <c r="AR499" s="36"/>
      <c r="AS499" s="36"/>
      <c r="AT499" s="36"/>
      <c r="AU499" s="27"/>
      <c r="AV499" s="37"/>
      <c r="AW499" s="38" t="str">
        <f t="shared" si="39"/>
        <v/>
      </c>
    </row>
    <row r="500" spans="1:49" ht="18" customHeight="1" x14ac:dyDescent="0.3">
      <c r="A500" s="39">
        <v>496</v>
      </c>
      <c r="B500" s="40" t="s">
        <v>6193</v>
      </c>
      <c r="C500" s="41" t="s">
        <v>6194</v>
      </c>
      <c r="D500" s="39" t="s">
        <v>6098</v>
      </c>
      <c r="E500" s="43">
        <v>46125</v>
      </c>
      <c r="F500" s="26" t="s">
        <v>23</v>
      </c>
      <c r="G500" s="44" t="s">
        <v>1352</v>
      </c>
      <c r="H500" s="26" t="s">
        <v>25</v>
      </c>
      <c r="I500" s="44" t="s">
        <v>1352</v>
      </c>
      <c r="J500" s="26" t="s">
        <v>24</v>
      </c>
      <c r="K500" s="27"/>
      <c r="L500" s="28" t="s">
        <v>25</v>
      </c>
      <c r="M500" s="29" t="str">
        <f t="shared" si="35"/>
        <v>✓ OK</v>
      </c>
      <c r="N500" s="43">
        <v>46196</v>
      </c>
      <c r="O500" s="26" t="s">
        <v>23</v>
      </c>
      <c r="P500" s="44" t="s">
        <v>1352</v>
      </c>
      <c r="Q500" s="26" t="s">
        <v>25</v>
      </c>
      <c r="R500" s="44" t="s">
        <v>1352</v>
      </c>
      <c r="S500" s="26" t="s">
        <v>24</v>
      </c>
      <c r="T500" s="27"/>
      <c r="U500" s="28" t="s">
        <v>25</v>
      </c>
      <c r="V500" s="29" t="str">
        <f t="shared" si="36"/>
        <v>✓ OK</v>
      </c>
      <c r="W500" s="45">
        <v>46248</v>
      </c>
      <c r="X500" s="30" t="s">
        <v>23</v>
      </c>
      <c r="Y500" s="30" t="s">
        <v>1352</v>
      </c>
      <c r="Z500" s="30" t="s">
        <v>25</v>
      </c>
      <c r="AA500" s="30" t="s">
        <v>1352</v>
      </c>
      <c r="AB500" s="30" t="s">
        <v>24</v>
      </c>
      <c r="AC500" s="27"/>
      <c r="AD500" s="31" t="s">
        <v>25</v>
      </c>
      <c r="AE500" s="32" t="str">
        <f t="shared" si="37"/>
        <v>✓ OK</v>
      </c>
      <c r="AF500" s="33" t="s">
        <v>27</v>
      </c>
      <c r="AG500" s="33" t="s">
        <v>23</v>
      </c>
      <c r="AH500" s="33" t="s">
        <v>1352</v>
      </c>
      <c r="AI500" s="33" t="s">
        <v>25</v>
      </c>
      <c r="AJ500" s="33" t="s">
        <v>1352</v>
      </c>
      <c r="AK500" s="33" t="s">
        <v>24</v>
      </c>
      <c r="AL500" s="27"/>
      <c r="AM500" s="34" t="s">
        <v>25</v>
      </c>
      <c r="AN500" s="35" t="str">
        <f t="shared" si="38"/>
        <v>✓ OK</v>
      </c>
      <c r="AO500" s="36"/>
      <c r="AP500" s="36"/>
      <c r="AQ500" s="36"/>
      <c r="AR500" s="36"/>
      <c r="AS500" s="36"/>
      <c r="AT500" s="36"/>
      <c r="AU500" s="27"/>
      <c r="AV500" s="37"/>
      <c r="AW500" s="38" t="str">
        <f t="shared" si="39"/>
        <v/>
      </c>
    </row>
    <row r="501" spans="1:49" ht="18" customHeight="1" x14ac:dyDescent="0.3">
      <c r="A501" s="23">
        <v>497</v>
      </c>
      <c r="B501" s="24" t="s">
        <v>6195</v>
      </c>
      <c r="C501" s="25" t="s">
        <v>6196</v>
      </c>
      <c r="D501" s="23" t="s">
        <v>6098</v>
      </c>
      <c r="E501" s="43">
        <v>46125</v>
      </c>
      <c r="F501" s="26" t="s">
        <v>23</v>
      </c>
      <c r="G501" s="44" t="s">
        <v>24</v>
      </c>
      <c r="H501" s="26" t="s">
        <v>25</v>
      </c>
      <c r="I501" s="44" t="s">
        <v>26</v>
      </c>
      <c r="J501" s="26" t="s">
        <v>24</v>
      </c>
      <c r="K501" s="27"/>
      <c r="L501" s="28" t="s">
        <v>25</v>
      </c>
      <c r="M501" s="29" t="str">
        <f t="shared" si="35"/>
        <v>✓ OK</v>
      </c>
      <c r="N501" s="43">
        <v>46196</v>
      </c>
      <c r="O501" s="26" t="s">
        <v>23</v>
      </c>
      <c r="P501" s="44" t="s">
        <v>24</v>
      </c>
      <c r="Q501" s="26" t="s">
        <v>25</v>
      </c>
      <c r="R501" s="44" t="s">
        <v>26</v>
      </c>
      <c r="S501" s="26" t="s">
        <v>24</v>
      </c>
      <c r="T501" s="27"/>
      <c r="U501" s="28" t="s">
        <v>25</v>
      </c>
      <c r="V501" s="29" t="str">
        <f t="shared" si="36"/>
        <v>✓ OK</v>
      </c>
      <c r="W501" s="45">
        <v>46248</v>
      </c>
      <c r="X501" s="30" t="s">
        <v>23</v>
      </c>
      <c r="Y501" s="30" t="s">
        <v>24</v>
      </c>
      <c r="Z501" s="30" t="s">
        <v>25</v>
      </c>
      <c r="AA501" s="30" t="s">
        <v>26</v>
      </c>
      <c r="AB501" s="30" t="s">
        <v>24</v>
      </c>
      <c r="AC501" s="27"/>
      <c r="AD501" s="31" t="s">
        <v>25</v>
      </c>
      <c r="AE501" s="32" t="str">
        <f t="shared" si="37"/>
        <v>✓ OK</v>
      </c>
      <c r="AF501" s="33" t="s">
        <v>27</v>
      </c>
      <c r="AG501" s="33" t="s">
        <v>23</v>
      </c>
      <c r="AH501" s="33" t="s">
        <v>24</v>
      </c>
      <c r="AI501" s="33" t="s">
        <v>25</v>
      </c>
      <c r="AJ501" s="33" t="s">
        <v>26</v>
      </c>
      <c r="AK501" s="33" t="s">
        <v>24</v>
      </c>
      <c r="AL501" s="27"/>
      <c r="AM501" s="34" t="s">
        <v>25</v>
      </c>
      <c r="AN501" s="35" t="str">
        <f t="shared" si="38"/>
        <v>✓ OK</v>
      </c>
      <c r="AO501" s="36"/>
      <c r="AP501" s="36"/>
      <c r="AQ501" s="36"/>
      <c r="AR501" s="36"/>
      <c r="AS501" s="36"/>
      <c r="AT501" s="36"/>
      <c r="AU501" s="27"/>
      <c r="AV501" s="37"/>
      <c r="AW501" s="38" t="str">
        <f t="shared" si="39"/>
        <v/>
      </c>
    </row>
    <row r="502" spans="1:49" ht="18" customHeight="1" x14ac:dyDescent="0.3">
      <c r="A502" s="39">
        <v>498</v>
      </c>
      <c r="B502" s="40" t="s">
        <v>6197</v>
      </c>
      <c r="C502" s="41" t="s">
        <v>6198</v>
      </c>
      <c r="D502" s="39" t="s">
        <v>6098</v>
      </c>
      <c r="E502" s="43">
        <v>46125</v>
      </c>
      <c r="F502" s="26" t="s">
        <v>23</v>
      </c>
      <c r="G502" s="44" t="s">
        <v>1352</v>
      </c>
      <c r="H502" s="26" t="s">
        <v>25</v>
      </c>
      <c r="I502" s="44" t="s">
        <v>1352</v>
      </c>
      <c r="J502" s="26" t="s">
        <v>24</v>
      </c>
      <c r="K502" s="27"/>
      <c r="L502" s="28" t="s">
        <v>25</v>
      </c>
      <c r="M502" s="29" t="str">
        <f t="shared" si="35"/>
        <v>✓ OK</v>
      </c>
      <c r="N502" s="43">
        <v>46196</v>
      </c>
      <c r="O502" s="26" t="s">
        <v>23</v>
      </c>
      <c r="P502" s="44" t="s">
        <v>1352</v>
      </c>
      <c r="Q502" s="26" t="s">
        <v>25</v>
      </c>
      <c r="R502" s="44" t="s">
        <v>1352</v>
      </c>
      <c r="S502" s="26" t="s">
        <v>24</v>
      </c>
      <c r="T502" s="27"/>
      <c r="U502" s="28" t="s">
        <v>25</v>
      </c>
      <c r="V502" s="29" t="str">
        <f t="shared" si="36"/>
        <v>✓ OK</v>
      </c>
      <c r="W502" s="45">
        <v>46248</v>
      </c>
      <c r="X502" s="30" t="s">
        <v>23</v>
      </c>
      <c r="Y502" s="30" t="s">
        <v>1352</v>
      </c>
      <c r="Z502" s="30" t="s">
        <v>25</v>
      </c>
      <c r="AA502" s="30" t="s">
        <v>1352</v>
      </c>
      <c r="AB502" s="30" t="s">
        <v>24</v>
      </c>
      <c r="AC502" s="27"/>
      <c r="AD502" s="31" t="s">
        <v>25</v>
      </c>
      <c r="AE502" s="32" t="str">
        <f t="shared" si="37"/>
        <v>✓ OK</v>
      </c>
      <c r="AF502" s="33" t="s">
        <v>27</v>
      </c>
      <c r="AG502" s="33" t="s">
        <v>23</v>
      </c>
      <c r="AH502" s="33" t="s">
        <v>1352</v>
      </c>
      <c r="AI502" s="33" t="s">
        <v>25</v>
      </c>
      <c r="AJ502" s="33" t="s">
        <v>1352</v>
      </c>
      <c r="AK502" s="33" t="s">
        <v>24</v>
      </c>
      <c r="AL502" s="27"/>
      <c r="AM502" s="34" t="s">
        <v>25</v>
      </c>
      <c r="AN502" s="35" t="str">
        <f t="shared" si="38"/>
        <v>✓ OK</v>
      </c>
      <c r="AO502" s="36"/>
      <c r="AP502" s="36"/>
      <c r="AQ502" s="36"/>
      <c r="AR502" s="36"/>
      <c r="AS502" s="36"/>
      <c r="AT502" s="36"/>
      <c r="AU502" s="27"/>
      <c r="AV502" s="37"/>
      <c r="AW502" s="38" t="str">
        <f t="shared" si="39"/>
        <v/>
      </c>
    </row>
    <row r="503" spans="1:49" ht="18" customHeight="1" x14ac:dyDescent="0.3">
      <c r="A503" s="23">
        <v>499</v>
      </c>
      <c r="B503" s="24" t="s">
        <v>6199</v>
      </c>
      <c r="C503" s="25" t="s">
        <v>6200</v>
      </c>
      <c r="D503" s="23" t="s">
        <v>6098</v>
      </c>
      <c r="E503" s="43">
        <v>46125</v>
      </c>
      <c r="F503" s="26" t="s">
        <v>23</v>
      </c>
      <c r="G503" s="44" t="s">
        <v>24</v>
      </c>
      <c r="H503" s="26" t="s">
        <v>25</v>
      </c>
      <c r="I503" s="44" t="s">
        <v>26</v>
      </c>
      <c r="J503" s="26" t="s">
        <v>24</v>
      </c>
      <c r="K503" s="27"/>
      <c r="L503" s="28" t="s">
        <v>25</v>
      </c>
      <c r="M503" s="29" t="str">
        <f t="shared" si="35"/>
        <v>✓ OK</v>
      </c>
      <c r="N503" s="43">
        <v>46196</v>
      </c>
      <c r="O503" s="26" t="s">
        <v>23</v>
      </c>
      <c r="P503" s="44" t="s">
        <v>24</v>
      </c>
      <c r="Q503" s="26" t="s">
        <v>25</v>
      </c>
      <c r="R503" s="44" t="s">
        <v>26</v>
      </c>
      <c r="S503" s="26" t="s">
        <v>24</v>
      </c>
      <c r="T503" s="27"/>
      <c r="U503" s="28" t="s">
        <v>25</v>
      </c>
      <c r="V503" s="29" t="str">
        <f t="shared" si="36"/>
        <v>✓ OK</v>
      </c>
      <c r="W503" s="45">
        <v>46248</v>
      </c>
      <c r="X503" s="30" t="s">
        <v>23</v>
      </c>
      <c r="Y503" s="30" t="s">
        <v>24</v>
      </c>
      <c r="Z503" s="30" t="s">
        <v>25</v>
      </c>
      <c r="AA503" s="30" t="s">
        <v>26</v>
      </c>
      <c r="AB503" s="30" t="s">
        <v>24</v>
      </c>
      <c r="AC503" s="27"/>
      <c r="AD503" s="31" t="s">
        <v>25</v>
      </c>
      <c r="AE503" s="32" t="str">
        <f t="shared" si="37"/>
        <v>✓ OK</v>
      </c>
      <c r="AF503" s="33" t="s">
        <v>27</v>
      </c>
      <c r="AG503" s="33" t="s">
        <v>23</v>
      </c>
      <c r="AH503" s="33" t="s">
        <v>24</v>
      </c>
      <c r="AI503" s="33" t="s">
        <v>25</v>
      </c>
      <c r="AJ503" s="33" t="s">
        <v>26</v>
      </c>
      <c r="AK503" s="33" t="s">
        <v>24</v>
      </c>
      <c r="AL503" s="27"/>
      <c r="AM503" s="34" t="s">
        <v>25</v>
      </c>
      <c r="AN503" s="35" t="str">
        <f t="shared" si="38"/>
        <v>✓ OK</v>
      </c>
      <c r="AO503" s="36"/>
      <c r="AP503" s="36"/>
      <c r="AQ503" s="36"/>
      <c r="AR503" s="36"/>
      <c r="AS503" s="36"/>
      <c r="AT503" s="36"/>
      <c r="AU503" s="27"/>
      <c r="AV503" s="37"/>
      <c r="AW503" s="38" t="str">
        <f t="shared" si="39"/>
        <v/>
      </c>
    </row>
    <row r="504" spans="1:49" ht="18" customHeight="1" x14ac:dyDescent="0.3">
      <c r="A504" s="39">
        <v>500</v>
      </c>
      <c r="B504" s="40" t="s">
        <v>6201</v>
      </c>
      <c r="C504" s="41" t="s">
        <v>6202</v>
      </c>
      <c r="D504" s="39" t="s">
        <v>6098</v>
      </c>
      <c r="E504" s="43">
        <v>46125</v>
      </c>
      <c r="F504" s="26" t="s">
        <v>23</v>
      </c>
      <c r="G504" s="44" t="s">
        <v>1352</v>
      </c>
      <c r="H504" s="26" t="s">
        <v>25</v>
      </c>
      <c r="I504" s="44" t="s">
        <v>1352</v>
      </c>
      <c r="J504" s="26" t="s">
        <v>24</v>
      </c>
      <c r="K504" s="27"/>
      <c r="L504" s="28" t="s">
        <v>25</v>
      </c>
      <c r="M504" s="29" t="str">
        <f t="shared" si="35"/>
        <v>✓ OK</v>
      </c>
      <c r="N504" s="43">
        <v>46196</v>
      </c>
      <c r="O504" s="26" t="s">
        <v>23</v>
      </c>
      <c r="P504" s="44" t="s">
        <v>1352</v>
      </c>
      <c r="Q504" s="26" t="s">
        <v>25</v>
      </c>
      <c r="R504" s="44" t="s">
        <v>1352</v>
      </c>
      <c r="S504" s="26" t="s">
        <v>24</v>
      </c>
      <c r="T504" s="27"/>
      <c r="U504" s="28" t="s">
        <v>25</v>
      </c>
      <c r="V504" s="29" t="str">
        <f t="shared" si="36"/>
        <v>✓ OK</v>
      </c>
      <c r="W504" s="45">
        <v>46248</v>
      </c>
      <c r="X504" s="30" t="s">
        <v>23</v>
      </c>
      <c r="Y504" s="30" t="s">
        <v>1352</v>
      </c>
      <c r="Z504" s="30" t="s">
        <v>25</v>
      </c>
      <c r="AA504" s="30" t="s">
        <v>1352</v>
      </c>
      <c r="AB504" s="30" t="s">
        <v>24</v>
      </c>
      <c r="AC504" s="27"/>
      <c r="AD504" s="31" t="s">
        <v>25</v>
      </c>
      <c r="AE504" s="32" t="str">
        <f t="shared" si="37"/>
        <v>✓ OK</v>
      </c>
      <c r="AF504" s="33" t="s">
        <v>27</v>
      </c>
      <c r="AG504" s="33" t="s">
        <v>23</v>
      </c>
      <c r="AH504" s="33" t="s">
        <v>1352</v>
      </c>
      <c r="AI504" s="33" t="s">
        <v>25</v>
      </c>
      <c r="AJ504" s="33" t="s">
        <v>1352</v>
      </c>
      <c r="AK504" s="33" t="s">
        <v>24</v>
      </c>
      <c r="AL504" s="27"/>
      <c r="AM504" s="34" t="s">
        <v>25</v>
      </c>
      <c r="AN504" s="35" t="str">
        <f t="shared" si="38"/>
        <v>✓ OK</v>
      </c>
      <c r="AO504" s="36"/>
      <c r="AP504" s="36"/>
      <c r="AQ504" s="36"/>
      <c r="AR504" s="36"/>
      <c r="AS504" s="36"/>
      <c r="AT504" s="36"/>
      <c r="AU504" s="27"/>
      <c r="AV504" s="37"/>
      <c r="AW504" s="38" t="str">
        <f t="shared" si="39"/>
        <v/>
      </c>
    </row>
    <row r="505" spans="1:49" ht="18" customHeight="1" x14ac:dyDescent="0.3">
      <c r="A505" s="23">
        <v>501</v>
      </c>
      <c r="B505" s="24" t="s">
        <v>6203</v>
      </c>
      <c r="C505" s="25" t="s">
        <v>6204</v>
      </c>
      <c r="D505" s="23" t="s">
        <v>6098</v>
      </c>
      <c r="E505" s="43">
        <v>46125</v>
      </c>
      <c r="F505" s="26" t="s">
        <v>23</v>
      </c>
      <c r="G505" s="44" t="s">
        <v>1352</v>
      </c>
      <c r="H505" s="26" t="s">
        <v>25</v>
      </c>
      <c r="I505" s="44" t="s">
        <v>1352</v>
      </c>
      <c r="J505" s="26" t="s">
        <v>24</v>
      </c>
      <c r="K505" s="27"/>
      <c r="L505" s="28" t="s">
        <v>25</v>
      </c>
      <c r="M505" s="29" t="str">
        <f t="shared" si="35"/>
        <v>✓ OK</v>
      </c>
      <c r="N505" s="43">
        <v>46196</v>
      </c>
      <c r="O505" s="26" t="s">
        <v>23</v>
      </c>
      <c r="P505" s="44" t="s">
        <v>1352</v>
      </c>
      <c r="Q505" s="26" t="s">
        <v>25</v>
      </c>
      <c r="R505" s="44" t="s">
        <v>1352</v>
      </c>
      <c r="S505" s="26" t="s">
        <v>24</v>
      </c>
      <c r="T505" s="27"/>
      <c r="U505" s="28" t="s">
        <v>25</v>
      </c>
      <c r="V505" s="29" t="str">
        <f t="shared" si="36"/>
        <v>✓ OK</v>
      </c>
      <c r="W505" s="45">
        <v>46248</v>
      </c>
      <c r="X505" s="30" t="s">
        <v>23</v>
      </c>
      <c r="Y505" s="30" t="s">
        <v>1352</v>
      </c>
      <c r="Z505" s="30" t="s">
        <v>25</v>
      </c>
      <c r="AA505" s="30" t="s">
        <v>1352</v>
      </c>
      <c r="AB505" s="30" t="s">
        <v>24</v>
      </c>
      <c r="AC505" s="27"/>
      <c r="AD505" s="31" t="s">
        <v>25</v>
      </c>
      <c r="AE505" s="32" t="str">
        <f t="shared" si="37"/>
        <v>✓ OK</v>
      </c>
      <c r="AF505" s="33" t="s">
        <v>27</v>
      </c>
      <c r="AG505" s="33" t="s">
        <v>23</v>
      </c>
      <c r="AH505" s="33" t="s">
        <v>1352</v>
      </c>
      <c r="AI505" s="33" t="s">
        <v>25</v>
      </c>
      <c r="AJ505" s="33" t="s">
        <v>1352</v>
      </c>
      <c r="AK505" s="33" t="s">
        <v>24</v>
      </c>
      <c r="AL505" s="27"/>
      <c r="AM505" s="34" t="s">
        <v>25</v>
      </c>
      <c r="AN505" s="35" t="str">
        <f t="shared" si="38"/>
        <v>✓ OK</v>
      </c>
      <c r="AO505" s="36"/>
      <c r="AP505" s="36"/>
      <c r="AQ505" s="36"/>
      <c r="AR505" s="36"/>
      <c r="AS505" s="36"/>
      <c r="AT505" s="36"/>
      <c r="AU505" s="27"/>
      <c r="AV505" s="37"/>
      <c r="AW505" s="38" t="str">
        <f t="shared" si="39"/>
        <v/>
      </c>
    </row>
    <row r="506" spans="1:49" ht="18" customHeight="1" x14ac:dyDescent="0.3">
      <c r="A506" s="39">
        <v>502</v>
      </c>
      <c r="B506" s="40" t="s">
        <v>6205</v>
      </c>
      <c r="C506" s="41" t="s">
        <v>6206</v>
      </c>
      <c r="D506" s="39" t="s">
        <v>6098</v>
      </c>
      <c r="E506" s="43">
        <v>46125</v>
      </c>
      <c r="F506" s="26" t="s">
        <v>23</v>
      </c>
      <c r="G506" s="44" t="s">
        <v>1352</v>
      </c>
      <c r="H506" s="26" t="s">
        <v>25</v>
      </c>
      <c r="I506" s="44" t="s">
        <v>1352</v>
      </c>
      <c r="J506" s="26" t="s">
        <v>24</v>
      </c>
      <c r="K506" s="27"/>
      <c r="L506" s="28" t="s">
        <v>25</v>
      </c>
      <c r="M506" s="29" t="str">
        <f t="shared" si="35"/>
        <v>✓ OK</v>
      </c>
      <c r="N506" s="43">
        <v>46196</v>
      </c>
      <c r="O506" s="26" t="s">
        <v>23</v>
      </c>
      <c r="P506" s="44" t="s">
        <v>1352</v>
      </c>
      <c r="Q506" s="26" t="s">
        <v>25</v>
      </c>
      <c r="R506" s="44" t="s">
        <v>1352</v>
      </c>
      <c r="S506" s="26" t="s">
        <v>24</v>
      </c>
      <c r="T506" s="27"/>
      <c r="U506" s="28" t="s">
        <v>25</v>
      </c>
      <c r="V506" s="29" t="str">
        <f t="shared" si="36"/>
        <v>✓ OK</v>
      </c>
      <c r="W506" s="45">
        <v>46248</v>
      </c>
      <c r="X506" s="30" t="s">
        <v>23</v>
      </c>
      <c r="Y506" s="30" t="s">
        <v>1352</v>
      </c>
      <c r="Z506" s="30" t="s">
        <v>25</v>
      </c>
      <c r="AA506" s="30" t="s">
        <v>1352</v>
      </c>
      <c r="AB506" s="30" t="s">
        <v>24</v>
      </c>
      <c r="AC506" s="27"/>
      <c r="AD506" s="31" t="s">
        <v>25</v>
      </c>
      <c r="AE506" s="32" t="str">
        <f t="shared" si="37"/>
        <v>✓ OK</v>
      </c>
      <c r="AF506" s="33" t="s">
        <v>27</v>
      </c>
      <c r="AG506" s="33" t="s">
        <v>23</v>
      </c>
      <c r="AH506" s="33" t="s">
        <v>1352</v>
      </c>
      <c r="AI506" s="33" t="s">
        <v>25</v>
      </c>
      <c r="AJ506" s="33" t="s">
        <v>1352</v>
      </c>
      <c r="AK506" s="33" t="s">
        <v>24</v>
      </c>
      <c r="AL506" s="27"/>
      <c r="AM506" s="34" t="s">
        <v>25</v>
      </c>
      <c r="AN506" s="35" t="str">
        <f t="shared" si="38"/>
        <v>✓ OK</v>
      </c>
      <c r="AO506" s="36"/>
      <c r="AP506" s="36"/>
      <c r="AQ506" s="36"/>
      <c r="AR506" s="36"/>
      <c r="AS506" s="36"/>
      <c r="AT506" s="36"/>
      <c r="AU506" s="27"/>
      <c r="AV506" s="37"/>
      <c r="AW506" s="38" t="str">
        <f t="shared" si="39"/>
        <v/>
      </c>
    </row>
    <row r="507" spans="1:49" ht="18" customHeight="1" x14ac:dyDescent="0.3">
      <c r="A507" s="23">
        <v>503</v>
      </c>
      <c r="B507" s="24" t="s">
        <v>6207</v>
      </c>
      <c r="C507" s="25" t="s">
        <v>6208</v>
      </c>
      <c r="D507" s="23" t="s">
        <v>6098</v>
      </c>
      <c r="E507" s="43">
        <v>46125</v>
      </c>
      <c r="F507" s="26" t="s">
        <v>23</v>
      </c>
      <c r="G507" s="44" t="s">
        <v>1352</v>
      </c>
      <c r="H507" s="26" t="s">
        <v>25</v>
      </c>
      <c r="I507" s="44" t="s">
        <v>1352</v>
      </c>
      <c r="J507" s="26" t="s">
        <v>24</v>
      </c>
      <c r="K507" s="27"/>
      <c r="L507" s="28" t="s">
        <v>25</v>
      </c>
      <c r="M507" s="29" t="str">
        <f t="shared" si="35"/>
        <v>✓ OK</v>
      </c>
      <c r="N507" s="43">
        <v>46196</v>
      </c>
      <c r="O507" s="26" t="s">
        <v>23</v>
      </c>
      <c r="P507" s="44" t="s">
        <v>1352</v>
      </c>
      <c r="Q507" s="26" t="s">
        <v>25</v>
      </c>
      <c r="R507" s="44" t="s">
        <v>1352</v>
      </c>
      <c r="S507" s="26" t="s">
        <v>24</v>
      </c>
      <c r="T507" s="27"/>
      <c r="U507" s="28" t="s">
        <v>25</v>
      </c>
      <c r="V507" s="29" t="str">
        <f t="shared" si="36"/>
        <v>✓ OK</v>
      </c>
      <c r="W507" s="45">
        <v>46248</v>
      </c>
      <c r="X507" s="30" t="s">
        <v>23</v>
      </c>
      <c r="Y507" s="30" t="s">
        <v>1352</v>
      </c>
      <c r="Z507" s="30" t="s">
        <v>25</v>
      </c>
      <c r="AA507" s="30" t="s">
        <v>1352</v>
      </c>
      <c r="AB507" s="30" t="s">
        <v>24</v>
      </c>
      <c r="AC507" s="27"/>
      <c r="AD507" s="31" t="s">
        <v>25</v>
      </c>
      <c r="AE507" s="32" t="str">
        <f t="shared" si="37"/>
        <v>✓ OK</v>
      </c>
      <c r="AF507" s="33" t="s">
        <v>27</v>
      </c>
      <c r="AG507" s="33" t="s">
        <v>23</v>
      </c>
      <c r="AH507" s="33" t="s">
        <v>1352</v>
      </c>
      <c r="AI507" s="33" t="s">
        <v>25</v>
      </c>
      <c r="AJ507" s="33" t="s">
        <v>1352</v>
      </c>
      <c r="AK507" s="33" t="s">
        <v>24</v>
      </c>
      <c r="AL507" s="27"/>
      <c r="AM507" s="34" t="s">
        <v>25</v>
      </c>
      <c r="AN507" s="35" t="str">
        <f t="shared" si="38"/>
        <v>✓ OK</v>
      </c>
      <c r="AO507" s="36"/>
      <c r="AP507" s="36"/>
      <c r="AQ507" s="36"/>
      <c r="AR507" s="36"/>
      <c r="AS507" s="36"/>
      <c r="AT507" s="36"/>
      <c r="AU507" s="27"/>
      <c r="AV507" s="37"/>
      <c r="AW507" s="38" t="str">
        <f t="shared" si="39"/>
        <v/>
      </c>
    </row>
    <row r="508" spans="1:49" ht="18" customHeight="1" x14ac:dyDescent="0.3">
      <c r="A508" s="39">
        <v>504</v>
      </c>
      <c r="B508" s="40" t="s">
        <v>6209</v>
      </c>
      <c r="C508" s="41" t="s">
        <v>6210</v>
      </c>
      <c r="D508" s="39" t="s">
        <v>6098</v>
      </c>
      <c r="E508" s="43">
        <v>46125</v>
      </c>
      <c r="F508" s="26" t="s">
        <v>23</v>
      </c>
      <c r="G508" s="44" t="s">
        <v>1352</v>
      </c>
      <c r="H508" s="26" t="s">
        <v>25</v>
      </c>
      <c r="I508" s="44" t="s">
        <v>1352</v>
      </c>
      <c r="J508" s="26" t="s">
        <v>24</v>
      </c>
      <c r="K508" s="27"/>
      <c r="L508" s="28" t="s">
        <v>25</v>
      </c>
      <c r="M508" s="29" t="str">
        <f t="shared" si="35"/>
        <v>✓ OK</v>
      </c>
      <c r="N508" s="43">
        <v>46196</v>
      </c>
      <c r="O508" s="26" t="s">
        <v>23</v>
      </c>
      <c r="P508" s="44" t="s">
        <v>1352</v>
      </c>
      <c r="Q508" s="26" t="s">
        <v>25</v>
      </c>
      <c r="R508" s="44" t="s">
        <v>1352</v>
      </c>
      <c r="S508" s="26" t="s">
        <v>24</v>
      </c>
      <c r="T508" s="27"/>
      <c r="U508" s="28" t="s">
        <v>25</v>
      </c>
      <c r="V508" s="29" t="str">
        <f t="shared" si="36"/>
        <v>✓ OK</v>
      </c>
      <c r="W508" s="45">
        <v>46248</v>
      </c>
      <c r="X508" s="30" t="s">
        <v>23</v>
      </c>
      <c r="Y508" s="30" t="s">
        <v>1352</v>
      </c>
      <c r="Z508" s="30" t="s">
        <v>25</v>
      </c>
      <c r="AA508" s="30" t="s">
        <v>1352</v>
      </c>
      <c r="AB508" s="30" t="s">
        <v>24</v>
      </c>
      <c r="AC508" s="27"/>
      <c r="AD508" s="31" t="s">
        <v>25</v>
      </c>
      <c r="AE508" s="32" t="str">
        <f t="shared" si="37"/>
        <v>✓ OK</v>
      </c>
      <c r="AF508" s="33" t="s">
        <v>27</v>
      </c>
      <c r="AG508" s="33" t="s">
        <v>23</v>
      </c>
      <c r="AH508" s="33" t="s">
        <v>1352</v>
      </c>
      <c r="AI508" s="33" t="s">
        <v>25</v>
      </c>
      <c r="AJ508" s="33" t="s">
        <v>1352</v>
      </c>
      <c r="AK508" s="33" t="s">
        <v>24</v>
      </c>
      <c r="AL508" s="27"/>
      <c r="AM508" s="34" t="s">
        <v>25</v>
      </c>
      <c r="AN508" s="35" t="str">
        <f t="shared" si="38"/>
        <v>✓ OK</v>
      </c>
      <c r="AO508" s="36"/>
      <c r="AP508" s="36"/>
      <c r="AQ508" s="36"/>
      <c r="AR508" s="36"/>
      <c r="AS508" s="36"/>
      <c r="AT508" s="36"/>
      <c r="AU508" s="27"/>
      <c r="AV508" s="37"/>
      <c r="AW508" s="38" t="str">
        <f t="shared" si="39"/>
        <v/>
      </c>
    </row>
    <row r="509" spans="1:49" ht="18" customHeight="1" x14ac:dyDescent="0.3">
      <c r="A509" s="23">
        <v>505</v>
      </c>
      <c r="B509" s="24" t="s">
        <v>6211</v>
      </c>
      <c r="C509" s="25" t="s">
        <v>6212</v>
      </c>
      <c r="D509" s="23" t="s">
        <v>6098</v>
      </c>
      <c r="E509" s="43">
        <v>46125</v>
      </c>
      <c r="F509" s="26" t="s">
        <v>23</v>
      </c>
      <c r="G509" s="44" t="s">
        <v>1352</v>
      </c>
      <c r="H509" s="26" t="s">
        <v>25</v>
      </c>
      <c r="I509" s="44" t="s">
        <v>1352</v>
      </c>
      <c r="J509" s="26" t="s">
        <v>24</v>
      </c>
      <c r="K509" s="27"/>
      <c r="L509" s="28" t="s">
        <v>25</v>
      </c>
      <c r="M509" s="29" t="str">
        <f t="shared" si="35"/>
        <v>✓ OK</v>
      </c>
      <c r="N509" s="43">
        <v>46196</v>
      </c>
      <c r="O509" s="26" t="s">
        <v>23</v>
      </c>
      <c r="P509" s="44" t="s">
        <v>1352</v>
      </c>
      <c r="Q509" s="26" t="s">
        <v>25</v>
      </c>
      <c r="R509" s="44" t="s">
        <v>1352</v>
      </c>
      <c r="S509" s="26" t="s">
        <v>24</v>
      </c>
      <c r="T509" s="27"/>
      <c r="U509" s="28" t="s">
        <v>25</v>
      </c>
      <c r="V509" s="29" t="str">
        <f t="shared" si="36"/>
        <v>✓ OK</v>
      </c>
      <c r="W509" s="45">
        <v>46248</v>
      </c>
      <c r="X509" s="30" t="s">
        <v>23</v>
      </c>
      <c r="Y509" s="30" t="s">
        <v>1352</v>
      </c>
      <c r="Z509" s="30" t="s">
        <v>25</v>
      </c>
      <c r="AA509" s="30" t="s">
        <v>1352</v>
      </c>
      <c r="AB509" s="30" t="s">
        <v>24</v>
      </c>
      <c r="AC509" s="27"/>
      <c r="AD509" s="31" t="s">
        <v>25</v>
      </c>
      <c r="AE509" s="32" t="str">
        <f t="shared" si="37"/>
        <v>✓ OK</v>
      </c>
      <c r="AF509" s="33" t="s">
        <v>27</v>
      </c>
      <c r="AG509" s="33" t="s">
        <v>23</v>
      </c>
      <c r="AH509" s="33" t="s">
        <v>1352</v>
      </c>
      <c r="AI509" s="33" t="s">
        <v>25</v>
      </c>
      <c r="AJ509" s="33" t="s">
        <v>1352</v>
      </c>
      <c r="AK509" s="33" t="s">
        <v>24</v>
      </c>
      <c r="AL509" s="27"/>
      <c r="AM509" s="34" t="s">
        <v>25</v>
      </c>
      <c r="AN509" s="35" t="str">
        <f t="shared" si="38"/>
        <v>✓ OK</v>
      </c>
      <c r="AO509" s="36"/>
      <c r="AP509" s="36"/>
      <c r="AQ509" s="36"/>
      <c r="AR509" s="36"/>
      <c r="AS509" s="36"/>
      <c r="AT509" s="36"/>
      <c r="AU509" s="27"/>
      <c r="AV509" s="37"/>
      <c r="AW509" s="38" t="str">
        <f t="shared" si="39"/>
        <v/>
      </c>
    </row>
    <row r="510" spans="1:49" ht="18" customHeight="1" x14ac:dyDescent="0.3">
      <c r="A510" s="39">
        <v>506</v>
      </c>
      <c r="B510" s="40" t="s">
        <v>6213</v>
      </c>
      <c r="C510" s="41" t="s">
        <v>6214</v>
      </c>
      <c r="D510" s="39" t="s">
        <v>6098</v>
      </c>
      <c r="E510" s="43">
        <v>46125</v>
      </c>
      <c r="F510" s="26" t="s">
        <v>23</v>
      </c>
      <c r="G510" s="44" t="s">
        <v>1352</v>
      </c>
      <c r="H510" s="26" t="s">
        <v>25</v>
      </c>
      <c r="I510" s="44" t="s">
        <v>1352</v>
      </c>
      <c r="J510" s="26" t="s">
        <v>24</v>
      </c>
      <c r="K510" s="27"/>
      <c r="L510" s="28" t="s">
        <v>25</v>
      </c>
      <c r="M510" s="29" t="str">
        <f t="shared" si="35"/>
        <v>✓ OK</v>
      </c>
      <c r="N510" s="43">
        <v>46196</v>
      </c>
      <c r="O510" s="26" t="s">
        <v>23</v>
      </c>
      <c r="P510" s="44" t="s">
        <v>1352</v>
      </c>
      <c r="Q510" s="26" t="s">
        <v>25</v>
      </c>
      <c r="R510" s="44" t="s">
        <v>1352</v>
      </c>
      <c r="S510" s="26" t="s">
        <v>24</v>
      </c>
      <c r="T510" s="27"/>
      <c r="U510" s="28" t="s">
        <v>25</v>
      </c>
      <c r="V510" s="29" t="str">
        <f t="shared" si="36"/>
        <v>✓ OK</v>
      </c>
      <c r="W510" s="45">
        <v>46248</v>
      </c>
      <c r="X510" s="30" t="s">
        <v>23</v>
      </c>
      <c r="Y510" s="30" t="s">
        <v>1352</v>
      </c>
      <c r="Z510" s="30" t="s">
        <v>25</v>
      </c>
      <c r="AA510" s="30" t="s">
        <v>1352</v>
      </c>
      <c r="AB510" s="30" t="s">
        <v>24</v>
      </c>
      <c r="AC510" s="27"/>
      <c r="AD510" s="31" t="s">
        <v>25</v>
      </c>
      <c r="AE510" s="32" t="str">
        <f t="shared" si="37"/>
        <v>✓ OK</v>
      </c>
      <c r="AF510" s="33" t="s">
        <v>27</v>
      </c>
      <c r="AG510" s="33" t="s">
        <v>23</v>
      </c>
      <c r="AH510" s="33" t="s">
        <v>1352</v>
      </c>
      <c r="AI510" s="33" t="s">
        <v>25</v>
      </c>
      <c r="AJ510" s="33" t="s">
        <v>1352</v>
      </c>
      <c r="AK510" s="33" t="s">
        <v>24</v>
      </c>
      <c r="AL510" s="27"/>
      <c r="AM510" s="34" t="s">
        <v>25</v>
      </c>
      <c r="AN510" s="35" t="str">
        <f t="shared" si="38"/>
        <v>✓ OK</v>
      </c>
      <c r="AO510" s="36"/>
      <c r="AP510" s="36"/>
      <c r="AQ510" s="36"/>
      <c r="AR510" s="36"/>
      <c r="AS510" s="36"/>
      <c r="AT510" s="36"/>
      <c r="AU510" s="27"/>
      <c r="AV510" s="37"/>
      <c r="AW510" s="38" t="str">
        <f t="shared" si="39"/>
        <v/>
      </c>
    </row>
    <row r="511" spans="1:49" ht="18" customHeight="1" x14ac:dyDescent="0.3">
      <c r="A511" s="23">
        <v>507</v>
      </c>
      <c r="B511" s="24" t="s">
        <v>6215</v>
      </c>
      <c r="C511" s="25" t="s">
        <v>6216</v>
      </c>
      <c r="D511" s="23" t="s">
        <v>6098</v>
      </c>
      <c r="E511" s="43">
        <v>46125</v>
      </c>
      <c r="F511" s="26" t="s">
        <v>23</v>
      </c>
      <c r="G511" s="44" t="s">
        <v>1352</v>
      </c>
      <c r="H511" s="26" t="s">
        <v>25</v>
      </c>
      <c r="I511" s="44" t="s">
        <v>1352</v>
      </c>
      <c r="J511" s="26" t="s">
        <v>24</v>
      </c>
      <c r="K511" s="27"/>
      <c r="L511" s="28" t="s">
        <v>25</v>
      </c>
      <c r="M511" s="29" t="str">
        <f t="shared" si="35"/>
        <v>✓ OK</v>
      </c>
      <c r="N511" s="43">
        <v>46196</v>
      </c>
      <c r="O511" s="26" t="s">
        <v>23</v>
      </c>
      <c r="P511" s="44" t="s">
        <v>1352</v>
      </c>
      <c r="Q511" s="26" t="s">
        <v>25</v>
      </c>
      <c r="R511" s="44" t="s">
        <v>1352</v>
      </c>
      <c r="S511" s="26" t="s">
        <v>24</v>
      </c>
      <c r="T511" s="27"/>
      <c r="U511" s="28" t="s">
        <v>25</v>
      </c>
      <c r="V511" s="29" t="str">
        <f t="shared" si="36"/>
        <v>✓ OK</v>
      </c>
      <c r="W511" s="45">
        <v>46248</v>
      </c>
      <c r="X511" s="30" t="s">
        <v>23</v>
      </c>
      <c r="Y511" s="30" t="s">
        <v>1352</v>
      </c>
      <c r="Z511" s="30" t="s">
        <v>25</v>
      </c>
      <c r="AA511" s="30" t="s">
        <v>1352</v>
      </c>
      <c r="AB511" s="30" t="s">
        <v>24</v>
      </c>
      <c r="AC511" s="27"/>
      <c r="AD511" s="31" t="s">
        <v>25</v>
      </c>
      <c r="AE511" s="32" t="str">
        <f t="shared" si="37"/>
        <v>✓ OK</v>
      </c>
      <c r="AF511" s="33" t="s">
        <v>27</v>
      </c>
      <c r="AG511" s="33" t="s">
        <v>23</v>
      </c>
      <c r="AH511" s="33" t="s">
        <v>1352</v>
      </c>
      <c r="AI511" s="33" t="s">
        <v>25</v>
      </c>
      <c r="AJ511" s="33" t="s">
        <v>1352</v>
      </c>
      <c r="AK511" s="33" t="s">
        <v>24</v>
      </c>
      <c r="AL511" s="27"/>
      <c r="AM511" s="34" t="s">
        <v>25</v>
      </c>
      <c r="AN511" s="35" t="str">
        <f t="shared" si="38"/>
        <v>✓ OK</v>
      </c>
      <c r="AO511" s="36"/>
      <c r="AP511" s="36"/>
      <c r="AQ511" s="36"/>
      <c r="AR511" s="36"/>
      <c r="AS511" s="36"/>
      <c r="AT511" s="36"/>
      <c r="AU511" s="27"/>
      <c r="AV511" s="37"/>
      <c r="AW511" s="38" t="str">
        <f t="shared" si="39"/>
        <v/>
      </c>
    </row>
    <row r="512" spans="1:49" ht="18" customHeight="1" x14ac:dyDescent="0.3">
      <c r="A512" s="39">
        <v>508</v>
      </c>
      <c r="B512" s="40" t="s">
        <v>6217</v>
      </c>
      <c r="C512" s="41" t="s">
        <v>6218</v>
      </c>
      <c r="D512" s="39" t="s">
        <v>6098</v>
      </c>
      <c r="E512" s="43">
        <v>46125</v>
      </c>
      <c r="F512" s="26" t="s">
        <v>23</v>
      </c>
      <c r="G512" s="44" t="s">
        <v>24</v>
      </c>
      <c r="H512" s="26" t="s">
        <v>25</v>
      </c>
      <c r="I512" s="44" t="s">
        <v>26</v>
      </c>
      <c r="J512" s="26" t="s">
        <v>24</v>
      </c>
      <c r="K512" s="27"/>
      <c r="L512" s="28" t="s">
        <v>25</v>
      </c>
      <c r="M512" s="29" t="str">
        <f t="shared" si="35"/>
        <v>✓ OK</v>
      </c>
      <c r="N512" s="43">
        <v>46196</v>
      </c>
      <c r="O512" s="26" t="s">
        <v>23</v>
      </c>
      <c r="P512" s="44" t="s">
        <v>24</v>
      </c>
      <c r="Q512" s="26" t="s">
        <v>25</v>
      </c>
      <c r="R512" s="44" t="s">
        <v>26</v>
      </c>
      <c r="S512" s="26" t="s">
        <v>24</v>
      </c>
      <c r="T512" s="27"/>
      <c r="U512" s="28" t="s">
        <v>25</v>
      </c>
      <c r="V512" s="29" t="str">
        <f t="shared" si="36"/>
        <v>✓ OK</v>
      </c>
      <c r="W512" s="45">
        <v>46248</v>
      </c>
      <c r="X512" s="30" t="s">
        <v>23</v>
      </c>
      <c r="Y512" s="30" t="s">
        <v>24</v>
      </c>
      <c r="Z512" s="30" t="s">
        <v>25</v>
      </c>
      <c r="AA512" s="30" t="s">
        <v>26</v>
      </c>
      <c r="AB512" s="30" t="s">
        <v>24</v>
      </c>
      <c r="AC512" s="27"/>
      <c r="AD512" s="31" t="s">
        <v>25</v>
      </c>
      <c r="AE512" s="32" t="str">
        <f t="shared" si="37"/>
        <v>✓ OK</v>
      </c>
      <c r="AF512" s="33" t="s">
        <v>27</v>
      </c>
      <c r="AG512" s="33" t="s">
        <v>23</v>
      </c>
      <c r="AH512" s="33" t="s">
        <v>24</v>
      </c>
      <c r="AI512" s="33" t="s">
        <v>25</v>
      </c>
      <c r="AJ512" s="33" t="s">
        <v>26</v>
      </c>
      <c r="AK512" s="33" t="s">
        <v>24</v>
      </c>
      <c r="AL512" s="27"/>
      <c r="AM512" s="34" t="s">
        <v>25</v>
      </c>
      <c r="AN512" s="35" t="str">
        <f t="shared" si="38"/>
        <v>✓ OK</v>
      </c>
      <c r="AO512" s="36"/>
      <c r="AP512" s="36"/>
      <c r="AQ512" s="36"/>
      <c r="AR512" s="36"/>
      <c r="AS512" s="36"/>
      <c r="AT512" s="36"/>
      <c r="AU512" s="27"/>
      <c r="AV512" s="37"/>
      <c r="AW512" s="38" t="str">
        <f t="shared" si="39"/>
        <v/>
      </c>
    </row>
    <row r="513" spans="1:49" ht="18" customHeight="1" x14ac:dyDescent="0.3">
      <c r="A513" s="23">
        <v>509</v>
      </c>
      <c r="B513" s="24" t="s">
        <v>6219</v>
      </c>
      <c r="C513" s="25" t="s">
        <v>6220</v>
      </c>
      <c r="D513" s="23" t="s">
        <v>6098</v>
      </c>
      <c r="E513" s="43">
        <v>46125</v>
      </c>
      <c r="F513" s="26" t="s">
        <v>23</v>
      </c>
      <c r="G513" s="44" t="s">
        <v>1352</v>
      </c>
      <c r="H513" s="26" t="s">
        <v>25</v>
      </c>
      <c r="I513" s="44" t="s">
        <v>1352</v>
      </c>
      <c r="J513" s="26" t="s">
        <v>24</v>
      </c>
      <c r="K513" s="27"/>
      <c r="L513" s="28" t="s">
        <v>25</v>
      </c>
      <c r="M513" s="29" t="str">
        <f t="shared" si="35"/>
        <v>✓ OK</v>
      </c>
      <c r="N513" s="43">
        <v>46196</v>
      </c>
      <c r="O513" s="26" t="s">
        <v>23</v>
      </c>
      <c r="P513" s="44" t="s">
        <v>1352</v>
      </c>
      <c r="Q513" s="26" t="s">
        <v>25</v>
      </c>
      <c r="R513" s="44" t="s">
        <v>1352</v>
      </c>
      <c r="S513" s="26" t="s">
        <v>24</v>
      </c>
      <c r="T513" s="27"/>
      <c r="U513" s="28" t="s">
        <v>25</v>
      </c>
      <c r="V513" s="29" t="str">
        <f t="shared" si="36"/>
        <v>✓ OK</v>
      </c>
      <c r="W513" s="45">
        <v>46248</v>
      </c>
      <c r="X513" s="30" t="s">
        <v>23</v>
      </c>
      <c r="Y513" s="30" t="s">
        <v>1352</v>
      </c>
      <c r="Z513" s="30" t="s">
        <v>25</v>
      </c>
      <c r="AA513" s="30" t="s">
        <v>1352</v>
      </c>
      <c r="AB513" s="30" t="s">
        <v>24</v>
      </c>
      <c r="AC513" s="27"/>
      <c r="AD513" s="31" t="s">
        <v>25</v>
      </c>
      <c r="AE513" s="32" t="str">
        <f t="shared" si="37"/>
        <v>✓ OK</v>
      </c>
      <c r="AF513" s="33" t="s">
        <v>27</v>
      </c>
      <c r="AG513" s="33" t="s">
        <v>23</v>
      </c>
      <c r="AH513" s="33" t="s">
        <v>1352</v>
      </c>
      <c r="AI513" s="33" t="s">
        <v>25</v>
      </c>
      <c r="AJ513" s="33" t="s">
        <v>1352</v>
      </c>
      <c r="AK513" s="33" t="s">
        <v>24</v>
      </c>
      <c r="AL513" s="27"/>
      <c r="AM513" s="34" t="s">
        <v>25</v>
      </c>
      <c r="AN513" s="35" t="str">
        <f t="shared" si="38"/>
        <v>✓ OK</v>
      </c>
      <c r="AO513" s="36"/>
      <c r="AP513" s="36"/>
      <c r="AQ513" s="36"/>
      <c r="AR513" s="36"/>
      <c r="AS513" s="36"/>
      <c r="AT513" s="36"/>
      <c r="AU513" s="27"/>
      <c r="AV513" s="37"/>
      <c r="AW513" s="38" t="str">
        <f t="shared" si="39"/>
        <v/>
      </c>
    </row>
    <row r="514" spans="1:49" ht="18" customHeight="1" x14ac:dyDescent="0.3">
      <c r="A514" s="39">
        <v>510</v>
      </c>
      <c r="B514" s="40" t="s">
        <v>6221</v>
      </c>
      <c r="C514" s="41" t="s">
        <v>6222</v>
      </c>
      <c r="D514" s="39" t="s">
        <v>6098</v>
      </c>
      <c r="E514" s="43">
        <v>46125</v>
      </c>
      <c r="F514" s="26" t="s">
        <v>23</v>
      </c>
      <c r="G514" s="44" t="s">
        <v>1352</v>
      </c>
      <c r="H514" s="26" t="s">
        <v>25</v>
      </c>
      <c r="I514" s="44" t="s">
        <v>1352</v>
      </c>
      <c r="J514" s="26" t="s">
        <v>24</v>
      </c>
      <c r="K514" s="27"/>
      <c r="L514" s="28" t="s">
        <v>25</v>
      </c>
      <c r="M514" s="29" t="str">
        <f t="shared" si="35"/>
        <v>✓ OK</v>
      </c>
      <c r="N514" s="43">
        <v>46196</v>
      </c>
      <c r="O514" s="26" t="s">
        <v>23</v>
      </c>
      <c r="P514" s="44" t="s">
        <v>1352</v>
      </c>
      <c r="Q514" s="26" t="s">
        <v>25</v>
      </c>
      <c r="R514" s="44" t="s">
        <v>1352</v>
      </c>
      <c r="S514" s="26" t="s">
        <v>24</v>
      </c>
      <c r="T514" s="27"/>
      <c r="U514" s="28" t="s">
        <v>25</v>
      </c>
      <c r="V514" s="29" t="str">
        <f t="shared" si="36"/>
        <v>✓ OK</v>
      </c>
      <c r="W514" s="45">
        <v>46248</v>
      </c>
      <c r="X514" s="30" t="s">
        <v>23</v>
      </c>
      <c r="Y514" s="30" t="s">
        <v>1352</v>
      </c>
      <c r="Z514" s="30" t="s">
        <v>25</v>
      </c>
      <c r="AA514" s="30" t="s">
        <v>1352</v>
      </c>
      <c r="AB514" s="30" t="s">
        <v>24</v>
      </c>
      <c r="AC514" s="27"/>
      <c r="AD514" s="31" t="s">
        <v>25</v>
      </c>
      <c r="AE514" s="32" t="str">
        <f t="shared" si="37"/>
        <v>✓ OK</v>
      </c>
      <c r="AF514" s="33" t="s">
        <v>27</v>
      </c>
      <c r="AG514" s="33" t="s">
        <v>23</v>
      </c>
      <c r="AH514" s="33" t="s">
        <v>1352</v>
      </c>
      <c r="AI514" s="33" t="s">
        <v>25</v>
      </c>
      <c r="AJ514" s="33" t="s">
        <v>1352</v>
      </c>
      <c r="AK514" s="33" t="s">
        <v>24</v>
      </c>
      <c r="AL514" s="27"/>
      <c r="AM514" s="34" t="s">
        <v>25</v>
      </c>
      <c r="AN514" s="35" t="str">
        <f t="shared" si="38"/>
        <v>✓ OK</v>
      </c>
      <c r="AO514" s="36"/>
      <c r="AP514" s="36"/>
      <c r="AQ514" s="36"/>
      <c r="AR514" s="36"/>
      <c r="AS514" s="36"/>
      <c r="AT514" s="36"/>
      <c r="AU514" s="27"/>
      <c r="AV514" s="37"/>
      <c r="AW514" s="38" t="str">
        <f t="shared" si="39"/>
        <v/>
      </c>
    </row>
    <row r="515" spans="1:49" ht="18" customHeight="1" x14ac:dyDescent="0.3">
      <c r="A515" s="23">
        <v>511</v>
      </c>
      <c r="B515" s="24" t="s">
        <v>6223</v>
      </c>
      <c r="C515" s="25" t="s">
        <v>6224</v>
      </c>
      <c r="D515" s="23" t="s">
        <v>6098</v>
      </c>
      <c r="E515" s="43">
        <v>46125</v>
      </c>
      <c r="F515" s="26" t="s">
        <v>23</v>
      </c>
      <c r="G515" s="44" t="s">
        <v>1352</v>
      </c>
      <c r="H515" s="26" t="s">
        <v>25</v>
      </c>
      <c r="I515" s="44" t="s">
        <v>1352</v>
      </c>
      <c r="J515" s="26" t="s">
        <v>24</v>
      </c>
      <c r="K515" s="27"/>
      <c r="L515" s="28" t="s">
        <v>25</v>
      </c>
      <c r="M515" s="29" t="str">
        <f t="shared" si="35"/>
        <v>✓ OK</v>
      </c>
      <c r="N515" s="43">
        <v>46196</v>
      </c>
      <c r="O515" s="26" t="s">
        <v>23</v>
      </c>
      <c r="P515" s="44" t="s">
        <v>1352</v>
      </c>
      <c r="Q515" s="26" t="s">
        <v>25</v>
      </c>
      <c r="R515" s="44" t="s">
        <v>1352</v>
      </c>
      <c r="S515" s="26" t="s">
        <v>24</v>
      </c>
      <c r="T515" s="27"/>
      <c r="U515" s="28" t="s">
        <v>25</v>
      </c>
      <c r="V515" s="29" t="str">
        <f t="shared" si="36"/>
        <v>✓ OK</v>
      </c>
      <c r="W515" s="45">
        <v>46248</v>
      </c>
      <c r="X515" s="30" t="s">
        <v>23</v>
      </c>
      <c r="Y515" s="30" t="s">
        <v>1352</v>
      </c>
      <c r="Z515" s="30" t="s">
        <v>25</v>
      </c>
      <c r="AA515" s="30" t="s">
        <v>1352</v>
      </c>
      <c r="AB515" s="30" t="s">
        <v>24</v>
      </c>
      <c r="AC515" s="27"/>
      <c r="AD515" s="31" t="s">
        <v>25</v>
      </c>
      <c r="AE515" s="32" t="str">
        <f t="shared" si="37"/>
        <v>✓ OK</v>
      </c>
      <c r="AF515" s="33" t="s">
        <v>27</v>
      </c>
      <c r="AG515" s="33" t="s">
        <v>23</v>
      </c>
      <c r="AH515" s="33" t="s">
        <v>1352</v>
      </c>
      <c r="AI515" s="33" t="s">
        <v>25</v>
      </c>
      <c r="AJ515" s="33" t="s">
        <v>1352</v>
      </c>
      <c r="AK515" s="33" t="s">
        <v>24</v>
      </c>
      <c r="AL515" s="27"/>
      <c r="AM515" s="34" t="s">
        <v>25</v>
      </c>
      <c r="AN515" s="35" t="str">
        <f t="shared" si="38"/>
        <v>✓ OK</v>
      </c>
      <c r="AO515" s="36"/>
      <c r="AP515" s="36"/>
      <c r="AQ515" s="36"/>
      <c r="AR515" s="36"/>
      <c r="AS515" s="36"/>
      <c r="AT515" s="36"/>
      <c r="AU515" s="27"/>
      <c r="AV515" s="37"/>
      <c r="AW515" s="38" t="str">
        <f t="shared" si="39"/>
        <v/>
      </c>
    </row>
    <row r="516" spans="1:49" ht="18" customHeight="1" x14ac:dyDescent="0.3">
      <c r="A516" s="39">
        <v>512</v>
      </c>
      <c r="B516" s="40" t="s">
        <v>6225</v>
      </c>
      <c r="C516" s="41" t="s">
        <v>6226</v>
      </c>
      <c r="D516" s="39" t="s">
        <v>6098</v>
      </c>
      <c r="E516" s="43">
        <v>46125</v>
      </c>
      <c r="F516" s="26" t="s">
        <v>23</v>
      </c>
      <c r="G516" s="44" t="s">
        <v>1352</v>
      </c>
      <c r="H516" s="26" t="s">
        <v>25</v>
      </c>
      <c r="I516" s="44" t="s">
        <v>1352</v>
      </c>
      <c r="J516" s="26" t="s">
        <v>24</v>
      </c>
      <c r="K516" s="27"/>
      <c r="L516" s="28" t="s">
        <v>25</v>
      </c>
      <c r="M516" s="29" t="str">
        <f t="shared" si="35"/>
        <v>✓ OK</v>
      </c>
      <c r="N516" s="43">
        <v>46196</v>
      </c>
      <c r="O516" s="26" t="s">
        <v>23</v>
      </c>
      <c r="P516" s="44" t="s">
        <v>1352</v>
      </c>
      <c r="Q516" s="26" t="s">
        <v>25</v>
      </c>
      <c r="R516" s="44" t="s">
        <v>1352</v>
      </c>
      <c r="S516" s="26" t="s">
        <v>24</v>
      </c>
      <c r="T516" s="27"/>
      <c r="U516" s="28" t="s">
        <v>25</v>
      </c>
      <c r="V516" s="29" t="str">
        <f t="shared" si="36"/>
        <v>✓ OK</v>
      </c>
      <c r="W516" s="45">
        <v>46248</v>
      </c>
      <c r="X516" s="30" t="s">
        <v>23</v>
      </c>
      <c r="Y516" s="30" t="s">
        <v>1352</v>
      </c>
      <c r="Z516" s="30" t="s">
        <v>25</v>
      </c>
      <c r="AA516" s="30" t="s">
        <v>1352</v>
      </c>
      <c r="AB516" s="30" t="s">
        <v>24</v>
      </c>
      <c r="AC516" s="27"/>
      <c r="AD516" s="31" t="s">
        <v>25</v>
      </c>
      <c r="AE516" s="32" t="str">
        <f t="shared" si="37"/>
        <v>✓ OK</v>
      </c>
      <c r="AF516" s="33" t="s">
        <v>27</v>
      </c>
      <c r="AG516" s="33" t="s">
        <v>23</v>
      </c>
      <c r="AH516" s="33" t="s">
        <v>1352</v>
      </c>
      <c r="AI516" s="33" t="s">
        <v>25</v>
      </c>
      <c r="AJ516" s="33" t="s">
        <v>1352</v>
      </c>
      <c r="AK516" s="33" t="s">
        <v>24</v>
      </c>
      <c r="AL516" s="27"/>
      <c r="AM516" s="34" t="s">
        <v>25</v>
      </c>
      <c r="AN516" s="35" t="str">
        <f t="shared" si="38"/>
        <v>✓ OK</v>
      </c>
      <c r="AO516" s="36"/>
      <c r="AP516" s="36"/>
      <c r="AQ516" s="36"/>
      <c r="AR516" s="36"/>
      <c r="AS516" s="36"/>
      <c r="AT516" s="36"/>
      <c r="AU516" s="27"/>
      <c r="AV516" s="37"/>
      <c r="AW516" s="38" t="str">
        <f t="shared" si="39"/>
        <v/>
      </c>
    </row>
  </sheetData>
  <autoFilter ref="A4:AW516" xr:uid="{00000000-0009-0000-0000-00000B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516">
    <cfRule type="expression" dxfId="100" priority="15">
      <formula>G5="Yes"</formula>
    </cfRule>
    <cfRule type="expression" dxfId="99" priority="16">
      <formula>G5="No"</formula>
    </cfRule>
    <cfRule type="expression" dxfId="98" priority="17">
      <formula>MOD(ROW(),2)=0</formula>
    </cfRule>
  </conditionalFormatting>
  <conditionalFormatting sqref="H5:H516">
    <cfRule type="expression" dxfId="97" priority="18">
      <formula>H5="Yes"</formula>
    </cfRule>
  </conditionalFormatting>
  <conditionalFormatting sqref="I5:I516">
    <cfRule type="expression" dxfId="96" priority="14">
      <formula>MOD(ROW(),2)=0</formula>
    </cfRule>
  </conditionalFormatting>
  <conditionalFormatting sqref="J5:J516">
    <cfRule type="expression" dxfId="95" priority="19">
      <formula>J5="Yes"</formula>
    </cfRule>
    <cfRule type="expression" dxfId="94" priority="20">
      <formula>J5="No"</formula>
    </cfRule>
  </conditionalFormatting>
  <conditionalFormatting sqref="J5:L5 J7:L52 J54:L211 J213:L300 J302:L516 H5:H516 A5:F516">
    <cfRule type="expression" dxfId="93" priority="21">
      <formula>MOD(ROW(),2)=0</formula>
    </cfRule>
  </conditionalFormatting>
  <conditionalFormatting sqref="M5:M516">
    <cfRule type="expression" dxfId="92" priority="22">
      <formula>M5="✓ OK"</formula>
    </cfRule>
    <cfRule type="expression" dxfId="91" priority="23">
      <formula>M5="❌ Disc"</formula>
    </cfRule>
    <cfRule type="expression" dxfId="90" priority="24">
      <formula>M5="⚠ Missing"</formula>
    </cfRule>
    <cfRule type="expression" dxfId="89" priority="25">
      <formula>M5="⚠ Check"</formula>
    </cfRule>
  </conditionalFormatting>
  <conditionalFormatting sqref="N5:O516">
    <cfRule type="expression" dxfId="88" priority="1">
      <formula>MOD(ROW(),2)=0</formula>
    </cfRule>
  </conditionalFormatting>
  <conditionalFormatting sqref="P5:P516">
    <cfRule type="expression" dxfId="87" priority="3">
      <formula>P5="Yes"</formula>
    </cfRule>
    <cfRule type="expression" dxfId="86" priority="4">
      <formula>P5="No"</formula>
    </cfRule>
    <cfRule type="expression" dxfId="85" priority="5">
      <formula>MOD(ROW(),2)=0</formula>
    </cfRule>
  </conditionalFormatting>
  <conditionalFormatting sqref="Q5:Q516">
    <cfRule type="expression" dxfId="84" priority="6">
      <formula>Q5="Yes"</formula>
    </cfRule>
  </conditionalFormatting>
  <conditionalFormatting sqref="R5:R516">
    <cfRule type="expression" dxfId="83" priority="2">
      <formula>MOD(ROW(),2)=0</formula>
    </cfRule>
  </conditionalFormatting>
  <conditionalFormatting sqref="S5:S516">
    <cfRule type="expression" dxfId="82" priority="7">
      <formula>S5="Yes"</formula>
    </cfRule>
    <cfRule type="expression" dxfId="81" priority="8">
      <formula>S5="No"</formula>
    </cfRule>
  </conditionalFormatting>
  <conditionalFormatting sqref="S5:U5 S7:U52 S54:U211 S213:U300 S302:U516 Q5:Q516">
    <cfRule type="expression" dxfId="80" priority="9">
      <formula>MOD(ROW(),2)=0</formula>
    </cfRule>
  </conditionalFormatting>
  <conditionalFormatting sqref="V5:V516">
    <cfRule type="expression" dxfId="79" priority="10">
      <formula>V5="✓ OK"</formula>
    </cfRule>
    <cfRule type="expression" dxfId="78" priority="11">
      <formula>V5="❌ Disc"</formula>
    </cfRule>
    <cfRule type="expression" dxfId="77" priority="12">
      <formula>V5="⚠ Missing"</formula>
    </cfRule>
    <cfRule type="expression" dxfId="76" priority="13">
      <formula>V5="⚠ Check"</formula>
    </cfRule>
  </conditionalFormatting>
  <conditionalFormatting sqref="M5 J6:M6 M7:M52 J53:M53 M54:M211 J212:M212 M213:M300 J301:M301 M302:M516 V5 S6:V6 V7:V52 S53:V53 V54:V211 S212:V212 V213:V300 S301:V301 V302:V516 W5:AW516">
    <cfRule type="expression" dxfId="75" priority="67">
      <formula>MOD(ROW(),2)=0</formula>
    </cfRule>
  </conditionalFormatting>
  <conditionalFormatting sqref="Y5:Y516">
    <cfRule type="expression" dxfId="74" priority="44">
      <formula>Y5="Yes"</formula>
    </cfRule>
    <cfRule type="expression" dxfId="73" priority="45">
      <formula>Y5="No"</formula>
    </cfRule>
  </conditionalFormatting>
  <conditionalFormatting sqref="Z5:Z516">
    <cfRule type="expression" dxfId="72" priority="46">
      <formula>Z5="Yes"</formula>
    </cfRule>
  </conditionalFormatting>
  <conditionalFormatting sqref="AB5:AB516">
    <cfRule type="expression" dxfId="71" priority="48">
      <formula>AB5="No"</formula>
    </cfRule>
    <cfRule type="expression" dxfId="70" priority="47">
      <formula>AB5="Yes"</formula>
    </cfRule>
  </conditionalFormatting>
  <conditionalFormatting sqref="AE5:AE516">
    <cfRule type="expression" dxfId="69" priority="43">
      <formula>AE5="⚠ Check"</formula>
    </cfRule>
    <cfRule type="expression" dxfId="68" priority="41">
      <formula>AE5="❌ Disc"</formula>
    </cfRule>
    <cfRule type="expression" dxfId="67" priority="40">
      <formula>AE5="✓ OK"</formula>
    </cfRule>
    <cfRule type="expression" dxfId="66" priority="42">
      <formula>AE5="⚠ Missing"</formula>
    </cfRule>
  </conditionalFormatting>
  <conditionalFormatting sqref="AH5:AH516">
    <cfRule type="expression" dxfId="65" priority="53">
      <formula>AH5="Yes"</formula>
    </cfRule>
    <cfRule type="expression" dxfId="64" priority="54">
      <formula>AH5="No"</formula>
    </cfRule>
  </conditionalFormatting>
  <conditionalFormatting sqref="AI5:AI516">
    <cfRule type="expression" dxfId="63" priority="55">
      <formula>AI5="Yes"</formula>
    </cfRule>
  </conditionalFormatting>
  <conditionalFormatting sqref="AK5:AK516">
    <cfRule type="expression" dxfId="62" priority="56">
      <formula>AK5="Yes"</formula>
    </cfRule>
    <cfRule type="expression" dxfId="61" priority="57">
      <formula>AK5="No"</formula>
    </cfRule>
  </conditionalFormatting>
  <conditionalFormatting sqref="AN5:AN516">
    <cfRule type="expression" dxfId="60" priority="49">
      <formula>AN5="✓ OK"</formula>
    </cfRule>
    <cfRule type="expression" dxfId="59" priority="50">
      <formula>AN5="❌ Disc"</formula>
    </cfRule>
    <cfRule type="expression" dxfId="58" priority="51">
      <formula>AN5="⚠ Missing"</formula>
    </cfRule>
    <cfRule type="expression" dxfId="57" priority="52">
      <formula>AN5="⚠ Check"</formula>
    </cfRule>
  </conditionalFormatting>
  <conditionalFormatting sqref="AQ5:AQ516">
    <cfRule type="expression" dxfId="56" priority="62">
      <formula>AQ5="Yes"</formula>
    </cfRule>
    <cfRule type="expression" dxfId="55" priority="63">
      <formula>AQ5="No"</formula>
    </cfRule>
  </conditionalFormatting>
  <conditionalFormatting sqref="AR5:AR516">
    <cfRule type="expression" dxfId="54" priority="64">
      <formula>AR5="Yes"</formula>
    </cfRule>
  </conditionalFormatting>
  <conditionalFormatting sqref="AT5:AT516">
    <cfRule type="expression" dxfId="53" priority="65">
      <formula>AT5="Yes"</formula>
    </cfRule>
    <cfRule type="expression" dxfId="52" priority="66">
      <formula>AT5="No"</formula>
    </cfRule>
  </conditionalFormatting>
  <conditionalFormatting sqref="AW5:AW516">
    <cfRule type="expression" dxfId="51" priority="58">
      <formula>AW5="✓ OK"</formula>
    </cfRule>
    <cfRule type="expression" dxfId="50" priority="59">
      <formula>AW5="❌ Disc"</formula>
    </cfRule>
    <cfRule type="expression" dxfId="49" priority="60">
      <formula>AW5="⚠ Missing"</formula>
    </cfRule>
    <cfRule type="expression" dxfId="48" priority="61">
      <formula>AW5="⚠ Check"</formula>
    </cfRule>
  </conditionalFormatting>
  <dataValidations count="4">
    <dataValidation type="list" allowBlank="1" sqref="H5:H516 J5:J516 Q5:Q516 S5:S516 Y5:Z516 AB5:AB516 AT5:AT516 AQ5:AR516 AH5:AI516 AK5:AK516" xr:uid="{00000000-0002-0000-0B00-000000000000}">
      <formula1>"Yes,No"</formula1>
    </dataValidation>
    <dataValidation type="list" allowBlank="1" sqref="AA5:AA516 AS5:AS516 AJ5:AJ516" xr:uid="{00000000-0002-0000-0B00-000001000000}">
      <formula1>"Good finish,Minor defect,Major defect,Discontinued,Not Available"</formula1>
    </dataValidation>
    <dataValidation type="list" allowBlank="1" sqref="I5:I516 R5:R516" xr:uid="{00000000-0002-0000-0B00-000002000000}">
      <formula1>"Represented by Sample,Good finish,Minor defect,Major defect,Discontinued,Not Available"</formula1>
    </dataValidation>
    <dataValidation type="list" allowBlank="1" sqref="G5:G516 P5:P516" xr:uid="{00000000-0002-0000-0B00-000003000000}">
      <formula1>"Yes,No,Represented by Sample"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AW292"/>
  <sheetViews>
    <sheetView workbookViewId="0">
      <pane xSplit="4" ySplit="4" topLeftCell="AB282" activePane="bottomRight" state="frozen"/>
      <selection pane="topRight" activeCell="AU16" sqref="AU16"/>
      <selection pane="bottomLeft" activeCell="AU16" sqref="AU16"/>
      <selection pane="bottomRight" activeCell="AF294" sqref="AF294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15" customHeight="1" x14ac:dyDescent="0.3">
      <c r="A2" s="5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49" ht="19.95" customHeight="1" x14ac:dyDescent="0.3">
      <c r="A3" s="22"/>
      <c r="B3" s="22"/>
      <c r="C3" s="22"/>
      <c r="D3" s="22"/>
      <c r="E3" s="53" t="s">
        <v>2</v>
      </c>
      <c r="F3" s="49"/>
      <c r="G3" s="49"/>
      <c r="H3" s="49"/>
      <c r="I3" s="49"/>
      <c r="J3" s="49"/>
      <c r="K3" s="49"/>
      <c r="L3" s="49"/>
      <c r="M3" s="50"/>
      <c r="N3" s="55" t="s">
        <v>3</v>
      </c>
      <c r="O3" s="49"/>
      <c r="P3" s="49"/>
      <c r="Q3" s="49"/>
      <c r="R3" s="49"/>
      <c r="S3" s="49"/>
      <c r="T3" s="49"/>
      <c r="U3" s="49"/>
      <c r="V3" s="50"/>
      <c r="W3" s="51" t="s">
        <v>4</v>
      </c>
      <c r="X3" s="49"/>
      <c r="Y3" s="49"/>
      <c r="Z3" s="49"/>
      <c r="AA3" s="49"/>
      <c r="AB3" s="49"/>
      <c r="AC3" s="49"/>
      <c r="AD3" s="49"/>
      <c r="AE3" s="50"/>
      <c r="AF3" s="54" t="s">
        <v>5</v>
      </c>
      <c r="AG3" s="49"/>
      <c r="AH3" s="49"/>
      <c r="AI3" s="49"/>
      <c r="AJ3" s="49"/>
      <c r="AK3" s="49"/>
      <c r="AL3" s="49"/>
      <c r="AM3" s="49"/>
      <c r="AN3" s="50"/>
      <c r="AO3" s="48" t="s">
        <v>6</v>
      </c>
      <c r="AP3" s="49"/>
      <c r="AQ3" s="49"/>
      <c r="AR3" s="49"/>
      <c r="AS3" s="49"/>
      <c r="AT3" s="49"/>
      <c r="AU3" s="49"/>
      <c r="AV3" s="49"/>
      <c r="AW3" s="50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20</v>
      </c>
      <c r="C5" s="25" t="s">
        <v>21</v>
      </c>
      <c r="D5" s="23" t="s">
        <v>22</v>
      </c>
      <c r="E5" s="43">
        <v>46125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68" si="0">IF(E5="","",IF(H5="Yes","❌ Disc",IF(G5="No","⚠ Missing",IF(J5="Yes","✓ OK","⚠ Check"))))</f>
        <v>✓ OK</v>
      </c>
      <c r="N5" s="43">
        <v>46139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68" si="1">IF(N5="","",IF(Q5="Yes","❌ Disc",IF(P5="No","⚠ Missing",IF(S5="Yes","✓ OK","⚠ Check"))))</f>
        <v>✓ OK</v>
      </c>
      <c r="W5" s="45">
        <v>46248</v>
      </c>
      <c r="X5" s="30" t="s">
        <v>23</v>
      </c>
      <c r="Y5" s="30" t="s">
        <v>24</v>
      </c>
      <c r="Z5" s="30" t="s">
        <v>25</v>
      </c>
      <c r="AA5" s="30" t="s">
        <v>26</v>
      </c>
      <c r="AB5" s="30" t="s">
        <v>24</v>
      </c>
      <c r="AC5" s="27"/>
      <c r="AD5" s="31" t="s">
        <v>25</v>
      </c>
      <c r="AE5" s="32" t="str">
        <f t="shared" ref="AE5:AE68" si="2">IF(W5="","",IF(Z5="Yes","❌ Disc",IF(Y5="No","⚠ Missing",IF(AB5="Yes","✓ OK","⚠ Check"))))</f>
        <v>✓ OK</v>
      </c>
      <c r="AF5" s="33" t="s">
        <v>27</v>
      </c>
      <c r="AG5" s="33" t="s">
        <v>23</v>
      </c>
      <c r="AH5" s="33" t="s">
        <v>24</v>
      </c>
      <c r="AI5" s="33" t="s">
        <v>25</v>
      </c>
      <c r="AJ5" s="33" t="s">
        <v>26</v>
      </c>
      <c r="AK5" s="33" t="s">
        <v>24</v>
      </c>
      <c r="AL5" s="27"/>
      <c r="AM5" s="34" t="s">
        <v>25</v>
      </c>
      <c r="AN5" s="35" t="str">
        <f t="shared" ref="AN5:AN68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28</v>
      </c>
      <c r="C6" s="41" t="s">
        <v>29</v>
      </c>
      <c r="D6" s="39" t="s">
        <v>22</v>
      </c>
      <c r="E6" s="43">
        <v>46125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43">
        <v>46139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45">
        <v>46248</v>
      </c>
      <c r="X6" s="30" t="s">
        <v>23</v>
      </c>
      <c r="Y6" s="30" t="s">
        <v>24</v>
      </c>
      <c r="Z6" s="30" t="s">
        <v>25</v>
      </c>
      <c r="AA6" s="30" t="s">
        <v>26</v>
      </c>
      <c r="AB6" s="30" t="s">
        <v>24</v>
      </c>
      <c r="AC6" s="27"/>
      <c r="AD6" s="31" t="s">
        <v>25</v>
      </c>
      <c r="AE6" s="32" t="str">
        <f t="shared" si="2"/>
        <v>✓ OK</v>
      </c>
      <c r="AF6" s="33" t="s">
        <v>27</v>
      </c>
      <c r="AG6" s="33" t="s">
        <v>23</v>
      </c>
      <c r="AH6" s="33" t="s">
        <v>24</v>
      </c>
      <c r="AI6" s="33" t="s">
        <v>25</v>
      </c>
      <c r="AJ6" s="33" t="s">
        <v>26</v>
      </c>
      <c r="AK6" s="33" t="s">
        <v>24</v>
      </c>
      <c r="AL6" s="27"/>
      <c r="AM6" s="34" t="s">
        <v>25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30</v>
      </c>
      <c r="C7" s="25" t="s">
        <v>31</v>
      </c>
      <c r="D7" s="23" t="s">
        <v>22</v>
      </c>
      <c r="E7" s="43">
        <v>46125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43">
        <v>46139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45">
        <v>46248</v>
      </c>
      <c r="X7" s="30" t="s">
        <v>23</v>
      </c>
      <c r="Y7" s="30" t="s">
        <v>24</v>
      </c>
      <c r="Z7" s="30" t="s">
        <v>25</v>
      </c>
      <c r="AA7" s="30" t="s">
        <v>26</v>
      </c>
      <c r="AB7" s="30" t="s">
        <v>24</v>
      </c>
      <c r="AC7" s="27"/>
      <c r="AD7" s="31" t="s">
        <v>25</v>
      </c>
      <c r="AE7" s="32" t="str">
        <f t="shared" si="2"/>
        <v>✓ OK</v>
      </c>
      <c r="AF7" s="33" t="s">
        <v>27</v>
      </c>
      <c r="AG7" s="33" t="s">
        <v>23</v>
      </c>
      <c r="AH7" s="33" t="s">
        <v>24</v>
      </c>
      <c r="AI7" s="33" t="s">
        <v>25</v>
      </c>
      <c r="AJ7" s="33" t="s">
        <v>26</v>
      </c>
      <c r="AK7" s="33" t="s">
        <v>24</v>
      </c>
      <c r="AL7" s="27"/>
      <c r="AM7" s="34" t="s">
        <v>25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32</v>
      </c>
      <c r="C8" s="41" t="s">
        <v>33</v>
      </c>
      <c r="D8" s="39" t="s">
        <v>22</v>
      </c>
      <c r="E8" s="43">
        <v>46125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43">
        <v>46139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45">
        <v>46248</v>
      </c>
      <c r="X8" s="30" t="s">
        <v>23</v>
      </c>
      <c r="Y8" s="30" t="s">
        <v>24</v>
      </c>
      <c r="Z8" s="30" t="s">
        <v>25</v>
      </c>
      <c r="AA8" s="30" t="s">
        <v>26</v>
      </c>
      <c r="AB8" s="30" t="s">
        <v>24</v>
      </c>
      <c r="AC8" s="27"/>
      <c r="AD8" s="31" t="s">
        <v>25</v>
      </c>
      <c r="AE8" s="32" t="str">
        <f t="shared" si="2"/>
        <v>✓ OK</v>
      </c>
      <c r="AF8" s="33" t="s">
        <v>27</v>
      </c>
      <c r="AG8" s="33" t="s">
        <v>23</v>
      </c>
      <c r="AH8" s="33" t="s">
        <v>24</v>
      </c>
      <c r="AI8" s="33" t="s">
        <v>25</v>
      </c>
      <c r="AJ8" s="33" t="s">
        <v>26</v>
      </c>
      <c r="AK8" s="33" t="s">
        <v>24</v>
      </c>
      <c r="AL8" s="27"/>
      <c r="AM8" s="34" t="s">
        <v>25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34</v>
      </c>
      <c r="C9" s="25" t="s">
        <v>35</v>
      </c>
      <c r="D9" s="23" t="s">
        <v>22</v>
      </c>
      <c r="E9" s="43">
        <v>46125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43">
        <v>46139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45">
        <v>46248</v>
      </c>
      <c r="X9" s="30" t="s">
        <v>23</v>
      </c>
      <c r="Y9" s="30" t="s">
        <v>24</v>
      </c>
      <c r="Z9" s="30" t="s">
        <v>25</v>
      </c>
      <c r="AA9" s="30" t="s">
        <v>26</v>
      </c>
      <c r="AB9" s="30" t="s">
        <v>24</v>
      </c>
      <c r="AC9" s="27"/>
      <c r="AD9" s="31" t="s">
        <v>25</v>
      </c>
      <c r="AE9" s="32" t="str">
        <f t="shared" si="2"/>
        <v>✓ OK</v>
      </c>
      <c r="AF9" s="33" t="s">
        <v>27</v>
      </c>
      <c r="AG9" s="33" t="s">
        <v>23</v>
      </c>
      <c r="AH9" s="33" t="s">
        <v>24</v>
      </c>
      <c r="AI9" s="33" t="s">
        <v>25</v>
      </c>
      <c r="AJ9" s="33" t="s">
        <v>26</v>
      </c>
      <c r="AK9" s="33" t="s">
        <v>24</v>
      </c>
      <c r="AL9" s="27"/>
      <c r="AM9" s="34" t="s">
        <v>25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36</v>
      </c>
      <c r="C10" s="41" t="s">
        <v>37</v>
      </c>
      <c r="D10" s="39" t="s">
        <v>22</v>
      </c>
      <c r="E10" s="43">
        <v>46125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43">
        <v>46139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45">
        <v>46248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24</v>
      </c>
      <c r="AC10" s="27"/>
      <c r="AD10" s="31" t="s">
        <v>25</v>
      </c>
      <c r="AE10" s="32" t="str">
        <f t="shared" si="2"/>
        <v>✓ OK</v>
      </c>
      <c r="AF10" s="33" t="s">
        <v>27</v>
      </c>
      <c r="AG10" s="33" t="s">
        <v>23</v>
      </c>
      <c r="AH10" s="33" t="s">
        <v>24</v>
      </c>
      <c r="AI10" s="33" t="s">
        <v>25</v>
      </c>
      <c r="AJ10" s="33" t="s">
        <v>26</v>
      </c>
      <c r="AK10" s="33" t="s">
        <v>24</v>
      </c>
      <c r="AL10" s="27"/>
      <c r="AM10" s="34" t="s">
        <v>25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38</v>
      </c>
      <c r="C11" s="25" t="s">
        <v>39</v>
      </c>
      <c r="D11" s="23" t="s">
        <v>22</v>
      </c>
      <c r="E11" s="43">
        <v>46125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43">
        <v>46139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45">
        <v>46248</v>
      </c>
      <c r="X11" s="30" t="s">
        <v>23</v>
      </c>
      <c r="Y11" s="30" t="s">
        <v>24</v>
      </c>
      <c r="Z11" s="30" t="s">
        <v>25</v>
      </c>
      <c r="AA11" s="30" t="s">
        <v>26</v>
      </c>
      <c r="AB11" s="30" t="s">
        <v>24</v>
      </c>
      <c r="AC11" s="27"/>
      <c r="AD11" s="31" t="s">
        <v>25</v>
      </c>
      <c r="AE11" s="32" t="str">
        <f t="shared" si="2"/>
        <v>✓ OK</v>
      </c>
      <c r="AF11" s="33" t="s">
        <v>27</v>
      </c>
      <c r="AG11" s="33" t="s">
        <v>23</v>
      </c>
      <c r="AH11" s="33" t="s">
        <v>24</v>
      </c>
      <c r="AI11" s="33" t="s">
        <v>25</v>
      </c>
      <c r="AJ11" s="33" t="s">
        <v>26</v>
      </c>
      <c r="AK11" s="33" t="s">
        <v>24</v>
      </c>
      <c r="AL11" s="27"/>
      <c r="AM11" s="34" t="s">
        <v>25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40</v>
      </c>
      <c r="C12" s="41" t="s">
        <v>41</v>
      </c>
      <c r="D12" s="39" t="s">
        <v>22</v>
      </c>
      <c r="E12" s="43">
        <v>46125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43">
        <v>46139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45">
        <v>46248</v>
      </c>
      <c r="X12" s="30" t="s">
        <v>23</v>
      </c>
      <c r="Y12" s="30" t="s">
        <v>24</v>
      </c>
      <c r="Z12" s="30" t="s">
        <v>25</v>
      </c>
      <c r="AA12" s="30" t="s">
        <v>26</v>
      </c>
      <c r="AB12" s="30" t="s">
        <v>24</v>
      </c>
      <c r="AC12" s="27"/>
      <c r="AD12" s="31" t="s">
        <v>25</v>
      </c>
      <c r="AE12" s="32" t="str">
        <f t="shared" si="2"/>
        <v>✓ OK</v>
      </c>
      <c r="AF12" s="33" t="s">
        <v>27</v>
      </c>
      <c r="AG12" s="33" t="s">
        <v>23</v>
      </c>
      <c r="AH12" s="33" t="s">
        <v>24</v>
      </c>
      <c r="AI12" s="33" t="s">
        <v>25</v>
      </c>
      <c r="AJ12" s="33" t="s">
        <v>26</v>
      </c>
      <c r="AK12" s="33" t="s">
        <v>24</v>
      </c>
      <c r="AL12" s="27"/>
      <c r="AM12" s="34" t="s">
        <v>25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42</v>
      </c>
      <c r="C13" s="25" t="s">
        <v>43</v>
      </c>
      <c r="D13" s="23" t="s">
        <v>22</v>
      </c>
      <c r="E13" s="43">
        <v>46125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43">
        <v>46139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45">
        <v>46248</v>
      </c>
      <c r="X13" s="30" t="s">
        <v>23</v>
      </c>
      <c r="Y13" s="30" t="s">
        <v>24</v>
      </c>
      <c r="Z13" s="30" t="s">
        <v>25</v>
      </c>
      <c r="AA13" s="30" t="s">
        <v>26</v>
      </c>
      <c r="AB13" s="30" t="s">
        <v>24</v>
      </c>
      <c r="AC13" s="27"/>
      <c r="AD13" s="31" t="s">
        <v>25</v>
      </c>
      <c r="AE13" s="32" t="str">
        <f t="shared" si="2"/>
        <v>✓ OK</v>
      </c>
      <c r="AF13" s="33" t="s">
        <v>27</v>
      </c>
      <c r="AG13" s="33" t="s">
        <v>23</v>
      </c>
      <c r="AH13" s="33" t="s">
        <v>24</v>
      </c>
      <c r="AI13" s="33" t="s">
        <v>25</v>
      </c>
      <c r="AJ13" s="33" t="s">
        <v>26</v>
      </c>
      <c r="AK13" s="33" t="s">
        <v>24</v>
      </c>
      <c r="AL13" s="27"/>
      <c r="AM13" s="34" t="s">
        <v>25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44</v>
      </c>
      <c r="C14" s="41" t="s">
        <v>45</v>
      </c>
      <c r="D14" s="39" t="s">
        <v>22</v>
      </c>
      <c r="E14" s="43">
        <v>46125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43">
        <v>46139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45">
        <v>46248</v>
      </c>
      <c r="X14" s="30" t="s">
        <v>23</v>
      </c>
      <c r="Y14" s="30" t="s">
        <v>24</v>
      </c>
      <c r="Z14" s="30" t="s">
        <v>25</v>
      </c>
      <c r="AA14" s="30" t="s">
        <v>26</v>
      </c>
      <c r="AB14" s="30" t="s">
        <v>24</v>
      </c>
      <c r="AC14" s="27"/>
      <c r="AD14" s="31" t="s">
        <v>25</v>
      </c>
      <c r="AE14" s="32" t="str">
        <f t="shared" si="2"/>
        <v>✓ OK</v>
      </c>
      <c r="AF14" s="33" t="s">
        <v>27</v>
      </c>
      <c r="AG14" s="33" t="s">
        <v>23</v>
      </c>
      <c r="AH14" s="33" t="s">
        <v>24</v>
      </c>
      <c r="AI14" s="33" t="s">
        <v>25</v>
      </c>
      <c r="AJ14" s="33" t="s">
        <v>26</v>
      </c>
      <c r="AK14" s="33" t="s">
        <v>24</v>
      </c>
      <c r="AL14" s="27"/>
      <c r="AM14" s="34" t="s">
        <v>25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46</v>
      </c>
      <c r="C15" s="25" t="s">
        <v>47</v>
      </c>
      <c r="D15" s="23" t="s">
        <v>22</v>
      </c>
      <c r="E15" s="43">
        <v>46125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43">
        <v>46139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45">
        <v>46248</v>
      </c>
      <c r="X15" s="30" t="s">
        <v>23</v>
      </c>
      <c r="Y15" s="30" t="s">
        <v>24</v>
      </c>
      <c r="Z15" s="30" t="s">
        <v>25</v>
      </c>
      <c r="AA15" s="30" t="s">
        <v>26</v>
      </c>
      <c r="AB15" s="30" t="s">
        <v>24</v>
      </c>
      <c r="AC15" s="27"/>
      <c r="AD15" s="31" t="s">
        <v>25</v>
      </c>
      <c r="AE15" s="32" t="str">
        <f t="shared" si="2"/>
        <v>✓ OK</v>
      </c>
      <c r="AF15" s="33" t="s">
        <v>27</v>
      </c>
      <c r="AG15" s="33" t="s">
        <v>23</v>
      </c>
      <c r="AH15" s="33" t="s">
        <v>24</v>
      </c>
      <c r="AI15" s="33" t="s">
        <v>25</v>
      </c>
      <c r="AJ15" s="33" t="s">
        <v>26</v>
      </c>
      <c r="AK15" s="33" t="s">
        <v>24</v>
      </c>
      <c r="AL15" s="27"/>
      <c r="AM15" s="34" t="s">
        <v>25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48</v>
      </c>
      <c r="C16" s="41" t="s">
        <v>49</v>
      </c>
      <c r="D16" s="39" t="s">
        <v>22</v>
      </c>
      <c r="E16" s="43">
        <v>46125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43">
        <v>46139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45">
        <v>46248</v>
      </c>
      <c r="X16" s="30" t="s">
        <v>23</v>
      </c>
      <c r="Y16" s="30" t="s">
        <v>24</v>
      </c>
      <c r="Z16" s="30" t="s">
        <v>25</v>
      </c>
      <c r="AA16" s="30" t="s">
        <v>26</v>
      </c>
      <c r="AB16" s="30" t="s">
        <v>24</v>
      </c>
      <c r="AC16" s="27"/>
      <c r="AD16" s="31" t="s">
        <v>25</v>
      </c>
      <c r="AE16" s="32" t="str">
        <f t="shared" si="2"/>
        <v>✓ OK</v>
      </c>
      <c r="AF16" s="33" t="s">
        <v>27</v>
      </c>
      <c r="AG16" s="33" t="s">
        <v>23</v>
      </c>
      <c r="AH16" s="33" t="s">
        <v>24</v>
      </c>
      <c r="AI16" s="33" t="s">
        <v>25</v>
      </c>
      <c r="AJ16" s="33" t="s">
        <v>26</v>
      </c>
      <c r="AK16" s="33" t="s">
        <v>24</v>
      </c>
      <c r="AL16" s="27"/>
      <c r="AM16" s="34" t="s">
        <v>25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50</v>
      </c>
      <c r="C17" s="25" t="s">
        <v>51</v>
      </c>
      <c r="D17" s="23" t="s">
        <v>22</v>
      </c>
      <c r="E17" s="43">
        <v>46125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43">
        <v>46139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45">
        <v>46248</v>
      </c>
      <c r="X17" s="30" t="s">
        <v>23</v>
      </c>
      <c r="Y17" s="30" t="s">
        <v>24</v>
      </c>
      <c r="Z17" s="30" t="s">
        <v>25</v>
      </c>
      <c r="AA17" s="30" t="s">
        <v>26</v>
      </c>
      <c r="AB17" s="30" t="s">
        <v>24</v>
      </c>
      <c r="AC17" s="27"/>
      <c r="AD17" s="31" t="s">
        <v>25</v>
      </c>
      <c r="AE17" s="32" t="str">
        <f t="shared" si="2"/>
        <v>✓ OK</v>
      </c>
      <c r="AF17" s="33" t="s">
        <v>27</v>
      </c>
      <c r="AG17" s="33" t="s">
        <v>23</v>
      </c>
      <c r="AH17" s="33" t="s">
        <v>24</v>
      </c>
      <c r="AI17" s="33" t="s">
        <v>25</v>
      </c>
      <c r="AJ17" s="33" t="s">
        <v>26</v>
      </c>
      <c r="AK17" s="33" t="s">
        <v>24</v>
      </c>
      <c r="AL17" s="27"/>
      <c r="AM17" s="34" t="s">
        <v>25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52</v>
      </c>
      <c r="C18" s="41" t="s">
        <v>53</v>
      </c>
      <c r="D18" s="39" t="s">
        <v>22</v>
      </c>
      <c r="E18" s="43">
        <v>46125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43">
        <v>46139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45">
        <v>46248</v>
      </c>
      <c r="X18" s="30" t="s">
        <v>23</v>
      </c>
      <c r="Y18" s="30" t="s">
        <v>24</v>
      </c>
      <c r="Z18" s="30" t="s">
        <v>25</v>
      </c>
      <c r="AA18" s="30" t="s">
        <v>26</v>
      </c>
      <c r="AB18" s="30" t="s">
        <v>24</v>
      </c>
      <c r="AC18" s="27"/>
      <c r="AD18" s="31" t="s">
        <v>25</v>
      </c>
      <c r="AE18" s="32" t="str">
        <f t="shared" si="2"/>
        <v>✓ OK</v>
      </c>
      <c r="AF18" s="33" t="s">
        <v>27</v>
      </c>
      <c r="AG18" s="33" t="s">
        <v>23</v>
      </c>
      <c r="AH18" s="33" t="s">
        <v>24</v>
      </c>
      <c r="AI18" s="33" t="s">
        <v>25</v>
      </c>
      <c r="AJ18" s="33" t="s">
        <v>26</v>
      </c>
      <c r="AK18" s="33" t="s">
        <v>24</v>
      </c>
      <c r="AL18" s="27"/>
      <c r="AM18" s="34" t="s">
        <v>25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54</v>
      </c>
      <c r="C19" s="25" t="s">
        <v>55</v>
      </c>
      <c r="D19" s="23" t="s">
        <v>22</v>
      </c>
      <c r="E19" s="43">
        <v>46125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43">
        <v>46139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45">
        <v>46248</v>
      </c>
      <c r="X19" s="30" t="s">
        <v>23</v>
      </c>
      <c r="Y19" s="30" t="s">
        <v>24</v>
      </c>
      <c r="Z19" s="30" t="s">
        <v>25</v>
      </c>
      <c r="AA19" s="30" t="s">
        <v>26</v>
      </c>
      <c r="AB19" s="30" t="s">
        <v>24</v>
      </c>
      <c r="AC19" s="27"/>
      <c r="AD19" s="31" t="s">
        <v>25</v>
      </c>
      <c r="AE19" s="32" t="str">
        <f t="shared" si="2"/>
        <v>✓ OK</v>
      </c>
      <c r="AF19" s="33" t="s">
        <v>27</v>
      </c>
      <c r="AG19" s="33" t="s">
        <v>23</v>
      </c>
      <c r="AH19" s="33" t="s">
        <v>24</v>
      </c>
      <c r="AI19" s="33" t="s">
        <v>25</v>
      </c>
      <c r="AJ19" s="33" t="s">
        <v>26</v>
      </c>
      <c r="AK19" s="33" t="s">
        <v>24</v>
      </c>
      <c r="AL19" s="27"/>
      <c r="AM19" s="34" t="s">
        <v>25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56</v>
      </c>
      <c r="C20" s="41" t="s">
        <v>57</v>
      </c>
      <c r="D20" s="39" t="s">
        <v>22</v>
      </c>
      <c r="E20" s="43">
        <v>46125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43">
        <v>46139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45">
        <v>46248</v>
      </c>
      <c r="X20" s="30" t="s">
        <v>23</v>
      </c>
      <c r="Y20" s="30" t="s">
        <v>24</v>
      </c>
      <c r="Z20" s="30" t="s">
        <v>25</v>
      </c>
      <c r="AA20" s="30" t="s">
        <v>26</v>
      </c>
      <c r="AB20" s="30" t="s">
        <v>24</v>
      </c>
      <c r="AC20" s="27"/>
      <c r="AD20" s="31" t="s">
        <v>25</v>
      </c>
      <c r="AE20" s="32" t="str">
        <f t="shared" si="2"/>
        <v>✓ OK</v>
      </c>
      <c r="AF20" s="33" t="s">
        <v>27</v>
      </c>
      <c r="AG20" s="33" t="s">
        <v>23</v>
      </c>
      <c r="AH20" s="33" t="s">
        <v>24</v>
      </c>
      <c r="AI20" s="33" t="s">
        <v>25</v>
      </c>
      <c r="AJ20" s="33" t="s">
        <v>26</v>
      </c>
      <c r="AK20" s="33" t="s">
        <v>24</v>
      </c>
      <c r="AL20" s="27"/>
      <c r="AM20" s="34" t="s">
        <v>25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58</v>
      </c>
      <c r="C21" s="25" t="s">
        <v>59</v>
      </c>
      <c r="D21" s="23" t="s">
        <v>22</v>
      </c>
      <c r="E21" s="43">
        <v>46125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43">
        <v>46139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45">
        <v>46248</v>
      </c>
      <c r="X21" s="30" t="s">
        <v>23</v>
      </c>
      <c r="Y21" s="30" t="s">
        <v>24</v>
      </c>
      <c r="Z21" s="30" t="s">
        <v>25</v>
      </c>
      <c r="AA21" s="30" t="s">
        <v>26</v>
      </c>
      <c r="AB21" s="30" t="s">
        <v>24</v>
      </c>
      <c r="AC21" s="27"/>
      <c r="AD21" s="31" t="s">
        <v>25</v>
      </c>
      <c r="AE21" s="32" t="str">
        <f t="shared" si="2"/>
        <v>✓ OK</v>
      </c>
      <c r="AF21" s="33" t="s">
        <v>27</v>
      </c>
      <c r="AG21" s="33" t="s">
        <v>23</v>
      </c>
      <c r="AH21" s="33" t="s">
        <v>24</v>
      </c>
      <c r="AI21" s="33" t="s">
        <v>25</v>
      </c>
      <c r="AJ21" s="33" t="s">
        <v>26</v>
      </c>
      <c r="AK21" s="33" t="s">
        <v>24</v>
      </c>
      <c r="AL21" s="27"/>
      <c r="AM21" s="34" t="s">
        <v>25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60</v>
      </c>
      <c r="C22" s="41" t="s">
        <v>61</v>
      </c>
      <c r="D22" s="39" t="s">
        <v>22</v>
      </c>
      <c r="E22" s="43">
        <v>46125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43">
        <v>46139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45">
        <v>46248</v>
      </c>
      <c r="X22" s="30" t="s">
        <v>23</v>
      </c>
      <c r="Y22" s="30" t="s">
        <v>24</v>
      </c>
      <c r="Z22" s="30" t="s">
        <v>25</v>
      </c>
      <c r="AA22" s="30" t="s">
        <v>26</v>
      </c>
      <c r="AB22" s="30" t="s">
        <v>24</v>
      </c>
      <c r="AC22" s="27"/>
      <c r="AD22" s="31" t="s">
        <v>25</v>
      </c>
      <c r="AE22" s="32" t="str">
        <f t="shared" si="2"/>
        <v>✓ OK</v>
      </c>
      <c r="AF22" s="33" t="s">
        <v>27</v>
      </c>
      <c r="AG22" s="33" t="s">
        <v>23</v>
      </c>
      <c r="AH22" s="33" t="s">
        <v>24</v>
      </c>
      <c r="AI22" s="33" t="s">
        <v>25</v>
      </c>
      <c r="AJ22" s="33" t="s">
        <v>26</v>
      </c>
      <c r="AK22" s="33" t="s">
        <v>24</v>
      </c>
      <c r="AL22" s="27"/>
      <c r="AM22" s="34" t="s">
        <v>25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62</v>
      </c>
      <c r="C23" s="25" t="s">
        <v>63</v>
      </c>
      <c r="D23" s="23" t="s">
        <v>22</v>
      </c>
      <c r="E23" s="43">
        <v>46125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43">
        <v>46139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45">
        <v>46248</v>
      </c>
      <c r="X23" s="30" t="s">
        <v>23</v>
      </c>
      <c r="Y23" s="30" t="s">
        <v>24</v>
      </c>
      <c r="Z23" s="30" t="s">
        <v>25</v>
      </c>
      <c r="AA23" s="30" t="s">
        <v>26</v>
      </c>
      <c r="AB23" s="30" t="s">
        <v>24</v>
      </c>
      <c r="AC23" s="27"/>
      <c r="AD23" s="31" t="s">
        <v>25</v>
      </c>
      <c r="AE23" s="32" t="str">
        <f t="shared" si="2"/>
        <v>✓ OK</v>
      </c>
      <c r="AF23" s="33" t="s">
        <v>27</v>
      </c>
      <c r="AG23" s="33" t="s">
        <v>23</v>
      </c>
      <c r="AH23" s="33" t="s">
        <v>24</v>
      </c>
      <c r="AI23" s="33" t="s">
        <v>25</v>
      </c>
      <c r="AJ23" s="33" t="s">
        <v>26</v>
      </c>
      <c r="AK23" s="33" t="s">
        <v>24</v>
      </c>
      <c r="AL23" s="27"/>
      <c r="AM23" s="34" t="s">
        <v>25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64</v>
      </c>
      <c r="C24" s="41" t="s">
        <v>65</v>
      </c>
      <c r="D24" s="39" t="s">
        <v>22</v>
      </c>
      <c r="E24" s="43">
        <v>46125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43">
        <v>46139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45">
        <v>46248</v>
      </c>
      <c r="X24" s="30" t="s">
        <v>23</v>
      </c>
      <c r="Y24" s="30" t="s">
        <v>24</v>
      </c>
      <c r="Z24" s="30" t="s">
        <v>25</v>
      </c>
      <c r="AA24" s="30" t="s">
        <v>26</v>
      </c>
      <c r="AB24" s="30" t="s">
        <v>24</v>
      </c>
      <c r="AC24" s="27"/>
      <c r="AD24" s="31" t="s">
        <v>25</v>
      </c>
      <c r="AE24" s="32" t="str">
        <f t="shared" si="2"/>
        <v>✓ OK</v>
      </c>
      <c r="AF24" s="33" t="s">
        <v>27</v>
      </c>
      <c r="AG24" s="33" t="s">
        <v>23</v>
      </c>
      <c r="AH24" s="33" t="s">
        <v>24</v>
      </c>
      <c r="AI24" s="33" t="s">
        <v>25</v>
      </c>
      <c r="AJ24" s="33" t="s">
        <v>26</v>
      </c>
      <c r="AK24" s="33" t="s">
        <v>24</v>
      </c>
      <c r="AL24" s="27"/>
      <c r="AM24" s="34" t="s">
        <v>25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66</v>
      </c>
      <c r="C25" s="25" t="s">
        <v>67</v>
      </c>
      <c r="D25" s="23" t="s">
        <v>22</v>
      </c>
      <c r="E25" s="43">
        <v>46125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43">
        <v>46139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45">
        <v>46248</v>
      </c>
      <c r="X25" s="30" t="s">
        <v>23</v>
      </c>
      <c r="Y25" s="30" t="s">
        <v>24</v>
      </c>
      <c r="Z25" s="30" t="s">
        <v>25</v>
      </c>
      <c r="AA25" s="30" t="s">
        <v>26</v>
      </c>
      <c r="AB25" s="30" t="s">
        <v>24</v>
      </c>
      <c r="AC25" s="27"/>
      <c r="AD25" s="31" t="s">
        <v>25</v>
      </c>
      <c r="AE25" s="32" t="str">
        <f t="shared" si="2"/>
        <v>✓ OK</v>
      </c>
      <c r="AF25" s="33" t="s">
        <v>27</v>
      </c>
      <c r="AG25" s="33" t="s">
        <v>23</v>
      </c>
      <c r="AH25" s="33" t="s">
        <v>24</v>
      </c>
      <c r="AI25" s="33" t="s">
        <v>25</v>
      </c>
      <c r="AJ25" s="33" t="s">
        <v>26</v>
      </c>
      <c r="AK25" s="33" t="s">
        <v>24</v>
      </c>
      <c r="AL25" s="27"/>
      <c r="AM25" s="34" t="s">
        <v>25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68</v>
      </c>
      <c r="C26" s="41" t="s">
        <v>69</v>
      </c>
      <c r="D26" s="39" t="s">
        <v>22</v>
      </c>
      <c r="E26" s="43">
        <v>46125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43">
        <v>46139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45">
        <v>46248</v>
      </c>
      <c r="X26" s="30" t="s">
        <v>23</v>
      </c>
      <c r="Y26" s="30" t="s">
        <v>24</v>
      </c>
      <c r="Z26" s="30" t="s">
        <v>25</v>
      </c>
      <c r="AA26" s="30" t="s">
        <v>26</v>
      </c>
      <c r="AB26" s="30" t="s">
        <v>24</v>
      </c>
      <c r="AC26" s="27"/>
      <c r="AD26" s="31" t="s">
        <v>25</v>
      </c>
      <c r="AE26" s="32" t="str">
        <f t="shared" si="2"/>
        <v>✓ OK</v>
      </c>
      <c r="AF26" s="33" t="s">
        <v>27</v>
      </c>
      <c r="AG26" s="33" t="s">
        <v>23</v>
      </c>
      <c r="AH26" s="33" t="s">
        <v>24</v>
      </c>
      <c r="AI26" s="33" t="s">
        <v>25</v>
      </c>
      <c r="AJ26" s="33" t="s">
        <v>26</v>
      </c>
      <c r="AK26" s="33" t="s">
        <v>24</v>
      </c>
      <c r="AL26" s="27"/>
      <c r="AM26" s="34" t="s">
        <v>25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70</v>
      </c>
      <c r="C27" s="25" t="s">
        <v>71</v>
      </c>
      <c r="D27" s="23" t="s">
        <v>22</v>
      </c>
      <c r="E27" s="43">
        <v>46125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43">
        <v>46139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45">
        <v>46248</v>
      </c>
      <c r="X27" s="30" t="s">
        <v>23</v>
      </c>
      <c r="Y27" s="30" t="s">
        <v>24</v>
      </c>
      <c r="Z27" s="30" t="s">
        <v>25</v>
      </c>
      <c r="AA27" s="30" t="s">
        <v>26</v>
      </c>
      <c r="AB27" s="30" t="s">
        <v>24</v>
      </c>
      <c r="AC27" s="27"/>
      <c r="AD27" s="31" t="s">
        <v>25</v>
      </c>
      <c r="AE27" s="32" t="str">
        <f t="shared" si="2"/>
        <v>✓ OK</v>
      </c>
      <c r="AF27" s="33" t="s">
        <v>27</v>
      </c>
      <c r="AG27" s="33" t="s">
        <v>23</v>
      </c>
      <c r="AH27" s="33" t="s">
        <v>24</v>
      </c>
      <c r="AI27" s="33" t="s">
        <v>25</v>
      </c>
      <c r="AJ27" s="33" t="s">
        <v>26</v>
      </c>
      <c r="AK27" s="33" t="s">
        <v>24</v>
      </c>
      <c r="AL27" s="27"/>
      <c r="AM27" s="34" t="s">
        <v>25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72</v>
      </c>
      <c r="C28" s="41" t="s">
        <v>73</v>
      </c>
      <c r="D28" s="39" t="s">
        <v>22</v>
      </c>
      <c r="E28" s="43">
        <v>46125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43">
        <v>46139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45">
        <v>46248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24</v>
      </c>
      <c r="AC28" s="27"/>
      <c r="AD28" s="31" t="s">
        <v>25</v>
      </c>
      <c r="AE28" s="32" t="str">
        <f t="shared" si="2"/>
        <v>✓ OK</v>
      </c>
      <c r="AF28" s="33" t="s">
        <v>27</v>
      </c>
      <c r="AG28" s="33" t="s">
        <v>23</v>
      </c>
      <c r="AH28" s="33" t="s">
        <v>24</v>
      </c>
      <c r="AI28" s="33" t="s">
        <v>25</v>
      </c>
      <c r="AJ28" s="33" t="s">
        <v>26</v>
      </c>
      <c r="AK28" s="33" t="s">
        <v>24</v>
      </c>
      <c r="AL28" s="27"/>
      <c r="AM28" s="34" t="s">
        <v>25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74</v>
      </c>
      <c r="C29" s="25" t="s">
        <v>75</v>
      </c>
      <c r="D29" s="23" t="s">
        <v>22</v>
      </c>
      <c r="E29" s="43">
        <v>46125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43">
        <v>46139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45">
        <v>46248</v>
      </c>
      <c r="X29" s="30" t="s">
        <v>23</v>
      </c>
      <c r="Y29" s="30" t="s">
        <v>24</v>
      </c>
      <c r="Z29" s="30" t="s">
        <v>25</v>
      </c>
      <c r="AA29" s="30" t="s">
        <v>26</v>
      </c>
      <c r="AB29" s="30" t="s">
        <v>24</v>
      </c>
      <c r="AC29" s="27"/>
      <c r="AD29" s="31" t="s">
        <v>25</v>
      </c>
      <c r="AE29" s="32" t="str">
        <f t="shared" si="2"/>
        <v>✓ OK</v>
      </c>
      <c r="AF29" s="33" t="s">
        <v>27</v>
      </c>
      <c r="AG29" s="33" t="s">
        <v>23</v>
      </c>
      <c r="AH29" s="33" t="s">
        <v>24</v>
      </c>
      <c r="AI29" s="33" t="s">
        <v>25</v>
      </c>
      <c r="AJ29" s="33" t="s">
        <v>26</v>
      </c>
      <c r="AK29" s="33" t="s">
        <v>24</v>
      </c>
      <c r="AL29" s="27"/>
      <c r="AM29" s="34" t="s">
        <v>25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76</v>
      </c>
      <c r="C30" s="41" t="s">
        <v>77</v>
      </c>
      <c r="D30" s="39" t="s">
        <v>22</v>
      </c>
      <c r="E30" s="43">
        <v>46125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43">
        <v>46139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45">
        <v>46248</v>
      </c>
      <c r="X30" s="30" t="s">
        <v>23</v>
      </c>
      <c r="Y30" s="30" t="s">
        <v>24</v>
      </c>
      <c r="Z30" s="30" t="s">
        <v>25</v>
      </c>
      <c r="AA30" s="30" t="s">
        <v>26</v>
      </c>
      <c r="AB30" s="30" t="s">
        <v>24</v>
      </c>
      <c r="AC30" s="27"/>
      <c r="AD30" s="31" t="s">
        <v>25</v>
      </c>
      <c r="AE30" s="32" t="str">
        <f t="shared" si="2"/>
        <v>✓ OK</v>
      </c>
      <c r="AF30" s="33" t="s">
        <v>27</v>
      </c>
      <c r="AG30" s="33" t="s">
        <v>23</v>
      </c>
      <c r="AH30" s="33" t="s">
        <v>24</v>
      </c>
      <c r="AI30" s="33" t="s">
        <v>25</v>
      </c>
      <c r="AJ30" s="33" t="s">
        <v>26</v>
      </c>
      <c r="AK30" s="33" t="s">
        <v>24</v>
      </c>
      <c r="AL30" s="27"/>
      <c r="AM30" s="34" t="s">
        <v>25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78</v>
      </c>
      <c r="C31" s="25" t="s">
        <v>79</v>
      </c>
      <c r="D31" s="23" t="s">
        <v>22</v>
      </c>
      <c r="E31" s="43">
        <v>46125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43">
        <v>46139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45">
        <v>46248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24</v>
      </c>
      <c r="AC31" s="27"/>
      <c r="AD31" s="31" t="s">
        <v>25</v>
      </c>
      <c r="AE31" s="32" t="str">
        <f t="shared" si="2"/>
        <v>✓ OK</v>
      </c>
      <c r="AF31" s="33" t="s">
        <v>27</v>
      </c>
      <c r="AG31" s="33" t="s">
        <v>23</v>
      </c>
      <c r="AH31" s="33" t="s">
        <v>24</v>
      </c>
      <c r="AI31" s="33" t="s">
        <v>25</v>
      </c>
      <c r="AJ31" s="33" t="s">
        <v>26</v>
      </c>
      <c r="AK31" s="33" t="s">
        <v>24</v>
      </c>
      <c r="AL31" s="27"/>
      <c r="AM31" s="34" t="s">
        <v>25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80</v>
      </c>
      <c r="C32" s="41" t="s">
        <v>81</v>
      </c>
      <c r="D32" s="39" t="s">
        <v>22</v>
      </c>
      <c r="E32" s="43">
        <v>46125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43">
        <v>46139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45">
        <v>46248</v>
      </c>
      <c r="X32" s="30" t="s">
        <v>23</v>
      </c>
      <c r="Y32" s="30" t="s">
        <v>24</v>
      </c>
      <c r="Z32" s="30" t="s">
        <v>25</v>
      </c>
      <c r="AA32" s="30" t="s">
        <v>26</v>
      </c>
      <c r="AB32" s="30" t="s">
        <v>24</v>
      </c>
      <c r="AC32" s="27"/>
      <c r="AD32" s="31" t="s">
        <v>25</v>
      </c>
      <c r="AE32" s="32" t="str">
        <f t="shared" si="2"/>
        <v>✓ OK</v>
      </c>
      <c r="AF32" s="33" t="s">
        <v>27</v>
      </c>
      <c r="AG32" s="33" t="s">
        <v>23</v>
      </c>
      <c r="AH32" s="33" t="s">
        <v>24</v>
      </c>
      <c r="AI32" s="33" t="s">
        <v>25</v>
      </c>
      <c r="AJ32" s="33" t="s">
        <v>26</v>
      </c>
      <c r="AK32" s="33" t="s">
        <v>24</v>
      </c>
      <c r="AL32" s="27"/>
      <c r="AM32" s="34" t="s">
        <v>25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82</v>
      </c>
      <c r="C33" s="25" t="s">
        <v>83</v>
      </c>
      <c r="D33" s="23" t="s">
        <v>22</v>
      </c>
      <c r="E33" s="43">
        <v>46125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43">
        <v>46139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45">
        <v>46248</v>
      </c>
      <c r="X33" s="30" t="s">
        <v>23</v>
      </c>
      <c r="Y33" s="30" t="s">
        <v>24</v>
      </c>
      <c r="Z33" s="30" t="s">
        <v>25</v>
      </c>
      <c r="AA33" s="30" t="s">
        <v>26</v>
      </c>
      <c r="AB33" s="30" t="s">
        <v>24</v>
      </c>
      <c r="AC33" s="27"/>
      <c r="AD33" s="31" t="s">
        <v>25</v>
      </c>
      <c r="AE33" s="32" t="str">
        <f t="shared" si="2"/>
        <v>✓ OK</v>
      </c>
      <c r="AF33" s="33" t="s">
        <v>27</v>
      </c>
      <c r="AG33" s="33" t="s">
        <v>23</v>
      </c>
      <c r="AH33" s="33" t="s">
        <v>24</v>
      </c>
      <c r="AI33" s="33" t="s">
        <v>25</v>
      </c>
      <c r="AJ33" s="33" t="s">
        <v>26</v>
      </c>
      <c r="AK33" s="33" t="s">
        <v>24</v>
      </c>
      <c r="AL33" s="27"/>
      <c r="AM33" s="34" t="s">
        <v>25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84</v>
      </c>
      <c r="C34" s="41" t="s">
        <v>85</v>
      </c>
      <c r="D34" s="39" t="s">
        <v>22</v>
      </c>
      <c r="E34" s="43">
        <v>46125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43">
        <v>46139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45">
        <v>46248</v>
      </c>
      <c r="X34" s="30" t="s">
        <v>23</v>
      </c>
      <c r="Y34" s="30" t="s">
        <v>24</v>
      </c>
      <c r="Z34" s="30" t="s">
        <v>25</v>
      </c>
      <c r="AA34" s="30" t="s">
        <v>26</v>
      </c>
      <c r="AB34" s="30" t="s">
        <v>24</v>
      </c>
      <c r="AC34" s="27"/>
      <c r="AD34" s="31" t="s">
        <v>25</v>
      </c>
      <c r="AE34" s="32" t="str">
        <f t="shared" si="2"/>
        <v>✓ OK</v>
      </c>
      <c r="AF34" s="33" t="s">
        <v>27</v>
      </c>
      <c r="AG34" s="33" t="s">
        <v>23</v>
      </c>
      <c r="AH34" s="33" t="s">
        <v>24</v>
      </c>
      <c r="AI34" s="33" t="s">
        <v>25</v>
      </c>
      <c r="AJ34" s="33" t="s">
        <v>26</v>
      </c>
      <c r="AK34" s="33" t="s">
        <v>24</v>
      </c>
      <c r="AL34" s="27"/>
      <c r="AM34" s="34" t="s">
        <v>25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86</v>
      </c>
      <c r="C35" s="25" t="s">
        <v>87</v>
      </c>
      <c r="D35" s="23" t="s">
        <v>22</v>
      </c>
      <c r="E35" s="43">
        <v>46125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43">
        <v>46139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45">
        <v>46248</v>
      </c>
      <c r="X35" s="30" t="s">
        <v>23</v>
      </c>
      <c r="Y35" s="30" t="s">
        <v>24</v>
      </c>
      <c r="Z35" s="30" t="s">
        <v>25</v>
      </c>
      <c r="AA35" s="30" t="s">
        <v>26</v>
      </c>
      <c r="AB35" s="30" t="s">
        <v>24</v>
      </c>
      <c r="AC35" s="27"/>
      <c r="AD35" s="31" t="s">
        <v>25</v>
      </c>
      <c r="AE35" s="32" t="str">
        <f t="shared" si="2"/>
        <v>✓ OK</v>
      </c>
      <c r="AF35" s="33" t="s">
        <v>27</v>
      </c>
      <c r="AG35" s="33" t="s">
        <v>23</v>
      </c>
      <c r="AH35" s="33" t="s">
        <v>24</v>
      </c>
      <c r="AI35" s="33" t="s">
        <v>25</v>
      </c>
      <c r="AJ35" s="33" t="s">
        <v>26</v>
      </c>
      <c r="AK35" s="33" t="s">
        <v>24</v>
      </c>
      <c r="AL35" s="27"/>
      <c r="AM35" s="34" t="s">
        <v>25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88</v>
      </c>
      <c r="C36" s="41" t="s">
        <v>89</v>
      </c>
      <c r="D36" s="39" t="s">
        <v>22</v>
      </c>
      <c r="E36" s="43">
        <v>46125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43">
        <v>46139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45">
        <v>46248</v>
      </c>
      <c r="X36" s="30" t="s">
        <v>23</v>
      </c>
      <c r="Y36" s="30" t="s">
        <v>24</v>
      </c>
      <c r="Z36" s="30" t="s">
        <v>25</v>
      </c>
      <c r="AA36" s="30" t="s">
        <v>26</v>
      </c>
      <c r="AB36" s="30" t="s">
        <v>24</v>
      </c>
      <c r="AC36" s="27"/>
      <c r="AD36" s="31" t="s">
        <v>25</v>
      </c>
      <c r="AE36" s="32" t="str">
        <f t="shared" si="2"/>
        <v>✓ OK</v>
      </c>
      <c r="AF36" s="33" t="s">
        <v>27</v>
      </c>
      <c r="AG36" s="33" t="s">
        <v>23</v>
      </c>
      <c r="AH36" s="33" t="s">
        <v>24</v>
      </c>
      <c r="AI36" s="33" t="s">
        <v>25</v>
      </c>
      <c r="AJ36" s="33" t="s">
        <v>26</v>
      </c>
      <c r="AK36" s="33" t="s">
        <v>24</v>
      </c>
      <c r="AL36" s="27"/>
      <c r="AM36" s="34" t="s">
        <v>25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90</v>
      </c>
      <c r="C37" s="25" t="s">
        <v>91</v>
      </c>
      <c r="D37" s="23" t="s">
        <v>22</v>
      </c>
      <c r="E37" s="43">
        <v>46125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si="0"/>
        <v>✓ OK</v>
      </c>
      <c r="N37" s="43">
        <v>46139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si="1"/>
        <v>✓ OK</v>
      </c>
      <c r="W37" s="45">
        <v>46248</v>
      </c>
      <c r="X37" s="30" t="s">
        <v>23</v>
      </c>
      <c r="Y37" s="30" t="s">
        <v>24</v>
      </c>
      <c r="Z37" s="30" t="s">
        <v>25</v>
      </c>
      <c r="AA37" s="30" t="s">
        <v>26</v>
      </c>
      <c r="AB37" s="30" t="s">
        <v>24</v>
      </c>
      <c r="AC37" s="27"/>
      <c r="AD37" s="31" t="s">
        <v>25</v>
      </c>
      <c r="AE37" s="32" t="str">
        <f t="shared" si="2"/>
        <v>✓ OK</v>
      </c>
      <c r="AF37" s="33" t="s">
        <v>27</v>
      </c>
      <c r="AG37" s="33" t="s">
        <v>23</v>
      </c>
      <c r="AH37" s="33" t="s">
        <v>24</v>
      </c>
      <c r="AI37" s="33" t="s">
        <v>25</v>
      </c>
      <c r="AJ37" s="33" t="s">
        <v>26</v>
      </c>
      <c r="AK37" s="33" t="s">
        <v>24</v>
      </c>
      <c r="AL37" s="27"/>
      <c r="AM37" s="34" t="s">
        <v>25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92</v>
      </c>
      <c r="C38" s="41" t="s">
        <v>93</v>
      </c>
      <c r="D38" s="39" t="s">
        <v>22</v>
      </c>
      <c r="E38" s="43">
        <v>46125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0"/>
        <v>✓ OK</v>
      </c>
      <c r="N38" s="43">
        <v>46139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1"/>
        <v>✓ OK</v>
      </c>
      <c r="W38" s="45">
        <v>46248</v>
      </c>
      <c r="X38" s="30" t="s">
        <v>23</v>
      </c>
      <c r="Y38" s="30" t="s">
        <v>24</v>
      </c>
      <c r="Z38" s="30" t="s">
        <v>25</v>
      </c>
      <c r="AA38" s="30" t="s">
        <v>26</v>
      </c>
      <c r="AB38" s="30" t="s">
        <v>24</v>
      </c>
      <c r="AC38" s="27"/>
      <c r="AD38" s="31" t="s">
        <v>25</v>
      </c>
      <c r="AE38" s="32" t="str">
        <f t="shared" si="2"/>
        <v>✓ OK</v>
      </c>
      <c r="AF38" s="33" t="s">
        <v>27</v>
      </c>
      <c r="AG38" s="33" t="s">
        <v>23</v>
      </c>
      <c r="AH38" s="33" t="s">
        <v>24</v>
      </c>
      <c r="AI38" s="33" t="s">
        <v>25</v>
      </c>
      <c r="AJ38" s="33" t="s">
        <v>26</v>
      </c>
      <c r="AK38" s="33" t="s">
        <v>24</v>
      </c>
      <c r="AL38" s="27"/>
      <c r="AM38" s="34" t="s">
        <v>25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94</v>
      </c>
      <c r="C39" s="25" t="s">
        <v>95</v>
      </c>
      <c r="D39" s="23" t="s">
        <v>22</v>
      </c>
      <c r="E39" s="43">
        <v>46125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0"/>
        <v>✓ OK</v>
      </c>
      <c r="N39" s="43">
        <v>46139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1"/>
        <v>✓ OK</v>
      </c>
      <c r="W39" s="45">
        <v>46248</v>
      </c>
      <c r="X39" s="30" t="s">
        <v>23</v>
      </c>
      <c r="Y39" s="30" t="s">
        <v>24</v>
      </c>
      <c r="Z39" s="30" t="s">
        <v>25</v>
      </c>
      <c r="AA39" s="30" t="s">
        <v>26</v>
      </c>
      <c r="AB39" s="30" t="s">
        <v>24</v>
      </c>
      <c r="AC39" s="27"/>
      <c r="AD39" s="31" t="s">
        <v>25</v>
      </c>
      <c r="AE39" s="32" t="str">
        <f t="shared" si="2"/>
        <v>✓ OK</v>
      </c>
      <c r="AF39" s="33" t="s">
        <v>27</v>
      </c>
      <c r="AG39" s="33" t="s">
        <v>23</v>
      </c>
      <c r="AH39" s="33" t="s">
        <v>24</v>
      </c>
      <c r="AI39" s="33" t="s">
        <v>25</v>
      </c>
      <c r="AJ39" s="33" t="s">
        <v>26</v>
      </c>
      <c r="AK39" s="33" t="s">
        <v>24</v>
      </c>
      <c r="AL39" s="27"/>
      <c r="AM39" s="34" t="s">
        <v>25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96</v>
      </c>
      <c r="C40" s="41" t="s">
        <v>97</v>
      </c>
      <c r="D40" s="39" t="s">
        <v>22</v>
      </c>
      <c r="E40" s="43">
        <v>46125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0"/>
        <v>✓ OK</v>
      </c>
      <c r="N40" s="43">
        <v>46139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1"/>
        <v>✓ OK</v>
      </c>
      <c r="W40" s="45">
        <v>46248</v>
      </c>
      <c r="X40" s="30" t="s">
        <v>23</v>
      </c>
      <c r="Y40" s="30" t="s">
        <v>24</v>
      </c>
      <c r="Z40" s="30" t="s">
        <v>25</v>
      </c>
      <c r="AA40" s="30" t="s">
        <v>26</v>
      </c>
      <c r="AB40" s="30" t="s">
        <v>24</v>
      </c>
      <c r="AC40" s="27"/>
      <c r="AD40" s="31" t="s">
        <v>25</v>
      </c>
      <c r="AE40" s="32" t="str">
        <f t="shared" si="2"/>
        <v>✓ OK</v>
      </c>
      <c r="AF40" s="33" t="s">
        <v>27</v>
      </c>
      <c r="AG40" s="33" t="s">
        <v>23</v>
      </c>
      <c r="AH40" s="33" t="s">
        <v>24</v>
      </c>
      <c r="AI40" s="33" t="s">
        <v>25</v>
      </c>
      <c r="AJ40" s="33" t="s">
        <v>26</v>
      </c>
      <c r="AK40" s="33" t="s">
        <v>24</v>
      </c>
      <c r="AL40" s="27"/>
      <c r="AM40" s="34" t="s">
        <v>25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98</v>
      </c>
      <c r="C41" s="25" t="s">
        <v>99</v>
      </c>
      <c r="D41" s="23" t="s">
        <v>22</v>
      </c>
      <c r="E41" s="43">
        <v>46125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0"/>
        <v>✓ OK</v>
      </c>
      <c r="N41" s="43">
        <v>46139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1"/>
        <v>✓ OK</v>
      </c>
      <c r="W41" s="45">
        <v>46248</v>
      </c>
      <c r="X41" s="30" t="s">
        <v>23</v>
      </c>
      <c r="Y41" s="30" t="s">
        <v>24</v>
      </c>
      <c r="Z41" s="30" t="s">
        <v>25</v>
      </c>
      <c r="AA41" s="30" t="s">
        <v>26</v>
      </c>
      <c r="AB41" s="30" t="s">
        <v>24</v>
      </c>
      <c r="AC41" s="27"/>
      <c r="AD41" s="31" t="s">
        <v>25</v>
      </c>
      <c r="AE41" s="32" t="str">
        <f t="shared" si="2"/>
        <v>✓ OK</v>
      </c>
      <c r="AF41" s="33" t="s">
        <v>27</v>
      </c>
      <c r="AG41" s="33" t="s">
        <v>23</v>
      </c>
      <c r="AH41" s="33" t="s">
        <v>24</v>
      </c>
      <c r="AI41" s="33" t="s">
        <v>25</v>
      </c>
      <c r="AJ41" s="33" t="s">
        <v>26</v>
      </c>
      <c r="AK41" s="33" t="s">
        <v>24</v>
      </c>
      <c r="AL41" s="27"/>
      <c r="AM41" s="34" t="s">
        <v>25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100</v>
      </c>
      <c r="C42" s="41" t="s">
        <v>101</v>
      </c>
      <c r="D42" s="39" t="s">
        <v>22</v>
      </c>
      <c r="E42" s="43">
        <v>46125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0"/>
        <v>✓ OK</v>
      </c>
      <c r="N42" s="43">
        <v>46139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1"/>
        <v>✓ OK</v>
      </c>
      <c r="W42" s="45">
        <v>46248</v>
      </c>
      <c r="X42" s="30" t="s">
        <v>23</v>
      </c>
      <c r="Y42" s="30" t="s">
        <v>24</v>
      </c>
      <c r="Z42" s="30" t="s">
        <v>25</v>
      </c>
      <c r="AA42" s="30" t="s">
        <v>26</v>
      </c>
      <c r="AB42" s="30" t="s">
        <v>24</v>
      </c>
      <c r="AC42" s="27"/>
      <c r="AD42" s="31" t="s">
        <v>25</v>
      </c>
      <c r="AE42" s="32" t="str">
        <f t="shared" si="2"/>
        <v>✓ OK</v>
      </c>
      <c r="AF42" s="33" t="s">
        <v>27</v>
      </c>
      <c r="AG42" s="33" t="s">
        <v>23</v>
      </c>
      <c r="AH42" s="33" t="s">
        <v>24</v>
      </c>
      <c r="AI42" s="33" t="s">
        <v>25</v>
      </c>
      <c r="AJ42" s="33" t="s">
        <v>26</v>
      </c>
      <c r="AK42" s="33" t="s">
        <v>24</v>
      </c>
      <c r="AL42" s="27"/>
      <c r="AM42" s="34" t="s">
        <v>25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102</v>
      </c>
      <c r="C43" s="25" t="s">
        <v>103</v>
      </c>
      <c r="D43" s="23" t="s">
        <v>22</v>
      </c>
      <c r="E43" s="43">
        <v>46125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0"/>
        <v>✓ OK</v>
      </c>
      <c r="N43" s="43">
        <v>46139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1"/>
        <v>✓ OK</v>
      </c>
      <c r="W43" s="45">
        <v>46248</v>
      </c>
      <c r="X43" s="30" t="s">
        <v>23</v>
      </c>
      <c r="Y43" s="30" t="s">
        <v>24</v>
      </c>
      <c r="Z43" s="30" t="s">
        <v>25</v>
      </c>
      <c r="AA43" s="30" t="s">
        <v>26</v>
      </c>
      <c r="AB43" s="30" t="s">
        <v>24</v>
      </c>
      <c r="AC43" s="27"/>
      <c r="AD43" s="31" t="s">
        <v>25</v>
      </c>
      <c r="AE43" s="32" t="str">
        <f t="shared" si="2"/>
        <v>✓ OK</v>
      </c>
      <c r="AF43" s="33" t="s">
        <v>27</v>
      </c>
      <c r="AG43" s="33" t="s">
        <v>23</v>
      </c>
      <c r="AH43" s="33" t="s">
        <v>24</v>
      </c>
      <c r="AI43" s="33" t="s">
        <v>25</v>
      </c>
      <c r="AJ43" s="33" t="s">
        <v>26</v>
      </c>
      <c r="AK43" s="33" t="s">
        <v>24</v>
      </c>
      <c r="AL43" s="27"/>
      <c r="AM43" s="34" t="s">
        <v>25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104</v>
      </c>
      <c r="C44" s="41" t="s">
        <v>105</v>
      </c>
      <c r="D44" s="39" t="s">
        <v>22</v>
      </c>
      <c r="E44" s="43">
        <v>46125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0"/>
        <v>✓ OK</v>
      </c>
      <c r="N44" s="43">
        <v>46139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1"/>
        <v>✓ OK</v>
      </c>
      <c r="W44" s="45">
        <v>46248</v>
      </c>
      <c r="X44" s="30" t="s">
        <v>23</v>
      </c>
      <c r="Y44" s="30" t="s">
        <v>24</v>
      </c>
      <c r="Z44" s="30" t="s">
        <v>25</v>
      </c>
      <c r="AA44" s="30" t="s">
        <v>26</v>
      </c>
      <c r="AB44" s="30" t="s">
        <v>24</v>
      </c>
      <c r="AC44" s="27"/>
      <c r="AD44" s="31" t="s">
        <v>25</v>
      </c>
      <c r="AE44" s="32" t="str">
        <f t="shared" si="2"/>
        <v>✓ OK</v>
      </c>
      <c r="AF44" s="33" t="s">
        <v>27</v>
      </c>
      <c r="AG44" s="33" t="s">
        <v>23</v>
      </c>
      <c r="AH44" s="33" t="s">
        <v>24</v>
      </c>
      <c r="AI44" s="33" t="s">
        <v>25</v>
      </c>
      <c r="AJ44" s="33" t="s">
        <v>26</v>
      </c>
      <c r="AK44" s="33" t="s">
        <v>24</v>
      </c>
      <c r="AL44" s="27"/>
      <c r="AM44" s="34" t="s">
        <v>25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106</v>
      </c>
      <c r="C45" s="25" t="s">
        <v>107</v>
      </c>
      <c r="D45" s="23" t="s">
        <v>22</v>
      </c>
      <c r="E45" s="43">
        <v>46125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0"/>
        <v>✓ OK</v>
      </c>
      <c r="N45" s="43">
        <v>46139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1"/>
        <v>✓ OK</v>
      </c>
      <c r="W45" s="45">
        <v>46248</v>
      </c>
      <c r="X45" s="30" t="s">
        <v>23</v>
      </c>
      <c r="Y45" s="30" t="s">
        <v>24</v>
      </c>
      <c r="Z45" s="30" t="s">
        <v>25</v>
      </c>
      <c r="AA45" s="30" t="s">
        <v>26</v>
      </c>
      <c r="AB45" s="30" t="s">
        <v>24</v>
      </c>
      <c r="AC45" s="27"/>
      <c r="AD45" s="31" t="s">
        <v>25</v>
      </c>
      <c r="AE45" s="32" t="str">
        <f t="shared" si="2"/>
        <v>✓ OK</v>
      </c>
      <c r="AF45" s="33" t="s">
        <v>27</v>
      </c>
      <c r="AG45" s="33" t="s">
        <v>23</v>
      </c>
      <c r="AH45" s="33" t="s">
        <v>24</v>
      </c>
      <c r="AI45" s="33" t="s">
        <v>25</v>
      </c>
      <c r="AJ45" s="33" t="s">
        <v>26</v>
      </c>
      <c r="AK45" s="33" t="s">
        <v>24</v>
      </c>
      <c r="AL45" s="27"/>
      <c r="AM45" s="34" t="s">
        <v>25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108</v>
      </c>
      <c r="C46" s="41" t="s">
        <v>109</v>
      </c>
      <c r="D46" s="39" t="s">
        <v>22</v>
      </c>
      <c r="E46" s="43">
        <v>46125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0"/>
        <v>✓ OK</v>
      </c>
      <c r="N46" s="43">
        <v>46139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1"/>
        <v>✓ OK</v>
      </c>
      <c r="W46" s="45">
        <v>46248</v>
      </c>
      <c r="X46" s="30" t="s">
        <v>23</v>
      </c>
      <c r="Y46" s="30" t="s">
        <v>24</v>
      </c>
      <c r="Z46" s="30" t="s">
        <v>25</v>
      </c>
      <c r="AA46" s="30" t="s">
        <v>26</v>
      </c>
      <c r="AB46" s="30" t="s">
        <v>24</v>
      </c>
      <c r="AC46" s="27"/>
      <c r="AD46" s="31" t="s">
        <v>25</v>
      </c>
      <c r="AE46" s="32" t="str">
        <f t="shared" si="2"/>
        <v>✓ OK</v>
      </c>
      <c r="AF46" s="33" t="s">
        <v>27</v>
      </c>
      <c r="AG46" s="33" t="s">
        <v>23</v>
      </c>
      <c r="AH46" s="33" t="s">
        <v>24</v>
      </c>
      <c r="AI46" s="33" t="s">
        <v>25</v>
      </c>
      <c r="AJ46" s="33" t="s">
        <v>26</v>
      </c>
      <c r="AK46" s="33" t="s">
        <v>24</v>
      </c>
      <c r="AL46" s="27"/>
      <c r="AM46" s="34" t="s">
        <v>25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110</v>
      </c>
      <c r="C47" s="25" t="s">
        <v>111</v>
      </c>
      <c r="D47" s="23" t="s">
        <v>22</v>
      </c>
      <c r="E47" s="43">
        <v>46125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0"/>
        <v>✓ OK</v>
      </c>
      <c r="N47" s="43">
        <v>46139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1"/>
        <v>✓ OK</v>
      </c>
      <c r="W47" s="45">
        <v>46248</v>
      </c>
      <c r="X47" s="30" t="s">
        <v>23</v>
      </c>
      <c r="Y47" s="30" t="s">
        <v>24</v>
      </c>
      <c r="Z47" s="30" t="s">
        <v>25</v>
      </c>
      <c r="AA47" s="30" t="s">
        <v>26</v>
      </c>
      <c r="AB47" s="30" t="s">
        <v>24</v>
      </c>
      <c r="AC47" s="27"/>
      <c r="AD47" s="31" t="s">
        <v>25</v>
      </c>
      <c r="AE47" s="32" t="str">
        <f t="shared" si="2"/>
        <v>✓ OK</v>
      </c>
      <c r="AF47" s="33" t="s">
        <v>27</v>
      </c>
      <c r="AG47" s="33" t="s">
        <v>23</v>
      </c>
      <c r="AH47" s="33" t="s">
        <v>24</v>
      </c>
      <c r="AI47" s="33" t="s">
        <v>25</v>
      </c>
      <c r="AJ47" s="33" t="s">
        <v>26</v>
      </c>
      <c r="AK47" s="33" t="s">
        <v>24</v>
      </c>
      <c r="AL47" s="27"/>
      <c r="AM47" s="34" t="s">
        <v>25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112</v>
      </c>
      <c r="C48" s="41" t="s">
        <v>113</v>
      </c>
      <c r="D48" s="39" t="s">
        <v>22</v>
      </c>
      <c r="E48" s="43">
        <v>46125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0"/>
        <v>✓ OK</v>
      </c>
      <c r="N48" s="43">
        <v>46139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1"/>
        <v>✓ OK</v>
      </c>
      <c r="W48" s="45">
        <v>46248</v>
      </c>
      <c r="X48" s="30" t="s">
        <v>23</v>
      </c>
      <c r="Y48" s="30" t="s">
        <v>24</v>
      </c>
      <c r="Z48" s="30" t="s">
        <v>25</v>
      </c>
      <c r="AA48" s="30" t="s">
        <v>26</v>
      </c>
      <c r="AB48" s="30" t="s">
        <v>24</v>
      </c>
      <c r="AC48" s="27"/>
      <c r="AD48" s="31" t="s">
        <v>25</v>
      </c>
      <c r="AE48" s="32" t="str">
        <f t="shared" si="2"/>
        <v>✓ OK</v>
      </c>
      <c r="AF48" s="33" t="s">
        <v>27</v>
      </c>
      <c r="AG48" s="33" t="s">
        <v>23</v>
      </c>
      <c r="AH48" s="33" t="s">
        <v>24</v>
      </c>
      <c r="AI48" s="33" t="s">
        <v>25</v>
      </c>
      <c r="AJ48" s="33" t="s">
        <v>26</v>
      </c>
      <c r="AK48" s="33" t="s">
        <v>24</v>
      </c>
      <c r="AL48" s="27"/>
      <c r="AM48" s="34" t="s">
        <v>25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45</v>
      </c>
      <c r="B49" s="24" t="s">
        <v>114</v>
      </c>
      <c r="C49" s="25" t="s">
        <v>115</v>
      </c>
      <c r="D49" s="23" t="s">
        <v>22</v>
      </c>
      <c r="E49" s="43">
        <v>46125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0"/>
        <v>✓ OK</v>
      </c>
      <c r="N49" s="43">
        <v>46139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1"/>
        <v>✓ OK</v>
      </c>
      <c r="W49" s="45">
        <v>46248</v>
      </c>
      <c r="X49" s="30" t="s">
        <v>23</v>
      </c>
      <c r="Y49" s="30" t="s">
        <v>24</v>
      </c>
      <c r="Z49" s="30" t="s">
        <v>25</v>
      </c>
      <c r="AA49" s="30" t="s">
        <v>26</v>
      </c>
      <c r="AB49" s="30" t="s">
        <v>24</v>
      </c>
      <c r="AC49" s="27"/>
      <c r="AD49" s="31" t="s">
        <v>25</v>
      </c>
      <c r="AE49" s="32" t="str">
        <f t="shared" si="2"/>
        <v>✓ OK</v>
      </c>
      <c r="AF49" s="33" t="s">
        <v>27</v>
      </c>
      <c r="AG49" s="33" t="s">
        <v>23</v>
      </c>
      <c r="AH49" s="33" t="s">
        <v>24</v>
      </c>
      <c r="AI49" s="33" t="s">
        <v>25</v>
      </c>
      <c r="AJ49" s="33" t="s">
        <v>26</v>
      </c>
      <c r="AK49" s="33" t="s">
        <v>24</v>
      </c>
      <c r="AL49" s="27"/>
      <c r="AM49" s="34" t="s">
        <v>25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46</v>
      </c>
      <c r="B50" s="40" t="s">
        <v>116</v>
      </c>
      <c r="C50" s="41" t="s">
        <v>117</v>
      </c>
      <c r="D50" s="39" t="s">
        <v>22</v>
      </c>
      <c r="E50" s="43">
        <v>46125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0"/>
        <v>✓ OK</v>
      </c>
      <c r="N50" s="43">
        <v>46139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1"/>
        <v>✓ OK</v>
      </c>
      <c r="W50" s="45">
        <v>46248</v>
      </c>
      <c r="X50" s="30" t="s">
        <v>23</v>
      </c>
      <c r="Y50" s="30" t="s">
        <v>24</v>
      </c>
      <c r="Z50" s="30" t="s">
        <v>25</v>
      </c>
      <c r="AA50" s="30" t="s">
        <v>26</v>
      </c>
      <c r="AB50" s="30" t="s">
        <v>24</v>
      </c>
      <c r="AC50" s="27"/>
      <c r="AD50" s="31" t="s">
        <v>25</v>
      </c>
      <c r="AE50" s="32" t="str">
        <f t="shared" si="2"/>
        <v>✓ OK</v>
      </c>
      <c r="AF50" s="33" t="s">
        <v>27</v>
      </c>
      <c r="AG50" s="33" t="s">
        <v>23</v>
      </c>
      <c r="AH50" s="33" t="s">
        <v>24</v>
      </c>
      <c r="AI50" s="33" t="s">
        <v>25</v>
      </c>
      <c r="AJ50" s="33" t="s">
        <v>26</v>
      </c>
      <c r="AK50" s="33" t="s">
        <v>24</v>
      </c>
      <c r="AL50" s="27"/>
      <c r="AM50" s="34" t="s">
        <v>25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47</v>
      </c>
      <c r="B51" s="24" t="s">
        <v>118</v>
      </c>
      <c r="C51" s="25" t="s">
        <v>119</v>
      </c>
      <c r="D51" s="23" t="s">
        <v>22</v>
      </c>
      <c r="E51" s="43">
        <v>46125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0"/>
        <v>✓ OK</v>
      </c>
      <c r="N51" s="43">
        <v>46139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1"/>
        <v>✓ OK</v>
      </c>
      <c r="W51" s="45">
        <v>46248</v>
      </c>
      <c r="X51" s="30" t="s">
        <v>23</v>
      </c>
      <c r="Y51" s="30" t="s">
        <v>24</v>
      </c>
      <c r="Z51" s="30" t="s">
        <v>25</v>
      </c>
      <c r="AA51" s="30" t="s">
        <v>26</v>
      </c>
      <c r="AB51" s="30" t="s">
        <v>24</v>
      </c>
      <c r="AC51" s="27"/>
      <c r="AD51" s="31" t="s">
        <v>25</v>
      </c>
      <c r="AE51" s="32" t="str">
        <f t="shared" si="2"/>
        <v>✓ OK</v>
      </c>
      <c r="AF51" s="33" t="s">
        <v>27</v>
      </c>
      <c r="AG51" s="33" t="s">
        <v>23</v>
      </c>
      <c r="AH51" s="33" t="s">
        <v>24</v>
      </c>
      <c r="AI51" s="33" t="s">
        <v>25</v>
      </c>
      <c r="AJ51" s="33" t="s">
        <v>26</v>
      </c>
      <c r="AK51" s="33" t="s">
        <v>24</v>
      </c>
      <c r="AL51" s="27"/>
      <c r="AM51" s="34" t="s">
        <v>25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48</v>
      </c>
      <c r="B52" s="40" t="s">
        <v>120</v>
      </c>
      <c r="C52" s="41" t="s">
        <v>121</v>
      </c>
      <c r="D52" s="39" t="s">
        <v>22</v>
      </c>
      <c r="E52" s="43">
        <v>46125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0"/>
        <v>✓ OK</v>
      </c>
      <c r="N52" s="43">
        <v>46139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1"/>
        <v>✓ OK</v>
      </c>
      <c r="W52" s="45">
        <v>46248</v>
      </c>
      <c r="X52" s="30" t="s">
        <v>23</v>
      </c>
      <c r="Y52" s="30" t="s">
        <v>24</v>
      </c>
      <c r="Z52" s="30" t="s">
        <v>25</v>
      </c>
      <c r="AA52" s="30" t="s">
        <v>26</v>
      </c>
      <c r="AB52" s="30" t="s">
        <v>24</v>
      </c>
      <c r="AC52" s="27"/>
      <c r="AD52" s="31" t="s">
        <v>25</v>
      </c>
      <c r="AE52" s="32" t="str">
        <f t="shared" si="2"/>
        <v>✓ OK</v>
      </c>
      <c r="AF52" s="33" t="s">
        <v>27</v>
      </c>
      <c r="AG52" s="33" t="s">
        <v>23</v>
      </c>
      <c r="AH52" s="33" t="s">
        <v>24</v>
      </c>
      <c r="AI52" s="33" t="s">
        <v>25</v>
      </c>
      <c r="AJ52" s="33" t="s">
        <v>26</v>
      </c>
      <c r="AK52" s="33" t="s">
        <v>24</v>
      </c>
      <c r="AL52" s="27"/>
      <c r="AM52" s="34" t="s">
        <v>25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49</v>
      </c>
      <c r="B53" s="24" t="s">
        <v>122</v>
      </c>
      <c r="C53" s="25" t="s">
        <v>123</v>
      </c>
      <c r="D53" s="23" t="s">
        <v>22</v>
      </c>
      <c r="E53" s="43">
        <v>46125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0"/>
        <v>✓ OK</v>
      </c>
      <c r="N53" s="43">
        <v>46139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1"/>
        <v>✓ OK</v>
      </c>
      <c r="W53" s="45">
        <v>46248</v>
      </c>
      <c r="X53" s="30" t="s">
        <v>23</v>
      </c>
      <c r="Y53" s="30" t="s">
        <v>24</v>
      </c>
      <c r="Z53" s="30" t="s">
        <v>25</v>
      </c>
      <c r="AA53" s="30" t="s">
        <v>26</v>
      </c>
      <c r="AB53" s="30" t="s">
        <v>24</v>
      </c>
      <c r="AC53" s="27"/>
      <c r="AD53" s="31" t="s">
        <v>25</v>
      </c>
      <c r="AE53" s="32" t="str">
        <f t="shared" si="2"/>
        <v>✓ OK</v>
      </c>
      <c r="AF53" s="33" t="s">
        <v>27</v>
      </c>
      <c r="AG53" s="33" t="s">
        <v>23</v>
      </c>
      <c r="AH53" s="33" t="s">
        <v>24</v>
      </c>
      <c r="AI53" s="33" t="s">
        <v>25</v>
      </c>
      <c r="AJ53" s="33" t="s">
        <v>26</v>
      </c>
      <c r="AK53" s="33" t="s">
        <v>24</v>
      </c>
      <c r="AL53" s="27"/>
      <c r="AM53" s="34" t="s">
        <v>25</v>
      </c>
      <c r="AN53" s="35" t="str">
        <f t="shared" si="3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50</v>
      </c>
      <c r="B54" s="40" t="s">
        <v>124</v>
      </c>
      <c r="C54" s="41" t="s">
        <v>125</v>
      </c>
      <c r="D54" s="39" t="s">
        <v>22</v>
      </c>
      <c r="E54" s="43">
        <v>46125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0"/>
        <v>✓ OK</v>
      </c>
      <c r="N54" s="43">
        <v>46139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1"/>
        <v>✓ OK</v>
      </c>
      <c r="W54" s="45">
        <v>46248</v>
      </c>
      <c r="X54" s="30" t="s">
        <v>23</v>
      </c>
      <c r="Y54" s="30" t="s">
        <v>24</v>
      </c>
      <c r="Z54" s="30" t="s">
        <v>25</v>
      </c>
      <c r="AA54" s="30" t="s">
        <v>26</v>
      </c>
      <c r="AB54" s="30" t="s">
        <v>24</v>
      </c>
      <c r="AC54" s="27"/>
      <c r="AD54" s="31" t="s">
        <v>25</v>
      </c>
      <c r="AE54" s="32" t="str">
        <f t="shared" si="2"/>
        <v>✓ OK</v>
      </c>
      <c r="AF54" s="33" t="s">
        <v>27</v>
      </c>
      <c r="AG54" s="33" t="s">
        <v>23</v>
      </c>
      <c r="AH54" s="33" t="s">
        <v>24</v>
      </c>
      <c r="AI54" s="33" t="s">
        <v>25</v>
      </c>
      <c r="AJ54" s="33" t="s">
        <v>26</v>
      </c>
      <c r="AK54" s="33" t="s">
        <v>24</v>
      </c>
      <c r="AL54" s="27"/>
      <c r="AM54" s="34" t="s">
        <v>25</v>
      </c>
      <c r="AN54" s="35" t="str">
        <f t="shared" si="3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51</v>
      </c>
      <c r="B55" s="24" t="s">
        <v>126</v>
      </c>
      <c r="C55" s="25" t="s">
        <v>127</v>
      </c>
      <c r="D55" s="23" t="s">
        <v>22</v>
      </c>
      <c r="E55" s="43">
        <v>46125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0"/>
        <v>✓ OK</v>
      </c>
      <c r="N55" s="43">
        <v>46139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1"/>
        <v>✓ OK</v>
      </c>
      <c r="W55" s="45">
        <v>46248</v>
      </c>
      <c r="X55" s="30" t="s">
        <v>23</v>
      </c>
      <c r="Y55" s="30" t="s">
        <v>24</v>
      </c>
      <c r="Z55" s="30" t="s">
        <v>25</v>
      </c>
      <c r="AA55" s="30" t="s">
        <v>26</v>
      </c>
      <c r="AB55" s="30" t="s">
        <v>24</v>
      </c>
      <c r="AC55" s="27"/>
      <c r="AD55" s="31" t="s">
        <v>25</v>
      </c>
      <c r="AE55" s="32" t="str">
        <f t="shared" si="2"/>
        <v>✓ OK</v>
      </c>
      <c r="AF55" s="33" t="s">
        <v>27</v>
      </c>
      <c r="AG55" s="33" t="s">
        <v>23</v>
      </c>
      <c r="AH55" s="33" t="s">
        <v>24</v>
      </c>
      <c r="AI55" s="33" t="s">
        <v>25</v>
      </c>
      <c r="AJ55" s="33" t="s">
        <v>26</v>
      </c>
      <c r="AK55" s="33" t="s">
        <v>24</v>
      </c>
      <c r="AL55" s="27"/>
      <c r="AM55" s="34" t="s">
        <v>25</v>
      </c>
      <c r="AN55" s="35" t="str">
        <f t="shared" si="3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52</v>
      </c>
      <c r="B56" s="40" t="s">
        <v>128</v>
      </c>
      <c r="C56" s="41" t="s">
        <v>129</v>
      </c>
      <c r="D56" s="39" t="s">
        <v>22</v>
      </c>
      <c r="E56" s="43">
        <v>46125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0"/>
        <v>✓ OK</v>
      </c>
      <c r="N56" s="43">
        <v>46139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1"/>
        <v>✓ OK</v>
      </c>
      <c r="W56" s="45">
        <v>46248</v>
      </c>
      <c r="X56" s="30" t="s">
        <v>23</v>
      </c>
      <c r="Y56" s="30" t="s">
        <v>24</v>
      </c>
      <c r="Z56" s="30" t="s">
        <v>25</v>
      </c>
      <c r="AA56" s="30" t="s">
        <v>26</v>
      </c>
      <c r="AB56" s="30" t="s">
        <v>24</v>
      </c>
      <c r="AC56" s="27"/>
      <c r="AD56" s="31" t="s">
        <v>25</v>
      </c>
      <c r="AE56" s="32" t="str">
        <f t="shared" si="2"/>
        <v>✓ OK</v>
      </c>
      <c r="AF56" s="33" t="s">
        <v>27</v>
      </c>
      <c r="AG56" s="33" t="s">
        <v>23</v>
      </c>
      <c r="AH56" s="33" t="s">
        <v>24</v>
      </c>
      <c r="AI56" s="33" t="s">
        <v>25</v>
      </c>
      <c r="AJ56" s="33" t="s">
        <v>26</v>
      </c>
      <c r="AK56" s="33" t="s">
        <v>24</v>
      </c>
      <c r="AL56" s="27"/>
      <c r="AM56" s="34" t="s">
        <v>25</v>
      </c>
      <c r="AN56" s="35" t="str">
        <f t="shared" si="3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53</v>
      </c>
      <c r="B57" s="24" t="s">
        <v>130</v>
      </c>
      <c r="C57" s="25" t="s">
        <v>131</v>
      </c>
      <c r="D57" s="23" t="s">
        <v>22</v>
      </c>
      <c r="E57" s="43">
        <v>46125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0"/>
        <v>✓ OK</v>
      </c>
      <c r="N57" s="43">
        <v>46139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1"/>
        <v>✓ OK</v>
      </c>
      <c r="W57" s="45">
        <v>46248</v>
      </c>
      <c r="X57" s="30" t="s">
        <v>23</v>
      </c>
      <c r="Y57" s="30" t="s">
        <v>24</v>
      </c>
      <c r="Z57" s="30" t="s">
        <v>25</v>
      </c>
      <c r="AA57" s="30" t="s">
        <v>26</v>
      </c>
      <c r="AB57" s="30" t="s">
        <v>24</v>
      </c>
      <c r="AC57" s="27"/>
      <c r="AD57" s="31" t="s">
        <v>25</v>
      </c>
      <c r="AE57" s="32" t="str">
        <f t="shared" si="2"/>
        <v>✓ OK</v>
      </c>
      <c r="AF57" s="33" t="s">
        <v>27</v>
      </c>
      <c r="AG57" s="33" t="s">
        <v>23</v>
      </c>
      <c r="AH57" s="33" t="s">
        <v>24</v>
      </c>
      <c r="AI57" s="33" t="s">
        <v>25</v>
      </c>
      <c r="AJ57" s="33" t="s">
        <v>26</v>
      </c>
      <c r="AK57" s="33" t="s">
        <v>24</v>
      </c>
      <c r="AL57" s="27"/>
      <c r="AM57" s="34" t="s">
        <v>25</v>
      </c>
      <c r="AN57" s="35" t="str">
        <f t="shared" si="3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54</v>
      </c>
      <c r="B58" s="40" t="s">
        <v>132</v>
      </c>
      <c r="C58" s="41" t="s">
        <v>133</v>
      </c>
      <c r="D58" s="39" t="s">
        <v>134</v>
      </c>
      <c r="E58" s="43">
        <v>46125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0"/>
        <v>✓ OK</v>
      </c>
      <c r="N58" s="43">
        <v>46139</v>
      </c>
      <c r="O58" s="26" t="s">
        <v>23</v>
      </c>
      <c r="P58" s="26" t="s">
        <v>25</v>
      </c>
      <c r="Q58" s="26" t="s">
        <v>24</v>
      </c>
      <c r="R58" s="26" t="s">
        <v>135</v>
      </c>
      <c r="S58" s="26" t="s">
        <v>25</v>
      </c>
      <c r="T58" s="27"/>
      <c r="U58" s="28" t="s">
        <v>25</v>
      </c>
      <c r="V58" s="29" t="str">
        <f t="shared" si="1"/>
        <v>❌ Disc</v>
      </c>
      <c r="W58" s="45">
        <v>46248</v>
      </c>
      <c r="X58" s="30" t="s">
        <v>23</v>
      </c>
      <c r="Y58" s="30" t="s">
        <v>25</v>
      </c>
      <c r="Z58" s="30" t="s">
        <v>24</v>
      </c>
      <c r="AA58" s="30" t="s">
        <v>135</v>
      </c>
      <c r="AB58" s="30" t="s">
        <v>25</v>
      </c>
      <c r="AC58" s="27"/>
      <c r="AD58" s="31" t="s">
        <v>25</v>
      </c>
      <c r="AE58" s="32" t="str">
        <f t="shared" si="2"/>
        <v>❌ Disc</v>
      </c>
      <c r="AF58" s="33" t="s">
        <v>27</v>
      </c>
      <c r="AG58" s="33" t="s">
        <v>23</v>
      </c>
      <c r="AH58" s="33" t="s">
        <v>25</v>
      </c>
      <c r="AI58" s="33" t="s">
        <v>24</v>
      </c>
      <c r="AJ58" s="33" t="s">
        <v>135</v>
      </c>
      <c r="AK58" s="33" t="s">
        <v>25</v>
      </c>
      <c r="AL58" s="27"/>
      <c r="AM58" s="34" t="s">
        <v>25</v>
      </c>
      <c r="AN58" s="35" t="str">
        <f t="shared" si="3"/>
        <v>❌ Disc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55</v>
      </c>
      <c r="B59" s="24" t="s">
        <v>136</v>
      </c>
      <c r="C59" s="25" t="s">
        <v>137</v>
      </c>
      <c r="D59" s="23" t="s">
        <v>134</v>
      </c>
      <c r="E59" s="43">
        <v>46125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0"/>
        <v>✓ OK</v>
      </c>
      <c r="N59" s="43">
        <v>46139</v>
      </c>
      <c r="O59" s="26" t="s">
        <v>23</v>
      </c>
      <c r="P59" s="26" t="s">
        <v>25</v>
      </c>
      <c r="Q59" s="26" t="s">
        <v>24</v>
      </c>
      <c r="R59" s="26" t="s">
        <v>135</v>
      </c>
      <c r="S59" s="26" t="s">
        <v>25</v>
      </c>
      <c r="T59" s="27"/>
      <c r="U59" s="28" t="s">
        <v>25</v>
      </c>
      <c r="V59" s="29" t="str">
        <f t="shared" si="1"/>
        <v>❌ Disc</v>
      </c>
      <c r="W59" s="45">
        <v>46248</v>
      </c>
      <c r="X59" s="30" t="s">
        <v>23</v>
      </c>
      <c r="Y59" s="30" t="s">
        <v>25</v>
      </c>
      <c r="Z59" s="30" t="s">
        <v>24</v>
      </c>
      <c r="AA59" s="30" t="s">
        <v>135</v>
      </c>
      <c r="AB59" s="30" t="s">
        <v>25</v>
      </c>
      <c r="AC59" s="27"/>
      <c r="AD59" s="31" t="s">
        <v>25</v>
      </c>
      <c r="AE59" s="32" t="str">
        <f t="shared" si="2"/>
        <v>❌ Disc</v>
      </c>
      <c r="AF59" s="33" t="s">
        <v>27</v>
      </c>
      <c r="AG59" s="33" t="s">
        <v>23</v>
      </c>
      <c r="AH59" s="33" t="s">
        <v>25</v>
      </c>
      <c r="AI59" s="33" t="s">
        <v>24</v>
      </c>
      <c r="AJ59" s="33" t="s">
        <v>135</v>
      </c>
      <c r="AK59" s="33" t="s">
        <v>25</v>
      </c>
      <c r="AL59" s="27"/>
      <c r="AM59" s="34" t="s">
        <v>25</v>
      </c>
      <c r="AN59" s="35" t="str">
        <f t="shared" si="3"/>
        <v>❌ Disc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56</v>
      </c>
      <c r="B60" s="40" t="s">
        <v>138</v>
      </c>
      <c r="C60" s="41" t="s">
        <v>139</v>
      </c>
      <c r="D60" s="39" t="s">
        <v>134</v>
      </c>
      <c r="E60" s="43">
        <v>46125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0"/>
        <v>✓ OK</v>
      </c>
      <c r="N60" s="43">
        <v>46139</v>
      </c>
      <c r="O60" s="26" t="s">
        <v>23</v>
      </c>
      <c r="P60" s="26" t="s">
        <v>25</v>
      </c>
      <c r="Q60" s="26" t="s">
        <v>24</v>
      </c>
      <c r="R60" s="26" t="s">
        <v>135</v>
      </c>
      <c r="S60" s="26" t="s">
        <v>25</v>
      </c>
      <c r="T60" s="27"/>
      <c r="U60" s="28" t="s">
        <v>25</v>
      </c>
      <c r="V60" s="29" t="str">
        <f t="shared" si="1"/>
        <v>❌ Disc</v>
      </c>
      <c r="W60" s="45">
        <v>46248</v>
      </c>
      <c r="X60" s="30" t="s">
        <v>23</v>
      </c>
      <c r="Y60" s="30" t="s">
        <v>25</v>
      </c>
      <c r="Z60" s="30" t="s">
        <v>24</v>
      </c>
      <c r="AA60" s="30" t="s">
        <v>135</v>
      </c>
      <c r="AB60" s="30" t="s">
        <v>25</v>
      </c>
      <c r="AC60" s="27"/>
      <c r="AD60" s="31" t="s">
        <v>25</v>
      </c>
      <c r="AE60" s="32" t="str">
        <f t="shared" si="2"/>
        <v>❌ Disc</v>
      </c>
      <c r="AF60" s="33" t="s">
        <v>27</v>
      </c>
      <c r="AG60" s="33" t="s">
        <v>23</v>
      </c>
      <c r="AH60" s="33" t="s">
        <v>25</v>
      </c>
      <c r="AI60" s="33" t="s">
        <v>24</v>
      </c>
      <c r="AJ60" s="33" t="s">
        <v>135</v>
      </c>
      <c r="AK60" s="33" t="s">
        <v>25</v>
      </c>
      <c r="AL60" s="27"/>
      <c r="AM60" s="34" t="s">
        <v>25</v>
      </c>
      <c r="AN60" s="35" t="str">
        <f t="shared" si="3"/>
        <v>❌ Disc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57</v>
      </c>
      <c r="B61" s="24" t="s">
        <v>140</v>
      </c>
      <c r="C61" s="25" t="s">
        <v>141</v>
      </c>
      <c r="D61" s="23" t="s">
        <v>134</v>
      </c>
      <c r="E61" s="43">
        <v>46125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0"/>
        <v>✓ OK</v>
      </c>
      <c r="N61" s="43">
        <v>46139</v>
      </c>
      <c r="O61" s="26" t="s">
        <v>23</v>
      </c>
      <c r="P61" s="26" t="s">
        <v>25</v>
      </c>
      <c r="Q61" s="26" t="s">
        <v>24</v>
      </c>
      <c r="R61" s="26" t="s">
        <v>135</v>
      </c>
      <c r="S61" s="26" t="s">
        <v>25</v>
      </c>
      <c r="T61" s="27"/>
      <c r="U61" s="28" t="s">
        <v>25</v>
      </c>
      <c r="V61" s="29" t="str">
        <f t="shared" si="1"/>
        <v>❌ Disc</v>
      </c>
      <c r="W61" s="45">
        <v>46248</v>
      </c>
      <c r="X61" s="30" t="s">
        <v>23</v>
      </c>
      <c r="Y61" s="30" t="s">
        <v>25</v>
      </c>
      <c r="Z61" s="30" t="s">
        <v>24</v>
      </c>
      <c r="AA61" s="30" t="s">
        <v>135</v>
      </c>
      <c r="AB61" s="30" t="s">
        <v>25</v>
      </c>
      <c r="AC61" s="27"/>
      <c r="AD61" s="31" t="s">
        <v>25</v>
      </c>
      <c r="AE61" s="32" t="str">
        <f t="shared" si="2"/>
        <v>❌ Disc</v>
      </c>
      <c r="AF61" s="33" t="s">
        <v>27</v>
      </c>
      <c r="AG61" s="33" t="s">
        <v>23</v>
      </c>
      <c r="AH61" s="33" t="s">
        <v>25</v>
      </c>
      <c r="AI61" s="33" t="s">
        <v>24</v>
      </c>
      <c r="AJ61" s="33" t="s">
        <v>135</v>
      </c>
      <c r="AK61" s="33" t="s">
        <v>25</v>
      </c>
      <c r="AL61" s="27"/>
      <c r="AM61" s="34" t="s">
        <v>25</v>
      </c>
      <c r="AN61" s="35" t="str">
        <f t="shared" si="3"/>
        <v>❌ Disc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58</v>
      </c>
      <c r="B62" s="40" t="s">
        <v>142</v>
      </c>
      <c r="C62" s="41" t="s">
        <v>143</v>
      </c>
      <c r="D62" s="39" t="s">
        <v>134</v>
      </c>
      <c r="E62" s="43">
        <v>46125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0"/>
        <v>✓ OK</v>
      </c>
      <c r="N62" s="43">
        <v>46139</v>
      </c>
      <c r="O62" s="26" t="s">
        <v>23</v>
      </c>
      <c r="P62" s="26" t="s">
        <v>25</v>
      </c>
      <c r="Q62" s="26" t="s">
        <v>24</v>
      </c>
      <c r="R62" s="26" t="s">
        <v>135</v>
      </c>
      <c r="S62" s="26" t="s">
        <v>25</v>
      </c>
      <c r="T62" s="27"/>
      <c r="U62" s="28" t="s">
        <v>25</v>
      </c>
      <c r="V62" s="29" t="str">
        <f t="shared" si="1"/>
        <v>❌ Disc</v>
      </c>
      <c r="W62" s="45">
        <v>46248</v>
      </c>
      <c r="X62" s="30" t="s">
        <v>23</v>
      </c>
      <c r="Y62" s="30" t="s">
        <v>25</v>
      </c>
      <c r="Z62" s="30" t="s">
        <v>24</v>
      </c>
      <c r="AA62" s="30" t="s">
        <v>135</v>
      </c>
      <c r="AB62" s="30" t="s">
        <v>25</v>
      </c>
      <c r="AC62" s="27"/>
      <c r="AD62" s="31" t="s">
        <v>25</v>
      </c>
      <c r="AE62" s="32" t="str">
        <f t="shared" si="2"/>
        <v>❌ Disc</v>
      </c>
      <c r="AF62" s="33" t="s">
        <v>27</v>
      </c>
      <c r="AG62" s="33" t="s">
        <v>23</v>
      </c>
      <c r="AH62" s="33" t="s">
        <v>25</v>
      </c>
      <c r="AI62" s="33" t="s">
        <v>24</v>
      </c>
      <c r="AJ62" s="33" t="s">
        <v>135</v>
      </c>
      <c r="AK62" s="33" t="s">
        <v>25</v>
      </c>
      <c r="AL62" s="27"/>
      <c r="AM62" s="34" t="s">
        <v>25</v>
      </c>
      <c r="AN62" s="35" t="str">
        <f t="shared" si="3"/>
        <v>❌ Disc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59</v>
      </c>
      <c r="B63" s="24" t="s">
        <v>144</v>
      </c>
      <c r="C63" s="25" t="s">
        <v>145</v>
      </c>
      <c r="D63" s="23" t="s">
        <v>134</v>
      </c>
      <c r="E63" s="43">
        <v>46125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0"/>
        <v>✓ OK</v>
      </c>
      <c r="N63" s="43">
        <v>46139</v>
      </c>
      <c r="O63" s="26" t="s">
        <v>23</v>
      </c>
      <c r="P63" s="26" t="s">
        <v>25</v>
      </c>
      <c r="Q63" s="26" t="s">
        <v>24</v>
      </c>
      <c r="R63" s="26" t="s">
        <v>135</v>
      </c>
      <c r="S63" s="26" t="s">
        <v>25</v>
      </c>
      <c r="T63" s="27"/>
      <c r="U63" s="28" t="s">
        <v>25</v>
      </c>
      <c r="V63" s="29" t="str">
        <f t="shared" si="1"/>
        <v>❌ Disc</v>
      </c>
      <c r="W63" s="45">
        <v>46248</v>
      </c>
      <c r="X63" s="30" t="s">
        <v>23</v>
      </c>
      <c r="Y63" s="30" t="s">
        <v>25</v>
      </c>
      <c r="Z63" s="30" t="s">
        <v>24</v>
      </c>
      <c r="AA63" s="30" t="s">
        <v>135</v>
      </c>
      <c r="AB63" s="30" t="s">
        <v>25</v>
      </c>
      <c r="AC63" s="27"/>
      <c r="AD63" s="31" t="s">
        <v>25</v>
      </c>
      <c r="AE63" s="32" t="str">
        <f t="shared" si="2"/>
        <v>❌ Disc</v>
      </c>
      <c r="AF63" s="33" t="s">
        <v>27</v>
      </c>
      <c r="AG63" s="33" t="s">
        <v>23</v>
      </c>
      <c r="AH63" s="33" t="s">
        <v>25</v>
      </c>
      <c r="AI63" s="33" t="s">
        <v>24</v>
      </c>
      <c r="AJ63" s="33" t="s">
        <v>135</v>
      </c>
      <c r="AK63" s="33" t="s">
        <v>25</v>
      </c>
      <c r="AL63" s="27"/>
      <c r="AM63" s="34" t="s">
        <v>25</v>
      </c>
      <c r="AN63" s="35" t="str">
        <f t="shared" si="3"/>
        <v>❌ Disc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60</v>
      </c>
      <c r="B64" s="40" t="s">
        <v>146</v>
      </c>
      <c r="C64" s="41" t="s">
        <v>147</v>
      </c>
      <c r="D64" s="39" t="s">
        <v>134</v>
      </c>
      <c r="E64" s="43">
        <v>46125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0"/>
        <v>✓ OK</v>
      </c>
      <c r="N64" s="43">
        <v>46139</v>
      </c>
      <c r="O64" s="26" t="s">
        <v>23</v>
      </c>
      <c r="P64" s="26" t="s">
        <v>25</v>
      </c>
      <c r="Q64" s="26" t="s">
        <v>24</v>
      </c>
      <c r="R64" s="26" t="s">
        <v>135</v>
      </c>
      <c r="S64" s="26" t="s">
        <v>25</v>
      </c>
      <c r="T64" s="27"/>
      <c r="U64" s="28" t="s">
        <v>25</v>
      </c>
      <c r="V64" s="29" t="str">
        <f t="shared" si="1"/>
        <v>❌ Disc</v>
      </c>
      <c r="W64" s="45">
        <v>46248</v>
      </c>
      <c r="X64" s="30" t="s">
        <v>23</v>
      </c>
      <c r="Y64" s="30" t="s">
        <v>25</v>
      </c>
      <c r="Z64" s="30" t="s">
        <v>24</v>
      </c>
      <c r="AA64" s="30" t="s">
        <v>135</v>
      </c>
      <c r="AB64" s="30" t="s">
        <v>25</v>
      </c>
      <c r="AC64" s="27"/>
      <c r="AD64" s="31" t="s">
        <v>25</v>
      </c>
      <c r="AE64" s="32" t="str">
        <f t="shared" si="2"/>
        <v>❌ Disc</v>
      </c>
      <c r="AF64" s="33" t="s">
        <v>27</v>
      </c>
      <c r="AG64" s="33" t="s">
        <v>23</v>
      </c>
      <c r="AH64" s="33" t="s">
        <v>25</v>
      </c>
      <c r="AI64" s="33" t="s">
        <v>24</v>
      </c>
      <c r="AJ64" s="33" t="s">
        <v>135</v>
      </c>
      <c r="AK64" s="33" t="s">
        <v>25</v>
      </c>
      <c r="AL64" s="27"/>
      <c r="AM64" s="34" t="s">
        <v>25</v>
      </c>
      <c r="AN64" s="35" t="str">
        <f t="shared" si="3"/>
        <v>❌ Disc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61</v>
      </c>
      <c r="B65" s="24" t="s">
        <v>148</v>
      </c>
      <c r="C65" s="25" t="s">
        <v>149</v>
      </c>
      <c r="D65" s="23" t="s">
        <v>134</v>
      </c>
      <c r="E65" s="43">
        <v>46125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0"/>
        <v>✓ OK</v>
      </c>
      <c r="N65" s="43">
        <v>46139</v>
      </c>
      <c r="O65" s="26" t="s">
        <v>23</v>
      </c>
      <c r="P65" s="26" t="s">
        <v>25</v>
      </c>
      <c r="Q65" s="26" t="s">
        <v>24</v>
      </c>
      <c r="R65" s="26" t="s">
        <v>135</v>
      </c>
      <c r="S65" s="26" t="s">
        <v>25</v>
      </c>
      <c r="T65" s="27"/>
      <c r="U65" s="28" t="s">
        <v>25</v>
      </c>
      <c r="V65" s="29" t="str">
        <f t="shared" si="1"/>
        <v>❌ Disc</v>
      </c>
      <c r="W65" s="45">
        <v>46248</v>
      </c>
      <c r="X65" s="30" t="s">
        <v>23</v>
      </c>
      <c r="Y65" s="30" t="s">
        <v>25</v>
      </c>
      <c r="Z65" s="30" t="s">
        <v>24</v>
      </c>
      <c r="AA65" s="30" t="s">
        <v>135</v>
      </c>
      <c r="AB65" s="30" t="s">
        <v>25</v>
      </c>
      <c r="AC65" s="27"/>
      <c r="AD65" s="31" t="s">
        <v>25</v>
      </c>
      <c r="AE65" s="32" t="str">
        <f t="shared" si="2"/>
        <v>❌ Disc</v>
      </c>
      <c r="AF65" s="33" t="s">
        <v>27</v>
      </c>
      <c r="AG65" s="33" t="s">
        <v>23</v>
      </c>
      <c r="AH65" s="33" t="s">
        <v>25</v>
      </c>
      <c r="AI65" s="33" t="s">
        <v>24</v>
      </c>
      <c r="AJ65" s="33" t="s">
        <v>135</v>
      </c>
      <c r="AK65" s="33" t="s">
        <v>25</v>
      </c>
      <c r="AL65" s="27"/>
      <c r="AM65" s="34" t="s">
        <v>25</v>
      </c>
      <c r="AN65" s="35" t="str">
        <f t="shared" si="3"/>
        <v>❌ Disc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62</v>
      </c>
      <c r="B66" s="40" t="s">
        <v>150</v>
      </c>
      <c r="C66" s="41" t="s">
        <v>151</v>
      </c>
      <c r="D66" s="39" t="s">
        <v>134</v>
      </c>
      <c r="E66" s="43">
        <v>46125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0"/>
        <v>✓ OK</v>
      </c>
      <c r="N66" s="43">
        <v>46139</v>
      </c>
      <c r="O66" s="26" t="s">
        <v>23</v>
      </c>
      <c r="P66" s="26" t="s">
        <v>25</v>
      </c>
      <c r="Q66" s="26" t="s">
        <v>24</v>
      </c>
      <c r="R66" s="26" t="s">
        <v>135</v>
      </c>
      <c r="S66" s="26" t="s">
        <v>25</v>
      </c>
      <c r="T66" s="27"/>
      <c r="U66" s="28" t="s">
        <v>25</v>
      </c>
      <c r="V66" s="29" t="str">
        <f t="shared" si="1"/>
        <v>❌ Disc</v>
      </c>
      <c r="W66" s="45">
        <v>46248</v>
      </c>
      <c r="X66" s="30" t="s">
        <v>23</v>
      </c>
      <c r="Y66" s="30" t="s">
        <v>25</v>
      </c>
      <c r="Z66" s="30" t="s">
        <v>24</v>
      </c>
      <c r="AA66" s="30" t="s">
        <v>135</v>
      </c>
      <c r="AB66" s="30" t="s">
        <v>25</v>
      </c>
      <c r="AC66" s="27"/>
      <c r="AD66" s="31" t="s">
        <v>25</v>
      </c>
      <c r="AE66" s="32" t="str">
        <f t="shared" si="2"/>
        <v>❌ Disc</v>
      </c>
      <c r="AF66" s="33" t="s">
        <v>27</v>
      </c>
      <c r="AG66" s="33" t="s">
        <v>23</v>
      </c>
      <c r="AH66" s="33" t="s">
        <v>25</v>
      </c>
      <c r="AI66" s="33" t="s">
        <v>24</v>
      </c>
      <c r="AJ66" s="33" t="s">
        <v>135</v>
      </c>
      <c r="AK66" s="33" t="s">
        <v>25</v>
      </c>
      <c r="AL66" s="27"/>
      <c r="AM66" s="34" t="s">
        <v>25</v>
      </c>
      <c r="AN66" s="35" t="str">
        <f t="shared" si="3"/>
        <v>❌ Disc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63</v>
      </c>
      <c r="B67" s="24" t="s">
        <v>152</v>
      </c>
      <c r="C67" s="25" t="s">
        <v>153</v>
      </c>
      <c r="D67" s="23" t="s">
        <v>134</v>
      </c>
      <c r="E67" s="43">
        <v>46125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0"/>
        <v>✓ OK</v>
      </c>
      <c r="N67" s="43">
        <v>46139</v>
      </c>
      <c r="O67" s="26" t="s">
        <v>23</v>
      </c>
      <c r="P67" s="26" t="s">
        <v>25</v>
      </c>
      <c r="Q67" s="26" t="s">
        <v>24</v>
      </c>
      <c r="R67" s="26" t="s">
        <v>135</v>
      </c>
      <c r="S67" s="26" t="s">
        <v>25</v>
      </c>
      <c r="T67" s="27"/>
      <c r="U67" s="28" t="s">
        <v>25</v>
      </c>
      <c r="V67" s="29" t="str">
        <f t="shared" si="1"/>
        <v>❌ Disc</v>
      </c>
      <c r="W67" s="45">
        <v>46248</v>
      </c>
      <c r="X67" s="30" t="s">
        <v>23</v>
      </c>
      <c r="Y67" s="30" t="s">
        <v>25</v>
      </c>
      <c r="Z67" s="30" t="s">
        <v>24</v>
      </c>
      <c r="AA67" s="30" t="s">
        <v>135</v>
      </c>
      <c r="AB67" s="30" t="s">
        <v>25</v>
      </c>
      <c r="AC67" s="27"/>
      <c r="AD67" s="31" t="s">
        <v>25</v>
      </c>
      <c r="AE67" s="32" t="str">
        <f t="shared" si="2"/>
        <v>❌ Disc</v>
      </c>
      <c r="AF67" s="33" t="s">
        <v>27</v>
      </c>
      <c r="AG67" s="33" t="s">
        <v>23</v>
      </c>
      <c r="AH67" s="33" t="s">
        <v>25</v>
      </c>
      <c r="AI67" s="33" t="s">
        <v>24</v>
      </c>
      <c r="AJ67" s="33" t="s">
        <v>135</v>
      </c>
      <c r="AK67" s="33" t="s">
        <v>25</v>
      </c>
      <c r="AL67" s="27"/>
      <c r="AM67" s="34" t="s">
        <v>25</v>
      </c>
      <c r="AN67" s="35" t="str">
        <f t="shared" si="3"/>
        <v>❌ Disc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64</v>
      </c>
      <c r="B68" s="40" t="s">
        <v>154</v>
      </c>
      <c r="C68" s="41" t="s">
        <v>155</v>
      </c>
      <c r="D68" s="39" t="s">
        <v>134</v>
      </c>
      <c r="E68" s="43">
        <v>46125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0"/>
        <v>✓ OK</v>
      </c>
      <c r="N68" s="43">
        <v>46139</v>
      </c>
      <c r="O68" s="26" t="s">
        <v>23</v>
      </c>
      <c r="P68" s="26" t="s">
        <v>25</v>
      </c>
      <c r="Q68" s="26" t="s">
        <v>24</v>
      </c>
      <c r="R68" s="26" t="s">
        <v>135</v>
      </c>
      <c r="S68" s="26" t="s">
        <v>25</v>
      </c>
      <c r="T68" s="27"/>
      <c r="U68" s="28" t="s">
        <v>25</v>
      </c>
      <c r="V68" s="29" t="str">
        <f t="shared" si="1"/>
        <v>❌ Disc</v>
      </c>
      <c r="W68" s="45">
        <v>46248</v>
      </c>
      <c r="X68" s="30" t="s">
        <v>23</v>
      </c>
      <c r="Y68" s="30" t="s">
        <v>25</v>
      </c>
      <c r="Z68" s="30" t="s">
        <v>24</v>
      </c>
      <c r="AA68" s="30" t="s">
        <v>135</v>
      </c>
      <c r="AB68" s="30" t="s">
        <v>25</v>
      </c>
      <c r="AC68" s="27"/>
      <c r="AD68" s="31" t="s">
        <v>25</v>
      </c>
      <c r="AE68" s="32" t="str">
        <f t="shared" si="2"/>
        <v>❌ Disc</v>
      </c>
      <c r="AF68" s="33" t="s">
        <v>27</v>
      </c>
      <c r="AG68" s="33" t="s">
        <v>23</v>
      </c>
      <c r="AH68" s="33" t="s">
        <v>25</v>
      </c>
      <c r="AI68" s="33" t="s">
        <v>24</v>
      </c>
      <c r="AJ68" s="33" t="s">
        <v>135</v>
      </c>
      <c r="AK68" s="33" t="s">
        <v>25</v>
      </c>
      <c r="AL68" s="27"/>
      <c r="AM68" s="34" t="s">
        <v>25</v>
      </c>
      <c r="AN68" s="35" t="str">
        <f t="shared" si="3"/>
        <v>❌ Disc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65</v>
      </c>
      <c r="B69" s="24" t="s">
        <v>156</v>
      </c>
      <c r="C69" s="25" t="s">
        <v>157</v>
      </c>
      <c r="D69" s="23" t="s">
        <v>134</v>
      </c>
      <c r="E69" s="43">
        <v>46125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32" si="5">IF(E69="","",IF(H69="Yes","❌ Disc",IF(G69="No","⚠ Missing",IF(J69="Yes","✓ OK","⚠ Check"))))</f>
        <v>✓ OK</v>
      </c>
      <c r="N69" s="43">
        <v>46139</v>
      </c>
      <c r="O69" s="26" t="s">
        <v>23</v>
      </c>
      <c r="P69" s="26" t="s">
        <v>25</v>
      </c>
      <c r="Q69" s="26" t="s">
        <v>24</v>
      </c>
      <c r="R69" s="26" t="s">
        <v>135</v>
      </c>
      <c r="S69" s="26" t="s">
        <v>25</v>
      </c>
      <c r="T69" s="27"/>
      <c r="U69" s="28" t="s">
        <v>25</v>
      </c>
      <c r="V69" s="29" t="str">
        <f t="shared" ref="V69:V132" si="6">IF(N69="","",IF(Q69="Yes","❌ Disc",IF(P69="No","⚠ Missing",IF(S69="Yes","✓ OK","⚠ Check"))))</f>
        <v>❌ Disc</v>
      </c>
      <c r="W69" s="45">
        <v>46248</v>
      </c>
      <c r="X69" s="30" t="s">
        <v>23</v>
      </c>
      <c r="Y69" s="30" t="s">
        <v>25</v>
      </c>
      <c r="Z69" s="30" t="s">
        <v>24</v>
      </c>
      <c r="AA69" s="30" t="s">
        <v>135</v>
      </c>
      <c r="AB69" s="30" t="s">
        <v>25</v>
      </c>
      <c r="AC69" s="27"/>
      <c r="AD69" s="31" t="s">
        <v>25</v>
      </c>
      <c r="AE69" s="32" t="str">
        <f t="shared" ref="AE69:AE132" si="7">IF(W69="","",IF(Z69="Yes","❌ Disc",IF(Y69="No","⚠ Missing",IF(AB69="Yes","✓ OK","⚠ Check"))))</f>
        <v>❌ Disc</v>
      </c>
      <c r="AF69" s="33" t="s">
        <v>27</v>
      </c>
      <c r="AG69" s="33" t="s">
        <v>23</v>
      </c>
      <c r="AH69" s="33" t="s">
        <v>25</v>
      </c>
      <c r="AI69" s="33" t="s">
        <v>24</v>
      </c>
      <c r="AJ69" s="33" t="s">
        <v>135</v>
      </c>
      <c r="AK69" s="33" t="s">
        <v>25</v>
      </c>
      <c r="AL69" s="27"/>
      <c r="AM69" s="34" t="s">
        <v>25</v>
      </c>
      <c r="AN69" s="35" t="str">
        <f t="shared" ref="AN69:AN132" si="8">IF(AF69="","",IF(AI69="Yes","❌ Disc",IF(AH69="No","⚠ Missing",IF(AK69="Yes","✓ OK","⚠ Check"))))</f>
        <v>❌ Disc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158</v>
      </c>
      <c r="C70" s="41" t="s">
        <v>159</v>
      </c>
      <c r="D70" s="39" t="s">
        <v>134</v>
      </c>
      <c r="E70" s="43">
        <v>46125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5"/>
        <v>✓ OK</v>
      </c>
      <c r="N70" s="43">
        <v>46139</v>
      </c>
      <c r="O70" s="26" t="s">
        <v>23</v>
      </c>
      <c r="P70" s="26" t="s">
        <v>25</v>
      </c>
      <c r="Q70" s="26" t="s">
        <v>24</v>
      </c>
      <c r="R70" s="26" t="s">
        <v>135</v>
      </c>
      <c r="S70" s="26" t="s">
        <v>25</v>
      </c>
      <c r="T70" s="27"/>
      <c r="U70" s="28" t="s">
        <v>25</v>
      </c>
      <c r="V70" s="29" t="str">
        <f t="shared" si="6"/>
        <v>❌ Disc</v>
      </c>
      <c r="W70" s="45">
        <v>46248</v>
      </c>
      <c r="X70" s="30" t="s">
        <v>23</v>
      </c>
      <c r="Y70" s="30" t="s">
        <v>25</v>
      </c>
      <c r="Z70" s="30" t="s">
        <v>24</v>
      </c>
      <c r="AA70" s="30" t="s">
        <v>135</v>
      </c>
      <c r="AB70" s="30" t="s">
        <v>25</v>
      </c>
      <c r="AC70" s="27"/>
      <c r="AD70" s="31" t="s">
        <v>25</v>
      </c>
      <c r="AE70" s="32" t="str">
        <f t="shared" si="7"/>
        <v>❌ Disc</v>
      </c>
      <c r="AF70" s="33" t="s">
        <v>27</v>
      </c>
      <c r="AG70" s="33" t="s">
        <v>23</v>
      </c>
      <c r="AH70" s="33" t="s">
        <v>25</v>
      </c>
      <c r="AI70" s="33" t="s">
        <v>24</v>
      </c>
      <c r="AJ70" s="33" t="s">
        <v>135</v>
      </c>
      <c r="AK70" s="33" t="s">
        <v>25</v>
      </c>
      <c r="AL70" s="27"/>
      <c r="AM70" s="34" t="s">
        <v>25</v>
      </c>
      <c r="AN70" s="35" t="str">
        <f t="shared" si="8"/>
        <v>❌ Disc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8" customHeight="1" x14ac:dyDescent="0.3">
      <c r="A71" s="23">
        <v>67</v>
      </c>
      <c r="B71" s="24" t="s">
        <v>160</v>
      </c>
      <c r="C71" s="25" t="s">
        <v>161</v>
      </c>
      <c r="D71" s="23" t="s">
        <v>134</v>
      </c>
      <c r="E71" s="43">
        <v>46125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5"/>
        <v>✓ OK</v>
      </c>
      <c r="N71" s="43">
        <v>46139</v>
      </c>
      <c r="O71" s="26" t="s">
        <v>23</v>
      </c>
      <c r="P71" s="26" t="s">
        <v>25</v>
      </c>
      <c r="Q71" s="26" t="s">
        <v>24</v>
      </c>
      <c r="R71" s="26" t="s">
        <v>135</v>
      </c>
      <c r="S71" s="26" t="s">
        <v>25</v>
      </c>
      <c r="T71" s="27"/>
      <c r="U71" s="28" t="s">
        <v>25</v>
      </c>
      <c r="V71" s="29" t="str">
        <f t="shared" si="6"/>
        <v>❌ Disc</v>
      </c>
      <c r="W71" s="45">
        <v>46248</v>
      </c>
      <c r="X71" s="30" t="s">
        <v>23</v>
      </c>
      <c r="Y71" s="30" t="s">
        <v>25</v>
      </c>
      <c r="Z71" s="30" t="s">
        <v>24</v>
      </c>
      <c r="AA71" s="30" t="s">
        <v>135</v>
      </c>
      <c r="AB71" s="30" t="s">
        <v>25</v>
      </c>
      <c r="AC71" s="27"/>
      <c r="AD71" s="31" t="s">
        <v>25</v>
      </c>
      <c r="AE71" s="32" t="str">
        <f t="shared" si="7"/>
        <v>❌ Disc</v>
      </c>
      <c r="AF71" s="33" t="s">
        <v>27</v>
      </c>
      <c r="AG71" s="33" t="s">
        <v>23</v>
      </c>
      <c r="AH71" s="33" t="s">
        <v>25</v>
      </c>
      <c r="AI71" s="33" t="s">
        <v>24</v>
      </c>
      <c r="AJ71" s="33" t="s">
        <v>135</v>
      </c>
      <c r="AK71" s="33" t="s">
        <v>25</v>
      </c>
      <c r="AL71" s="27"/>
      <c r="AM71" s="34" t="s">
        <v>25</v>
      </c>
      <c r="AN71" s="35" t="str">
        <f t="shared" si="8"/>
        <v>❌ Disc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8" customHeight="1" x14ac:dyDescent="0.3">
      <c r="A72" s="39">
        <v>68</v>
      </c>
      <c r="B72" s="40" t="s">
        <v>162</v>
      </c>
      <c r="C72" s="41" t="s">
        <v>163</v>
      </c>
      <c r="D72" s="39" t="s">
        <v>134</v>
      </c>
      <c r="E72" s="43">
        <v>46125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5"/>
        <v>✓ OK</v>
      </c>
      <c r="N72" s="43">
        <v>46139</v>
      </c>
      <c r="O72" s="26" t="s">
        <v>23</v>
      </c>
      <c r="P72" s="26" t="s">
        <v>25</v>
      </c>
      <c r="Q72" s="26" t="s">
        <v>24</v>
      </c>
      <c r="R72" s="26" t="s">
        <v>135</v>
      </c>
      <c r="S72" s="26" t="s">
        <v>25</v>
      </c>
      <c r="T72" s="27"/>
      <c r="U72" s="28" t="s">
        <v>25</v>
      </c>
      <c r="V72" s="29" t="str">
        <f t="shared" si="6"/>
        <v>❌ Disc</v>
      </c>
      <c r="W72" s="45">
        <v>46248</v>
      </c>
      <c r="X72" s="30" t="s">
        <v>23</v>
      </c>
      <c r="Y72" s="30" t="s">
        <v>25</v>
      </c>
      <c r="Z72" s="30" t="s">
        <v>24</v>
      </c>
      <c r="AA72" s="30" t="s">
        <v>135</v>
      </c>
      <c r="AB72" s="30" t="s">
        <v>25</v>
      </c>
      <c r="AC72" s="27"/>
      <c r="AD72" s="31" t="s">
        <v>25</v>
      </c>
      <c r="AE72" s="32" t="str">
        <f t="shared" si="7"/>
        <v>❌ Disc</v>
      </c>
      <c r="AF72" s="33" t="s">
        <v>27</v>
      </c>
      <c r="AG72" s="33" t="s">
        <v>23</v>
      </c>
      <c r="AH72" s="33" t="s">
        <v>25</v>
      </c>
      <c r="AI72" s="33" t="s">
        <v>24</v>
      </c>
      <c r="AJ72" s="33" t="s">
        <v>135</v>
      </c>
      <c r="AK72" s="33" t="s">
        <v>25</v>
      </c>
      <c r="AL72" s="27"/>
      <c r="AM72" s="34" t="s">
        <v>25</v>
      </c>
      <c r="AN72" s="35" t="str">
        <f t="shared" si="8"/>
        <v>❌ Disc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8" customHeight="1" x14ac:dyDescent="0.3">
      <c r="A73" s="23">
        <v>69</v>
      </c>
      <c r="B73" s="24" t="s">
        <v>164</v>
      </c>
      <c r="C73" s="25" t="s">
        <v>165</v>
      </c>
      <c r="D73" s="23" t="s">
        <v>134</v>
      </c>
      <c r="E73" s="43">
        <v>46125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5"/>
        <v>✓ OK</v>
      </c>
      <c r="N73" s="43">
        <v>46139</v>
      </c>
      <c r="O73" s="26" t="s">
        <v>23</v>
      </c>
      <c r="P73" s="26" t="s">
        <v>25</v>
      </c>
      <c r="Q73" s="26" t="s">
        <v>24</v>
      </c>
      <c r="R73" s="26" t="s">
        <v>135</v>
      </c>
      <c r="S73" s="26" t="s">
        <v>25</v>
      </c>
      <c r="T73" s="27"/>
      <c r="U73" s="28" t="s">
        <v>25</v>
      </c>
      <c r="V73" s="29" t="str">
        <f t="shared" si="6"/>
        <v>❌ Disc</v>
      </c>
      <c r="W73" s="45">
        <v>46248</v>
      </c>
      <c r="X73" s="30" t="s">
        <v>23</v>
      </c>
      <c r="Y73" s="30" t="s">
        <v>25</v>
      </c>
      <c r="Z73" s="30" t="s">
        <v>24</v>
      </c>
      <c r="AA73" s="30" t="s">
        <v>135</v>
      </c>
      <c r="AB73" s="30" t="s">
        <v>25</v>
      </c>
      <c r="AC73" s="27"/>
      <c r="AD73" s="31" t="s">
        <v>25</v>
      </c>
      <c r="AE73" s="32" t="str">
        <f t="shared" si="7"/>
        <v>❌ Disc</v>
      </c>
      <c r="AF73" s="33" t="s">
        <v>27</v>
      </c>
      <c r="AG73" s="33" t="s">
        <v>23</v>
      </c>
      <c r="AH73" s="33" t="s">
        <v>25</v>
      </c>
      <c r="AI73" s="33" t="s">
        <v>24</v>
      </c>
      <c r="AJ73" s="33" t="s">
        <v>135</v>
      </c>
      <c r="AK73" s="33" t="s">
        <v>25</v>
      </c>
      <c r="AL73" s="27"/>
      <c r="AM73" s="34" t="s">
        <v>25</v>
      </c>
      <c r="AN73" s="35" t="str">
        <f t="shared" si="8"/>
        <v>❌ Disc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8" customHeight="1" x14ac:dyDescent="0.3">
      <c r="A74" s="39">
        <v>70</v>
      </c>
      <c r="B74" s="40" t="s">
        <v>166</v>
      </c>
      <c r="C74" s="41" t="s">
        <v>167</v>
      </c>
      <c r="D74" s="39" t="s">
        <v>134</v>
      </c>
      <c r="E74" s="43">
        <v>46125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5"/>
        <v>✓ OK</v>
      </c>
      <c r="N74" s="43">
        <v>46139</v>
      </c>
      <c r="O74" s="26" t="s">
        <v>23</v>
      </c>
      <c r="P74" s="26" t="s">
        <v>25</v>
      </c>
      <c r="Q74" s="26" t="s">
        <v>24</v>
      </c>
      <c r="R74" s="26" t="s">
        <v>135</v>
      </c>
      <c r="S74" s="26" t="s">
        <v>25</v>
      </c>
      <c r="T74" s="27"/>
      <c r="U74" s="28" t="s">
        <v>25</v>
      </c>
      <c r="V74" s="29" t="str">
        <f t="shared" si="6"/>
        <v>❌ Disc</v>
      </c>
      <c r="W74" s="45">
        <v>46248</v>
      </c>
      <c r="X74" s="30" t="s">
        <v>23</v>
      </c>
      <c r="Y74" s="30" t="s">
        <v>25</v>
      </c>
      <c r="Z74" s="30" t="s">
        <v>24</v>
      </c>
      <c r="AA74" s="30" t="s">
        <v>135</v>
      </c>
      <c r="AB74" s="30" t="s">
        <v>25</v>
      </c>
      <c r="AC74" s="27"/>
      <c r="AD74" s="31" t="s">
        <v>25</v>
      </c>
      <c r="AE74" s="32" t="str">
        <f t="shared" si="7"/>
        <v>❌ Disc</v>
      </c>
      <c r="AF74" s="33" t="s">
        <v>27</v>
      </c>
      <c r="AG74" s="33" t="s">
        <v>23</v>
      </c>
      <c r="AH74" s="33" t="s">
        <v>25</v>
      </c>
      <c r="AI74" s="33" t="s">
        <v>24</v>
      </c>
      <c r="AJ74" s="33" t="s">
        <v>135</v>
      </c>
      <c r="AK74" s="33" t="s">
        <v>25</v>
      </c>
      <c r="AL74" s="27"/>
      <c r="AM74" s="34" t="s">
        <v>25</v>
      </c>
      <c r="AN74" s="35" t="str">
        <f t="shared" si="8"/>
        <v>❌ Disc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8" customHeight="1" x14ac:dyDescent="0.3">
      <c r="A75" s="23">
        <v>71</v>
      </c>
      <c r="B75" s="24" t="s">
        <v>168</v>
      </c>
      <c r="C75" s="25" t="s">
        <v>169</v>
      </c>
      <c r="D75" s="23" t="s">
        <v>134</v>
      </c>
      <c r="E75" s="43">
        <v>46125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5"/>
        <v>✓ OK</v>
      </c>
      <c r="N75" s="43">
        <v>46139</v>
      </c>
      <c r="O75" s="26" t="s">
        <v>23</v>
      </c>
      <c r="P75" s="26" t="s">
        <v>25</v>
      </c>
      <c r="Q75" s="26" t="s">
        <v>24</v>
      </c>
      <c r="R75" s="26" t="s">
        <v>135</v>
      </c>
      <c r="S75" s="26" t="s">
        <v>25</v>
      </c>
      <c r="T75" s="27"/>
      <c r="U75" s="28" t="s">
        <v>25</v>
      </c>
      <c r="V75" s="29" t="str">
        <f t="shared" si="6"/>
        <v>❌ Disc</v>
      </c>
      <c r="W75" s="45">
        <v>46248</v>
      </c>
      <c r="X75" s="30" t="s">
        <v>23</v>
      </c>
      <c r="Y75" s="30" t="s">
        <v>25</v>
      </c>
      <c r="Z75" s="30" t="s">
        <v>24</v>
      </c>
      <c r="AA75" s="30" t="s">
        <v>135</v>
      </c>
      <c r="AB75" s="30" t="s">
        <v>25</v>
      </c>
      <c r="AC75" s="27"/>
      <c r="AD75" s="31" t="s">
        <v>25</v>
      </c>
      <c r="AE75" s="32" t="str">
        <f t="shared" si="7"/>
        <v>❌ Disc</v>
      </c>
      <c r="AF75" s="33" t="s">
        <v>27</v>
      </c>
      <c r="AG75" s="33" t="s">
        <v>23</v>
      </c>
      <c r="AH75" s="33" t="s">
        <v>25</v>
      </c>
      <c r="AI75" s="33" t="s">
        <v>24</v>
      </c>
      <c r="AJ75" s="33" t="s">
        <v>135</v>
      </c>
      <c r="AK75" s="33" t="s">
        <v>25</v>
      </c>
      <c r="AL75" s="27"/>
      <c r="AM75" s="34" t="s">
        <v>25</v>
      </c>
      <c r="AN75" s="35" t="str">
        <f t="shared" si="8"/>
        <v>❌ Disc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8" customHeight="1" x14ac:dyDescent="0.3">
      <c r="A76" s="39">
        <v>72</v>
      </c>
      <c r="B76" s="40" t="s">
        <v>170</v>
      </c>
      <c r="C76" s="41" t="s">
        <v>171</v>
      </c>
      <c r="D76" s="39" t="s">
        <v>134</v>
      </c>
      <c r="E76" s="43">
        <v>46125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5"/>
        <v>✓ OK</v>
      </c>
      <c r="N76" s="43">
        <v>46139</v>
      </c>
      <c r="O76" s="26" t="s">
        <v>23</v>
      </c>
      <c r="P76" s="26" t="s">
        <v>25</v>
      </c>
      <c r="Q76" s="26" t="s">
        <v>24</v>
      </c>
      <c r="R76" s="26" t="s">
        <v>135</v>
      </c>
      <c r="S76" s="26" t="s">
        <v>25</v>
      </c>
      <c r="T76" s="27"/>
      <c r="U76" s="28" t="s">
        <v>25</v>
      </c>
      <c r="V76" s="29" t="str">
        <f t="shared" si="6"/>
        <v>❌ Disc</v>
      </c>
      <c r="W76" s="45">
        <v>46248</v>
      </c>
      <c r="X76" s="30" t="s">
        <v>23</v>
      </c>
      <c r="Y76" s="30" t="s">
        <v>25</v>
      </c>
      <c r="Z76" s="30" t="s">
        <v>24</v>
      </c>
      <c r="AA76" s="30" t="s">
        <v>135</v>
      </c>
      <c r="AB76" s="30" t="s">
        <v>25</v>
      </c>
      <c r="AC76" s="27"/>
      <c r="AD76" s="31" t="s">
        <v>25</v>
      </c>
      <c r="AE76" s="32" t="str">
        <f t="shared" si="7"/>
        <v>❌ Disc</v>
      </c>
      <c r="AF76" s="33" t="s">
        <v>27</v>
      </c>
      <c r="AG76" s="33" t="s">
        <v>23</v>
      </c>
      <c r="AH76" s="33" t="s">
        <v>25</v>
      </c>
      <c r="AI76" s="33" t="s">
        <v>24</v>
      </c>
      <c r="AJ76" s="33" t="s">
        <v>135</v>
      </c>
      <c r="AK76" s="33" t="s">
        <v>25</v>
      </c>
      <c r="AL76" s="27"/>
      <c r="AM76" s="34" t="s">
        <v>25</v>
      </c>
      <c r="AN76" s="35" t="str">
        <f t="shared" si="8"/>
        <v>❌ Disc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8" customHeight="1" x14ac:dyDescent="0.3">
      <c r="A77" s="23">
        <v>73</v>
      </c>
      <c r="B77" s="24" t="s">
        <v>172</v>
      </c>
      <c r="C77" s="25" t="s">
        <v>173</v>
      </c>
      <c r="D77" s="23" t="s">
        <v>134</v>
      </c>
      <c r="E77" s="43">
        <v>46125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5"/>
        <v>✓ OK</v>
      </c>
      <c r="N77" s="43">
        <v>46139</v>
      </c>
      <c r="O77" s="26" t="s">
        <v>23</v>
      </c>
      <c r="P77" s="26" t="s">
        <v>25</v>
      </c>
      <c r="Q77" s="26" t="s">
        <v>24</v>
      </c>
      <c r="R77" s="26" t="s">
        <v>135</v>
      </c>
      <c r="S77" s="26" t="s">
        <v>25</v>
      </c>
      <c r="T77" s="27"/>
      <c r="U77" s="28" t="s">
        <v>25</v>
      </c>
      <c r="V77" s="29" t="str">
        <f t="shared" si="6"/>
        <v>❌ Disc</v>
      </c>
      <c r="W77" s="45">
        <v>46248</v>
      </c>
      <c r="X77" s="30" t="s">
        <v>23</v>
      </c>
      <c r="Y77" s="30" t="s">
        <v>25</v>
      </c>
      <c r="Z77" s="30" t="s">
        <v>24</v>
      </c>
      <c r="AA77" s="30" t="s">
        <v>135</v>
      </c>
      <c r="AB77" s="30" t="s">
        <v>25</v>
      </c>
      <c r="AC77" s="27"/>
      <c r="AD77" s="31" t="s">
        <v>25</v>
      </c>
      <c r="AE77" s="32" t="str">
        <f t="shared" si="7"/>
        <v>❌ Disc</v>
      </c>
      <c r="AF77" s="33" t="s">
        <v>27</v>
      </c>
      <c r="AG77" s="33" t="s">
        <v>23</v>
      </c>
      <c r="AH77" s="33" t="s">
        <v>25</v>
      </c>
      <c r="AI77" s="33" t="s">
        <v>24</v>
      </c>
      <c r="AJ77" s="33" t="s">
        <v>135</v>
      </c>
      <c r="AK77" s="33" t="s">
        <v>25</v>
      </c>
      <c r="AL77" s="27"/>
      <c r="AM77" s="34" t="s">
        <v>25</v>
      </c>
      <c r="AN77" s="35" t="str">
        <f t="shared" si="8"/>
        <v>❌ Disc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8" customHeight="1" x14ac:dyDescent="0.3">
      <c r="A78" s="39">
        <v>74</v>
      </c>
      <c r="B78" s="40" t="s">
        <v>174</v>
      </c>
      <c r="C78" s="41" t="s">
        <v>175</v>
      </c>
      <c r="D78" s="39" t="s">
        <v>134</v>
      </c>
      <c r="E78" s="43">
        <v>46125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5"/>
        <v>✓ OK</v>
      </c>
      <c r="N78" s="43">
        <v>46139</v>
      </c>
      <c r="O78" s="26" t="s">
        <v>23</v>
      </c>
      <c r="P78" s="26" t="s">
        <v>25</v>
      </c>
      <c r="Q78" s="26" t="s">
        <v>24</v>
      </c>
      <c r="R78" s="26" t="s">
        <v>135</v>
      </c>
      <c r="S78" s="26" t="s">
        <v>25</v>
      </c>
      <c r="T78" s="27"/>
      <c r="U78" s="28" t="s">
        <v>25</v>
      </c>
      <c r="V78" s="29" t="str">
        <f t="shared" si="6"/>
        <v>❌ Disc</v>
      </c>
      <c r="W78" s="45">
        <v>46248</v>
      </c>
      <c r="X78" s="30" t="s">
        <v>23</v>
      </c>
      <c r="Y78" s="30" t="s">
        <v>25</v>
      </c>
      <c r="Z78" s="30" t="s">
        <v>24</v>
      </c>
      <c r="AA78" s="30" t="s">
        <v>135</v>
      </c>
      <c r="AB78" s="30" t="s">
        <v>25</v>
      </c>
      <c r="AC78" s="27"/>
      <c r="AD78" s="31" t="s">
        <v>25</v>
      </c>
      <c r="AE78" s="32" t="str">
        <f t="shared" si="7"/>
        <v>❌ Disc</v>
      </c>
      <c r="AF78" s="33" t="s">
        <v>27</v>
      </c>
      <c r="AG78" s="33" t="s">
        <v>23</v>
      </c>
      <c r="AH78" s="33" t="s">
        <v>25</v>
      </c>
      <c r="AI78" s="33" t="s">
        <v>24</v>
      </c>
      <c r="AJ78" s="33" t="s">
        <v>135</v>
      </c>
      <c r="AK78" s="33" t="s">
        <v>25</v>
      </c>
      <c r="AL78" s="27"/>
      <c r="AM78" s="34" t="s">
        <v>25</v>
      </c>
      <c r="AN78" s="35" t="str">
        <f t="shared" si="8"/>
        <v>❌ Disc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8" customHeight="1" x14ac:dyDescent="0.3">
      <c r="A79" s="23">
        <v>75</v>
      </c>
      <c r="B79" s="24" t="s">
        <v>176</v>
      </c>
      <c r="C79" s="25" t="s">
        <v>177</v>
      </c>
      <c r="D79" s="23" t="s">
        <v>134</v>
      </c>
      <c r="E79" s="43">
        <v>46125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5"/>
        <v>✓ OK</v>
      </c>
      <c r="N79" s="43">
        <v>46139</v>
      </c>
      <c r="O79" s="26" t="s">
        <v>23</v>
      </c>
      <c r="P79" s="26" t="s">
        <v>25</v>
      </c>
      <c r="Q79" s="26" t="s">
        <v>24</v>
      </c>
      <c r="R79" s="26" t="s">
        <v>135</v>
      </c>
      <c r="S79" s="26" t="s">
        <v>25</v>
      </c>
      <c r="T79" s="27"/>
      <c r="U79" s="28" t="s">
        <v>25</v>
      </c>
      <c r="V79" s="29" t="str">
        <f t="shared" si="6"/>
        <v>❌ Disc</v>
      </c>
      <c r="W79" s="45">
        <v>46248</v>
      </c>
      <c r="X79" s="30" t="s">
        <v>23</v>
      </c>
      <c r="Y79" s="30" t="s">
        <v>25</v>
      </c>
      <c r="Z79" s="30" t="s">
        <v>24</v>
      </c>
      <c r="AA79" s="30" t="s">
        <v>135</v>
      </c>
      <c r="AB79" s="30" t="s">
        <v>25</v>
      </c>
      <c r="AC79" s="27"/>
      <c r="AD79" s="31" t="s">
        <v>25</v>
      </c>
      <c r="AE79" s="32" t="str">
        <f t="shared" si="7"/>
        <v>❌ Disc</v>
      </c>
      <c r="AF79" s="33" t="s">
        <v>27</v>
      </c>
      <c r="AG79" s="33" t="s">
        <v>23</v>
      </c>
      <c r="AH79" s="33" t="s">
        <v>25</v>
      </c>
      <c r="AI79" s="33" t="s">
        <v>24</v>
      </c>
      <c r="AJ79" s="33" t="s">
        <v>135</v>
      </c>
      <c r="AK79" s="33" t="s">
        <v>25</v>
      </c>
      <c r="AL79" s="27"/>
      <c r="AM79" s="34" t="s">
        <v>25</v>
      </c>
      <c r="AN79" s="35" t="str">
        <f t="shared" si="8"/>
        <v>❌ Disc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8" customHeight="1" x14ac:dyDescent="0.3">
      <c r="A80" s="39">
        <v>76</v>
      </c>
      <c r="B80" s="40" t="s">
        <v>178</v>
      </c>
      <c r="C80" s="41" t="s">
        <v>179</v>
      </c>
      <c r="D80" s="39" t="s">
        <v>134</v>
      </c>
      <c r="E80" s="43">
        <v>46125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5"/>
        <v>✓ OK</v>
      </c>
      <c r="N80" s="43">
        <v>46139</v>
      </c>
      <c r="O80" s="26" t="s">
        <v>23</v>
      </c>
      <c r="P80" s="26" t="s">
        <v>25</v>
      </c>
      <c r="Q80" s="26" t="s">
        <v>24</v>
      </c>
      <c r="R80" s="26" t="s">
        <v>135</v>
      </c>
      <c r="S80" s="26" t="s">
        <v>25</v>
      </c>
      <c r="T80" s="27"/>
      <c r="U80" s="28" t="s">
        <v>25</v>
      </c>
      <c r="V80" s="29" t="str">
        <f t="shared" si="6"/>
        <v>❌ Disc</v>
      </c>
      <c r="W80" s="45">
        <v>46248</v>
      </c>
      <c r="X80" s="30" t="s">
        <v>23</v>
      </c>
      <c r="Y80" s="30" t="s">
        <v>25</v>
      </c>
      <c r="Z80" s="30" t="s">
        <v>24</v>
      </c>
      <c r="AA80" s="30" t="s">
        <v>135</v>
      </c>
      <c r="AB80" s="30" t="s">
        <v>25</v>
      </c>
      <c r="AC80" s="27"/>
      <c r="AD80" s="31" t="s">
        <v>25</v>
      </c>
      <c r="AE80" s="32" t="str">
        <f t="shared" si="7"/>
        <v>❌ Disc</v>
      </c>
      <c r="AF80" s="33" t="s">
        <v>27</v>
      </c>
      <c r="AG80" s="33" t="s">
        <v>23</v>
      </c>
      <c r="AH80" s="33" t="s">
        <v>25</v>
      </c>
      <c r="AI80" s="33" t="s">
        <v>24</v>
      </c>
      <c r="AJ80" s="33" t="s">
        <v>135</v>
      </c>
      <c r="AK80" s="33" t="s">
        <v>25</v>
      </c>
      <c r="AL80" s="27"/>
      <c r="AM80" s="34" t="s">
        <v>25</v>
      </c>
      <c r="AN80" s="35" t="str">
        <f t="shared" si="8"/>
        <v>❌ Disc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8" customHeight="1" x14ac:dyDescent="0.3">
      <c r="A81" s="23">
        <v>77</v>
      </c>
      <c r="B81" s="24" t="s">
        <v>180</v>
      </c>
      <c r="C81" s="25" t="s">
        <v>181</v>
      </c>
      <c r="D81" s="23" t="s">
        <v>134</v>
      </c>
      <c r="E81" s="43">
        <v>46125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5"/>
        <v>✓ OK</v>
      </c>
      <c r="N81" s="43">
        <v>46139</v>
      </c>
      <c r="O81" s="26" t="s">
        <v>23</v>
      </c>
      <c r="P81" s="26" t="s">
        <v>25</v>
      </c>
      <c r="Q81" s="26" t="s">
        <v>24</v>
      </c>
      <c r="R81" s="26" t="s">
        <v>135</v>
      </c>
      <c r="S81" s="26" t="s">
        <v>25</v>
      </c>
      <c r="T81" s="27"/>
      <c r="U81" s="28" t="s">
        <v>25</v>
      </c>
      <c r="V81" s="29" t="str">
        <f t="shared" si="6"/>
        <v>❌ Disc</v>
      </c>
      <c r="W81" s="45">
        <v>46248</v>
      </c>
      <c r="X81" s="30" t="s">
        <v>23</v>
      </c>
      <c r="Y81" s="30" t="s">
        <v>25</v>
      </c>
      <c r="Z81" s="30" t="s">
        <v>24</v>
      </c>
      <c r="AA81" s="30" t="s">
        <v>135</v>
      </c>
      <c r="AB81" s="30" t="s">
        <v>25</v>
      </c>
      <c r="AC81" s="27"/>
      <c r="AD81" s="31" t="s">
        <v>25</v>
      </c>
      <c r="AE81" s="32" t="str">
        <f t="shared" si="7"/>
        <v>❌ Disc</v>
      </c>
      <c r="AF81" s="33" t="s">
        <v>27</v>
      </c>
      <c r="AG81" s="33" t="s">
        <v>23</v>
      </c>
      <c r="AH81" s="33" t="s">
        <v>25</v>
      </c>
      <c r="AI81" s="33" t="s">
        <v>24</v>
      </c>
      <c r="AJ81" s="33" t="s">
        <v>135</v>
      </c>
      <c r="AK81" s="33" t="s">
        <v>25</v>
      </c>
      <c r="AL81" s="27"/>
      <c r="AM81" s="34" t="s">
        <v>25</v>
      </c>
      <c r="AN81" s="35" t="str">
        <f t="shared" si="8"/>
        <v>❌ Disc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8" customHeight="1" x14ac:dyDescent="0.3">
      <c r="A82" s="39">
        <v>78</v>
      </c>
      <c r="B82" s="40" t="s">
        <v>182</v>
      </c>
      <c r="C82" s="41" t="s">
        <v>183</v>
      </c>
      <c r="D82" s="39" t="s">
        <v>134</v>
      </c>
      <c r="E82" s="43">
        <v>46125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5"/>
        <v>✓ OK</v>
      </c>
      <c r="N82" s="43">
        <v>46139</v>
      </c>
      <c r="O82" s="26" t="s">
        <v>23</v>
      </c>
      <c r="P82" s="26" t="s">
        <v>25</v>
      </c>
      <c r="Q82" s="26" t="s">
        <v>24</v>
      </c>
      <c r="R82" s="26" t="s">
        <v>135</v>
      </c>
      <c r="S82" s="26" t="s">
        <v>25</v>
      </c>
      <c r="T82" s="27"/>
      <c r="U82" s="28" t="s">
        <v>25</v>
      </c>
      <c r="V82" s="29" t="str">
        <f t="shared" si="6"/>
        <v>❌ Disc</v>
      </c>
      <c r="W82" s="45">
        <v>46248</v>
      </c>
      <c r="X82" s="30" t="s">
        <v>23</v>
      </c>
      <c r="Y82" s="30" t="s">
        <v>25</v>
      </c>
      <c r="Z82" s="30" t="s">
        <v>24</v>
      </c>
      <c r="AA82" s="30" t="s">
        <v>135</v>
      </c>
      <c r="AB82" s="30" t="s">
        <v>25</v>
      </c>
      <c r="AC82" s="27"/>
      <c r="AD82" s="31" t="s">
        <v>25</v>
      </c>
      <c r="AE82" s="32" t="str">
        <f t="shared" si="7"/>
        <v>❌ Disc</v>
      </c>
      <c r="AF82" s="33" t="s">
        <v>27</v>
      </c>
      <c r="AG82" s="33" t="s">
        <v>23</v>
      </c>
      <c r="AH82" s="33" t="s">
        <v>25</v>
      </c>
      <c r="AI82" s="33" t="s">
        <v>24</v>
      </c>
      <c r="AJ82" s="33" t="s">
        <v>135</v>
      </c>
      <c r="AK82" s="33" t="s">
        <v>25</v>
      </c>
      <c r="AL82" s="27"/>
      <c r="AM82" s="34" t="s">
        <v>25</v>
      </c>
      <c r="AN82" s="35" t="str">
        <f t="shared" si="8"/>
        <v>❌ Disc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8" customHeight="1" x14ac:dyDescent="0.3">
      <c r="A83" s="23">
        <v>79</v>
      </c>
      <c r="B83" s="24" t="s">
        <v>184</v>
      </c>
      <c r="C83" s="25" t="s">
        <v>185</v>
      </c>
      <c r="D83" s="23" t="s">
        <v>134</v>
      </c>
      <c r="E83" s="43">
        <v>46125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5"/>
        <v>✓ OK</v>
      </c>
      <c r="N83" s="43">
        <v>46139</v>
      </c>
      <c r="O83" s="26" t="s">
        <v>23</v>
      </c>
      <c r="P83" s="26" t="s">
        <v>25</v>
      </c>
      <c r="Q83" s="26" t="s">
        <v>24</v>
      </c>
      <c r="R83" s="26" t="s">
        <v>135</v>
      </c>
      <c r="S83" s="26" t="s">
        <v>25</v>
      </c>
      <c r="T83" s="27"/>
      <c r="U83" s="28" t="s">
        <v>25</v>
      </c>
      <c r="V83" s="29" t="str">
        <f t="shared" si="6"/>
        <v>❌ Disc</v>
      </c>
      <c r="W83" s="45">
        <v>46248</v>
      </c>
      <c r="X83" s="30" t="s">
        <v>23</v>
      </c>
      <c r="Y83" s="30" t="s">
        <v>25</v>
      </c>
      <c r="Z83" s="30" t="s">
        <v>24</v>
      </c>
      <c r="AA83" s="30" t="s">
        <v>135</v>
      </c>
      <c r="AB83" s="30" t="s">
        <v>25</v>
      </c>
      <c r="AC83" s="27"/>
      <c r="AD83" s="31" t="s">
        <v>25</v>
      </c>
      <c r="AE83" s="32" t="str">
        <f t="shared" si="7"/>
        <v>❌ Disc</v>
      </c>
      <c r="AF83" s="33" t="s">
        <v>27</v>
      </c>
      <c r="AG83" s="33" t="s">
        <v>23</v>
      </c>
      <c r="AH83" s="33" t="s">
        <v>25</v>
      </c>
      <c r="AI83" s="33" t="s">
        <v>24</v>
      </c>
      <c r="AJ83" s="33" t="s">
        <v>135</v>
      </c>
      <c r="AK83" s="33" t="s">
        <v>25</v>
      </c>
      <c r="AL83" s="27"/>
      <c r="AM83" s="34" t="s">
        <v>25</v>
      </c>
      <c r="AN83" s="35" t="str">
        <f t="shared" si="8"/>
        <v>❌ Disc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8" customHeight="1" x14ac:dyDescent="0.3">
      <c r="A84" s="39">
        <v>80</v>
      </c>
      <c r="B84" s="40" t="s">
        <v>186</v>
      </c>
      <c r="C84" s="41" t="s">
        <v>187</v>
      </c>
      <c r="D84" s="39" t="s">
        <v>134</v>
      </c>
      <c r="E84" s="43">
        <v>46125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5"/>
        <v>✓ OK</v>
      </c>
      <c r="N84" s="43">
        <v>46139</v>
      </c>
      <c r="O84" s="26" t="s">
        <v>23</v>
      </c>
      <c r="P84" s="26" t="s">
        <v>25</v>
      </c>
      <c r="Q84" s="26" t="s">
        <v>24</v>
      </c>
      <c r="R84" s="26" t="s">
        <v>135</v>
      </c>
      <c r="S84" s="26" t="s">
        <v>25</v>
      </c>
      <c r="T84" s="27"/>
      <c r="U84" s="28" t="s">
        <v>25</v>
      </c>
      <c r="V84" s="29" t="str">
        <f t="shared" si="6"/>
        <v>❌ Disc</v>
      </c>
      <c r="W84" s="45">
        <v>46248</v>
      </c>
      <c r="X84" s="30" t="s">
        <v>23</v>
      </c>
      <c r="Y84" s="30" t="s">
        <v>25</v>
      </c>
      <c r="Z84" s="30" t="s">
        <v>24</v>
      </c>
      <c r="AA84" s="30" t="s">
        <v>135</v>
      </c>
      <c r="AB84" s="30" t="s">
        <v>25</v>
      </c>
      <c r="AC84" s="27"/>
      <c r="AD84" s="31" t="s">
        <v>25</v>
      </c>
      <c r="AE84" s="32" t="str">
        <f t="shared" si="7"/>
        <v>❌ Disc</v>
      </c>
      <c r="AF84" s="33" t="s">
        <v>27</v>
      </c>
      <c r="AG84" s="33" t="s">
        <v>23</v>
      </c>
      <c r="AH84" s="33" t="s">
        <v>25</v>
      </c>
      <c r="AI84" s="33" t="s">
        <v>24</v>
      </c>
      <c r="AJ84" s="33" t="s">
        <v>135</v>
      </c>
      <c r="AK84" s="33" t="s">
        <v>25</v>
      </c>
      <c r="AL84" s="27"/>
      <c r="AM84" s="34" t="s">
        <v>25</v>
      </c>
      <c r="AN84" s="35" t="str">
        <f t="shared" si="8"/>
        <v>❌ Disc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8" customHeight="1" x14ac:dyDescent="0.3">
      <c r="A85" s="23">
        <v>81</v>
      </c>
      <c r="B85" s="24" t="s">
        <v>188</v>
      </c>
      <c r="C85" s="25" t="s">
        <v>189</v>
      </c>
      <c r="D85" s="23" t="s">
        <v>134</v>
      </c>
      <c r="E85" s="43">
        <v>46125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5"/>
        <v>✓ OK</v>
      </c>
      <c r="N85" s="43">
        <v>46139</v>
      </c>
      <c r="O85" s="26" t="s">
        <v>23</v>
      </c>
      <c r="P85" s="26" t="s">
        <v>25</v>
      </c>
      <c r="Q85" s="26" t="s">
        <v>24</v>
      </c>
      <c r="R85" s="26" t="s">
        <v>135</v>
      </c>
      <c r="S85" s="26" t="s">
        <v>25</v>
      </c>
      <c r="T85" s="27"/>
      <c r="U85" s="28" t="s">
        <v>25</v>
      </c>
      <c r="V85" s="29" t="str">
        <f t="shared" si="6"/>
        <v>❌ Disc</v>
      </c>
      <c r="W85" s="45">
        <v>46248</v>
      </c>
      <c r="X85" s="30" t="s">
        <v>23</v>
      </c>
      <c r="Y85" s="30" t="s">
        <v>25</v>
      </c>
      <c r="Z85" s="30" t="s">
        <v>24</v>
      </c>
      <c r="AA85" s="30" t="s">
        <v>135</v>
      </c>
      <c r="AB85" s="30" t="s">
        <v>25</v>
      </c>
      <c r="AC85" s="27"/>
      <c r="AD85" s="31" t="s">
        <v>25</v>
      </c>
      <c r="AE85" s="32" t="str">
        <f t="shared" si="7"/>
        <v>❌ Disc</v>
      </c>
      <c r="AF85" s="33" t="s">
        <v>27</v>
      </c>
      <c r="AG85" s="33" t="s">
        <v>23</v>
      </c>
      <c r="AH85" s="33" t="s">
        <v>25</v>
      </c>
      <c r="AI85" s="33" t="s">
        <v>24</v>
      </c>
      <c r="AJ85" s="33" t="s">
        <v>135</v>
      </c>
      <c r="AK85" s="33" t="s">
        <v>25</v>
      </c>
      <c r="AL85" s="27"/>
      <c r="AM85" s="34" t="s">
        <v>25</v>
      </c>
      <c r="AN85" s="35" t="str">
        <f t="shared" si="8"/>
        <v>❌ Disc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8" customHeight="1" x14ac:dyDescent="0.3">
      <c r="A86" s="39">
        <v>82</v>
      </c>
      <c r="B86" s="40" t="s">
        <v>190</v>
      </c>
      <c r="C86" s="41" t="s">
        <v>191</v>
      </c>
      <c r="D86" s="39" t="s">
        <v>134</v>
      </c>
      <c r="E86" s="43">
        <v>46125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5"/>
        <v>✓ OK</v>
      </c>
      <c r="N86" s="43">
        <v>46139</v>
      </c>
      <c r="O86" s="26" t="s">
        <v>23</v>
      </c>
      <c r="P86" s="26" t="s">
        <v>25</v>
      </c>
      <c r="Q86" s="26" t="s">
        <v>24</v>
      </c>
      <c r="R86" s="26" t="s">
        <v>135</v>
      </c>
      <c r="S86" s="26" t="s">
        <v>25</v>
      </c>
      <c r="T86" s="27"/>
      <c r="U86" s="28" t="s">
        <v>25</v>
      </c>
      <c r="V86" s="29" t="str">
        <f t="shared" si="6"/>
        <v>❌ Disc</v>
      </c>
      <c r="W86" s="45">
        <v>46248</v>
      </c>
      <c r="X86" s="30" t="s">
        <v>23</v>
      </c>
      <c r="Y86" s="30" t="s">
        <v>25</v>
      </c>
      <c r="Z86" s="30" t="s">
        <v>24</v>
      </c>
      <c r="AA86" s="30" t="s">
        <v>135</v>
      </c>
      <c r="AB86" s="30" t="s">
        <v>25</v>
      </c>
      <c r="AC86" s="27"/>
      <c r="AD86" s="31" t="s">
        <v>25</v>
      </c>
      <c r="AE86" s="32" t="str">
        <f t="shared" si="7"/>
        <v>❌ Disc</v>
      </c>
      <c r="AF86" s="33" t="s">
        <v>27</v>
      </c>
      <c r="AG86" s="33" t="s">
        <v>23</v>
      </c>
      <c r="AH86" s="33" t="s">
        <v>25</v>
      </c>
      <c r="AI86" s="33" t="s">
        <v>24</v>
      </c>
      <c r="AJ86" s="33" t="s">
        <v>135</v>
      </c>
      <c r="AK86" s="33" t="s">
        <v>25</v>
      </c>
      <c r="AL86" s="27"/>
      <c r="AM86" s="34" t="s">
        <v>25</v>
      </c>
      <c r="AN86" s="35" t="str">
        <f t="shared" si="8"/>
        <v>❌ Disc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8" customHeight="1" x14ac:dyDescent="0.3">
      <c r="A87" s="23">
        <v>83</v>
      </c>
      <c r="B87" s="24" t="s">
        <v>192</v>
      </c>
      <c r="C87" s="25" t="s">
        <v>193</v>
      </c>
      <c r="D87" s="23" t="s">
        <v>134</v>
      </c>
      <c r="E87" s="43">
        <v>46125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5"/>
        <v>✓ OK</v>
      </c>
      <c r="N87" s="43">
        <v>46139</v>
      </c>
      <c r="O87" s="26" t="s">
        <v>23</v>
      </c>
      <c r="P87" s="26" t="s">
        <v>25</v>
      </c>
      <c r="Q87" s="26" t="s">
        <v>24</v>
      </c>
      <c r="R87" s="26" t="s">
        <v>135</v>
      </c>
      <c r="S87" s="26" t="s">
        <v>25</v>
      </c>
      <c r="T87" s="27"/>
      <c r="U87" s="28" t="s">
        <v>25</v>
      </c>
      <c r="V87" s="29" t="str">
        <f t="shared" si="6"/>
        <v>❌ Disc</v>
      </c>
      <c r="W87" s="45">
        <v>46248</v>
      </c>
      <c r="X87" s="30" t="s">
        <v>23</v>
      </c>
      <c r="Y87" s="30" t="s">
        <v>25</v>
      </c>
      <c r="Z87" s="30" t="s">
        <v>24</v>
      </c>
      <c r="AA87" s="30" t="s">
        <v>135</v>
      </c>
      <c r="AB87" s="30" t="s">
        <v>25</v>
      </c>
      <c r="AC87" s="27"/>
      <c r="AD87" s="31" t="s">
        <v>25</v>
      </c>
      <c r="AE87" s="32" t="str">
        <f t="shared" si="7"/>
        <v>❌ Disc</v>
      </c>
      <c r="AF87" s="33" t="s">
        <v>27</v>
      </c>
      <c r="AG87" s="33" t="s">
        <v>23</v>
      </c>
      <c r="AH87" s="33" t="s">
        <v>25</v>
      </c>
      <c r="AI87" s="33" t="s">
        <v>24</v>
      </c>
      <c r="AJ87" s="33" t="s">
        <v>135</v>
      </c>
      <c r="AK87" s="33" t="s">
        <v>25</v>
      </c>
      <c r="AL87" s="27"/>
      <c r="AM87" s="34" t="s">
        <v>25</v>
      </c>
      <c r="AN87" s="35" t="str">
        <f t="shared" si="8"/>
        <v>❌ Disc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8" customHeight="1" x14ac:dyDescent="0.3">
      <c r="A88" s="39">
        <v>84</v>
      </c>
      <c r="B88" s="40" t="s">
        <v>194</v>
      </c>
      <c r="C88" s="41" t="s">
        <v>195</v>
      </c>
      <c r="D88" s="39" t="s">
        <v>134</v>
      </c>
      <c r="E88" s="43">
        <v>46125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5"/>
        <v>✓ OK</v>
      </c>
      <c r="N88" s="43">
        <v>46139</v>
      </c>
      <c r="O88" s="26" t="s">
        <v>23</v>
      </c>
      <c r="P88" s="26" t="s">
        <v>25</v>
      </c>
      <c r="Q88" s="26" t="s">
        <v>24</v>
      </c>
      <c r="R88" s="26" t="s">
        <v>135</v>
      </c>
      <c r="S88" s="26" t="s">
        <v>25</v>
      </c>
      <c r="T88" s="27"/>
      <c r="U88" s="28" t="s">
        <v>25</v>
      </c>
      <c r="V88" s="29" t="str">
        <f t="shared" si="6"/>
        <v>❌ Disc</v>
      </c>
      <c r="W88" s="45">
        <v>46248</v>
      </c>
      <c r="X88" s="30" t="s">
        <v>23</v>
      </c>
      <c r="Y88" s="30" t="s">
        <v>25</v>
      </c>
      <c r="Z88" s="30" t="s">
        <v>24</v>
      </c>
      <c r="AA88" s="30" t="s">
        <v>135</v>
      </c>
      <c r="AB88" s="30" t="s">
        <v>25</v>
      </c>
      <c r="AC88" s="27"/>
      <c r="AD88" s="31" t="s">
        <v>25</v>
      </c>
      <c r="AE88" s="32" t="str">
        <f t="shared" si="7"/>
        <v>❌ Disc</v>
      </c>
      <c r="AF88" s="33" t="s">
        <v>27</v>
      </c>
      <c r="AG88" s="33" t="s">
        <v>23</v>
      </c>
      <c r="AH88" s="33" t="s">
        <v>25</v>
      </c>
      <c r="AI88" s="33" t="s">
        <v>24</v>
      </c>
      <c r="AJ88" s="33" t="s">
        <v>135</v>
      </c>
      <c r="AK88" s="33" t="s">
        <v>25</v>
      </c>
      <c r="AL88" s="27"/>
      <c r="AM88" s="34" t="s">
        <v>25</v>
      </c>
      <c r="AN88" s="35" t="str">
        <f t="shared" si="8"/>
        <v>❌ Disc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8" customHeight="1" x14ac:dyDescent="0.3">
      <c r="A89" s="23">
        <v>85</v>
      </c>
      <c r="B89" s="24" t="s">
        <v>196</v>
      </c>
      <c r="C89" s="25" t="s">
        <v>197</v>
      </c>
      <c r="D89" s="23" t="s">
        <v>134</v>
      </c>
      <c r="E89" s="43">
        <v>46125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5"/>
        <v>✓ OK</v>
      </c>
      <c r="N89" s="43">
        <v>46139</v>
      </c>
      <c r="O89" s="26" t="s">
        <v>23</v>
      </c>
      <c r="P89" s="26" t="s">
        <v>25</v>
      </c>
      <c r="Q89" s="26" t="s">
        <v>24</v>
      </c>
      <c r="R89" s="26" t="s">
        <v>135</v>
      </c>
      <c r="S89" s="26" t="s">
        <v>25</v>
      </c>
      <c r="T89" s="27"/>
      <c r="U89" s="28" t="s">
        <v>25</v>
      </c>
      <c r="V89" s="29" t="str">
        <f t="shared" si="6"/>
        <v>❌ Disc</v>
      </c>
      <c r="W89" s="45">
        <v>46248</v>
      </c>
      <c r="X89" s="30" t="s">
        <v>23</v>
      </c>
      <c r="Y89" s="30" t="s">
        <v>25</v>
      </c>
      <c r="Z89" s="30" t="s">
        <v>24</v>
      </c>
      <c r="AA89" s="30" t="s">
        <v>135</v>
      </c>
      <c r="AB89" s="30" t="s">
        <v>25</v>
      </c>
      <c r="AC89" s="27"/>
      <c r="AD89" s="31" t="s">
        <v>25</v>
      </c>
      <c r="AE89" s="32" t="str">
        <f t="shared" si="7"/>
        <v>❌ Disc</v>
      </c>
      <c r="AF89" s="33" t="s">
        <v>27</v>
      </c>
      <c r="AG89" s="33" t="s">
        <v>23</v>
      </c>
      <c r="AH89" s="33" t="s">
        <v>25</v>
      </c>
      <c r="AI89" s="33" t="s">
        <v>24</v>
      </c>
      <c r="AJ89" s="33" t="s">
        <v>135</v>
      </c>
      <c r="AK89" s="33" t="s">
        <v>25</v>
      </c>
      <c r="AL89" s="27"/>
      <c r="AM89" s="34" t="s">
        <v>25</v>
      </c>
      <c r="AN89" s="35" t="str">
        <f t="shared" si="8"/>
        <v>❌ Disc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8" customHeight="1" x14ac:dyDescent="0.3">
      <c r="A90" s="39">
        <v>86</v>
      </c>
      <c r="B90" s="40" t="s">
        <v>198</v>
      </c>
      <c r="C90" s="41" t="s">
        <v>199</v>
      </c>
      <c r="D90" s="39" t="s">
        <v>134</v>
      </c>
      <c r="E90" s="43">
        <v>46125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5"/>
        <v>✓ OK</v>
      </c>
      <c r="N90" s="43">
        <v>46139</v>
      </c>
      <c r="O90" s="26" t="s">
        <v>23</v>
      </c>
      <c r="P90" s="26" t="s">
        <v>25</v>
      </c>
      <c r="Q90" s="26" t="s">
        <v>24</v>
      </c>
      <c r="R90" s="26" t="s">
        <v>135</v>
      </c>
      <c r="S90" s="26" t="s">
        <v>25</v>
      </c>
      <c r="T90" s="27"/>
      <c r="U90" s="28" t="s">
        <v>25</v>
      </c>
      <c r="V90" s="29" t="str">
        <f t="shared" si="6"/>
        <v>❌ Disc</v>
      </c>
      <c r="W90" s="45">
        <v>46248</v>
      </c>
      <c r="X90" s="30" t="s">
        <v>23</v>
      </c>
      <c r="Y90" s="30" t="s">
        <v>25</v>
      </c>
      <c r="Z90" s="30" t="s">
        <v>24</v>
      </c>
      <c r="AA90" s="30" t="s">
        <v>135</v>
      </c>
      <c r="AB90" s="30" t="s">
        <v>25</v>
      </c>
      <c r="AC90" s="27"/>
      <c r="AD90" s="31" t="s">
        <v>25</v>
      </c>
      <c r="AE90" s="32" t="str">
        <f t="shared" si="7"/>
        <v>❌ Disc</v>
      </c>
      <c r="AF90" s="33" t="s">
        <v>27</v>
      </c>
      <c r="AG90" s="33" t="s">
        <v>23</v>
      </c>
      <c r="AH90" s="33" t="s">
        <v>25</v>
      </c>
      <c r="AI90" s="33" t="s">
        <v>24</v>
      </c>
      <c r="AJ90" s="33" t="s">
        <v>135</v>
      </c>
      <c r="AK90" s="33" t="s">
        <v>25</v>
      </c>
      <c r="AL90" s="27"/>
      <c r="AM90" s="34" t="s">
        <v>25</v>
      </c>
      <c r="AN90" s="35" t="str">
        <f t="shared" si="8"/>
        <v>❌ Disc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8" customHeight="1" x14ac:dyDescent="0.3">
      <c r="A91" s="23">
        <v>87</v>
      </c>
      <c r="B91" s="24" t="s">
        <v>200</v>
      </c>
      <c r="C91" s="25" t="s">
        <v>201</v>
      </c>
      <c r="D91" s="23" t="s">
        <v>134</v>
      </c>
      <c r="E91" s="43">
        <v>46125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5"/>
        <v>✓ OK</v>
      </c>
      <c r="N91" s="43">
        <v>46139</v>
      </c>
      <c r="O91" s="26" t="s">
        <v>23</v>
      </c>
      <c r="P91" s="26" t="s">
        <v>25</v>
      </c>
      <c r="Q91" s="26" t="s">
        <v>24</v>
      </c>
      <c r="R91" s="26" t="s">
        <v>135</v>
      </c>
      <c r="S91" s="26" t="s">
        <v>25</v>
      </c>
      <c r="T91" s="27"/>
      <c r="U91" s="28" t="s">
        <v>25</v>
      </c>
      <c r="V91" s="29" t="str">
        <f t="shared" si="6"/>
        <v>❌ Disc</v>
      </c>
      <c r="W91" s="45">
        <v>46248</v>
      </c>
      <c r="X91" s="30" t="s">
        <v>23</v>
      </c>
      <c r="Y91" s="30" t="s">
        <v>25</v>
      </c>
      <c r="Z91" s="30" t="s">
        <v>24</v>
      </c>
      <c r="AA91" s="30" t="s">
        <v>135</v>
      </c>
      <c r="AB91" s="30" t="s">
        <v>25</v>
      </c>
      <c r="AC91" s="27"/>
      <c r="AD91" s="31" t="s">
        <v>25</v>
      </c>
      <c r="AE91" s="32" t="str">
        <f t="shared" si="7"/>
        <v>❌ Disc</v>
      </c>
      <c r="AF91" s="33" t="s">
        <v>27</v>
      </c>
      <c r="AG91" s="33" t="s">
        <v>23</v>
      </c>
      <c r="AH91" s="33" t="s">
        <v>25</v>
      </c>
      <c r="AI91" s="33" t="s">
        <v>24</v>
      </c>
      <c r="AJ91" s="33" t="s">
        <v>135</v>
      </c>
      <c r="AK91" s="33" t="s">
        <v>25</v>
      </c>
      <c r="AL91" s="27"/>
      <c r="AM91" s="34" t="s">
        <v>25</v>
      </c>
      <c r="AN91" s="35" t="str">
        <f t="shared" si="8"/>
        <v>❌ Disc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8" customHeight="1" x14ac:dyDescent="0.3">
      <c r="A92" s="39">
        <v>88</v>
      </c>
      <c r="B92" s="40" t="s">
        <v>202</v>
      </c>
      <c r="C92" s="41" t="s">
        <v>203</v>
      </c>
      <c r="D92" s="39" t="s">
        <v>134</v>
      </c>
      <c r="E92" s="43">
        <v>46125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/>
      <c r="L92" s="28" t="s">
        <v>25</v>
      </c>
      <c r="M92" s="29" t="str">
        <f t="shared" si="5"/>
        <v>✓ OK</v>
      </c>
      <c r="N92" s="43">
        <v>46139</v>
      </c>
      <c r="O92" s="26" t="s">
        <v>23</v>
      </c>
      <c r="P92" s="26" t="s">
        <v>25</v>
      </c>
      <c r="Q92" s="26" t="s">
        <v>24</v>
      </c>
      <c r="R92" s="26" t="s">
        <v>135</v>
      </c>
      <c r="S92" s="26" t="s">
        <v>25</v>
      </c>
      <c r="T92" s="27"/>
      <c r="U92" s="28" t="s">
        <v>25</v>
      </c>
      <c r="V92" s="29" t="str">
        <f t="shared" si="6"/>
        <v>❌ Disc</v>
      </c>
      <c r="W92" s="45">
        <v>46248</v>
      </c>
      <c r="X92" s="30" t="s">
        <v>23</v>
      </c>
      <c r="Y92" s="30" t="s">
        <v>25</v>
      </c>
      <c r="Z92" s="30" t="s">
        <v>24</v>
      </c>
      <c r="AA92" s="30" t="s">
        <v>135</v>
      </c>
      <c r="AB92" s="30" t="s">
        <v>25</v>
      </c>
      <c r="AC92" s="27"/>
      <c r="AD92" s="31" t="s">
        <v>25</v>
      </c>
      <c r="AE92" s="32" t="str">
        <f t="shared" si="7"/>
        <v>❌ Disc</v>
      </c>
      <c r="AF92" s="33" t="s">
        <v>27</v>
      </c>
      <c r="AG92" s="33" t="s">
        <v>23</v>
      </c>
      <c r="AH92" s="33" t="s">
        <v>25</v>
      </c>
      <c r="AI92" s="33" t="s">
        <v>24</v>
      </c>
      <c r="AJ92" s="33" t="s">
        <v>135</v>
      </c>
      <c r="AK92" s="33" t="s">
        <v>25</v>
      </c>
      <c r="AL92" s="27"/>
      <c r="AM92" s="34" t="s">
        <v>25</v>
      </c>
      <c r="AN92" s="35" t="str">
        <f t="shared" si="8"/>
        <v>❌ Disc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8" customHeight="1" x14ac:dyDescent="0.3">
      <c r="A93" s="23">
        <v>89</v>
      </c>
      <c r="B93" s="24" t="s">
        <v>204</v>
      </c>
      <c r="C93" s="25" t="s">
        <v>205</v>
      </c>
      <c r="D93" s="23" t="s">
        <v>134</v>
      </c>
      <c r="E93" s="43">
        <v>46125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/>
      <c r="L93" s="28" t="s">
        <v>25</v>
      </c>
      <c r="M93" s="29" t="str">
        <f t="shared" si="5"/>
        <v>✓ OK</v>
      </c>
      <c r="N93" s="43">
        <v>46139</v>
      </c>
      <c r="O93" s="26" t="s">
        <v>23</v>
      </c>
      <c r="P93" s="26" t="s">
        <v>25</v>
      </c>
      <c r="Q93" s="26" t="s">
        <v>24</v>
      </c>
      <c r="R93" s="26" t="s">
        <v>135</v>
      </c>
      <c r="S93" s="26" t="s">
        <v>25</v>
      </c>
      <c r="T93" s="27"/>
      <c r="U93" s="28" t="s">
        <v>25</v>
      </c>
      <c r="V93" s="29" t="str">
        <f t="shared" si="6"/>
        <v>❌ Disc</v>
      </c>
      <c r="W93" s="45">
        <v>46248</v>
      </c>
      <c r="X93" s="30" t="s">
        <v>23</v>
      </c>
      <c r="Y93" s="30" t="s">
        <v>25</v>
      </c>
      <c r="Z93" s="30" t="s">
        <v>24</v>
      </c>
      <c r="AA93" s="30" t="s">
        <v>135</v>
      </c>
      <c r="AB93" s="30" t="s">
        <v>25</v>
      </c>
      <c r="AC93" s="27"/>
      <c r="AD93" s="31" t="s">
        <v>25</v>
      </c>
      <c r="AE93" s="32" t="str">
        <f t="shared" si="7"/>
        <v>❌ Disc</v>
      </c>
      <c r="AF93" s="33" t="s">
        <v>27</v>
      </c>
      <c r="AG93" s="33" t="s">
        <v>23</v>
      </c>
      <c r="AH93" s="33" t="s">
        <v>25</v>
      </c>
      <c r="AI93" s="33" t="s">
        <v>24</v>
      </c>
      <c r="AJ93" s="33" t="s">
        <v>135</v>
      </c>
      <c r="AK93" s="33" t="s">
        <v>25</v>
      </c>
      <c r="AL93" s="27"/>
      <c r="AM93" s="34" t="s">
        <v>25</v>
      </c>
      <c r="AN93" s="35" t="str">
        <f t="shared" si="8"/>
        <v>❌ Disc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8" customHeight="1" x14ac:dyDescent="0.3">
      <c r="A94" s="39">
        <v>90</v>
      </c>
      <c r="B94" s="40" t="s">
        <v>206</v>
      </c>
      <c r="C94" s="41" t="s">
        <v>207</v>
      </c>
      <c r="D94" s="39" t="s">
        <v>134</v>
      </c>
      <c r="E94" s="43">
        <v>46125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/>
      <c r="L94" s="28" t="s">
        <v>25</v>
      </c>
      <c r="M94" s="29" t="str">
        <f t="shared" si="5"/>
        <v>✓ OK</v>
      </c>
      <c r="N94" s="43">
        <v>46139</v>
      </c>
      <c r="O94" s="26" t="s">
        <v>23</v>
      </c>
      <c r="P94" s="26" t="s">
        <v>25</v>
      </c>
      <c r="Q94" s="26" t="s">
        <v>24</v>
      </c>
      <c r="R94" s="26" t="s">
        <v>135</v>
      </c>
      <c r="S94" s="26" t="s">
        <v>25</v>
      </c>
      <c r="T94" s="27"/>
      <c r="U94" s="28" t="s">
        <v>25</v>
      </c>
      <c r="V94" s="29" t="str">
        <f t="shared" si="6"/>
        <v>❌ Disc</v>
      </c>
      <c r="W94" s="45">
        <v>46248</v>
      </c>
      <c r="X94" s="30" t="s">
        <v>23</v>
      </c>
      <c r="Y94" s="30" t="s">
        <v>25</v>
      </c>
      <c r="Z94" s="30" t="s">
        <v>24</v>
      </c>
      <c r="AA94" s="30" t="s">
        <v>135</v>
      </c>
      <c r="AB94" s="30" t="s">
        <v>25</v>
      </c>
      <c r="AC94" s="27"/>
      <c r="AD94" s="31" t="s">
        <v>25</v>
      </c>
      <c r="AE94" s="32" t="str">
        <f t="shared" si="7"/>
        <v>❌ Disc</v>
      </c>
      <c r="AF94" s="33" t="s">
        <v>27</v>
      </c>
      <c r="AG94" s="33" t="s">
        <v>23</v>
      </c>
      <c r="AH94" s="33" t="s">
        <v>25</v>
      </c>
      <c r="AI94" s="33" t="s">
        <v>24</v>
      </c>
      <c r="AJ94" s="33" t="s">
        <v>135</v>
      </c>
      <c r="AK94" s="33" t="s">
        <v>25</v>
      </c>
      <c r="AL94" s="27"/>
      <c r="AM94" s="34" t="s">
        <v>25</v>
      </c>
      <c r="AN94" s="35" t="str">
        <f t="shared" si="8"/>
        <v>❌ Disc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8" customHeight="1" x14ac:dyDescent="0.3">
      <c r="A95" s="23">
        <v>91</v>
      </c>
      <c r="B95" s="24" t="s">
        <v>208</v>
      </c>
      <c r="C95" s="25" t="s">
        <v>209</v>
      </c>
      <c r="D95" s="23" t="s">
        <v>134</v>
      </c>
      <c r="E95" s="43">
        <v>46125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5"/>
        <v>✓ OK</v>
      </c>
      <c r="N95" s="43">
        <v>46139</v>
      </c>
      <c r="O95" s="26" t="s">
        <v>23</v>
      </c>
      <c r="P95" s="26" t="s">
        <v>25</v>
      </c>
      <c r="Q95" s="26" t="s">
        <v>24</v>
      </c>
      <c r="R95" s="26" t="s">
        <v>135</v>
      </c>
      <c r="S95" s="26" t="s">
        <v>25</v>
      </c>
      <c r="T95" s="27"/>
      <c r="U95" s="28" t="s">
        <v>25</v>
      </c>
      <c r="V95" s="29" t="str">
        <f t="shared" si="6"/>
        <v>❌ Disc</v>
      </c>
      <c r="W95" s="45">
        <v>46248</v>
      </c>
      <c r="X95" s="30" t="s">
        <v>23</v>
      </c>
      <c r="Y95" s="30" t="s">
        <v>25</v>
      </c>
      <c r="Z95" s="30" t="s">
        <v>24</v>
      </c>
      <c r="AA95" s="30" t="s">
        <v>135</v>
      </c>
      <c r="AB95" s="30" t="s">
        <v>25</v>
      </c>
      <c r="AC95" s="27"/>
      <c r="AD95" s="31" t="s">
        <v>25</v>
      </c>
      <c r="AE95" s="32" t="str">
        <f t="shared" si="7"/>
        <v>❌ Disc</v>
      </c>
      <c r="AF95" s="33" t="s">
        <v>27</v>
      </c>
      <c r="AG95" s="33" t="s">
        <v>23</v>
      </c>
      <c r="AH95" s="33" t="s">
        <v>25</v>
      </c>
      <c r="AI95" s="33" t="s">
        <v>24</v>
      </c>
      <c r="AJ95" s="33" t="s">
        <v>135</v>
      </c>
      <c r="AK95" s="33" t="s">
        <v>25</v>
      </c>
      <c r="AL95" s="27"/>
      <c r="AM95" s="34" t="s">
        <v>25</v>
      </c>
      <c r="AN95" s="35" t="str">
        <f t="shared" si="8"/>
        <v>❌ Disc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8" customHeight="1" x14ac:dyDescent="0.3">
      <c r="A96" s="39">
        <v>92</v>
      </c>
      <c r="B96" s="40" t="s">
        <v>210</v>
      </c>
      <c r="C96" s="41" t="s">
        <v>211</v>
      </c>
      <c r="D96" s="39" t="s">
        <v>134</v>
      </c>
      <c r="E96" s="43">
        <v>46125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5"/>
        <v>✓ OK</v>
      </c>
      <c r="N96" s="43">
        <v>46139</v>
      </c>
      <c r="O96" s="26" t="s">
        <v>23</v>
      </c>
      <c r="P96" s="26" t="s">
        <v>25</v>
      </c>
      <c r="Q96" s="26" t="s">
        <v>24</v>
      </c>
      <c r="R96" s="26" t="s">
        <v>135</v>
      </c>
      <c r="S96" s="26" t="s">
        <v>25</v>
      </c>
      <c r="T96" s="27"/>
      <c r="U96" s="28" t="s">
        <v>25</v>
      </c>
      <c r="V96" s="29" t="str">
        <f t="shared" si="6"/>
        <v>❌ Disc</v>
      </c>
      <c r="W96" s="45">
        <v>46248</v>
      </c>
      <c r="X96" s="30" t="s">
        <v>23</v>
      </c>
      <c r="Y96" s="30" t="s">
        <v>25</v>
      </c>
      <c r="Z96" s="30" t="s">
        <v>24</v>
      </c>
      <c r="AA96" s="30" t="s">
        <v>135</v>
      </c>
      <c r="AB96" s="30" t="s">
        <v>25</v>
      </c>
      <c r="AC96" s="27"/>
      <c r="AD96" s="31" t="s">
        <v>25</v>
      </c>
      <c r="AE96" s="32" t="str">
        <f t="shared" si="7"/>
        <v>❌ Disc</v>
      </c>
      <c r="AF96" s="33" t="s">
        <v>27</v>
      </c>
      <c r="AG96" s="33" t="s">
        <v>23</v>
      </c>
      <c r="AH96" s="33" t="s">
        <v>25</v>
      </c>
      <c r="AI96" s="33" t="s">
        <v>24</v>
      </c>
      <c r="AJ96" s="33" t="s">
        <v>135</v>
      </c>
      <c r="AK96" s="33" t="s">
        <v>25</v>
      </c>
      <c r="AL96" s="27"/>
      <c r="AM96" s="34" t="s">
        <v>25</v>
      </c>
      <c r="AN96" s="35" t="str">
        <f t="shared" si="8"/>
        <v>❌ Disc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8" customHeight="1" x14ac:dyDescent="0.3">
      <c r="A97" s="23">
        <v>93</v>
      </c>
      <c r="B97" s="24" t="s">
        <v>212</v>
      </c>
      <c r="C97" s="25" t="s">
        <v>213</v>
      </c>
      <c r="D97" s="23" t="s">
        <v>134</v>
      </c>
      <c r="E97" s="43">
        <v>46125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5"/>
        <v>✓ OK</v>
      </c>
      <c r="N97" s="43">
        <v>46139</v>
      </c>
      <c r="O97" s="26" t="s">
        <v>23</v>
      </c>
      <c r="P97" s="26" t="s">
        <v>25</v>
      </c>
      <c r="Q97" s="26" t="s">
        <v>24</v>
      </c>
      <c r="R97" s="26" t="s">
        <v>135</v>
      </c>
      <c r="S97" s="26" t="s">
        <v>25</v>
      </c>
      <c r="T97" s="27"/>
      <c r="U97" s="28" t="s">
        <v>25</v>
      </c>
      <c r="V97" s="29" t="str">
        <f t="shared" si="6"/>
        <v>❌ Disc</v>
      </c>
      <c r="W97" s="45">
        <v>46248</v>
      </c>
      <c r="X97" s="30" t="s">
        <v>23</v>
      </c>
      <c r="Y97" s="30" t="s">
        <v>25</v>
      </c>
      <c r="Z97" s="30" t="s">
        <v>24</v>
      </c>
      <c r="AA97" s="30" t="s">
        <v>135</v>
      </c>
      <c r="AB97" s="30" t="s">
        <v>25</v>
      </c>
      <c r="AC97" s="27"/>
      <c r="AD97" s="31" t="s">
        <v>25</v>
      </c>
      <c r="AE97" s="32" t="str">
        <f t="shared" si="7"/>
        <v>❌ Disc</v>
      </c>
      <c r="AF97" s="33" t="s">
        <v>27</v>
      </c>
      <c r="AG97" s="33" t="s">
        <v>23</v>
      </c>
      <c r="AH97" s="33" t="s">
        <v>25</v>
      </c>
      <c r="AI97" s="33" t="s">
        <v>24</v>
      </c>
      <c r="AJ97" s="33" t="s">
        <v>135</v>
      </c>
      <c r="AK97" s="33" t="s">
        <v>25</v>
      </c>
      <c r="AL97" s="27"/>
      <c r="AM97" s="34" t="s">
        <v>25</v>
      </c>
      <c r="AN97" s="35" t="str">
        <f t="shared" si="8"/>
        <v>❌ Disc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8" customHeight="1" x14ac:dyDescent="0.3">
      <c r="A98" s="39">
        <v>94</v>
      </c>
      <c r="B98" s="40" t="s">
        <v>214</v>
      </c>
      <c r="C98" s="41" t="s">
        <v>215</v>
      </c>
      <c r="D98" s="39" t="s">
        <v>216</v>
      </c>
      <c r="E98" s="43">
        <v>46125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5"/>
        <v>✓ OK</v>
      </c>
      <c r="N98" s="43">
        <v>46139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6"/>
        <v>✓ OK</v>
      </c>
      <c r="W98" s="45">
        <v>46248</v>
      </c>
      <c r="X98" s="30" t="s">
        <v>23</v>
      </c>
      <c r="Y98" s="30" t="s">
        <v>24</v>
      </c>
      <c r="Z98" s="30" t="s">
        <v>25</v>
      </c>
      <c r="AA98" s="30" t="s">
        <v>26</v>
      </c>
      <c r="AB98" s="30" t="s">
        <v>24</v>
      </c>
      <c r="AC98" s="27"/>
      <c r="AD98" s="31" t="s">
        <v>25</v>
      </c>
      <c r="AE98" s="32" t="str">
        <f t="shared" si="7"/>
        <v>✓ OK</v>
      </c>
      <c r="AF98" s="33" t="s">
        <v>27</v>
      </c>
      <c r="AG98" s="33" t="s">
        <v>23</v>
      </c>
      <c r="AH98" s="33" t="s">
        <v>24</v>
      </c>
      <c r="AI98" s="33" t="s">
        <v>25</v>
      </c>
      <c r="AJ98" s="33" t="s">
        <v>26</v>
      </c>
      <c r="AK98" s="33" t="s">
        <v>24</v>
      </c>
      <c r="AL98" s="27"/>
      <c r="AM98" s="34" t="s">
        <v>25</v>
      </c>
      <c r="AN98" s="35" t="str">
        <f t="shared" si="8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8" customHeight="1" x14ac:dyDescent="0.3">
      <c r="A99" s="23">
        <v>95</v>
      </c>
      <c r="B99" s="24" t="s">
        <v>217</v>
      </c>
      <c r="C99" s="25" t="s">
        <v>218</v>
      </c>
      <c r="D99" s="23" t="s">
        <v>216</v>
      </c>
      <c r="E99" s="43">
        <v>46125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5"/>
        <v>✓ OK</v>
      </c>
      <c r="N99" s="43">
        <v>46139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6"/>
        <v>✓ OK</v>
      </c>
      <c r="W99" s="45">
        <v>46248</v>
      </c>
      <c r="X99" s="30" t="s">
        <v>23</v>
      </c>
      <c r="Y99" s="30" t="s">
        <v>24</v>
      </c>
      <c r="Z99" s="30" t="s">
        <v>25</v>
      </c>
      <c r="AA99" s="30" t="s">
        <v>26</v>
      </c>
      <c r="AB99" s="30" t="s">
        <v>24</v>
      </c>
      <c r="AC99" s="27"/>
      <c r="AD99" s="31" t="s">
        <v>25</v>
      </c>
      <c r="AE99" s="32" t="str">
        <f t="shared" si="7"/>
        <v>✓ OK</v>
      </c>
      <c r="AF99" s="33" t="s">
        <v>27</v>
      </c>
      <c r="AG99" s="33" t="s">
        <v>23</v>
      </c>
      <c r="AH99" s="33" t="s">
        <v>24</v>
      </c>
      <c r="AI99" s="33" t="s">
        <v>25</v>
      </c>
      <c r="AJ99" s="33" t="s">
        <v>26</v>
      </c>
      <c r="AK99" s="33" t="s">
        <v>24</v>
      </c>
      <c r="AL99" s="27"/>
      <c r="AM99" s="34" t="s">
        <v>25</v>
      </c>
      <c r="AN99" s="35" t="str">
        <f t="shared" si="8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8" customHeight="1" x14ac:dyDescent="0.3">
      <c r="A100" s="39">
        <v>96</v>
      </c>
      <c r="B100" s="40" t="s">
        <v>219</v>
      </c>
      <c r="C100" s="41" t="s">
        <v>220</v>
      </c>
      <c r="D100" s="39" t="s">
        <v>216</v>
      </c>
      <c r="E100" s="43">
        <v>46125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5"/>
        <v>✓ OK</v>
      </c>
      <c r="N100" s="43">
        <v>46139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6"/>
        <v>✓ OK</v>
      </c>
      <c r="W100" s="45">
        <v>46248</v>
      </c>
      <c r="X100" s="30" t="s">
        <v>23</v>
      </c>
      <c r="Y100" s="30" t="s">
        <v>24</v>
      </c>
      <c r="Z100" s="30" t="s">
        <v>25</v>
      </c>
      <c r="AA100" s="30" t="s">
        <v>26</v>
      </c>
      <c r="AB100" s="30" t="s">
        <v>24</v>
      </c>
      <c r="AC100" s="27"/>
      <c r="AD100" s="31" t="s">
        <v>25</v>
      </c>
      <c r="AE100" s="32" t="str">
        <f t="shared" si="7"/>
        <v>✓ OK</v>
      </c>
      <c r="AF100" s="33" t="s">
        <v>27</v>
      </c>
      <c r="AG100" s="33" t="s">
        <v>23</v>
      </c>
      <c r="AH100" s="33" t="s">
        <v>24</v>
      </c>
      <c r="AI100" s="33" t="s">
        <v>25</v>
      </c>
      <c r="AJ100" s="33" t="s">
        <v>26</v>
      </c>
      <c r="AK100" s="33" t="s">
        <v>24</v>
      </c>
      <c r="AL100" s="27"/>
      <c r="AM100" s="34" t="s">
        <v>25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8" customHeight="1" x14ac:dyDescent="0.3">
      <c r="A101" s="23">
        <v>97</v>
      </c>
      <c r="B101" s="24" t="s">
        <v>221</v>
      </c>
      <c r="C101" s="25" t="s">
        <v>222</v>
      </c>
      <c r="D101" s="23" t="s">
        <v>216</v>
      </c>
      <c r="E101" s="43">
        <v>46125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si="5"/>
        <v>✓ OK</v>
      </c>
      <c r="N101" s="43">
        <v>46139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si="6"/>
        <v>✓ OK</v>
      </c>
      <c r="W101" s="45">
        <v>46248</v>
      </c>
      <c r="X101" s="30" t="s">
        <v>23</v>
      </c>
      <c r="Y101" s="30" t="s">
        <v>24</v>
      </c>
      <c r="Z101" s="30" t="s">
        <v>25</v>
      </c>
      <c r="AA101" s="30" t="s">
        <v>26</v>
      </c>
      <c r="AB101" s="30" t="s">
        <v>24</v>
      </c>
      <c r="AC101" s="27"/>
      <c r="AD101" s="31" t="s">
        <v>25</v>
      </c>
      <c r="AE101" s="32" t="str">
        <f t="shared" si="7"/>
        <v>✓ OK</v>
      </c>
      <c r="AF101" s="33" t="s">
        <v>27</v>
      </c>
      <c r="AG101" s="33" t="s">
        <v>23</v>
      </c>
      <c r="AH101" s="33" t="s">
        <v>24</v>
      </c>
      <c r="AI101" s="33" t="s">
        <v>25</v>
      </c>
      <c r="AJ101" s="33" t="s">
        <v>26</v>
      </c>
      <c r="AK101" s="33" t="s">
        <v>24</v>
      </c>
      <c r="AL101" s="27"/>
      <c r="AM101" s="34" t="s">
        <v>25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8" customHeight="1" x14ac:dyDescent="0.3">
      <c r="A102" s="39">
        <v>98</v>
      </c>
      <c r="B102" s="40" t="s">
        <v>223</v>
      </c>
      <c r="C102" s="41" t="s">
        <v>224</v>
      </c>
      <c r="D102" s="39" t="s">
        <v>216</v>
      </c>
      <c r="E102" s="43">
        <v>46125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5"/>
        <v>✓ OK</v>
      </c>
      <c r="N102" s="43">
        <v>46139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6"/>
        <v>✓ OK</v>
      </c>
      <c r="W102" s="45">
        <v>46248</v>
      </c>
      <c r="X102" s="30" t="s">
        <v>23</v>
      </c>
      <c r="Y102" s="30" t="s">
        <v>24</v>
      </c>
      <c r="Z102" s="30" t="s">
        <v>25</v>
      </c>
      <c r="AA102" s="30" t="s">
        <v>26</v>
      </c>
      <c r="AB102" s="30" t="s">
        <v>24</v>
      </c>
      <c r="AC102" s="27"/>
      <c r="AD102" s="31" t="s">
        <v>25</v>
      </c>
      <c r="AE102" s="32" t="str">
        <f t="shared" si="7"/>
        <v>✓ OK</v>
      </c>
      <c r="AF102" s="33" t="s">
        <v>27</v>
      </c>
      <c r="AG102" s="33" t="s">
        <v>23</v>
      </c>
      <c r="AH102" s="33" t="s">
        <v>24</v>
      </c>
      <c r="AI102" s="33" t="s">
        <v>25</v>
      </c>
      <c r="AJ102" s="33" t="s">
        <v>26</v>
      </c>
      <c r="AK102" s="33" t="s">
        <v>24</v>
      </c>
      <c r="AL102" s="27"/>
      <c r="AM102" s="34" t="s">
        <v>25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8" customHeight="1" x14ac:dyDescent="0.3">
      <c r="A103" s="23">
        <v>99</v>
      </c>
      <c r="B103" s="24" t="s">
        <v>225</v>
      </c>
      <c r="C103" s="25" t="s">
        <v>226</v>
      </c>
      <c r="D103" s="23" t="s">
        <v>216</v>
      </c>
      <c r="E103" s="43">
        <v>46125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5"/>
        <v>✓ OK</v>
      </c>
      <c r="N103" s="43">
        <v>46139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6"/>
        <v>✓ OK</v>
      </c>
      <c r="W103" s="45">
        <v>46248</v>
      </c>
      <c r="X103" s="30" t="s">
        <v>23</v>
      </c>
      <c r="Y103" s="30" t="s">
        <v>24</v>
      </c>
      <c r="Z103" s="30" t="s">
        <v>25</v>
      </c>
      <c r="AA103" s="30" t="s">
        <v>26</v>
      </c>
      <c r="AB103" s="30" t="s">
        <v>24</v>
      </c>
      <c r="AC103" s="27"/>
      <c r="AD103" s="31" t="s">
        <v>25</v>
      </c>
      <c r="AE103" s="32" t="str">
        <f t="shared" si="7"/>
        <v>✓ OK</v>
      </c>
      <c r="AF103" s="33" t="s">
        <v>27</v>
      </c>
      <c r="AG103" s="33" t="s">
        <v>23</v>
      </c>
      <c r="AH103" s="33" t="s">
        <v>24</v>
      </c>
      <c r="AI103" s="33" t="s">
        <v>25</v>
      </c>
      <c r="AJ103" s="33" t="s">
        <v>26</v>
      </c>
      <c r="AK103" s="33" t="s">
        <v>24</v>
      </c>
      <c r="AL103" s="27"/>
      <c r="AM103" s="34" t="s">
        <v>25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8" customHeight="1" x14ac:dyDescent="0.3">
      <c r="A104" s="39">
        <v>100</v>
      </c>
      <c r="B104" s="40" t="s">
        <v>227</v>
      </c>
      <c r="C104" s="41" t="s">
        <v>228</v>
      </c>
      <c r="D104" s="39" t="s">
        <v>216</v>
      </c>
      <c r="E104" s="43">
        <v>46125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5"/>
        <v>✓ OK</v>
      </c>
      <c r="N104" s="43">
        <v>46139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6"/>
        <v>✓ OK</v>
      </c>
      <c r="W104" s="45">
        <v>46248</v>
      </c>
      <c r="X104" s="30" t="s">
        <v>23</v>
      </c>
      <c r="Y104" s="30" t="s">
        <v>24</v>
      </c>
      <c r="Z104" s="30" t="s">
        <v>25</v>
      </c>
      <c r="AA104" s="30" t="s">
        <v>26</v>
      </c>
      <c r="AB104" s="30" t="s">
        <v>24</v>
      </c>
      <c r="AC104" s="27"/>
      <c r="AD104" s="31" t="s">
        <v>25</v>
      </c>
      <c r="AE104" s="32" t="str">
        <f t="shared" si="7"/>
        <v>✓ OK</v>
      </c>
      <c r="AF104" s="33" t="s">
        <v>27</v>
      </c>
      <c r="AG104" s="33" t="s">
        <v>23</v>
      </c>
      <c r="AH104" s="33" t="s">
        <v>24</v>
      </c>
      <c r="AI104" s="33" t="s">
        <v>25</v>
      </c>
      <c r="AJ104" s="33" t="s">
        <v>26</v>
      </c>
      <c r="AK104" s="33" t="s">
        <v>24</v>
      </c>
      <c r="AL104" s="27"/>
      <c r="AM104" s="34" t="s">
        <v>25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8" customHeight="1" x14ac:dyDescent="0.3">
      <c r="A105" s="23">
        <v>101</v>
      </c>
      <c r="B105" s="24" t="s">
        <v>229</v>
      </c>
      <c r="C105" s="25" t="s">
        <v>230</v>
      </c>
      <c r="D105" s="23" t="s">
        <v>216</v>
      </c>
      <c r="E105" s="43">
        <v>46125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5"/>
        <v>✓ OK</v>
      </c>
      <c r="N105" s="43">
        <v>46139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6"/>
        <v>✓ OK</v>
      </c>
      <c r="W105" s="45">
        <v>46248</v>
      </c>
      <c r="X105" s="30" t="s">
        <v>23</v>
      </c>
      <c r="Y105" s="30" t="s">
        <v>24</v>
      </c>
      <c r="Z105" s="30" t="s">
        <v>25</v>
      </c>
      <c r="AA105" s="30" t="s">
        <v>26</v>
      </c>
      <c r="AB105" s="30" t="s">
        <v>24</v>
      </c>
      <c r="AC105" s="27"/>
      <c r="AD105" s="31" t="s">
        <v>25</v>
      </c>
      <c r="AE105" s="32" t="str">
        <f t="shared" si="7"/>
        <v>✓ OK</v>
      </c>
      <c r="AF105" s="33" t="s">
        <v>27</v>
      </c>
      <c r="AG105" s="33" t="s">
        <v>23</v>
      </c>
      <c r="AH105" s="33" t="s">
        <v>24</v>
      </c>
      <c r="AI105" s="33" t="s">
        <v>25</v>
      </c>
      <c r="AJ105" s="33" t="s">
        <v>26</v>
      </c>
      <c r="AK105" s="33" t="s">
        <v>24</v>
      </c>
      <c r="AL105" s="27"/>
      <c r="AM105" s="34" t="s">
        <v>25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8" customHeight="1" x14ac:dyDescent="0.3">
      <c r="A106" s="39">
        <v>102</v>
      </c>
      <c r="B106" s="40" t="s">
        <v>231</v>
      </c>
      <c r="C106" s="41" t="s">
        <v>232</v>
      </c>
      <c r="D106" s="39" t="s">
        <v>216</v>
      </c>
      <c r="E106" s="43">
        <v>46125</v>
      </c>
      <c r="F106" s="26" t="s">
        <v>23</v>
      </c>
      <c r="G106" s="26" t="s">
        <v>24</v>
      </c>
      <c r="H106" s="26" t="s">
        <v>25</v>
      </c>
      <c r="I106" s="26" t="s">
        <v>26</v>
      </c>
      <c r="J106" s="26" t="s">
        <v>24</v>
      </c>
      <c r="K106" s="27"/>
      <c r="L106" s="28" t="s">
        <v>25</v>
      </c>
      <c r="M106" s="29" t="str">
        <f t="shared" si="5"/>
        <v>✓ OK</v>
      </c>
      <c r="N106" s="43">
        <v>46139</v>
      </c>
      <c r="O106" s="26" t="s">
        <v>23</v>
      </c>
      <c r="P106" s="26" t="s">
        <v>24</v>
      </c>
      <c r="Q106" s="26" t="s">
        <v>25</v>
      </c>
      <c r="R106" s="26" t="s">
        <v>26</v>
      </c>
      <c r="S106" s="26" t="s">
        <v>24</v>
      </c>
      <c r="T106" s="27"/>
      <c r="U106" s="28" t="s">
        <v>25</v>
      </c>
      <c r="V106" s="29" t="str">
        <f t="shared" si="6"/>
        <v>✓ OK</v>
      </c>
      <c r="W106" s="45">
        <v>46248</v>
      </c>
      <c r="X106" s="30" t="s">
        <v>23</v>
      </c>
      <c r="Y106" s="30" t="s">
        <v>24</v>
      </c>
      <c r="Z106" s="30" t="s">
        <v>25</v>
      </c>
      <c r="AA106" s="30" t="s">
        <v>26</v>
      </c>
      <c r="AB106" s="30" t="s">
        <v>24</v>
      </c>
      <c r="AC106" s="27"/>
      <c r="AD106" s="31" t="s">
        <v>25</v>
      </c>
      <c r="AE106" s="32" t="str">
        <f t="shared" si="7"/>
        <v>✓ OK</v>
      </c>
      <c r="AF106" s="33" t="s">
        <v>27</v>
      </c>
      <c r="AG106" s="33" t="s">
        <v>23</v>
      </c>
      <c r="AH106" s="33" t="s">
        <v>24</v>
      </c>
      <c r="AI106" s="33" t="s">
        <v>25</v>
      </c>
      <c r="AJ106" s="33" t="s">
        <v>26</v>
      </c>
      <c r="AK106" s="33" t="s">
        <v>24</v>
      </c>
      <c r="AL106" s="27"/>
      <c r="AM106" s="34" t="s">
        <v>25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8" customHeight="1" x14ac:dyDescent="0.3">
      <c r="A107" s="23">
        <v>103</v>
      </c>
      <c r="B107" s="24" t="s">
        <v>233</v>
      </c>
      <c r="C107" s="25" t="s">
        <v>234</v>
      </c>
      <c r="D107" s="23" t="s">
        <v>216</v>
      </c>
      <c r="E107" s="43">
        <v>46125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5"/>
        <v>✓ OK</v>
      </c>
      <c r="N107" s="43">
        <v>46139</v>
      </c>
      <c r="O107" s="26" t="s">
        <v>23</v>
      </c>
      <c r="P107" s="26" t="s">
        <v>24</v>
      </c>
      <c r="Q107" s="26" t="s">
        <v>25</v>
      </c>
      <c r="R107" s="26" t="s">
        <v>26</v>
      </c>
      <c r="S107" s="26" t="s">
        <v>24</v>
      </c>
      <c r="T107" s="27"/>
      <c r="U107" s="28" t="s">
        <v>25</v>
      </c>
      <c r="V107" s="29" t="str">
        <f t="shared" si="6"/>
        <v>✓ OK</v>
      </c>
      <c r="W107" s="45">
        <v>46248</v>
      </c>
      <c r="X107" s="30" t="s">
        <v>23</v>
      </c>
      <c r="Y107" s="30" t="s">
        <v>24</v>
      </c>
      <c r="Z107" s="30" t="s">
        <v>25</v>
      </c>
      <c r="AA107" s="30" t="s">
        <v>26</v>
      </c>
      <c r="AB107" s="30" t="s">
        <v>24</v>
      </c>
      <c r="AC107" s="27"/>
      <c r="AD107" s="31" t="s">
        <v>25</v>
      </c>
      <c r="AE107" s="32" t="str">
        <f t="shared" si="7"/>
        <v>✓ OK</v>
      </c>
      <c r="AF107" s="33" t="s">
        <v>27</v>
      </c>
      <c r="AG107" s="33" t="s">
        <v>23</v>
      </c>
      <c r="AH107" s="33" t="s">
        <v>24</v>
      </c>
      <c r="AI107" s="33" t="s">
        <v>25</v>
      </c>
      <c r="AJ107" s="33" t="s">
        <v>26</v>
      </c>
      <c r="AK107" s="33" t="s">
        <v>24</v>
      </c>
      <c r="AL107" s="27"/>
      <c r="AM107" s="34" t="s">
        <v>25</v>
      </c>
      <c r="AN107" s="35" t="str">
        <f t="shared" si="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8" customHeight="1" x14ac:dyDescent="0.3">
      <c r="A108" s="39">
        <v>104</v>
      </c>
      <c r="B108" s="40" t="s">
        <v>235</v>
      </c>
      <c r="C108" s="41" t="s">
        <v>236</v>
      </c>
      <c r="D108" s="39" t="s">
        <v>216</v>
      </c>
      <c r="E108" s="43">
        <v>46125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5"/>
        <v>✓ OK</v>
      </c>
      <c r="N108" s="43">
        <v>46139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6"/>
        <v>✓ OK</v>
      </c>
      <c r="W108" s="45">
        <v>46248</v>
      </c>
      <c r="X108" s="30" t="s">
        <v>23</v>
      </c>
      <c r="Y108" s="30" t="s">
        <v>24</v>
      </c>
      <c r="Z108" s="30" t="s">
        <v>25</v>
      </c>
      <c r="AA108" s="30" t="s">
        <v>26</v>
      </c>
      <c r="AB108" s="30" t="s">
        <v>24</v>
      </c>
      <c r="AC108" s="27"/>
      <c r="AD108" s="31" t="s">
        <v>25</v>
      </c>
      <c r="AE108" s="32" t="str">
        <f t="shared" si="7"/>
        <v>✓ OK</v>
      </c>
      <c r="AF108" s="33" t="s">
        <v>27</v>
      </c>
      <c r="AG108" s="33" t="s">
        <v>23</v>
      </c>
      <c r="AH108" s="33" t="s">
        <v>24</v>
      </c>
      <c r="AI108" s="33" t="s">
        <v>25</v>
      </c>
      <c r="AJ108" s="33" t="s">
        <v>26</v>
      </c>
      <c r="AK108" s="33" t="s">
        <v>24</v>
      </c>
      <c r="AL108" s="27"/>
      <c r="AM108" s="34" t="s">
        <v>25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8" customHeight="1" x14ac:dyDescent="0.3">
      <c r="A109" s="23">
        <v>105</v>
      </c>
      <c r="B109" s="24" t="s">
        <v>237</v>
      </c>
      <c r="C109" s="25" t="s">
        <v>238</v>
      </c>
      <c r="D109" s="23" t="s">
        <v>216</v>
      </c>
      <c r="E109" s="43">
        <v>46125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5"/>
        <v>✓ OK</v>
      </c>
      <c r="N109" s="43">
        <v>46139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6"/>
        <v>✓ OK</v>
      </c>
      <c r="W109" s="45">
        <v>46248</v>
      </c>
      <c r="X109" s="30" t="s">
        <v>23</v>
      </c>
      <c r="Y109" s="30" t="s">
        <v>24</v>
      </c>
      <c r="Z109" s="30" t="s">
        <v>25</v>
      </c>
      <c r="AA109" s="30" t="s">
        <v>26</v>
      </c>
      <c r="AB109" s="30" t="s">
        <v>24</v>
      </c>
      <c r="AC109" s="27"/>
      <c r="AD109" s="31" t="s">
        <v>25</v>
      </c>
      <c r="AE109" s="32" t="str">
        <f t="shared" si="7"/>
        <v>✓ OK</v>
      </c>
      <c r="AF109" s="33" t="s">
        <v>27</v>
      </c>
      <c r="AG109" s="33" t="s">
        <v>23</v>
      </c>
      <c r="AH109" s="33" t="s">
        <v>24</v>
      </c>
      <c r="AI109" s="33" t="s">
        <v>25</v>
      </c>
      <c r="AJ109" s="33" t="s">
        <v>26</v>
      </c>
      <c r="AK109" s="33" t="s">
        <v>24</v>
      </c>
      <c r="AL109" s="27"/>
      <c r="AM109" s="34" t="s">
        <v>25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8" customHeight="1" x14ac:dyDescent="0.3">
      <c r="A110" s="39">
        <v>106</v>
      </c>
      <c r="B110" s="40" t="s">
        <v>239</v>
      </c>
      <c r="C110" s="41" t="s">
        <v>240</v>
      </c>
      <c r="D110" s="39" t="s">
        <v>216</v>
      </c>
      <c r="E110" s="43">
        <v>46125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5"/>
        <v>✓ OK</v>
      </c>
      <c r="N110" s="43">
        <v>46139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6"/>
        <v>✓ OK</v>
      </c>
      <c r="W110" s="45">
        <v>46248</v>
      </c>
      <c r="X110" s="30" t="s">
        <v>23</v>
      </c>
      <c r="Y110" s="30" t="s">
        <v>24</v>
      </c>
      <c r="Z110" s="30" t="s">
        <v>25</v>
      </c>
      <c r="AA110" s="30" t="s">
        <v>26</v>
      </c>
      <c r="AB110" s="30" t="s">
        <v>24</v>
      </c>
      <c r="AC110" s="27"/>
      <c r="AD110" s="31" t="s">
        <v>25</v>
      </c>
      <c r="AE110" s="32" t="str">
        <f t="shared" si="7"/>
        <v>✓ OK</v>
      </c>
      <c r="AF110" s="33" t="s">
        <v>27</v>
      </c>
      <c r="AG110" s="33" t="s">
        <v>23</v>
      </c>
      <c r="AH110" s="33" t="s">
        <v>24</v>
      </c>
      <c r="AI110" s="33" t="s">
        <v>25</v>
      </c>
      <c r="AJ110" s="33" t="s">
        <v>26</v>
      </c>
      <c r="AK110" s="33" t="s">
        <v>24</v>
      </c>
      <c r="AL110" s="27"/>
      <c r="AM110" s="34" t="s">
        <v>25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8" customHeight="1" x14ac:dyDescent="0.3">
      <c r="A111" s="23">
        <v>107</v>
      </c>
      <c r="B111" s="24" t="s">
        <v>241</v>
      </c>
      <c r="C111" s="25" t="s">
        <v>242</v>
      </c>
      <c r="D111" s="23" t="s">
        <v>216</v>
      </c>
      <c r="E111" s="43">
        <v>46125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5"/>
        <v>✓ OK</v>
      </c>
      <c r="N111" s="43">
        <v>46139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6"/>
        <v>✓ OK</v>
      </c>
      <c r="W111" s="45">
        <v>46248</v>
      </c>
      <c r="X111" s="30" t="s">
        <v>23</v>
      </c>
      <c r="Y111" s="30" t="s">
        <v>24</v>
      </c>
      <c r="Z111" s="30" t="s">
        <v>25</v>
      </c>
      <c r="AA111" s="30" t="s">
        <v>26</v>
      </c>
      <c r="AB111" s="30" t="s">
        <v>24</v>
      </c>
      <c r="AC111" s="27"/>
      <c r="AD111" s="31" t="s">
        <v>25</v>
      </c>
      <c r="AE111" s="32" t="str">
        <f t="shared" si="7"/>
        <v>✓ OK</v>
      </c>
      <c r="AF111" s="33" t="s">
        <v>27</v>
      </c>
      <c r="AG111" s="33" t="s">
        <v>23</v>
      </c>
      <c r="AH111" s="33" t="s">
        <v>24</v>
      </c>
      <c r="AI111" s="33" t="s">
        <v>25</v>
      </c>
      <c r="AJ111" s="33" t="s">
        <v>26</v>
      </c>
      <c r="AK111" s="33" t="s">
        <v>24</v>
      </c>
      <c r="AL111" s="27"/>
      <c r="AM111" s="34" t="s">
        <v>25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8" customHeight="1" x14ac:dyDescent="0.3">
      <c r="A112" s="39">
        <v>108</v>
      </c>
      <c r="B112" s="40" t="s">
        <v>243</v>
      </c>
      <c r="C112" s="41" t="s">
        <v>244</v>
      </c>
      <c r="D112" s="39" t="s">
        <v>216</v>
      </c>
      <c r="E112" s="43">
        <v>46125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5"/>
        <v>✓ OK</v>
      </c>
      <c r="N112" s="43">
        <v>46139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6"/>
        <v>✓ OK</v>
      </c>
      <c r="W112" s="45">
        <v>46248</v>
      </c>
      <c r="X112" s="30" t="s">
        <v>23</v>
      </c>
      <c r="Y112" s="30" t="s">
        <v>24</v>
      </c>
      <c r="Z112" s="30" t="s">
        <v>25</v>
      </c>
      <c r="AA112" s="30" t="s">
        <v>26</v>
      </c>
      <c r="AB112" s="30" t="s">
        <v>24</v>
      </c>
      <c r="AC112" s="27"/>
      <c r="AD112" s="31" t="s">
        <v>25</v>
      </c>
      <c r="AE112" s="32" t="str">
        <f t="shared" si="7"/>
        <v>✓ OK</v>
      </c>
      <c r="AF112" s="33" t="s">
        <v>27</v>
      </c>
      <c r="AG112" s="33" t="s">
        <v>23</v>
      </c>
      <c r="AH112" s="33" t="s">
        <v>24</v>
      </c>
      <c r="AI112" s="33" t="s">
        <v>25</v>
      </c>
      <c r="AJ112" s="33" t="s">
        <v>26</v>
      </c>
      <c r="AK112" s="33" t="s">
        <v>24</v>
      </c>
      <c r="AL112" s="27"/>
      <c r="AM112" s="34" t="s">
        <v>25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8" customHeight="1" x14ac:dyDescent="0.3">
      <c r="A113" s="23">
        <v>109</v>
      </c>
      <c r="B113" s="24" t="s">
        <v>245</v>
      </c>
      <c r="C113" s="25" t="s">
        <v>246</v>
      </c>
      <c r="D113" s="23" t="s">
        <v>216</v>
      </c>
      <c r="E113" s="43">
        <v>46125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/>
      <c r="L113" s="28" t="s">
        <v>25</v>
      </c>
      <c r="M113" s="29" t="str">
        <f t="shared" si="5"/>
        <v>✓ OK</v>
      </c>
      <c r="N113" s="43">
        <v>46139</v>
      </c>
      <c r="O113" s="26" t="s">
        <v>23</v>
      </c>
      <c r="P113" s="26" t="s">
        <v>24</v>
      </c>
      <c r="Q113" s="26" t="s">
        <v>25</v>
      </c>
      <c r="R113" s="26" t="s">
        <v>26</v>
      </c>
      <c r="S113" s="26" t="s">
        <v>24</v>
      </c>
      <c r="T113" s="27"/>
      <c r="U113" s="28" t="s">
        <v>25</v>
      </c>
      <c r="V113" s="29" t="str">
        <f t="shared" si="6"/>
        <v>✓ OK</v>
      </c>
      <c r="W113" s="45">
        <v>46248</v>
      </c>
      <c r="X113" s="30" t="s">
        <v>23</v>
      </c>
      <c r="Y113" s="30" t="s">
        <v>24</v>
      </c>
      <c r="Z113" s="30" t="s">
        <v>25</v>
      </c>
      <c r="AA113" s="30" t="s">
        <v>26</v>
      </c>
      <c r="AB113" s="30" t="s">
        <v>24</v>
      </c>
      <c r="AC113" s="27"/>
      <c r="AD113" s="31" t="s">
        <v>25</v>
      </c>
      <c r="AE113" s="32" t="str">
        <f t="shared" si="7"/>
        <v>✓ OK</v>
      </c>
      <c r="AF113" s="33" t="s">
        <v>27</v>
      </c>
      <c r="AG113" s="33" t="s">
        <v>23</v>
      </c>
      <c r="AH113" s="33" t="s">
        <v>24</v>
      </c>
      <c r="AI113" s="33" t="s">
        <v>25</v>
      </c>
      <c r="AJ113" s="33" t="s">
        <v>26</v>
      </c>
      <c r="AK113" s="33" t="s">
        <v>24</v>
      </c>
      <c r="AL113" s="27"/>
      <c r="AM113" s="34" t="s">
        <v>25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8" customHeight="1" x14ac:dyDescent="0.3">
      <c r="A114" s="39">
        <v>110</v>
      </c>
      <c r="B114" s="40" t="s">
        <v>247</v>
      </c>
      <c r="C114" s="41" t="s">
        <v>248</v>
      </c>
      <c r="D114" s="39" t="s">
        <v>216</v>
      </c>
      <c r="E114" s="43">
        <v>46125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5"/>
        <v>✓ OK</v>
      </c>
      <c r="N114" s="43">
        <v>46139</v>
      </c>
      <c r="O114" s="26" t="s">
        <v>23</v>
      </c>
      <c r="P114" s="26" t="s">
        <v>24</v>
      </c>
      <c r="Q114" s="26" t="s">
        <v>25</v>
      </c>
      <c r="R114" s="26" t="s">
        <v>26</v>
      </c>
      <c r="S114" s="26" t="s">
        <v>24</v>
      </c>
      <c r="T114" s="27"/>
      <c r="U114" s="28" t="s">
        <v>25</v>
      </c>
      <c r="V114" s="29" t="str">
        <f t="shared" si="6"/>
        <v>✓ OK</v>
      </c>
      <c r="W114" s="45">
        <v>46248</v>
      </c>
      <c r="X114" s="30" t="s">
        <v>23</v>
      </c>
      <c r="Y114" s="30" t="s">
        <v>24</v>
      </c>
      <c r="Z114" s="30" t="s">
        <v>25</v>
      </c>
      <c r="AA114" s="30" t="s">
        <v>26</v>
      </c>
      <c r="AB114" s="30" t="s">
        <v>24</v>
      </c>
      <c r="AC114" s="27"/>
      <c r="AD114" s="31" t="s">
        <v>25</v>
      </c>
      <c r="AE114" s="32" t="str">
        <f t="shared" si="7"/>
        <v>✓ OK</v>
      </c>
      <c r="AF114" s="33" t="s">
        <v>27</v>
      </c>
      <c r="AG114" s="33" t="s">
        <v>23</v>
      </c>
      <c r="AH114" s="33" t="s">
        <v>24</v>
      </c>
      <c r="AI114" s="33" t="s">
        <v>25</v>
      </c>
      <c r="AJ114" s="33" t="s">
        <v>26</v>
      </c>
      <c r="AK114" s="33" t="s">
        <v>24</v>
      </c>
      <c r="AL114" s="27"/>
      <c r="AM114" s="34" t="s">
        <v>25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8" customHeight="1" x14ac:dyDescent="0.3">
      <c r="A115" s="23">
        <v>111</v>
      </c>
      <c r="B115" s="24" t="s">
        <v>249</v>
      </c>
      <c r="C115" s="25" t="s">
        <v>250</v>
      </c>
      <c r="D115" s="23" t="s">
        <v>216</v>
      </c>
      <c r="E115" s="43">
        <v>46125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5"/>
        <v>✓ OK</v>
      </c>
      <c r="N115" s="43">
        <v>46139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6"/>
        <v>✓ OK</v>
      </c>
      <c r="W115" s="45">
        <v>46248</v>
      </c>
      <c r="X115" s="30" t="s">
        <v>23</v>
      </c>
      <c r="Y115" s="30" t="s">
        <v>24</v>
      </c>
      <c r="Z115" s="30" t="s">
        <v>25</v>
      </c>
      <c r="AA115" s="30" t="s">
        <v>26</v>
      </c>
      <c r="AB115" s="30" t="s">
        <v>24</v>
      </c>
      <c r="AC115" s="27"/>
      <c r="AD115" s="31" t="s">
        <v>25</v>
      </c>
      <c r="AE115" s="32" t="str">
        <f t="shared" si="7"/>
        <v>✓ OK</v>
      </c>
      <c r="AF115" s="33" t="s">
        <v>27</v>
      </c>
      <c r="AG115" s="33" t="s">
        <v>23</v>
      </c>
      <c r="AH115" s="33" t="s">
        <v>24</v>
      </c>
      <c r="AI115" s="33" t="s">
        <v>25</v>
      </c>
      <c r="AJ115" s="33" t="s">
        <v>26</v>
      </c>
      <c r="AK115" s="33" t="s">
        <v>24</v>
      </c>
      <c r="AL115" s="27"/>
      <c r="AM115" s="34" t="s">
        <v>25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8" customHeight="1" x14ac:dyDescent="0.3">
      <c r="A116" s="39">
        <v>112</v>
      </c>
      <c r="B116" s="40" t="s">
        <v>251</v>
      </c>
      <c r="C116" s="41" t="s">
        <v>252</v>
      </c>
      <c r="D116" s="39" t="s">
        <v>216</v>
      </c>
      <c r="E116" s="43">
        <v>46125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5"/>
        <v>✓ OK</v>
      </c>
      <c r="N116" s="43">
        <v>46139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6"/>
        <v>✓ OK</v>
      </c>
      <c r="W116" s="45">
        <v>46248</v>
      </c>
      <c r="X116" s="30" t="s">
        <v>23</v>
      </c>
      <c r="Y116" s="30" t="s">
        <v>24</v>
      </c>
      <c r="Z116" s="30" t="s">
        <v>25</v>
      </c>
      <c r="AA116" s="30" t="s">
        <v>26</v>
      </c>
      <c r="AB116" s="30" t="s">
        <v>24</v>
      </c>
      <c r="AC116" s="27"/>
      <c r="AD116" s="31" t="s">
        <v>25</v>
      </c>
      <c r="AE116" s="32" t="str">
        <f t="shared" si="7"/>
        <v>✓ OK</v>
      </c>
      <c r="AF116" s="33" t="s">
        <v>27</v>
      </c>
      <c r="AG116" s="33" t="s">
        <v>23</v>
      </c>
      <c r="AH116" s="33" t="s">
        <v>24</v>
      </c>
      <c r="AI116" s="33" t="s">
        <v>25</v>
      </c>
      <c r="AJ116" s="33" t="s">
        <v>26</v>
      </c>
      <c r="AK116" s="33" t="s">
        <v>24</v>
      </c>
      <c r="AL116" s="27"/>
      <c r="AM116" s="34" t="s">
        <v>25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8" customHeight="1" x14ac:dyDescent="0.3">
      <c r="A117" s="23">
        <v>113</v>
      </c>
      <c r="B117" s="24" t="s">
        <v>253</v>
      </c>
      <c r="C117" s="25" t="s">
        <v>254</v>
      </c>
      <c r="D117" s="23" t="s">
        <v>216</v>
      </c>
      <c r="E117" s="43">
        <v>46125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5"/>
        <v>✓ OK</v>
      </c>
      <c r="N117" s="43">
        <v>46139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6"/>
        <v>✓ OK</v>
      </c>
      <c r="W117" s="45">
        <v>46248</v>
      </c>
      <c r="X117" s="30" t="s">
        <v>23</v>
      </c>
      <c r="Y117" s="30" t="s">
        <v>24</v>
      </c>
      <c r="Z117" s="30" t="s">
        <v>25</v>
      </c>
      <c r="AA117" s="30" t="s">
        <v>26</v>
      </c>
      <c r="AB117" s="30" t="s">
        <v>24</v>
      </c>
      <c r="AC117" s="27"/>
      <c r="AD117" s="31" t="s">
        <v>25</v>
      </c>
      <c r="AE117" s="32" t="str">
        <f t="shared" si="7"/>
        <v>✓ OK</v>
      </c>
      <c r="AF117" s="33" t="s">
        <v>27</v>
      </c>
      <c r="AG117" s="33" t="s">
        <v>23</v>
      </c>
      <c r="AH117" s="33" t="s">
        <v>24</v>
      </c>
      <c r="AI117" s="33" t="s">
        <v>25</v>
      </c>
      <c r="AJ117" s="33" t="s">
        <v>26</v>
      </c>
      <c r="AK117" s="33" t="s">
        <v>24</v>
      </c>
      <c r="AL117" s="27"/>
      <c r="AM117" s="34" t="s">
        <v>25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8" customHeight="1" x14ac:dyDescent="0.3">
      <c r="A118" s="39">
        <v>114</v>
      </c>
      <c r="B118" s="40" t="s">
        <v>255</v>
      </c>
      <c r="C118" s="41" t="s">
        <v>256</v>
      </c>
      <c r="D118" s="39" t="s">
        <v>216</v>
      </c>
      <c r="E118" s="43">
        <v>46125</v>
      </c>
      <c r="F118" s="26" t="s">
        <v>23</v>
      </c>
      <c r="G118" s="26" t="s">
        <v>24</v>
      </c>
      <c r="H118" s="26" t="s">
        <v>25</v>
      </c>
      <c r="I118" s="26" t="s">
        <v>26</v>
      </c>
      <c r="J118" s="26" t="s">
        <v>24</v>
      </c>
      <c r="K118" s="27"/>
      <c r="L118" s="28" t="s">
        <v>25</v>
      </c>
      <c r="M118" s="29" t="str">
        <f t="shared" si="5"/>
        <v>✓ OK</v>
      </c>
      <c r="N118" s="43">
        <v>46139</v>
      </c>
      <c r="O118" s="26" t="s">
        <v>23</v>
      </c>
      <c r="P118" s="26" t="s">
        <v>24</v>
      </c>
      <c r="Q118" s="26" t="s">
        <v>25</v>
      </c>
      <c r="R118" s="26" t="s">
        <v>26</v>
      </c>
      <c r="S118" s="26" t="s">
        <v>24</v>
      </c>
      <c r="T118" s="27"/>
      <c r="U118" s="28" t="s">
        <v>25</v>
      </c>
      <c r="V118" s="29" t="str">
        <f t="shared" si="6"/>
        <v>✓ OK</v>
      </c>
      <c r="W118" s="45">
        <v>46248</v>
      </c>
      <c r="X118" s="30" t="s">
        <v>23</v>
      </c>
      <c r="Y118" s="30" t="s">
        <v>24</v>
      </c>
      <c r="Z118" s="30" t="s">
        <v>25</v>
      </c>
      <c r="AA118" s="30" t="s">
        <v>26</v>
      </c>
      <c r="AB118" s="30" t="s">
        <v>24</v>
      </c>
      <c r="AC118" s="27"/>
      <c r="AD118" s="31" t="s">
        <v>25</v>
      </c>
      <c r="AE118" s="32" t="str">
        <f t="shared" si="7"/>
        <v>✓ OK</v>
      </c>
      <c r="AF118" s="33" t="s">
        <v>27</v>
      </c>
      <c r="AG118" s="33" t="s">
        <v>23</v>
      </c>
      <c r="AH118" s="33" t="s">
        <v>24</v>
      </c>
      <c r="AI118" s="33" t="s">
        <v>25</v>
      </c>
      <c r="AJ118" s="33" t="s">
        <v>26</v>
      </c>
      <c r="AK118" s="33" t="s">
        <v>24</v>
      </c>
      <c r="AL118" s="27"/>
      <c r="AM118" s="34" t="s">
        <v>25</v>
      </c>
      <c r="AN118" s="35" t="str">
        <f t="shared" si="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8" customHeight="1" x14ac:dyDescent="0.3">
      <c r="A119" s="23">
        <v>115</v>
      </c>
      <c r="B119" s="24" t="s">
        <v>257</v>
      </c>
      <c r="C119" s="25" t="s">
        <v>258</v>
      </c>
      <c r="D119" s="23" t="s">
        <v>216</v>
      </c>
      <c r="E119" s="43">
        <v>46125</v>
      </c>
      <c r="F119" s="26" t="s">
        <v>23</v>
      </c>
      <c r="G119" s="26" t="s">
        <v>24</v>
      </c>
      <c r="H119" s="26" t="s">
        <v>25</v>
      </c>
      <c r="I119" s="26" t="s">
        <v>26</v>
      </c>
      <c r="J119" s="26" t="s">
        <v>24</v>
      </c>
      <c r="K119" s="27"/>
      <c r="L119" s="28" t="s">
        <v>25</v>
      </c>
      <c r="M119" s="29" t="str">
        <f t="shared" si="5"/>
        <v>✓ OK</v>
      </c>
      <c r="N119" s="43">
        <v>46139</v>
      </c>
      <c r="O119" s="26" t="s">
        <v>23</v>
      </c>
      <c r="P119" s="26" t="s">
        <v>24</v>
      </c>
      <c r="Q119" s="26" t="s">
        <v>25</v>
      </c>
      <c r="R119" s="26" t="s">
        <v>26</v>
      </c>
      <c r="S119" s="26" t="s">
        <v>24</v>
      </c>
      <c r="T119" s="27"/>
      <c r="U119" s="28" t="s">
        <v>25</v>
      </c>
      <c r="V119" s="29" t="str">
        <f t="shared" si="6"/>
        <v>✓ OK</v>
      </c>
      <c r="W119" s="45">
        <v>46248</v>
      </c>
      <c r="X119" s="30" t="s">
        <v>23</v>
      </c>
      <c r="Y119" s="30" t="s">
        <v>24</v>
      </c>
      <c r="Z119" s="30" t="s">
        <v>25</v>
      </c>
      <c r="AA119" s="30" t="s">
        <v>26</v>
      </c>
      <c r="AB119" s="30" t="s">
        <v>24</v>
      </c>
      <c r="AC119" s="27"/>
      <c r="AD119" s="31" t="s">
        <v>25</v>
      </c>
      <c r="AE119" s="32" t="str">
        <f t="shared" si="7"/>
        <v>✓ OK</v>
      </c>
      <c r="AF119" s="33" t="s">
        <v>27</v>
      </c>
      <c r="AG119" s="33" t="s">
        <v>23</v>
      </c>
      <c r="AH119" s="33" t="s">
        <v>24</v>
      </c>
      <c r="AI119" s="33" t="s">
        <v>25</v>
      </c>
      <c r="AJ119" s="33" t="s">
        <v>26</v>
      </c>
      <c r="AK119" s="33" t="s">
        <v>24</v>
      </c>
      <c r="AL119" s="27"/>
      <c r="AM119" s="34" t="s">
        <v>25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8" customHeight="1" x14ac:dyDescent="0.3">
      <c r="A120" s="39">
        <v>116</v>
      </c>
      <c r="B120" s="40" t="s">
        <v>259</v>
      </c>
      <c r="C120" s="41" t="s">
        <v>260</v>
      </c>
      <c r="D120" s="39" t="s">
        <v>216</v>
      </c>
      <c r="E120" s="43">
        <v>46125</v>
      </c>
      <c r="F120" s="26" t="s">
        <v>23</v>
      </c>
      <c r="G120" s="26" t="s">
        <v>24</v>
      </c>
      <c r="H120" s="26" t="s">
        <v>25</v>
      </c>
      <c r="I120" s="26" t="s">
        <v>26</v>
      </c>
      <c r="J120" s="26" t="s">
        <v>24</v>
      </c>
      <c r="K120" s="27"/>
      <c r="L120" s="28" t="s">
        <v>25</v>
      </c>
      <c r="M120" s="29" t="str">
        <f t="shared" si="5"/>
        <v>✓ OK</v>
      </c>
      <c r="N120" s="43">
        <v>46139</v>
      </c>
      <c r="O120" s="26" t="s">
        <v>23</v>
      </c>
      <c r="P120" s="26" t="s">
        <v>24</v>
      </c>
      <c r="Q120" s="26" t="s">
        <v>25</v>
      </c>
      <c r="R120" s="26" t="s">
        <v>26</v>
      </c>
      <c r="S120" s="26" t="s">
        <v>24</v>
      </c>
      <c r="T120" s="27"/>
      <c r="U120" s="28" t="s">
        <v>25</v>
      </c>
      <c r="V120" s="29" t="str">
        <f t="shared" si="6"/>
        <v>✓ OK</v>
      </c>
      <c r="W120" s="45">
        <v>46248</v>
      </c>
      <c r="X120" s="30" t="s">
        <v>23</v>
      </c>
      <c r="Y120" s="30" t="s">
        <v>24</v>
      </c>
      <c r="Z120" s="30" t="s">
        <v>25</v>
      </c>
      <c r="AA120" s="30" t="s">
        <v>26</v>
      </c>
      <c r="AB120" s="30" t="s">
        <v>24</v>
      </c>
      <c r="AC120" s="27"/>
      <c r="AD120" s="31" t="s">
        <v>25</v>
      </c>
      <c r="AE120" s="32" t="str">
        <f t="shared" si="7"/>
        <v>✓ OK</v>
      </c>
      <c r="AF120" s="33" t="s">
        <v>27</v>
      </c>
      <c r="AG120" s="33" t="s">
        <v>23</v>
      </c>
      <c r="AH120" s="33" t="s">
        <v>24</v>
      </c>
      <c r="AI120" s="33" t="s">
        <v>25</v>
      </c>
      <c r="AJ120" s="33" t="s">
        <v>26</v>
      </c>
      <c r="AK120" s="33" t="s">
        <v>24</v>
      </c>
      <c r="AL120" s="27"/>
      <c r="AM120" s="34" t="s">
        <v>25</v>
      </c>
      <c r="AN120" s="35" t="str">
        <f t="shared" si="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8" customHeight="1" x14ac:dyDescent="0.3">
      <c r="A121" s="23">
        <v>117</v>
      </c>
      <c r="B121" s="24" t="s">
        <v>261</v>
      </c>
      <c r="C121" s="25" t="s">
        <v>262</v>
      </c>
      <c r="D121" s="23" t="s">
        <v>216</v>
      </c>
      <c r="E121" s="43">
        <v>46125</v>
      </c>
      <c r="F121" s="26" t="s">
        <v>23</v>
      </c>
      <c r="G121" s="26" t="s">
        <v>24</v>
      </c>
      <c r="H121" s="26" t="s">
        <v>25</v>
      </c>
      <c r="I121" s="26" t="s">
        <v>26</v>
      </c>
      <c r="J121" s="26" t="s">
        <v>24</v>
      </c>
      <c r="K121" s="27"/>
      <c r="L121" s="28" t="s">
        <v>25</v>
      </c>
      <c r="M121" s="29" t="str">
        <f t="shared" si="5"/>
        <v>✓ OK</v>
      </c>
      <c r="N121" s="43">
        <v>46139</v>
      </c>
      <c r="O121" s="26" t="s">
        <v>23</v>
      </c>
      <c r="P121" s="26" t="s">
        <v>24</v>
      </c>
      <c r="Q121" s="26" t="s">
        <v>25</v>
      </c>
      <c r="R121" s="26" t="s">
        <v>26</v>
      </c>
      <c r="S121" s="26" t="s">
        <v>24</v>
      </c>
      <c r="T121" s="27"/>
      <c r="U121" s="28" t="s">
        <v>25</v>
      </c>
      <c r="V121" s="29" t="str">
        <f t="shared" si="6"/>
        <v>✓ OK</v>
      </c>
      <c r="W121" s="45">
        <v>46248</v>
      </c>
      <c r="X121" s="30" t="s">
        <v>23</v>
      </c>
      <c r="Y121" s="30" t="s">
        <v>24</v>
      </c>
      <c r="Z121" s="30" t="s">
        <v>25</v>
      </c>
      <c r="AA121" s="30" t="s">
        <v>26</v>
      </c>
      <c r="AB121" s="30" t="s">
        <v>24</v>
      </c>
      <c r="AC121" s="27"/>
      <c r="AD121" s="31" t="s">
        <v>25</v>
      </c>
      <c r="AE121" s="32" t="str">
        <f t="shared" si="7"/>
        <v>✓ OK</v>
      </c>
      <c r="AF121" s="33" t="s">
        <v>27</v>
      </c>
      <c r="AG121" s="33" t="s">
        <v>23</v>
      </c>
      <c r="AH121" s="33" t="s">
        <v>24</v>
      </c>
      <c r="AI121" s="33" t="s">
        <v>25</v>
      </c>
      <c r="AJ121" s="33" t="s">
        <v>26</v>
      </c>
      <c r="AK121" s="33" t="s">
        <v>24</v>
      </c>
      <c r="AL121" s="27"/>
      <c r="AM121" s="34" t="s">
        <v>25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8" customHeight="1" x14ac:dyDescent="0.3">
      <c r="A122" s="39">
        <v>118</v>
      </c>
      <c r="B122" s="40" t="s">
        <v>263</v>
      </c>
      <c r="C122" s="41" t="s">
        <v>264</v>
      </c>
      <c r="D122" s="39" t="s">
        <v>216</v>
      </c>
      <c r="E122" s="43">
        <v>46125</v>
      </c>
      <c r="F122" s="26" t="s">
        <v>23</v>
      </c>
      <c r="G122" s="26" t="s">
        <v>24</v>
      </c>
      <c r="H122" s="26" t="s">
        <v>25</v>
      </c>
      <c r="I122" s="26" t="s">
        <v>26</v>
      </c>
      <c r="J122" s="26" t="s">
        <v>24</v>
      </c>
      <c r="K122" s="27"/>
      <c r="L122" s="28" t="s">
        <v>25</v>
      </c>
      <c r="M122" s="29" t="str">
        <f t="shared" si="5"/>
        <v>✓ OK</v>
      </c>
      <c r="N122" s="43">
        <v>46139</v>
      </c>
      <c r="O122" s="26" t="s">
        <v>23</v>
      </c>
      <c r="P122" s="26" t="s">
        <v>24</v>
      </c>
      <c r="Q122" s="26" t="s">
        <v>25</v>
      </c>
      <c r="R122" s="26" t="s">
        <v>26</v>
      </c>
      <c r="S122" s="26" t="s">
        <v>24</v>
      </c>
      <c r="T122" s="27"/>
      <c r="U122" s="28" t="s">
        <v>25</v>
      </c>
      <c r="V122" s="29" t="str">
        <f t="shared" si="6"/>
        <v>✓ OK</v>
      </c>
      <c r="W122" s="45">
        <v>46248</v>
      </c>
      <c r="X122" s="30" t="s">
        <v>23</v>
      </c>
      <c r="Y122" s="30" t="s">
        <v>24</v>
      </c>
      <c r="Z122" s="30" t="s">
        <v>25</v>
      </c>
      <c r="AA122" s="30" t="s">
        <v>26</v>
      </c>
      <c r="AB122" s="30" t="s">
        <v>24</v>
      </c>
      <c r="AC122" s="27"/>
      <c r="AD122" s="31" t="s">
        <v>25</v>
      </c>
      <c r="AE122" s="32" t="str">
        <f t="shared" si="7"/>
        <v>✓ OK</v>
      </c>
      <c r="AF122" s="33" t="s">
        <v>27</v>
      </c>
      <c r="AG122" s="33" t="s">
        <v>23</v>
      </c>
      <c r="AH122" s="33" t="s">
        <v>24</v>
      </c>
      <c r="AI122" s="33" t="s">
        <v>25</v>
      </c>
      <c r="AJ122" s="33" t="s">
        <v>26</v>
      </c>
      <c r="AK122" s="33" t="s">
        <v>24</v>
      </c>
      <c r="AL122" s="27"/>
      <c r="AM122" s="34" t="s">
        <v>25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8" customHeight="1" x14ac:dyDescent="0.3">
      <c r="A123" s="23">
        <v>119</v>
      </c>
      <c r="B123" s="24" t="s">
        <v>265</v>
      </c>
      <c r="C123" s="25" t="s">
        <v>266</v>
      </c>
      <c r="D123" s="23" t="s">
        <v>216</v>
      </c>
      <c r="E123" s="43">
        <v>46125</v>
      </c>
      <c r="F123" s="26" t="s">
        <v>23</v>
      </c>
      <c r="G123" s="26" t="s">
        <v>24</v>
      </c>
      <c r="H123" s="26" t="s">
        <v>25</v>
      </c>
      <c r="I123" s="26" t="s">
        <v>26</v>
      </c>
      <c r="J123" s="26" t="s">
        <v>24</v>
      </c>
      <c r="K123" s="27"/>
      <c r="L123" s="28" t="s">
        <v>25</v>
      </c>
      <c r="M123" s="29" t="str">
        <f t="shared" si="5"/>
        <v>✓ OK</v>
      </c>
      <c r="N123" s="43">
        <v>46139</v>
      </c>
      <c r="O123" s="26" t="s">
        <v>23</v>
      </c>
      <c r="P123" s="26" t="s">
        <v>24</v>
      </c>
      <c r="Q123" s="26" t="s">
        <v>25</v>
      </c>
      <c r="R123" s="26" t="s">
        <v>26</v>
      </c>
      <c r="S123" s="26" t="s">
        <v>24</v>
      </c>
      <c r="T123" s="27"/>
      <c r="U123" s="28" t="s">
        <v>25</v>
      </c>
      <c r="V123" s="29" t="str">
        <f t="shared" si="6"/>
        <v>✓ OK</v>
      </c>
      <c r="W123" s="45">
        <v>46248</v>
      </c>
      <c r="X123" s="30" t="s">
        <v>23</v>
      </c>
      <c r="Y123" s="30" t="s">
        <v>24</v>
      </c>
      <c r="Z123" s="30" t="s">
        <v>25</v>
      </c>
      <c r="AA123" s="30" t="s">
        <v>26</v>
      </c>
      <c r="AB123" s="30" t="s">
        <v>24</v>
      </c>
      <c r="AC123" s="27"/>
      <c r="AD123" s="31" t="s">
        <v>25</v>
      </c>
      <c r="AE123" s="32" t="str">
        <f t="shared" si="7"/>
        <v>✓ OK</v>
      </c>
      <c r="AF123" s="33" t="s">
        <v>27</v>
      </c>
      <c r="AG123" s="33" t="s">
        <v>23</v>
      </c>
      <c r="AH123" s="33" t="s">
        <v>24</v>
      </c>
      <c r="AI123" s="33" t="s">
        <v>25</v>
      </c>
      <c r="AJ123" s="33" t="s">
        <v>26</v>
      </c>
      <c r="AK123" s="33" t="s">
        <v>24</v>
      </c>
      <c r="AL123" s="27"/>
      <c r="AM123" s="34" t="s">
        <v>25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8" customHeight="1" x14ac:dyDescent="0.3">
      <c r="A124" s="39">
        <v>120</v>
      </c>
      <c r="B124" s="40" t="s">
        <v>267</v>
      </c>
      <c r="C124" s="41" t="s">
        <v>268</v>
      </c>
      <c r="D124" s="39" t="s">
        <v>216</v>
      </c>
      <c r="E124" s="43">
        <v>46125</v>
      </c>
      <c r="F124" s="26" t="s">
        <v>23</v>
      </c>
      <c r="G124" s="26" t="s">
        <v>24</v>
      </c>
      <c r="H124" s="26" t="s">
        <v>25</v>
      </c>
      <c r="I124" s="26" t="s">
        <v>26</v>
      </c>
      <c r="J124" s="26" t="s">
        <v>24</v>
      </c>
      <c r="K124" s="27"/>
      <c r="L124" s="28" t="s">
        <v>25</v>
      </c>
      <c r="M124" s="29" t="str">
        <f t="shared" si="5"/>
        <v>✓ OK</v>
      </c>
      <c r="N124" s="43">
        <v>46139</v>
      </c>
      <c r="O124" s="26" t="s">
        <v>23</v>
      </c>
      <c r="P124" s="26" t="s">
        <v>24</v>
      </c>
      <c r="Q124" s="26" t="s">
        <v>25</v>
      </c>
      <c r="R124" s="26" t="s">
        <v>26</v>
      </c>
      <c r="S124" s="26" t="s">
        <v>24</v>
      </c>
      <c r="T124" s="27"/>
      <c r="U124" s="28" t="s">
        <v>25</v>
      </c>
      <c r="V124" s="29" t="str">
        <f t="shared" si="6"/>
        <v>✓ OK</v>
      </c>
      <c r="W124" s="45">
        <v>46248</v>
      </c>
      <c r="X124" s="30" t="s">
        <v>23</v>
      </c>
      <c r="Y124" s="30" t="s">
        <v>24</v>
      </c>
      <c r="Z124" s="30" t="s">
        <v>25</v>
      </c>
      <c r="AA124" s="30" t="s">
        <v>26</v>
      </c>
      <c r="AB124" s="30" t="s">
        <v>24</v>
      </c>
      <c r="AC124" s="27"/>
      <c r="AD124" s="31" t="s">
        <v>25</v>
      </c>
      <c r="AE124" s="32" t="str">
        <f t="shared" si="7"/>
        <v>✓ OK</v>
      </c>
      <c r="AF124" s="33" t="s">
        <v>27</v>
      </c>
      <c r="AG124" s="33" t="s">
        <v>23</v>
      </c>
      <c r="AH124" s="33" t="s">
        <v>24</v>
      </c>
      <c r="AI124" s="33" t="s">
        <v>25</v>
      </c>
      <c r="AJ124" s="33" t="s">
        <v>26</v>
      </c>
      <c r="AK124" s="33" t="s">
        <v>24</v>
      </c>
      <c r="AL124" s="27"/>
      <c r="AM124" s="34" t="s">
        <v>25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8" customHeight="1" x14ac:dyDescent="0.3">
      <c r="A125" s="23">
        <v>121</v>
      </c>
      <c r="B125" s="24" t="s">
        <v>269</v>
      </c>
      <c r="C125" s="25" t="s">
        <v>270</v>
      </c>
      <c r="D125" s="23" t="s">
        <v>216</v>
      </c>
      <c r="E125" s="43">
        <v>46125</v>
      </c>
      <c r="F125" s="26" t="s">
        <v>23</v>
      </c>
      <c r="G125" s="26" t="s">
        <v>24</v>
      </c>
      <c r="H125" s="26" t="s">
        <v>25</v>
      </c>
      <c r="I125" s="26" t="s">
        <v>26</v>
      </c>
      <c r="J125" s="26" t="s">
        <v>24</v>
      </c>
      <c r="K125" s="27"/>
      <c r="L125" s="28" t="s">
        <v>25</v>
      </c>
      <c r="M125" s="29" t="str">
        <f t="shared" si="5"/>
        <v>✓ OK</v>
      </c>
      <c r="N125" s="43">
        <v>46139</v>
      </c>
      <c r="O125" s="26" t="s">
        <v>23</v>
      </c>
      <c r="P125" s="26" t="s">
        <v>24</v>
      </c>
      <c r="Q125" s="26" t="s">
        <v>25</v>
      </c>
      <c r="R125" s="26" t="s">
        <v>26</v>
      </c>
      <c r="S125" s="26" t="s">
        <v>24</v>
      </c>
      <c r="T125" s="27"/>
      <c r="U125" s="28" t="s">
        <v>25</v>
      </c>
      <c r="V125" s="29" t="str">
        <f t="shared" si="6"/>
        <v>✓ OK</v>
      </c>
      <c r="W125" s="45">
        <v>46248</v>
      </c>
      <c r="X125" s="30" t="s">
        <v>23</v>
      </c>
      <c r="Y125" s="30" t="s">
        <v>24</v>
      </c>
      <c r="Z125" s="30" t="s">
        <v>25</v>
      </c>
      <c r="AA125" s="30" t="s">
        <v>26</v>
      </c>
      <c r="AB125" s="30" t="s">
        <v>24</v>
      </c>
      <c r="AC125" s="27"/>
      <c r="AD125" s="31" t="s">
        <v>25</v>
      </c>
      <c r="AE125" s="32" t="str">
        <f t="shared" si="7"/>
        <v>✓ OK</v>
      </c>
      <c r="AF125" s="33" t="s">
        <v>27</v>
      </c>
      <c r="AG125" s="33" t="s">
        <v>23</v>
      </c>
      <c r="AH125" s="33" t="s">
        <v>24</v>
      </c>
      <c r="AI125" s="33" t="s">
        <v>25</v>
      </c>
      <c r="AJ125" s="33" t="s">
        <v>26</v>
      </c>
      <c r="AK125" s="33" t="s">
        <v>24</v>
      </c>
      <c r="AL125" s="27"/>
      <c r="AM125" s="34" t="s">
        <v>25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8" customHeight="1" x14ac:dyDescent="0.3">
      <c r="A126" s="39">
        <v>122</v>
      </c>
      <c r="B126" s="40" t="s">
        <v>271</v>
      </c>
      <c r="C126" s="41" t="s">
        <v>272</v>
      </c>
      <c r="D126" s="39" t="s">
        <v>216</v>
      </c>
      <c r="E126" s="43">
        <v>46125</v>
      </c>
      <c r="F126" s="26" t="s">
        <v>23</v>
      </c>
      <c r="G126" s="26" t="s">
        <v>24</v>
      </c>
      <c r="H126" s="26" t="s">
        <v>25</v>
      </c>
      <c r="I126" s="26" t="s">
        <v>26</v>
      </c>
      <c r="J126" s="26" t="s">
        <v>24</v>
      </c>
      <c r="K126" s="27"/>
      <c r="L126" s="28" t="s">
        <v>25</v>
      </c>
      <c r="M126" s="29" t="str">
        <f t="shared" si="5"/>
        <v>✓ OK</v>
      </c>
      <c r="N126" s="43">
        <v>46139</v>
      </c>
      <c r="O126" s="26" t="s">
        <v>23</v>
      </c>
      <c r="P126" s="26" t="s">
        <v>24</v>
      </c>
      <c r="Q126" s="26" t="s">
        <v>25</v>
      </c>
      <c r="R126" s="26" t="s">
        <v>26</v>
      </c>
      <c r="S126" s="26" t="s">
        <v>24</v>
      </c>
      <c r="T126" s="27"/>
      <c r="U126" s="28" t="s">
        <v>25</v>
      </c>
      <c r="V126" s="29" t="str">
        <f t="shared" si="6"/>
        <v>✓ OK</v>
      </c>
      <c r="W126" s="45">
        <v>46248</v>
      </c>
      <c r="X126" s="30" t="s">
        <v>23</v>
      </c>
      <c r="Y126" s="30" t="s">
        <v>24</v>
      </c>
      <c r="Z126" s="30" t="s">
        <v>25</v>
      </c>
      <c r="AA126" s="30" t="s">
        <v>26</v>
      </c>
      <c r="AB126" s="30" t="s">
        <v>24</v>
      </c>
      <c r="AC126" s="27"/>
      <c r="AD126" s="31" t="s">
        <v>25</v>
      </c>
      <c r="AE126" s="32" t="str">
        <f t="shared" si="7"/>
        <v>✓ OK</v>
      </c>
      <c r="AF126" s="33" t="s">
        <v>27</v>
      </c>
      <c r="AG126" s="33" t="s">
        <v>23</v>
      </c>
      <c r="AH126" s="33" t="s">
        <v>24</v>
      </c>
      <c r="AI126" s="33" t="s">
        <v>25</v>
      </c>
      <c r="AJ126" s="33" t="s">
        <v>26</v>
      </c>
      <c r="AK126" s="33" t="s">
        <v>24</v>
      </c>
      <c r="AL126" s="27"/>
      <c r="AM126" s="34" t="s">
        <v>25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8" customHeight="1" x14ac:dyDescent="0.3">
      <c r="A127" s="23">
        <v>123</v>
      </c>
      <c r="B127" s="24" t="s">
        <v>273</v>
      </c>
      <c r="C127" s="25" t="s">
        <v>274</v>
      </c>
      <c r="D127" s="23" t="s">
        <v>216</v>
      </c>
      <c r="E127" s="43">
        <v>46125</v>
      </c>
      <c r="F127" s="26" t="s">
        <v>23</v>
      </c>
      <c r="G127" s="26" t="s">
        <v>24</v>
      </c>
      <c r="H127" s="26" t="s">
        <v>25</v>
      </c>
      <c r="I127" s="26" t="s">
        <v>26</v>
      </c>
      <c r="J127" s="26" t="s">
        <v>24</v>
      </c>
      <c r="K127" s="27"/>
      <c r="L127" s="28" t="s">
        <v>25</v>
      </c>
      <c r="M127" s="29" t="str">
        <f t="shared" si="5"/>
        <v>✓ OK</v>
      </c>
      <c r="N127" s="43">
        <v>46139</v>
      </c>
      <c r="O127" s="26" t="s">
        <v>23</v>
      </c>
      <c r="P127" s="26" t="s">
        <v>24</v>
      </c>
      <c r="Q127" s="26" t="s">
        <v>25</v>
      </c>
      <c r="R127" s="26" t="s">
        <v>26</v>
      </c>
      <c r="S127" s="26" t="s">
        <v>24</v>
      </c>
      <c r="T127" s="27"/>
      <c r="U127" s="28" t="s">
        <v>25</v>
      </c>
      <c r="V127" s="29" t="str">
        <f t="shared" si="6"/>
        <v>✓ OK</v>
      </c>
      <c r="W127" s="45">
        <v>46248</v>
      </c>
      <c r="X127" s="30" t="s">
        <v>23</v>
      </c>
      <c r="Y127" s="30" t="s">
        <v>24</v>
      </c>
      <c r="Z127" s="30" t="s">
        <v>25</v>
      </c>
      <c r="AA127" s="30" t="s">
        <v>26</v>
      </c>
      <c r="AB127" s="30" t="s">
        <v>24</v>
      </c>
      <c r="AC127" s="27"/>
      <c r="AD127" s="31" t="s">
        <v>25</v>
      </c>
      <c r="AE127" s="32" t="str">
        <f t="shared" si="7"/>
        <v>✓ OK</v>
      </c>
      <c r="AF127" s="33" t="s">
        <v>27</v>
      </c>
      <c r="AG127" s="33" t="s">
        <v>23</v>
      </c>
      <c r="AH127" s="33" t="s">
        <v>24</v>
      </c>
      <c r="AI127" s="33" t="s">
        <v>25</v>
      </c>
      <c r="AJ127" s="33" t="s">
        <v>26</v>
      </c>
      <c r="AK127" s="33" t="s">
        <v>24</v>
      </c>
      <c r="AL127" s="27"/>
      <c r="AM127" s="34" t="s">
        <v>25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8" customHeight="1" x14ac:dyDescent="0.3">
      <c r="A128" s="39">
        <v>124</v>
      </c>
      <c r="B128" s="40" t="s">
        <v>275</v>
      </c>
      <c r="C128" s="41" t="s">
        <v>276</v>
      </c>
      <c r="D128" s="39" t="s">
        <v>216</v>
      </c>
      <c r="E128" s="43">
        <v>46125</v>
      </c>
      <c r="F128" s="26" t="s">
        <v>23</v>
      </c>
      <c r="G128" s="26" t="s">
        <v>24</v>
      </c>
      <c r="H128" s="26" t="s">
        <v>25</v>
      </c>
      <c r="I128" s="26" t="s">
        <v>26</v>
      </c>
      <c r="J128" s="26" t="s">
        <v>24</v>
      </c>
      <c r="K128" s="27"/>
      <c r="L128" s="28" t="s">
        <v>25</v>
      </c>
      <c r="M128" s="29" t="str">
        <f t="shared" si="5"/>
        <v>✓ OK</v>
      </c>
      <c r="N128" s="43">
        <v>46139</v>
      </c>
      <c r="O128" s="26" t="s">
        <v>23</v>
      </c>
      <c r="P128" s="26" t="s">
        <v>24</v>
      </c>
      <c r="Q128" s="26" t="s">
        <v>25</v>
      </c>
      <c r="R128" s="26" t="s">
        <v>26</v>
      </c>
      <c r="S128" s="26" t="s">
        <v>24</v>
      </c>
      <c r="T128" s="27"/>
      <c r="U128" s="28" t="s">
        <v>25</v>
      </c>
      <c r="V128" s="29" t="str">
        <f t="shared" si="6"/>
        <v>✓ OK</v>
      </c>
      <c r="W128" s="45">
        <v>46248</v>
      </c>
      <c r="X128" s="30" t="s">
        <v>23</v>
      </c>
      <c r="Y128" s="30" t="s">
        <v>24</v>
      </c>
      <c r="Z128" s="30" t="s">
        <v>25</v>
      </c>
      <c r="AA128" s="30" t="s">
        <v>26</v>
      </c>
      <c r="AB128" s="30" t="s">
        <v>24</v>
      </c>
      <c r="AC128" s="27"/>
      <c r="AD128" s="31" t="s">
        <v>25</v>
      </c>
      <c r="AE128" s="32" t="str">
        <f t="shared" si="7"/>
        <v>✓ OK</v>
      </c>
      <c r="AF128" s="33" t="s">
        <v>27</v>
      </c>
      <c r="AG128" s="33" t="s">
        <v>23</v>
      </c>
      <c r="AH128" s="33" t="s">
        <v>24</v>
      </c>
      <c r="AI128" s="33" t="s">
        <v>25</v>
      </c>
      <c r="AJ128" s="33" t="s">
        <v>26</v>
      </c>
      <c r="AK128" s="33" t="s">
        <v>24</v>
      </c>
      <c r="AL128" s="27"/>
      <c r="AM128" s="34" t="s">
        <v>25</v>
      </c>
      <c r="AN128" s="35" t="str">
        <f t="shared" si="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8" customHeight="1" x14ac:dyDescent="0.3">
      <c r="A129" s="23">
        <v>125</v>
      </c>
      <c r="B129" s="24" t="s">
        <v>277</v>
      </c>
      <c r="C129" s="25" t="s">
        <v>278</v>
      </c>
      <c r="D129" s="23" t="s">
        <v>216</v>
      </c>
      <c r="E129" s="43">
        <v>46125</v>
      </c>
      <c r="F129" s="26" t="s">
        <v>23</v>
      </c>
      <c r="G129" s="26" t="s">
        <v>24</v>
      </c>
      <c r="H129" s="26" t="s">
        <v>25</v>
      </c>
      <c r="I129" s="26" t="s">
        <v>26</v>
      </c>
      <c r="J129" s="26" t="s">
        <v>24</v>
      </c>
      <c r="K129" s="27"/>
      <c r="L129" s="28" t="s">
        <v>25</v>
      </c>
      <c r="M129" s="29" t="str">
        <f t="shared" si="5"/>
        <v>✓ OK</v>
      </c>
      <c r="N129" s="43">
        <v>46139</v>
      </c>
      <c r="O129" s="26" t="s">
        <v>23</v>
      </c>
      <c r="P129" s="26" t="s">
        <v>24</v>
      </c>
      <c r="Q129" s="26" t="s">
        <v>25</v>
      </c>
      <c r="R129" s="26" t="s">
        <v>26</v>
      </c>
      <c r="S129" s="26" t="s">
        <v>24</v>
      </c>
      <c r="T129" s="27"/>
      <c r="U129" s="28" t="s">
        <v>25</v>
      </c>
      <c r="V129" s="29" t="str">
        <f t="shared" si="6"/>
        <v>✓ OK</v>
      </c>
      <c r="W129" s="45">
        <v>46248</v>
      </c>
      <c r="X129" s="30" t="s">
        <v>23</v>
      </c>
      <c r="Y129" s="30" t="s">
        <v>24</v>
      </c>
      <c r="Z129" s="30" t="s">
        <v>25</v>
      </c>
      <c r="AA129" s="30" t="s">
        <v>26</v>
      </c>
      <c r="AB129" s="30" t="s">
        <v>24</v>
      </c>
      <c r="AC129" s="27"/>
      <c r="AD129" s="31" t="s">
        <v>25</v>
      </c>
      <c r="AE129" s="32" t="str">
        <f t="shared" si="7"/>
        <v>✓ OK</v>
      </c>
      <c r="AF129" s="33" t="s">
        <v>27</v>
      </c>
      <c r="AG129" s="33" t="s">
        <v>23</v>
      </c>
      <c r="AH129" s="33" t="s">
        <v>24</v>
      </c>
      <c r="AI129" s="33" t="s">
        <v>25</v>
      </c>
      <c r="AJ129" s="33" t="s">
        <v>26</v>
      </c>
      <c r="AK129" s="33" t="s">
        <v>24</v>
      </c>
      <c r="AL129" s="27"/>
      <c r="AM129" s="34" t="s">
        <v>25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8" customHeight="1" x14ac:dyDescent="0.3">
      <c r="A130" s="39">
        <v>126</v>
      </c>
      <c r="B130" s="40" t="s">
        <v>279</v>
      </c>
      <c r="C130" s="41" t="s">
        <v>280</v>
      </c>
      <c r="D130" s="39" t="s">
        <v>216</v>
      </c>
      <c r="E130" s="43">
        <v>46125</v>
      </c>
      <c r="F130" s="26" t="s">
        <v>23</v>
      </c>
      <c r="G130" s="26" t="s">
        <v>24</v>
      </c>
      <c r="H130" s="26" t="s">
        <v>25</v>
      </c>
      <c r="I130" s="26" t="s">
        <v>26</v>
      </c>
      <c r="J130" s="26" t="s">
        <v>24</v>
      </c>
      <c r="K130" s="27"/>
      <c r="L130" s="28" t="s">
        <v>25</v>
      </c>
      <c r="M130" s="29" t="str">
        <f t="shared" si="5"/>
        <v>✓ OK</v>
      </c>
      <c r="N130" s="43">
        <v>46139</v>
      </c>
      <c r="O130" s="26" t="s">
        <v>23</v>
      </c>
      <c r="P130" s="26" t="s">
        <v>24</v>
      </c>
      <c r="Q130" s="26" t="s">
        <v>25</v>
      </c>
      <c r="R130" s="26" t="s">
        <v>26</v>
      </c>
      <c r="S130" s="26" t="s">
        <v>24</v>
      </c>
      <c r="T130" s="27"/>
      <c r="U130" s="28" t="s">
        <v>25</v>
      </c>
      <c r="V130" s="29" t="str">
        <f t="shared" si="6"/>
        <v>✓ OK</v>
      </c>
      <c r="W130" s="45">
        <v>46248</v>
      </c>
      <c r="X130" s="30" t="s">
        <v>23</v>
      </c>
      <c r="Y130" s="30" t="s">
        <v>24</v>
      </c>
      <c r="Z130" s="30" t="s">
        <v>25</v>
      </c>
      <c r="AA130" s="30" t="s">
        <v>26</v>
      </c>
      <c r="AB130" s="30" t="s">
        <v>24</v>
      </c>
      <c r="AC130" s="27"/>
      <c r="AD130" s="31" t="s">
        <v>25</v>
      </c>
      <c r="AE130" s="32" t="str">
        <f t="shared" si="7"/>
        <v>✓ OK</v>
      </c>
      <c r="AF130" s="33" t="s">
        <v>27</v>
      </c>
      <c r="AG130" s="33" t="s">
        <v>23</v>
      </c>
      <c r="AH130" s="33" t="s">
        <v>24</v>
      </c>
      <c r="AI130" s="33" t="s">
        <v>25</v>
      </c>
      <c r="AJ130" s="33" t="s">
        <v>26</v>
      </c>
      <c r="AK130" s="33" t="s">
        <v>24</v>
      </c>
      <c r="AL130" s="27"/>
      <c r="AM130" s="34" t="s">
        <v>25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8" customHeight="1" x14ac:dyDescent="0.3">
      <c r="A131" s="23">
        <v>127</v>
      </c>
      <c r="B131" s="24" t="s">
        <v>281</v>
      </c>
      <c r="C131" s="25" t="s">
        <v>282</v>
      </c>
      <c r="D131" s="23" t="s">
        <v>216</v>
      </c>
      <c r="E131" s="43">
        <v>46125</v>
      </c>
      <c r="F131" s="26" t="s">
        <v>23</v>
      </c>
      <c r="G131" s="26" t="s">
        <v>24</v>
      </c>
      <c r="H131" s="26" t="s">
        <v>25</v>
      </c>
      <c r="I131" s="26" t="s">
        <v>26</v>
      </c>
      <c r="J131" s="26" t="s">
        <v>24</v>
      </c>
      <c r="K131" s="27"/>
      <c r="L131" s="28" t="s">
        <v>25</v>
      </c>
      <c r="M131" s="29" t="str">
        <f t="shared" si="5"/>
        <v>✓ OK</v>
      </c>
      <c r="N131" s="43">
        <v>46139</v>
      </c>
      <c r="O131" s="26" t="s">
        <v>23</v>
      </c>
      <c r="P131" s="26" t="s">
        <v>24</v>
      </c>
      <c r="Q131" s="26" t="s">
        <v>25</v>
      </c>
      <c r="R131" s="26" t="s">
        <v>26</v>
      </c>
      <c r="S131" s="26" t="s">
        <v>24</v>
      </c>
      <c r="T131" s="27"/>
      <c r="U131" s="28" t="s">
        <v>25</v>
      </c>
      <c r="V131" s="29" t="str">
        <f t="shared" si="6"/>
        <v>✓ OK</v>
      </c>
      <c r="W131" s="45">
        <v>46248</v>
      </c>
      <c r="X131" s="30" t="s">
        <v>23</v>
      </c>
      <c r="Y131" s="30" t="s">
        <v>24</v>
      </c>
      <c r="Z131" s="30" t="s">
        <v>25</v>
      </c>
      <c r="AA131" s="30" t="s">
        <v>26</v>
      </c>
      <c r="AB131" s="30" t="s">
        <v>24</v>
      </c>
      <c r="AC131" s="27"/>
      <c r="AD131" s="31" t="s">
        <v>25</v>
      </c>
      <c r="AE131" s="32" t="str">
        <f t="shared" si="7"/>
        <v>✓ OK</v>
      </c>
      <c r="AF131" s="33" t="s">
        <v>27</v>
      </c>
      <c r="AG131" s="33" t="s">
        <v>23</v>
      </c>
      <c r="AH131" s="33" t="s">
        <v>24</v>
      </c>
      <c r="AI131" s="33" t="s">
        <v>25</v>
      </c>
      <c r="AJ131" s="33" t="s">
        <v>26</v>
      </c>
      <c r="AK131" s="33" t="s">
        <v>24</v>
      </c>
      <c r="AL131" s="27"/>
      <c r="AM131" s="34" t="s">
        <v>25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8" customHeight="1" x14ac:dyDescent="0.3">
      <c r="A132" s="39">
        <v>128</v>
      </c>
      <c r="B132" s="40" t="s">
        <v>283</v>
      </c>
      <c r="C132" s="41" t="s">
        <v>284</v>
      </c>
      <c r="D132" s="39" t="s">
        <v>216</v>
      </c>
      <c r="E132" s="43">
        <v>46125</v>
      </c>
      <c r="F132" s="26" t="s">
        <v>23</v>
      </c>
      <c r="G132" s="26" t="s">
        <v>24</v>
      </c>
      <c r="H132" s="26" t="s">
        <v>25</v>
      </c>
      <c r="I132" s="26" t="s">
        <v>26</v>
      </c>
      <c r="J132" s="26" t="s">
        <v>24</v>
      </c>
      <c r="K132" s="27"/>
      <c r="L132" s="28" t="s">
        <v>25</v>
      </c>
      <c r="M132" s="29" t="str">
        <f t="shared" si="5"/>
        <v>✓ OK</v>
      </c>
      <c r="N132" s="43">
        <v>46139</v>
      </c>
      <c r="O132" s="26" t="s">
        <v>23</v>
      </c>
      <c r="P132" s="26" t="s">
        <v>24</v>
      </c>
      <c r="Q132" s="26" t="s">
        <v>25</v>
      </c>
      <c r="R132" s="26" t="s">
        <v>26</v>
      </c>
      <c r="S132" s="26" t="s">
        <v>24</v>
      </c>
      <c r="T132" s="27"/>
      <c r="U132" s="28" t="s">
        <v>25</v>
      </c>
      <c r="V132" s="29" t="str">
        <f t="shared" si="6"/>
        <v>✓ OK</v>
      </c>
      <c r="W132" s="45">
        <v>46248</v>
      </c>
      <c r="X132" s="30" t="s">
        <v>23</v>
      </c>
      <c r="Y132" s="30" t="s">
        <v>24</v>
      </c>
      <c r="Z132" s="30" t="s">
        <v>25</v>
      </c>
      <c r="AA132" s="30" t="s">
        <v>26</v>
      </c>
      <c r="AB132" s="30" t="s">
        <v>24</v>
      </c>
      <c r="AC132" s="27"/>
      <c r="AD132" s="31" t="s">
        <v>25</v>
      </c>
      <c r="AE132" s="32" t="str">
        <f t="shared" si="7"/>
        <v>✓ OK</v>
      </c>
      <c r="AF132" s="33" t="s">
        <v>27</v>
      </c>
      <c r="AG132" s="33" t="s">
        <v>23</v>
      </c>
      <c r="AH132" s="33" t="s">
        <v>24</v>
      </c>
      <c r="AI132" s="33" t="s">
        <v>25</v>
      </c>
      <c r="AJ132" s="33" t="s">
        <v>26</v>
      </c>
      <c r="AK132" s="33" t="s">
        <v>24</v>
      </c>
      <c r="AL132" s="27"/>
      <c r="AM132" s="34" t="s">
        <v>25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8" customHeight="1" x14ac:dyDescent="0.3">
      <c r="A133" s="23">
        <v>129</v>
      </c>
      <c r="B133" s="24" t="s">
        <v>285</v>
      </c>
      <c r="C133" s="25" t="s">
        <v>286</v>
      </c>
      <c r="D133" s="23" t="s">
        <v>216</v>
      </c>
      <c r="E133" s="43">
        <v>46125</v>
      </c>
      <c r="F133" s="26" t="s">
        <v>23</v>
      </c>
      <c r="G133" s="26" t="s">
        <v>24</v>
      </c>
      <c r="H133" s="26" t="s">
        <v>25</v>
      </c>
      <c r="I133" s="26" t="s">
        <v>26</v>
      </c>
      <c r="J133" s="26" t="s">
        <v>24</v>
      </c>
      <c r="K133" s="27"/>
      <c r="L133" s="28" t="s">
        <v>25</v>
      </c>
      <c r="M133" s="29" t="str">
        <f t="shared" ref="M133:M196" si="10">IF(E133="","",IF(H133="Yes","❌ Disc",IF(G133="No","⚠ Missing",IF(J133="Yes","✓ OK","⚠ Check"))))</f>
        <v>✓ OK</v>
      </c>
      <c r="N133" s="43">
        <v>46139</v>
      </c>
      <c r="O133" s="26" t="s">
        <v>23</v>
      </c>
      <c r="P133" s="26" t="s">
        <v>24</v>
      </c>
      <c r="Q133" s="26" t="s">
        <v>25</v>
      </c>
      <c r="R133" s="26" t="s">
        <v>26</v>
      </c>
      <c r="S133" s="26" t="s">
        <v>24</v>
      </c>
      <c r="T133" s="27"/>
      <c r="U133" s="28" t="s">
        <v>25</v>
      </c>
      <c r="V133" s="29" t="str">
        <f t="shared" ref="V133:V196" si="11">IF(N133="","",IF(Q133="Yes","❌ Disc",IF(P133="No","⚠ Missing",IF(S133="Yes","✓ OK","⚠ Check"))))</f>
        <v>✓ OK</v>
      </c>
      <c r="W133" s="45">
        <v>46248</v>
      </c>
      <c r="X133" s="30" t="s">
        <v>23</v>
      </c>
      <c r="Y133" s="30" t="s">
        <v>24</v>
      </c>
      <c r="Z133" s="30" t="s">
        <v>25</v>
      </c>
      <c r="AA133" s="30" t="s">
        <v>26</v>
      </c>
      <c r="AB133" s="30" t="s">
        <v>24</v>
      </c>
      <c r="AC133" s="27"/>
      <c r="AD133" s="31" t="s">
        <v>25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27</v>
      </c>
      <c r="AG133" s="33" t="s">
        <v>23</v>
      </c>
      <c r="AH133" s="33" t="s">
        <v>24</v>
      </c>
      <c r="AI133" s="33" t="s">
        <v>25</v>
      </c>
      <c r="AJ133" s="33" t="s">
        <v>26</v>
      </c>
      <c r="AK133" s="33" t="s">
        <v>24</v>
      </c>
      <c r="AL133" s="27"/>
      <c r="AM133" s="34" t="s">
        <v>25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287</v>
      </c>
      <c r="C134" s="41" t="s">
        <v>288</v>
      </c>
      <c r="D134" s="39" t="s">
        <v>216</v>
      </c>
      <c r="E134" s="43">
        <v>46125</v>
      </c>
      <c r="F134" s="26" t="s">
        <v>23</v>
      </c>
      <c r="G134" s="26" t="s">
        <v>24</v>
      </c>
      <c r="H134" s="26" t="s">
        <v>25</v>
      </c>
      <c r="I134" s="26" t="s">
        <v>26</v>
      </c>
      <c r="J134" s="26" t="s">
        <v>24</v>
      </c>
      <c r="K134" s="27"/>
      <c r="L134" s="28" t="s">
        <v>25</v>
      </c>
      <c r="M134" s="29" t="str">
        <f t="shared" si="10"/>
        <v>✓ OK</v>
      </c>
      <c r="N134" s="43">
        <v>46139</v>
      </c>
      <c r="O134" s="26" t="s">
        <v>23</v>
      </c>
      <c r="P134" s="26" t="s">
        <v>24</v>
      </c>
      <c r="Q134" s="26" t="s">
        <v>25</v>
      </c>
      <c r="R134" s="26" t="s">
        <v>26</v>
      </c>
      <c r="S134" s="26" t="s">
        <v>24</v>
      </c>
      <c r="T134" s="27"/>
      <c r="U134" s="28" t="s">
        <v>25</v>
      </c>
      <c r="V134" s="29" t="str">
        <f t="shared" si="11"/>
        <v>✓ OK</v>
      </c>
      <c r="W134" s="45">
        <v>46248</v>
      </c>
      <c r="X134" s="30" t="s">
        <v>23</v>
      </c>
      <c r="Y134" s="30" t="s">
        <v>24</v>
      </c>
      <c r="Z134" s="30" t="s">
        <v>25</v>
      </c>
      <c r="AA134" s="30" t="s">
        <v>26</v>
      </c>
      <c r="AB134" s="30" t="s">
        <v>24</v>
      </c>
      <c r="AC134" s="27"/>
      <c r="AD134" s="31" t="s">
        <v>25</v>
      </c>
      <c r="AE134" s="32" t="str">
        <f t="shared" si="12"/>
        <v>✓ OK</v>
      </c>
      <c r="AF134" s="33" t="s">
        <v>27</v>
      </c>
      <c r="AG134" s="33" t="s">
        <v>23</v>
      </c>
      <c r="AH134" s="33" t="s">
        <v>24</v>
      </c>
      <c r="AI134" s="33" t="s">
        <v>25</v>
      </c>
      <c r="AJ134" s="33" t="s">
        <v>26</v>
      </c>
      <c r="AK134" s="33" t="s">
        <v>24</v>
      </c>
      <c r="AL134" s="27"/>
      <c r="AM134" s="34" t="s">
        <v>25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8" customHeight="1" x14ac:dyDescent="0.3">
      <c r="A135" s="23">
        <v>131</v>
      </c>
      <c r="B135" s="24" t="s">
        <v>289</v>
      </c>
      <c r="C135" s="25" t="s">
        <v>290</v>
      </c>
      <c r="D135" s="23" t="s">
        <v>216</v>
      </c>
      <c r="E135" s="43">
        <v>46125</v>
      </c>
      <c r="F135" s="26" t="s">
        <v>23</v>
      </c>
      <c r="G135" s="26" t="s">
        <v>24</v>
      </c>
      <c r="H135" s="26" t="s">
        <v>25</v>
      </c>
      <c r="I135" s="26" t="s">
        <v>26</v>
      </c>
      <c r="J135" s="26" t="s">
        <v>24</v>
      </c>
      <c r="K135" s="27"/>
      <c r="L135" s="28" t="s">
        <v>25</v>
      </c>
      <c r="M135" s="29" t="str">
        <f t="shared" si="10"/>
        <v>✓ OK</v>
      </c>
      <c r="N135" s="43">
        <v>46139</v>
      </c>
      <c r="O135" s="26" t="s">
        <v>23</v>
      </c>
      <c r="P135" s="26" t="s">
        <v>24</v>
      </c>
      <c r="Q135" s="26" t="s">
        <v>25</v>
      </c>
      <c r="R135" s="26" t="s">
        <v>26</v>
      </c>
      <c r="S135" s="26" t="s">
        <v>24</v>
      </c>
      <c r="T135" s="27"/>
      <c r="U135" s="28" t="s">
        <v>25</v>
      </c>
      <c r="V135" s="29" t="str">
        <f t="shared" si="11"/>
        <v>✓ OK</v>
      </c>
      <c r="W135" s="45">
        <v>46248</v>
      </c>
      <c r="X135" s="30" t="s">
        <v>23</v>
      </c>
      <c r="Y135" s="30" t="s">
        <v>24</v>
      </c>
      <c r="Z135" s="30" t="s">
        <v>25</v>
      </c>
      <c r="AA135" s="30" t="s">
        <v>26</v>
      </c>
      <c r="AB135" s="30" t="s">
        <v>24</v>
      </c>
      <c r="AC135" s="27"/>
      <c r="AD135" s="31" t="s">
        <v>25</v>
      </c>
      <c r="AE135" s="32" t="str">
        <f t="shared" si="12"/>
        <v>✓ OK</v>
      </c>
      <c r="AF135" s="33" t="s">
        <v>27</v>
      </c>
      <c r="AG135" s="33" t="s">
        <v>23</v>
      </c>
      <c r="AH135" s="33" t="s">
        <v>24</v>
      </c>
      <c r="AI135" s="33" t="s">
        <v>25</v>
      </c>
      <c r="AJ135" s="33" t="s">
        <v>26</v>
      </c>
      <c r="AK135" s="33" t="s">
        <v>24</v>
      </c>
      <c r="AL135" s="27"/>
      <c r="AM135" s="34" t="s">
        <v>25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8" customHeight="1" x14ac:dyDescent="0.3">
      <c r="A136" s="39">
        <v>132</v>
      </c>
      <c r="B136" s="40" t="s">
        <v>291</v>
      </c>
      <c r="C136" s="41" t="s">
        <v>292</v>
      </c>
      <c r="D136" s="39" t="s">
        <v>216</v>
      </c>
      <c r="E136" s="43">
        <v>46125</v>
      </c>
      <c r="F136" s="26" t="s">
        <v>23</v>
      </c>
      <c r="G136" s="26" t="s">
        <v>24</v>
      </c>
      <c r="H136" s="26" t="s">
        <v>25</v>
      </c>
      <c r="I136" s="26" t="s">
        <v>26</v>
      </c>
      <c r="J136" s="26" t="s">
        <v>24</v>
      </c>
      <c r="K136" s="27"/>
      <c r="L136" s="28" t="s">
        <v>25</v>
      </c>
      <c r="M136" s="29" t="str">
        <f t="shared" si="10"/>
        <v>✓ OK</v>
      </c>
      <c r="N136" s="43">
        <v>46139</v>
      </c>
      <c r="O136" s="26" t="s">
        <v>23</v>
      </c>
      <c r="P136" s="26" t="s">
        <v>24</v>
      </c>
      <c r="Q136" s="26" t="s">
        <v>25</v>
      </c>
      <c r="R136" s="26" t="s">
        <v>26</v>
      </c>
      <c r="S136" s="26" t="s">
        <v>24</v>
      </c>
      <c r="T136" s="27"/>
      <c r="U136" s="28" t="s">
        <v>25</v>
      </c>
      <c r="V136" s="29" t="str">
        <f t="shared" si="11"/>
        <v>✓ OK</v>
      </c>
      <c r="W136" s="45">
        <v>46248</v>
      </c>
      <c r="X136" s="30" t="s">
        <v>23</v>
      </c>
      <c r="Y136" s="30" t="s">
        <v>24</v>
      </c>
      <c r="Z136" s="30" t="s">
        <v>25</v>
      </c>
      <c r="AA136" s="30" t="s">
        <v>26</v>
      </c>
      <c r="AB136" s="30" t="s">
        <v>24</v>
      </c>
      <c r="AC136" s="27"/>
      <c r="AD136" s="31" t="s">
        <v>25</v>
      </c>
      <c r="AE136" s="32" t="str">
        <f t="shared" si="12"/>
        <v>✓ OK</v>
      </c>
      <c r="AF136" s="33" t="s">
        <v>27</v>
      </c>
      <c r="AG136" s="33" t="s">
        <v>23</v>
      </c>
      <c r="AH136" s="33" t="s">
        <v>24</v>
      </c>
      <c r="AI136" s="33" t="s">
        <v>25</v>
      </c>
      <c r="AJ136" s="33" t="s">
        <v>26</v>
      </c>
      <c r="AK136" s="33" t="s">
        <v>24</v>
      </c>
      <c r="AL136" s="27"/>
      <c r="AM136" s="34" t="s">
        <v>25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8" customHeight="1" x14ac:dyDescent="0.3">
      <c r="A137" s="23">
        <v>133</v>
      </c>
      <c r="B137" s="24" t="s">
        <v>293</v>
      </c>
      <c r="C137" s="25" t="s">
        <v>294</v>
      </c>
      <c r="D137" s="23" t="s">
        <v>216</v>
      </c>
      <c r="E137" s="43">
        <v>46125</v>
      </c>
      <c r="F137" s="26" t="s">
        <v>23</v>
      </c>
      <c r="G137" s="26" t="s">
        <v>24</v>
      </c>
      <c r="H137" s="26" t="s">
        <v>25</v>
      </c>
      <c r="I137" s="26" t="s">
        <v>26</v>
      </c>
      <c r="J137" s="26" t="s">
        <v>24</v>
      </c>
      <c r="K137" s="27"/>
      <c r="L137" s="28" t="s">
        <v>25</v>
      </c>
      <c r="M137" s="29" t="str">
        <f t="shared" si="10"/>
        <v>✓ OK</v>
      </c>
      <c r="N137" s="43">
        <v>46139</v>
      </c>
      <c r="O137" s="26" t="s">
        <v>23</v>
      </c>
      <c r="P137" s="26" t="s">
        <v>24</v>
      </c>
      <c r="Q137" s="26" t="s">
        <v>25</v>
      </c>
      <c r="R137" s="26" t="s">
        <v>26</v>
      </c>
      <c r="S137" s="26" t="s">
        <v>24</v>
      </c>
      <c r="T137" s="27"/>
      <c r="U137" s="28" t="s">
        <v>25</v>
      </c>
      <c r="V137" s="29" t="str">
        <f t="shared" si="11"/>
        <v>✓ OK</v>
      </c>
      <c r="W137" s="45">
        <v>46248</v>
      </c>
      <c r="X137" s="30" t="s">
        <v>23</v>
      </c>
      <c r="Y137" s="30" t="s">
        <v>24</v>
      </c>
      <c r="Z137" s="30" t="s">
        <v>25</v>
      </c>
      <c r="AA137" s="30" t="s">
        <v>26</v>
      </c>
      <c r="AB137" s="30" t="s">
        <v>24</v>
      </c>
      <c r="AC137" s="27"/>
      <c r="AD137" s="31" t="s">
        <v>25</v>
      </c>
      <c r="AE137" s="32" t="str">
        <f t="shared" si="12"/>
        <v>✓ OK</v>
      </c>
      <c r="AF137" s="33" t="s">
        <v>27</v>
      </c>
      <c r="AG137" s="33" t="s">
        <v>23</v>
      </c>
      <c r="AH137" s="33" t="s">
        <v>24</v>
      </c>
      <c r="AI137" s="33" t="s">
        <v>25</v>
      </c>
      <c r="AJ137" s="33" t="s">
        <v>26</v>
      </c>
      <c r="AK137" s="33" t="s">
        <v>24</v>
      </c>
      <c r="AL137" s="27"/>
      <c r="AM137" s="34" t="s">
        <v>25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8" customHeight="1" x14ac:dyDescent="0.3">
      <c r="A138" s="39">
        <v>134</v>
      </c>
      <c r="B138" s="40" t="s">
        <v>295</v>
      </c>
      <c r="C138" s="41" t="s">
        <v>296</v>
      </c>
      <c r="D138" s="39" t="s">
        <v>216</v>
      </c>
      <c r="E138" s="43">
        <v>46125</v>
      </c>
      <c r="F138" s="26" t="s">
        <v>23</v>
      </c>
      <c r="G138" s="26" t="s">
        <v>24</v>
      </c>
      <c r="H138" s="26" t="s">
        <v>25</v>
      </c>
      <c r="I138" s="26" t="s">
        <v>26</v>
      </c>
      <c r="J138" s="26" t="s">
        <v>24</v>
      </c>
      <c r="K138" s="27"/>
      <c r="L138" s="28" t="s">
        <v>25</v>
      </c>
      <c r="M138" s="29" t="str">
        <f t="shared" si="10"/>
        <v>✓ OK</v>
      </c>
      <c r="N138" s="43">
        <v>46139</v>
      </c>
      <c r="O138" s="26" t="s">
        <v>23</v>
      </c>
      <c r="P138" s="26" t="s">
        <v>24</v>
      </c>
      <c r="Q138" s="26" t="s">
        <v>25</v>
      </c>
      <c r="R138" s="26" t="s">
        <v>26</v>
      </c>
      <c r="S138" s="26" t="s">
        <v>24</v>
      </c>
      <c r="T138" s="27"/>
      <c r="U138" s="28" t="s">
        <v>25</v>
      </c>
      <c r="V138" s="29" t="str">
        <f t="shared" si="11"/>
        <v>✓ OK</v>
      </c>
      <c r="W138" s="45">
        <v>46248</v>
      </c>
      <c r="X138" s="30" t="s">
        <v>23</v>
      </c>
      <c r="Y138" s="30" t="s">
        <v>24</v>
      </c>
      <c r="Z138" s="30" t="s">
        <v>25</v>
      </c>
      <c r="AA138" s="30" t="s">
        <v>26</v>
      </c>
      <c r="AB138" s="30" t="s">
        <v>24</v>
      </c>
      <c r="AC138" s="27"/>
      <c r="AD138" s="31" t="s">
        <v>25</v>
      </c>
      <c r="AE138" s="32" t="str">
        <f t="shared" si="12"/>
        <v>✓ OK</v>
      </c>
      <c r="AF138" s="33" t="s">
        <v>27</v>
      </c>
      <c r="AG138" s="33" t="s">
        <v>23</v>
      </c>
      <c r="AH138" s="33" t="s">
        <v>24</v>
      </c>
      <c r="AI138" s="33" t="s">
        <v>25</v>
      </c>
      <c r="AJ138" s="33" t="s">
        <v>26</v>
      </c>
      <c r="AK138" s="33" t="s">
        <v>24</v>
      </c>
      <c r="AL138" s="27"/>
      <c r="AM138" s="34" t="s">
        <v>25</v>
      </c>
      <c r="AN138" s="35" t="str">
        <f t="shared" si="1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8" customHeight="1" x14ac:dyDescent="0.3">
      <c r="A139" s="23">
        <v>135</v>
      </c>
      <c r="B139" s="24" t="s">
        <v>297</v>
      </c>
      <c r="C139" s="25" t="s">
        <v>298</v>
      </c>
      <c r="D139" s="23" t="s">
        <v>216</v>
      </c>
      <c r="E139" s="43">
        <v>46125</v>
      </c>
      <c r="F139" s="26" t="s">
        <v>23</v>
      </c>
      <c r="G139" s="26" t="s">
        <v>24</v>
      </c>
      <c r="H139" s="26" t="s">
        <v>25</v>
      </c>
      <c r="I139" s="26" t="s">
        <v>26</v>
      </c>
      <c r="J139" s="26" t="s">
        <v>24</v>
      </c>
      <c r="K139" s="27"/>
      <c r="L139" s="28" t="s">
        <v>25</v>
      </c>
      <c r="M139" s="29" t="str">
        <f t="shared" si="10"/>
        <v>✓ OK</v>
      </c>
      <c r="N139" s="43">
        <v>46139</v>
      </c>
      <c r="O139" s="26" t="s">
        <v>23</v>
      </c>
      <c r="P139" s="26" t="s">
        <v>24</v>
      </c>
      <c r="Q139" s="26" t="s">
        <v>25</v>
      </c>
      <c r="R139" s="26" t="s">
        <v>26</v>
      </c>
      <c r="S139" s="26" t="s">
        <v>24</v>
      </c>
      <c r="T139" s="27"/>
      <c r="U139" s="28" t="s">
        <v>25</v>
      </c>
      <c r="V139" s="29" t="str">
        <f t="shared" si="11"/>
        <v>✓ OK</v>
      </c>
      <c r="W139" s="45">
        <v>46248</v>
      </c>
      <c r="X139" s="30" t="s">
        <v>23</v>
      </c>
      <c r="Y139" s="30" t="s">
        <v>24</v>
      </c>
      <c r="Z139" s="30" t="s">
        <v>25</v>
      </c>
      <c r="AA139" s="30" t="s">
        <v>26</v>
      </c>
      <c r="AB139" s="30" t="s">
        <v>24</v>
      </c>
      <c r="AC139" s="27"/>
      <c r="AD139" s="31" t="s">
        <v>25</v>
      </c>
      <c r="AE139" s="32" t="str">
        <f t="shared" si="12"/>
        <v>✓ OK</v>
      </c>
      <c r="AF139" s="33" t="s">
        <v>27</v>
      </c>
      <c r="AG139" s="33" t="s">
        <v>23</v>
      </c>
      <c r="AH139" s="33" t="s">
        <v>24</v>
      </c>
      <c r="AI139" s="33" t="s">
        <v>25</v>
      </c>
      <c r="AJ139" s="33" t="s">
        <v>26</v>
      </c>
      <c r="AK139" s="33" t="s">
        <v>24</v>
      </c>
      <c r="AL139" s="27"/>
      <c r="AM139" s="34" t="s">
        <v>25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8" customHeight="1" x14ac:dyDescent="0.3">
      <c r="A140" s="39">
        <v>136</v>
      </c>
      <c r="B140" s="40" t="s">
        <v>299</v>
      </c>
      <c r="C140" s="41" t="s">
        <v>300</v>
      </c>
      <c r="D140" s="39" t="s">
        <v>216</v>
      </c>
      <c r="E140" s="43">
        <v>46125</v>
      </c>
      <c r="F140" s="26" t="s">
        <v>23</v>
      </c>
      <c r="G140" s="26" t="s">
        <v>24</v>
      </c>
      <c r="H140" s="26" t="s">
        <v>25</v>
      </c>
      <c r="I140" s="26" t="s">
        <v>26</v>
      </c>
      <c r="J140" s="26" t="s">
        <v>24</v>
      </c>
      <c r="K140" s="27"/>
      <c r="L140" s="28" t="s">
        <v>25</v>
      </c>
      <c r="M140" s="29" t="str">
        <f t="shared" si="10"/>
        <v>✓ OK</v>
      </c>
      <c r="N140" s="43">
        <v>46139</v>
      </c>
      <c r="O140" s="26" t="s">
        <v>23</v>
      </c>
      <c r="P140" s="26" t="s">
        <v>24</v>
      </c>
      <c r="Q140" s="26" t="s">
        <v>25</v>
      </c>
      <c r="R140" s="26" t="s">
        <v>26</v>
      </c>
      <c r="S140" s="26" t="s">
        <v>24</v>
      </c>
      <c r="T140" s="27"/>
      <c r="U140" s="28" t="s">
        <v>25</v>
      </c>
      <c r="V140" s="29" t="str">
        <f t="shared" si="11"/>
        <v>✓ OK</v>
      </c>
      <c r="W140" s="45">
        <v>46248</v>
      </c>
      <c r="X140" s="30" t="s">
        <v>23</v>
      </c>
      <c r="Y140" s="30" t="s">
        <v>24</v>
      </c>
      <c r="Z140" s="30" t="s">
        <v>25</v>
      </c>
      <c r="AA140" s="30" t="s">
        <v>26</v>
      </c>
      <c r="AB140" s="30" t="s">
        <v>24</v>
      </c>
      <c r="AC140" s="27"/>
      <c r="AD140" s="31" t="s">
        <v>25</v>
      </c>
      <c r="AE140" s="32" t="str">
        <f t="shared" si="12"/>
        <v>✓ OK</v>
      </c>
      <c r="AF140" s="33" t="s">
        <v>27</v>
      </c>
      <c r="AG140" s="33" t="s">
        <v>23</v>
      </c>
      <c r="AH140" s="33" t="s">
        <v>24</v>
      </c>
      <c r="AI140" s="33" t="s">
        <v>25</v>
      </c>
      <c r="AJ140" s="33" t="s">
        <v>26</v>
      </c>
      <c r="AK140" s="33" t="s">
        <v>24</v>
      </c>
      <c r="AL140" s="27"/>
      <c r="AM140" s="34" t="s">
        <v>25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8" customHeight="1" x14ac:dyDescent="0.3">
      <c r="A141" s="23">
        <v>137</v>
      </c>
      <c r="B141" s="24" t="s">
        <v>301</v>
      </c>
      <c r="C141" s="25" t="s">
        <v>302</v>
      </c>
      <c r="D141" s="23" t="s">
        <v>216</v>
      </c>
      <c r="E141" s="43">
        <v>46125</v>
      </c>
      <c r="F141" s="26" t="s">
        <v>23</v>
      </c>
      <c r="G141" s="26" t="s">
        <v>24</v>
      </c>
      <c r="H141" s="26" t="s">
        <v>25</v>
      </c>
      <c r="I141" s="26" t="s">
        <v>26</v>
      </c>
      <c r="J141" s="26" t="s">
        <v>24</v>
      </c>
      <c r="K141" s="27"/>
      <c r="L141" s="28" t="s">
        <v>25</v>
      </c>
      <c r="M141" s="29" t="str">
        <f t="shared" si="10"/>
        <v>✓ OK</v>
      </c>
      <c r="N141" s="43">
        <v>46139</v>
      </c>
      <c r="O141" s="26" t="s">
        <v>23</v>
      </c>
      <c r="P141" s="26" t="s">
        <v>24</v>
      </c>
      <c r="Q141" s="26" t="s">
        <v>25</v>
      </c>
      <c r="R141" s="26" t="s">
        <v>26</v>
      </c>
      <c r="S141" s="26" t="s">
        <v>24</v>
      </c>
      <c r="T141" s="27"/>
      <c r="U141" s="28" t="s">
        <v>25</v>
      </c>
      <c r="V141" s="29" t="str">
        <f t="shared" si="11"/>
        <v>✓ OK</v>
      </c>
      <c r="W141" s="45">
        <v>46248</v>
      </c>
      <c r="X141" s="30" t="s">
        <v>23</v>
      </c>
      <c r="Y141" s="30" t="s">
        <v>24</v>
      </c>
      <c r="Z141" s="30" t="s">
        <v>25</v>
      </c>
      <c r="AA141" s="30" t="s">
        <v>26</v>
      </c>
      <c r="AB141" s="30" t="s">
        <v>24</v>
      </c>
      <c r="AC141" s="27"/>
      <c r="AD141" s="31" t="s">
        <v>25</v>
      </c>
      <c r="AE141" s="32" t="str">
        <f t="shared" si="12"/>
        <v>✓ OK</v>
      </c>
      <c r="AF141" s="33" t="s">
        <v>27</v>
      </c>
      <c r="AG141" s="33" t="s">
        <v>23</v>
      </c>
      <c r="AH141" s="33" t="s">
        <v>24</v>
      </c>
      <c r="AI141" s="33" t="s">
        <v>25</v>
      </c>
      <c r="AJ141" s="33" t="s">
        <v>26</v>
      </c>
      <c r="AK141" s="33" t="s">
        <v>24</v>
      </c>
      <c r="AL141" s="27"/>
      <c r="AM141" s="34" t="s">
        <v>25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8" customHeight="1" x14ac:dyDescent="0.3">
      <c r="A142" s="39">
        <v>138</v>
      </c>
      <c r="B142" s="40" t="s">
        <v>303</v>
      </c>
      <c r="C142" s="41" t="s">
        <v>304</v>
      </c>
      <c r="D142" s="39" t="s">
        <v>216</v>
      </c>
      <c r="E142" s="43">
        <v>46125</v>
      </c>
      <c r="F142" s="26" t="s">
        <v>23</v>
      </c>
      <c r="G142" s="26" t="s">
        <v>24</v>
      </c>
      <c r="H142" s="26" t="s">
        <v>25</v>
      </c>
      <c r="I142" s="26" t="s">
        <v>26</v>
      </c>
      <c r="J142" s="26" t="s">
        <v>24</v>
      </c>
      <c r="K142" s="27"/>
      <c r="L142" s="28" t="s">
        <v>25</v>
      </c>
      <c r="M142" s="29" t="str">
        <f t="shared" si="10"/>
        <v>✓ OK</v>
      </c>
      <c r="N142" s="43">
        <v>46139</v>
      </c>
      <c r="O142" s="26" t="s">
        <v>23</v>
      </c>
      <c r="P142" s="26" t="s">
        <v>24</v>
      </c>
      <c r="Q142" s="26" t="s">
        <v>25</v>
      </c>
      <c r="R142" s="26" t="s">
        <v>26</v>
      </c>
      <c r="S142" s="26" t="s">
        <v>24</v>
      </c>
      <c r="T142" s="27"/>
      <c r="U142" s="28" t="s">
        <v>25</v>
      </c>
      <c r="V142" s="29" t="str">
        <f t="shared" si="11"/>
        <v>✓ OK</v>
      </c>
      <c r="W142" s="45">
        <v>46248</v>
      </c>
      <c r="X142" s="30" t="s">
        <v>23</v>
      </c>
      <c r="Y142" s="30" t="s">
        <v>24</v>
      </c>
      <c r="Z142" s="30" t="s">
        <v>25</v>
      </c>
      <c r="AA142" s="30" t="s">
        <v>26</v>
      </c>
      <c r="AB142" s="30" t="s">
        <v>24</v>
      </c>
      <c r="AC142" s="27"/>
      <c r="AD142" s="31" t="s">
        <v>25</v>
      </c>
      <c r="AE142" s="32" t="str">
        <f t="shared" si="12"/>
        <v>✓ OK</v>
      </c>
      <c r="AF142" s="33" t="s">
        <v>27</v>
      </c>
      <c r="AG142" s="33" t="s">
        <v>23</v>
      </c>
      <c r="AH142" s="33" t="s">
        <v>24</v>
      </c>
      <c r="AI142" s="33" t="s">
        <v>25</v>
      </c>
      <c r="AJ142" s="33" t="s">
        <v>26</v>
      </c>
      <c r="AK142" s="33" t="s">
        <v>24</v>
      </c>
      <c r="AL142" s="27"/>
      <c r="AM142" s="34" t="s">
        <v>25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8" customHeight="1" x14ac:dyDescent="0.3">
      <c r="A143" s="23">
        <v>139</v>
      </c>
      <c r="B143" s="24" t="s">
        <v>305</v>
      </c>
      <c r="C143" s="25" t="s">
        <v>306</v>
      </c>
      <c r="D143" s="23" t="s">
        <v>216</v>
      </c>
      <c r="E143" s="43">
        <v>46125</v>
      </c>
      <c r="F143" s="26" t="s">
        <v>23</v>
      </c>
      <c r="G143" s="26" t="s">
        <v>24</v>
      </c>
      <c r="H143" s="26" t="s">
        <v>25</v>
      </c>
      <c r="I143" s="26" t="s">
        <v>26</v>
      </c>
      <c r="J143" s="26" t="s">
        <v>24</v>
      </c>
      <c r="K143" s="27"/>
      <c r="L143" s="28" t="s">
        <v>25</v>
      </c>
      <c r="M143" s="29" t="str">
        <f t="shared" si="10"/>
        <v>✓ OK</v>
      </c>
      <c r="N143" s="43">
        <v>46139</v>
      </c>
      <c r="O143" s="26" t="s">
        <v>23</v>
      </c>
      <c r="P143" s="26" t="s">
        <v>24</v>
      </c>
      <c r="Q143" s="26" t="s">
        <v>25</v>
      </c>
      <c r="R143" s="26" t="s">
        <v>26</v>
      </c>
      <c r="S143" s="26" t="s">
        <v>24</v>
      </c>
      <c r="T143" s="27"/>
      <c r="U143" s="28" t="s">
        <v>25</v>
      </c>
      <c r="V143" s="29" t="str">
        <f t="shared" si="11"/>
        <v>✓ OK</v>
      </c>
      <c r="W143" s="45">
        <v>46248</v>
      </c>
      <c r="X143" s="30" t="s">
        <v>23</v>
      </c>
      <c r="Y143" s="30" t="s">
        <v>24</v>
      </c>
      <c r="Z143" s="30" t="s">
        <v>25</v>
      </c>
      <c r="AA143" s="30" t="s">
        <v>26</v>
      </c>
      <c r="AB143" s="30" t="s">
        <v>24</v>
      </c>
      <c r="AC143" s="27"/>
      <c r="AD143" s="31" t="s">
        <v>25</v>
      </c>
      <c r="AE143" s="32" t="str">
        <f t="shared" si="12"/>
        <v>✓ OK</v>
      </c>
      <c r="AF143" s="33" t="s">
        <v>27</v>
      </c>
      <c r="AG143" s="33" t="s">
        <v>23</v>
      </c>
      <c r="AH143" s="33" t="s">
        <v>24</v>
      </c>
      <c r="AI143" s="33" t="s">
        <v>25</v>
      </c>
      <c r="AJ143" s="33" t="s">
        <v>26</v>
      </c>
      <c r="AK143" s="33" t="s">
        <v>24</v>
      </c>
      <c r="AL143" s="27"/>
      <c r="AM143" s="34" t="s">
        <v>25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8" customHeight="1" x14ac:dyDescent="0.3">
      <c r="A144" s="39">
        <v>140</v>
      </c>
      <c r="B144" s="40" t="s">
        <v>307</v>
      </c>
      <c r="C144" s="41" t="s">
        <v>308</v>
      </c>
      <c r="D144" s="39" t="s">
        <v>216</v>
      </c>
      <c r="E144" s="43">
        <v>46125</v>
      </c>
      <c r="F144" s="26" t="s">
        <v>23</v>
      </c>
      <c r="G144" s="26" t="s">
        <v>24</v>
      </c>
      <c r="H144" s="26" t="s">
        <v>25</v>
      </c>
      <c r="I144" s="26" t="s">
        <v>26</v>
      </c>
      <c r="J144" s="26" t="s">
        <v>24</v>
      </c>
      <c r="K144" s="27"/>
      <c r="L144" s="28" t="s">
        <v>25</v>
      </c>
      <c r="M144" s="29" t="str">
        <f t="shared" si="10"/>
        <v>✓ OK</v>
      </c>
      <c r="N144" s="43">
        <v>46139</v>
      </c>
      <c r="O144" s="26" t="s">
        <v>23</v>
      </c>
      <c r="P144" s="26" t="s">
        <v>24</v>
      </c>
      <c r="Q144" s="26" t="s">
        <v>25</v>
      </c>
      <c r="R144" s="26" t="s">
        <v>26</v>
      </c>
      <c r="S144" s="26" t="s">
        <v>24</v>
      </c>
      <c r="T144" s="27"/>
      <c r="U144" s="28" t="s">
        <v>25</v>
      </c>
      <c r="V144" s="29" t="str">
        <f t="shared" si="11"/>
        <v>✓ OK</v>
      </c>
      <c r="W144" s="45">
        <v>46248</v>
      </c>
      <c r="X144" s="30" t="s">
        <v>23</v>
      </c>
      <c r="Y144" s="30" t="s">
        <v>24</v>
      </c>
      <c r="Z144" s="30" t="s">
        <v>25</v>
      </c>
      <c r="AA144" s="30" t="s">
        <v>26</v>
      </c>
      <c r="AB144" s="30" t="s">
        <v>24</v>
      </c>
      <c r="AC144" s="27"/>
      <c r="AD144" s="31" t="s">
        <v>25</v>
      </c>
      <c r="AE144" s="32" t="str">
        <f t="shared" si="12"/>
        <v>✓ OK</v>
      </c>
      <c r="AF144" s="33" t="s">
        <v>27</v>
      </c>
      <c r="AG144" s="33" t="s">
        <v>23</v>
      </c>
      <c r="AH144" s="33" t="s">
        <v>24</v>
      </c>
      <c r="AI144" s="33" t="s">
        <v>25</v>
      </c>
      <c r="AJ144" s="33" t="s">
        <v>26</v>
      </c>
      <c r="AK144" s="33" t="s">
        <v>24</v>
      </c>
      <c r="AL144" s="27"/>
      <c r="AM144" s="34" t="s">
        <v>25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8" customHeight="1" x14ac:dyDescent="0.3">
      <c r="A145" s="23">
        <v>141</v>
      </c>
      <c r="B145" s="24" t="s">
        <v>309</v>
      </c>
      <c r="C145" s="25" t="s">
        <v>310</v>
      </c>
      <c r="D145" s="23" t="s">
        <v>216</v>
      </c>
      <c r="E145" s="43">
        <v>46125</v>
      </c>
      <c r="F145" s="26" t="s">
        <v>23</v>
      </c>
      <c r="G145" s="26" t="s">
        <v>24</v>
      </c>
      <c r="H145" s="26" t="s">
        <v>25</v>
      </c>
      <c r="I145" s="26" t="s">
        <v>26</v>
      </c>
      <c r="J145" s="26" t="s">
        <v>24</v>
      </c>
      <c r="K145" s="27"/>
      <c r="L145" s="28" t="s">
        <v>25</v>
      </c>
      <c r="M145" s="29" t="str">
        <f t="shared" si="10"/>
        <v>✓ OK</v>
      </c>
      <c r="N145" s="43">
        <v>46139</v>
      </c>
      <c r="O145" s="26" t="s">
        <v>23</v>
      </c>
      <c r="P145" s="26" t="s">
        <v>24</v>
      </c>
      <c r="Q145" s="26" t="s">
        <v>25</v>
      </c>
      <c r="R145" s="26" t="s">
        <v>26</v>
      </c>
      <c r="S145" s="26" t="s">
        <v>24</v>
      </c>
      <c r="T145" s="27"/>
      <c r="U145" s="28" t="s">
        <v>25</v>
      </c>
      <c r="V145" s="29" t="str">
        <f t="shared" si="11"/>
        <v>✓ OK</v>
      </c>
      <c r="W145" s="45">
        <v>46248</v>
      </c>
      <c r="X145" s="30" t="s">
        <v>23</v>
      </c>
      <c r="Y145" s="30" t="s">
        <v>24</v>
      </c>
      <c r="Z145" s="30" t="s">
        <v>25</v>
      </c>
      <c r="AA145" s="30" t="s">
        <v>26</v>
      </c>
      <c r="AB145" s="30" t="s">
        <v>24</v>
      </c>
      <c r="AC145" s="27"/>
      <c r="AD145" s="31" t="s">
        <v>25</v>
      </c>
      <c r="AE145" s="32" t="str">
        <f t="shared" si="12"/>
        <v>✓ OK</v>
      </c>
      <c r="AF145" s="33" t="s">
        <v>27</v>
      </c>
      <c r="AG145" s="33" t="s">
        <v>23</v>
      </c>
      <c r="AH145" s="33" t="s">
        <v>24</v>
      </c>
      <c r="AI145" s="33" t="s">
        <v>25</v>
      </c>
      <c r="AJ145" s="33" t="s">
        <v>26</v>
      </c>
      <c r="AK145" s="33" t="s">
        <v>24</v>
      </c>
      <c r="AL145" s="27"/>
      <c r="AM145" s="34" t="s">
        <v>25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8" customHeight="1" x14ac:dyDescent="0.3">
      <c r="A146" s="39">
        <v>142</v>
      </c>
      <c r="B146" s="40" t="s">
        <v>311</v>
      </c>
      <c r="C146" s="41" t="s">
        <v>312</v>
      </c>
      <c r="D146" s="39" t="s">
        <v>216</v>
      </c>
      <c r="E146" s="43">
        <v>46125</v>
      </c>
      <c r="F146" s="26" t="s">
        <v>23</v>
      </c>
      <c r="G146" s="26" t="s">
        <v>24</v>
      </c>
      <c r="H146" s="26" t="s">
        <v>25</v>
      </c>
      <c r="I146" s="26" t="s">
        <v>26</v>
      </c>
      <c r="J146" s="26" t="s">
        <v>24</v>
      </c>
      <c r="K146" s="27"/>
      <c r="L146" s="28" t="s">
        <v>25</v>
      </c>
      <c r="M146" s="29" t="str">
        <f t="shared" si="10"/>
        <v>✓ OK</v>
      </c>
      <c r="N146" s="43">
        <v>46139</v>
      </c>
      <c r="O146" s="26" t="s">
        <v>23</v>
      </c>
      <c r="P146" s="26" t="s">
        <v>24</v>
      </c>
      <c r="Q146" s="26" t="s">
        <v>25</v>
      </c>
      <c r="R146" s="26" t="s">
        <v>26</v>
      </c>
      <c r="S146" s="26" t="s">
        <v>24</v>
      </c>
      <c r="T146" s="27"/>
      <c r="U146" s="28" t="s">
        <v>25</v>
      </c>
      <c r="V146" s="29" t="str">
        <f t="shared" si="11"/>
        <v>✓ OK</v>
      </c>
      <c r="W146" s="45">
        <v>46248</v>
      </c>
      <c r="X146" s="30" t="s">
        <v>23</v>
      </c>
      <c r="Y146" s="30" t="s">
        <v>24</v>
      </c>
      <c r="Z146" s="30" t="s">
        <v>25</v>
      </c>
      <c r="AA146" s="30" t="s">
        <v>26</v>
      </c>
      <c r="AB146" s="30" t="s">
        <v>24</v>
      </c>
      <c r="AC146" s="27"/>
      <c r="AD146" s="31" t="s">
        <v>25</v>
      </c>
      <c r="AE146" s="32" t="str">
        <f t="shared" si="12"/>
        <v>✓ OK</v>
      </c>
      <c r="AF146" s="33" t="s">
        <v>27</v>
      </c>
      <c r="AG146" s="33" t="s">
        <v>23</v>
      </c>
      <c r="AH146" s="33" t="s">
        <v>24</v>
      </c>
      <c r="AI146" s="33" t="s">
        <v>25</v>
      </c>
      <c r="AJ146" s="33" t="s">
        <v>26</v>
      </c>
      <c r="AK146" s="33" t="s">
        <v>24</v>
      </c>
      <c r="AL146" s="27"/>
      <c r="AM146" s="34" t="s">
        <v>25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8" customHeight="1" x14ac:dyDescent="0.3">
      <c r="A147" s="23">
        <v>143</v>
      </c>
      <c r="B147" s="24" t="s">
        <v>313</v>
      </c>
      <c r="C147" s="25" t="s">
        <v>314</v>
      </c>
      <c r="D147" s="23" t="s">
        <v>216</v>
      </c>
      <c r="E147" s="43">
        <v>46125</v>
      </c>
      <c r="F147" s="26" t="s">
        <v>23</v>
      </c>
      <c r="G147" s="26" t="s">
        <v>24</v>
      </c>
      <c r="H147" s="26" t="s">
        <v>25</v>
      </c>
      <c r="I147" s="26" t="s">
        <v>26</v>
      </c>
      <c r="J147" s="26" t="s">
        <v>24</v>
      </c>
      <c r="K147" s="27"/>
      <c r="L147" s="28" t="s">
        <v>25</v>
      </c>
      <c r="M147" s="29" t="str">
        <f t="shared" si="10"/>
        <v>✓ OK</v>
      </c>
      <c r="N147" s="43">
        <v>46139</v>
      </c>
      <c r="O147" s="26" t="s">
        <v>23</v>
      </c>
      <c r="P147" s="26" t="s">
        <v>24</v>
      </c>
      <c r="Q147" s="26" t="s">
        <v>25</v>
      </c>
      <c r="R147" s="26" t="s">
        <v>26</v>
      </c>
      <c r="S147" s="26" t="s">
        <v>24</v>
      </c>
      <c r="T147" s="27"/>
      <c r="U147" s="28" t="s">
        <v>25</v>
      </c>
      <c r="V147" s="29" t="str">
        <f t="shared" si="11"/>
        <v>✓ OK</v>
      </c>
      <c r="W147" s="45">
        <v>46248</v>
      </c>
      <c r="X147" s="30" t="s">
        <v>23</v>
      </c>
      <c r="Y147" s="30" t="s">
        <v>24</v>
      </c>
      <c r="Z147" s="30" t="s">
        <v>25</v>
      </c>
      <c r="AA147" s="30" t="s">
        <v>26</v>
      </c>
      <c r="AB147" s="30" t="s">
        <v>24</v>
      </c>
      <c r="AC147" s="27"/>
      <c r="AD147" s="31" t="s">
        <v>25</v>
      </c>
      <c r="AE147" s="32" t="str">
        <f t="shared" si="12"/>
        <v>✓ OK</v>
      </c>
      <c r="AF147" s="33" t="s">
        <v>27</v>
      </c>
      <c r="AG147" s="33" t="s">
        <v>23</v>
      </c>
      <c r="AH147" s="33" t="s">
        <v>24</v>
      </c>
      <c r="AI147" s="33" t="s">
        <v>25</v>
      </c>
      <c r="AJ147" s="33" t="s">
        <v>26</v>
      </c>
      <c r="AK147" s="33" t="s">
        <v>24</v>
      </c>
      <c r="AL147" s="27"/>
      <c r="AM147" s="34" t="s">
        <v>25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8" customHeight="1" x14ac:dyDescent="0.3">
      <c r="A148" s="39">
        <v>144</v>
      </c>
      <c r="B148" s="40" t="s">
        <v>315</v>
      </c>
      <c r="C148" s="41" t="s">
        <v>316</v>
      </c>
      <c r="D148" s="39" t="s">
        <v>216</v>
      </c>
      <c r="E148" s="43">
        <v>46125</v>
      </c>
      <c r="F148" s="26" t="s">
        <v>23</v>
      </c>
      <c r="G148" s="26" t="s">
        <v>24</v>
      </c>
      <c r="H148" s="26" t="s">
        <v>25</v>
      </c>
      <c r="I148" s="26" t="s">
        <v>26</v>
      </c>
      <c r="J148" s="26" t="s">
        <v>24</v>
      </c>
      <c r="K148" s="27"/>
      <c r="L148" s="28" t="s">
        <v>25</v>
      </c>
      <c r="M148" s="29" t="str">
        <f t="shared" si="10"/>
        <v>✓ OK</v>
      </c>
      <c r="N148" s="43">
        <v>46139</v>
      </c>
      <c r="O148" s="26" t="s">
        <v>23</v>
      </c>
      <c r="P148" s="26" t="s">
        <v>24</v>
      </c>
      <c r="Q148" s="26" t="s">
        <v>25</v>
      </c>
      <c r="R148" s="26" t="s">
        <v>26</v>
      </c>
      <c r="S148" s="26" t="s">
        <v>24</v>
      </c>
      <c r="T148" s="27"/>
      <c r="U148" s="28" t="s">
        <v>25</v>
      </c>
      <c r="V148" s="29" t="str">
        <f t="shared" si="11"/>
        <v>✓ OK</v>
      </c>
      <c r="W148" s="45">
        <v>46248</v>
      </c>
      <c r="X148" s="30" t="s">
        <v>23</v>
      </c>
      <c r="Y148" s="30" t="s">
        <v>24</v>
      </c>
      <c r="Z148" s="30" t="s">
        <v>25</v>
      </c>
      <c r="AA148" s="30" t="s">
        <v>26</v>
      </c>
      <c r="AB148" s="30" t="s">
        <v>24</v>
      </c>
      <c r="AC148" s="27"/>
      <c r="AD148" s="31" t="s">
        <v>25</v>
      </c>
      <c r="AE148" s="32" t="str">
        <f t="shared" si="12"/>
        <v>✓ OK</v>
      </c>
      <c r="AF148" s="33" t="s">
        <v>27</v>
      </c>
      <c r="AG148" s="33" t="s">
        <v>23</v>
      </c>
      <c r="AH148" s="33" t="s">
        <v>24</v>
      </c>
      <c r="AI148" s="33" t="s">
        <v>25</v>
      </c>
      <c r="AJ148" s="33" t="s">
        <v>26</v>
      </c>
      <c r="AK148" s="33" t="s">
        <v>24</v>
      </c>
      <c r="AL148" s="27"/>
      <c r="AM148" s="34" t="s">
        <v>25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8" customHeight="1" x14ac:dyDescent="0.3">
      <c r="A149" s="23">
        <v>145</v>
      </c>
      <c r="B149" s="24" t="s">
        <v>317</v>
      </c>
      <c r="C149" s="25" t="s">
        <v>318</v>
      </c>
      <c r="D149" s="23" t="s">
        <v>216</v>
      </c>
      <c r="E149" s="43">
        <v>46125</v>
      </c>
      <c r="F149" s="26" t="s">
        <v>23</v>
      </c>
      <c r="G149" s="26" t="s">
        <v>24</v>
      </c>
      <c r="H149" s="26" t="s">
        <v>25</v>
      </c>
      <c r="I149" s="26" t="s">
        <v>26</v>
      </c>
      <c r="J149" s="26" t="s">
        <v>24</v>
      </c>
      <c r="K149" s="27"/>
      <c r="L149" s="28" t="s">
        <v>25</v>
      </c>
      <c r="M149" s="29" t="str">
        <f t="shared" si="10"/>
        <v>✓ OK</v>
      </c>
      <c r="N149" s="43">
        <v>46139</v>
      </c>
      <c r="O149" s="26" t="s">
        <v>23</v>
      </c>
      <c r="P149" s="26" t="s">
        <v>24</v>
      </c>
      <c r="Q149" s="26" t="s">
        <v>25</v>
      </c>
      <c r="R149" s="26" t="s">
        <v>26</v>
      </c>
      <c r="S149" s="26" t="s">
        <v>24</v>
      </c>
      <c r="T149" s="27"/>
      <c r="U149" s="28" t="s">
        <v>25</v>
      </c>
      <c r="V149" s="29" t="str">
        <f t="shared" si="11"/>
        <v>✓ OK</v>
      </c>
      <c r="W149" s="45">
        <v>46248</v>
      </c>
      <c r="X149" s="30" t="s">
        <v>23</v>
      </c>
      <c r="Y149" s="30" t="s">
        <v>24</v>
      </c>
      <c r="Z149" s="30" t="s">
        <v>25</v>
      </c>
      <c r="AA149" s="30" t="s">
        <v>26</v>
      </c>
      <c r="AB149" s="30" t="s">
        <v>24</v>
      </c>
      <c r="AC149" s="27"/>
      <c r="AD149" s="31" t="s">
        <v>25</v>
      </c>
      <c r="AE149" s="32" t="str">
        <f t="shared" si="12"/>
        <v>✓ OK</v>
      </c>
      <c r="AF149" s="33" t="s">
        <v>27</v>
      </c>
      <c r="AG149" s="33" t="s">
        <v>23</v>
      </c>
      <c r="AH149" s="33" t="s">
        <v>24</v>
      </c>
      <c r="AI149" s="33" t="s">
        <v>25</v>
      </c>
      <c r="AJ149" s="33" t="s">
        <v>26</v>
      </c>
      <c r="AK149" s="33" t="s">
        <v>24</v>
      </c>
      <c r="AL149" s="27"/>
      <c r="AM149" s="34" t="s">
        <v>25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8" customHeight="1" x14ac:dyDescent="0.3">
      <c r="A150" s="39">
        <v>146</v>
      </c>
      <c r="B150" s="40" t="s">
        <v>319</v>
      </c>
      <c r="C150" s="41" t="s">
        <v>320</v>
      </c>
      <c r="D150" s="39" t="s">
        <v>216</v>
      </c>
      <c r="E150" s="43">
        <v>46125</v>
      </c>
      <c r="F150" s="26" t="s">
        <v>23</v>
      </c>
      <c r="G150" s="26" t="s">
        <v>24</v>
      </c>
      <c r="H150" s="26" t="s">
        <v>25</v>
      </c>
      <c r="I150" s="26" t="s">
        <v>26</v>
      </c>
      <c r="J150" s="26" t="s">
        <v>24</v>
      </c>
      <c r="K150" s="27"/>
      <c r="L150" s="28" t="s">
        <v>25</v>
      </c>
      <c r="M150" s="29" t="str">
        <f t="shared" si="10"/>
        <v>✓ OK</v>
      </c>
      <c r="N150" s="43">
        <v>46139</v>
      </c>
      <c r="O150" s="26" t="s">
        <v>23</v>
      </c>
      <c r="P150" s="26" t="s">
        <v>24</v>
      </c>
      <c r="Q150" s="26" t="s">
        <v>25</v>
      </c>
      <c r="R150" s="26" t="s">
        <v>26</v>
      </c>
      <c r="S150" s="26" t="s">
        <v>24</v>
      </c>
      <c r="T150" s="27"/>
      <c r="U150" s="28" t="s">
        <v>25</v>
      </c>
      <c r="V150" s="29" t="str">
        <f t="shared" si="11"/>
        <v>✓ OK</v>
      </c>
      <c r="W150" s="45">
        <v>46248</v>
      </c>
      <c r="X150" s="30" t="s">
        <v>23</v>
      </c>
      <c r="Y150" s="30" t="s">
        <v>24</v>
      </c>
      <c r="Z150" s="30" t="s">
        <v>25</v>
      </c>
      <c r="AA150" s="30" t="s">
        <v>26</v>
      </c>
      <c r="AB150" s="30" t="s">
        <v>24</v>
      </c>
      <c r="AC150" s="27"/>
      <c r="AD150" s="31" t="s">
        <v>25</v>
      </c>
      <c r="AE150" s="32" t="str">
        <f t="shared" si="12"/>
        <v>✓ OK</v>
      </c>
      <c r="AF150" s="33" t="s">
        <v>27</v>
      </c>
      <c r="AG150" s="33" t="s">
        <v>23</v>
      </c>
      <c r="AH150" s="33" t="s">
        <v>24</v>
      </c>
      <c r="AI150" s="33" t="s">
        <v>25</v>
      </c>
      <c r="AJ150" s="33" t="s">
        <v>26</v>
      </c>
      <c r="AK150" s="33" t="s">
        <v>24</v>
      </c>
      <c r="AL150" s="27"/>
      <c r="AM150" s="34" t="s">
        <v>25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8" customHeight="1" x14ac:dyDescent="0.3">
      <c r="A151" s="23">
        <v>147</v>
      </c>
      <c r="B151" s="24" t="s">
        <v>321</v>
      </c>
      <c r="C151" s="25" t="s">
        <v>322</v>
      </c>
      <c r="D151" s="23" t="s">
        <v>216</v>
      </c>
      <c r="E151" s="43">
        <v>46125</v>
      </c>
      <c r="F151" s="26" t="s">
        <v>23</v>
      </c>
      <c r="G151" s="26" t="s">
        <v>24</v>
      </c>
      <c r="H151" s="26" t="s">
        <v>25</v>
      </c>
      <c r="I151" s="26" t="s">
        <v>26</v>
      </c>
      <c r="J151" s="26" t="s">
        <v>24</v>
      </c>
      <c r="K151" s="27"/>
      <c r="L151" s="28" t="s">
        <v>25</v>
      </c>
      <c r="M151" s="29" t="str">
        <f t="shared" si="10"/>
        <v>✓ OK</v>
      </c>
      <c r="N151" s="43">
        <v>46139</v>
      </c>
      <c r="O151" s="26" t="s">
        <v>23</v>
      </c>
      <c r="P151" s="26" t="s">
        <v>24</v>
      </c>
      <c r="Q151" s="26" t="s">
        <v>25</v>
      </c>
      <c r="R151" s="26" t="s">
        <v>26</v>
      </c>
      <c r="S151" s="26" t="s">
        <v>24</v>
      </c>
      <c r="T151" s="27"/>
      <c r="U151" s="28" t="s">
        <v>25</v>
      </c>
      <c r="V151" s="29" t="str">
        <f t="shared" si="11"/>
        <v>✓ OK</v>
      </c>
      <c r="W151" s="45">
        <v>46248</v>
      </c>
      <c r="X151" s="30" t="s">
        <v>23</v>
      </c>
      <c r="Y151" s="30" t="s">
        <v>24</v>
      </c>
      <c r="Z151" s="30" t="s">
        <v>25</v>
      </c>
      <c r="AA151" s="30" t="s">
        <v>26</v>
      </c>
      <c r="AB151" s="30" t="s">
        <v>24</v>
      </c>
      <c r="AC151" s="27"/>
      <c r="AD151" s="31" t="s">
        <v>25</v>
      </c>
      <c r="AE151" s="32" t="str">
        <f t="shared" si="12"/>
        <v>✓ OK</v>
      </c>
      <c r="AF151" s="33" t="s">
        <v>27</v>
      </c>
      <c r="AG151" s="33" t="s">
        <v>23</v>
      </c>
      <c r="AH151" s="33" t="s">
        <v>24</v>
      </c>
      <c r="AI151" s="33" t="s">
        <v>25</v>
      </c>
      <c r="AJ151" s="33" t="s">
        <v>26</v>
      </c>
      <c r="AK151" s="33" t="s">
        <v>24</v>
      </c>
      <c r="AL151" s="27"/>
      <c r="AM151" s="34" t="s">
        <v>25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8" customHeight="1" x14ac:dyDescent="0.3">
      <c r="A152" s="39">
        <v>148</v>
      </c>
      <c r="B152" s="40" t="s">
        <v>323</v>
      </c>
      <c r="C152" s="41" t="s">
        <v>324</v>
      </c>
      <c r="D152" s="39" t="s">
        <v>216</v>
      </c>
      <c r="E152" s="43">
        <v>46125</v>
      </c>
      <c r="F152" s="26" t="s">
        <v>23</v>
      </c>
      <c r="G152" s="26" t="s">
        <v>24</v>
      </c>
      <c r="H152" s="26" t="s">
        <v>25</v>
      </c>
      <c r="I152" s="26" t="s">
        <v>26</v>
      </c>
      <c r="J152" s="26" t="s">
        <v>24</v>
      </c>
      <c r="K152" s="27"/>
      <c r="L152" s="28" t="s">
        <v>25</v>
      </c>
      <c r="M152" s="29" t="str">
        <f t="shared" si="10"/>
        <v>✓ OK</v>
      </c>
      <c r="N152" s="43">
        <v>46139</v>
      </c>
      <c r="O152" s="26" t="s">
        <v>23</v>
      </c>
      <c r="P152" s="26" t="s">
        <v>24</v>
      </c>
      <c r="Q152" s="26" t="s">
        <v>25</v>
      </c>
      <c r="R152" s="26" t="s">
        <v>26</v>
      </c>
      <c r="S152" s="26" t="s">
        <v>24</v>
      </c>
      <c r="T152" s="27"/>
      <c r="U152" s="28" t="s">
        <v>25</v>
      </c>
      <c r="V152" s="29" t="str">
        <f t="shared" si="11"/>
        <v>✓ OK</v>
      </c>
      <c r="W152" s="45">
        <v>46248</v>
      </c>
      <c r="X152" s="30" t="s">
        <v>23</v>
      </c>
      <c r="Y152" s="30" t="s">
        <v>24</v>
      </c>
      <c r="Z152" s="30" t="s">
        <v>25</v>
      </c>
      <c r="AA152" s="30" t="s">
        <v>26</v>
      </c>
      <c r="AB152" s="30" t="s">
        <v>24</v>
      </c>
      <c r="AC152" s="27"/>
      <c r="AD152" s="31" t="s">
        <v>25</v>
      </c>
      <c r="AE152" s="32" t="str">
        <f t="shared" si="12"/>
        <v>✓ OK</v>
      </c>
      <c r="AF152" s="33" t="s">
        <v>27</v>
      </c>
      <c r="AG152" s="33" t="s">
        <v>23</v>
      </c>
      <c r="AH152" s="33" t="s">
        <v>24</v>
      </c>
      <c r="AI152" s="33" t="s">
        <v>25</v>
      </c>
      <c r="AJ152" s="33" t="s">
        <v>26</v>
      </c>
      <c r="AK152" s="33" t="s">
        <v>24</v>
      </c>
      <c r="AL152" s="27"/>
      <c r="AM152" s="34" t="s">
        <v>25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8" customHeight="1" x14ac:dyDescent="0.3">
      <c r="A153" s="23">
        <v>149</v>
      </c>
      <c r="B153" s="24" t="s">
        <v>325</v>
      </c>
      <c r="C153" s="25" t="s">
        <v>326</v>
      </c>
      <c r="D153" s="23" t="s">
        <v>216</v>
      </c>
      <c r="E153" s="43">
        <v>46125</v>
      </c>
      <c r="F153" s="26" t="s">
        <v>23</v>
      </c>
      <c r="G153" s="26" t="s">
        <v>24</v>
      </c>
      <c r="H153" s="26" t="s">
        <v>25</v>
      </c>
      <c r="I153" s="26" t="s">
        <v>26</v>
      </c>
      <c r="J153" s="26" t="s">
        <v>24</v>
      </c>
      <c r="K153" s="27"/>
      <c r="L153" s="28" t="s">
        <v>25</v>
      </c>
      <c r="M153" s="29" t="str">
        <f t="shared" si="10"/>
        <v>✓ OK</v>
      </c>
      <c r="N153" s="43">
        <v>46139</v>
      </c>
      <c r="O153" s="26" t="s">
        <v>23</v>
      </c>
      <c r="P153" s="26" t="s">
        <v>24</v>
      </c>
      <c r="Q153" s="26" t="s">
        <v>25</v>
      </c>
      <c r="R153" s="26" t="s">
        <v>26</v>
      </c>
      <c r="S153" s="26" t="s">
        <v>24</v>
      </c>
      <c r="T153" s="27"/>
      <c r="U153" s="28" t="s">
        <v>25</v>
      </c>
      <c r="V153" s="29" t="str">
        <f t="shared" si="11"/>
        <v>✓ OK</v>
      </c>
      <c r="W153" s="45">
        <v>46248</v>
      </c>
      <c r="X153" s="30" t="s">
        <v>23</v>
      </c>
      <c r="Y153" s="30" t="s">
        <v>24</v>
      </c>
      <c r="Z153" s="30" t="s">
        <v>25</v>
      </c>
      <c r="AA153" s="30" t="s">
        <v>26</v>
      </c>
      <c r="AB153" s="30" t="s">
        <v>24</v>
      </c>
      <c r="AC153" s="27"/>
      <c r="AD153" s="31" t="s">
        <v>25</v>
      </c>
      <c r="AE153" s="32" t="str">
        <f t="shared" si="12"/>
        <v>✓ OK</v>
      </c>
      <c r="AF153" s="33" t="s">
        <v>27</v>
      </c>
      <c r="AG153" s="33" t="s">
        <v>23</v>
      </c>
      <c r="AH153" s="33" t="s">
        <v>24</v>
      </c>
      <c r="AI153" s="33" t="s">
        <v>25</v>
      </c>
      <c r="AJ153" s="33" t="s">
        <v>26</v>
      </c>
      <c r="AK153" s="33" t="s">
        <v>24</v>
      </c>
      <c r="AL153" s="27"/>
      <c r="AM153" s="34" t="s">
        <v>25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8" customHeight="1" x14ac:dyDescent="0.3">
      <c r="A154" s="39">
        <v>150</v>
      </c>
      <c r="B154" s="40" t="s">
        <v>327</v>
      </c>
      <c r="C154" s="41" t="s">
        <v>328</v>
      </c>
      <c r="D154" s="39" t="s">
        <v>216</v>
      </c>
      <c r="E154" s="43">
        <v>46125</v>
      </c>
      <c r="F154" s="26" t="s">
        <v>23</v>
      </c>
      <c r="G154" s="26" t="s">
        <v>24</v>
      </c>
      <c r="H154" s="26" t="s">
        <v>25</v>
      </c>
      <c r="I154" s="26" t="s">
        <v>26</v>
      </c>
      <c r="J154" s="26" t="s">
        <v>24</v>
      </c>
      <c r="K154" s="27"/>
      <c r="L154" s="28" t="s">
        <v>25</v>
      </c>
      <c r="M154" s="29" t="str">
        <f t="shared" si="10"/>
        <v>✓ OK</v>
      </c>
      <c r="N154" s="43">
        <v>46139</v>
      </c>
      <c r="O154" s="26" t="s">
        <v>23</v>
      </c>
      <c r="P154" s="26" t="s">
        <v>24</v>
      </c>
      <c r="Q154" s="26" t="s">
        <v>25</v>
      </c>
      <c r="R154" s="26" t="s">
        <v>26</v>
      </c>
      <c r="S154" s="26" t="s">
        <v>24</v>
      </c>
      <c r="T154" s="27"/>
      <c r="U154" s="28" t="s">
        <v>25</v>
      </c>
      <c r="V154" s="29" t="str">
        <f t="shared" si="11"/>
        <v>✓ OK</v>
      </c>
      <c r="W154" s="45">
        <v>46248</v>
      </c>
      <c r="X154" s="30" t="s">
        <v>23</v>
      </c>
      <c r="Y154" s="30" t="s">
        <v>24</v>
      </c>
      <c r="Z154" s="30" t="s">
        <v>25</v>
      </c>
      <c r="AA154" s="30" t="s">
        <v>26</v>
      </c>
      <c r="AB154" s="30" t="s">
        <v>24</v>
      </c>
      <c r="AC154" s="27"/>
      <c r="AD154" s="31" t="s">
        <v>25</v>
      </c>
      <c r="AE154" s="32" t="str">
        <f t="shared" si="12"/>
        <v>✓ OK</v>
      </c>
      <c r="AF154" s="33" t="s">
        <v>27</v>
      </c>
      <c r="AG154" s="33" t="s">
        <v>23</v>
      </c>
      <c r="AH154" s="33" t="s">
        <v>24</v>
      </c>
      <c r="AI154" s="33" t="s">
        <v>25</v>
      </c>
      <c r="AJ154" s="33" t="s">
        <v>26</v>
      </c>
      <c r="AK154" s="33" t="s">
        <v>24</v>
      </c>
      <c r="AL154" s="27"/>
      <c r="AM154" s="34" t="s">
        <v>25</v>
      </c>
      <c r="AN154" s="35" t="str">
        <f t="shared" si="13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8" customHeight="1" x14ac:dyDescent="0.3">
      <c r="A155" s="23">
        <v>151</v>
      </c>
      <c r="B155" s="24" t="s">
        <v>329</v>
      </c>
      <c r="C155" s="25" t="s">
        <v>330</v>
      </c>
      <c r="D155" s="23" t="s">
        <v>216</v>
      </c>
      <c r="E155" s="43">
        <v>46125</v>
      </c>
      <c r="F155" s="26" t="s">
        <v>23</v>
      </c>
      <c r="G155" s="26" t="s">
        <v>24</v>
      </c>
      <c r="H155" s="26" t="s">
        <v>25</v>
      </c>
      <c r="I155" s="26" t="s">
        <v>26</v>
      </c>
      <c r="J155" s="26" t="s">
        <v>24</v>
      </c>
      <c r="K155" s="27"/>
      <c r="L155" s="28" t="s">
        <v>25</v>
      </c>
      <c r="M155" s="29" t="str">
        <f t="shared" si="10"/>
        <v>✓ OK</v>
      </c>
      <c r="N155" s="43">
        <v>46139</v>
      </c>
      <c r="O155" s="26" t="s">
        <v>23</v>
      </c>
      <c r="P155" s="26" t="s">
        <v>24</v>
      </c>
      <c r="Q155" s="26" t="s">
        <v>25</v>
      </c>
      <c r="R155" s="26" t="s">
        <v>26</v>
      </c>
      <c r="S155" s="26" t="s">
        <v>24</v>
      </c>
      <c r="T155" s="27"/>
      <c r="U155" s="28" t="s">
        <v>25</v>
      </c>
      <c r="V155" s="29" t="str">
        <f t="shared" si="11"/>
        <v>✓ OK</v>
      </c>
      <c r="W155" s="45">
        <v>46248</v>
      </c>
      <c r="X155" s="30" t="s">
        <v>23</v>
      </c>
      <c r="Y155" s="30" t="s">
        <v>24</v>
      </c>
      <c r="Z155" s="30" t="s">
        <v>25</v>
      </c>
      <c r="AA155" s="30" t="s">
        <v>26</v>
      </c>
      <c r="AB155" s="30" t="s">
        <v>24</v>
      </c>
      <c r="AC155" s="27"/>
      <c r="AD155" s="31" t="s">
        <v>25</v>
      </c>
      <c r="AE155" s="32" t="str">
        <f t="shared" si="12"/>
        <v>✓ OK</v>
      </c>
      <c r="AF155" s="33" t="s">
        <v>27</v>
      </c>
      <c r="AG155" s="33" t="s">
        <v>23</v>
      </c>
      <c r="AH155" s="33" t="s">
        <v>24</v>
      </c>
      <c r="AI155" s="33" t="s">
        <v>25</v>
      </c>
      <c r="AJ155" s="33" t="s">
        <v>26</v>
      </c>
      <c r="AK155" s="33" t="s">
        <v>24</v>
      </c>
      <c r="AL155" s="27"/>
      <c r="AM155" s="34" t="s">
        <v>25</v>
      </c>
      <c r="AN155" s="35" t="str">
        <f t="shared" si="13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8" customHeight="1" x14ac:dyDescent="0.3">
      <c r="A156" s="39">
        <v>152</v>
      </c>
      <c r="B156" s="40" t="s">
        <v>331</v>
      </c>
      <c r="C156" s="41" t="s">
        <v>332</v>
      </c>
      <c r="D156" s="39" t="s">
        <v>216</v>
      </c>
      <c r="E156" s="43">
        <v>46125</v>
      </c>
      <c r="F156" s="26" t="s">
        <v>23</v>
      </c>
      <c r="G156" s="26" t="s">
        <v>24</v>
      </c>
      <c r="H156" s="26" t="s">
        <v>25</v>
      </c>
      <c r="I156" s="26" t="s">
        <v>26</v>
      </c>
      <c r="J156" s="26" t="s">
        <v>24</v>
      </c>
      <c r="K156" s="27"/>
      <c r="L156" s="28" t="s">
        <v>25</v>
      </c>
      <c r="M156" s="29" t="str">
        <f t="shared" si="10"/>
        <v>✓ OK</v>
      </c>
      <c r="N156" s="43">
        <v>46139</v>
      </c>
      <c r="O156" s="26" t="s">
        <v>23</v>
      </c>
      <c r="P156" s="26" t="s">
        <v>24</v>
      </c>
      <c r="Q156" s="26" t="s">
        <v>25</v>
      </c>
      <c r="R156" s="26" t="s">
        <v>26</v>
      </c>
      <c r="S156" s="26" t="s">
        <v>24</v>
      </c>
      <c r="T156" s="27"/>
      <c r="U156" s="28" t="s">
        <v>25</v>
      </c>
      <c r="V156" s="29" t="str">
        <f t="shared" si="11"/>
        <v>✓ OK</v>
      </c>
      <c r="W156" s="45">
        <v>46248</v>
      </c>
      <c r="X156" s="30" t="s">
        <v>23</v>
      </c>
      <c r="Y156" s="30" t="s">
        <v>24</v>
      </c>
      <c r="Z156" s="30" t="s">
        <v>25</v>
      </c>
      <c r="AA156" s="30" t="s">
        <v>26</v>
      </c>
      <c r="AB156" s="30" t="s">
        <v>24</v>
      </c>
      <c r="AC156" s="27"/>
      <c r="AD156" s="31" t="s">
        <v>25</v>
      </c>
      <c r="AE156" s="32" t="str">
        <f t="shared" si="12"/>
        <v>✓ OK</v>
      </c>
      <c r="AF156" s="33" t="s">
        <v>27</v>
      </c>
      <c r="AG156" s="33" t="s">
        <v>23</v>
      </c>
      <c r="AH156" s="33" t="s">
        <v>24</v>
      </c>
      <c r="AI156" s="33" t="s">
        <v>25</v>
      </c>
      <c r="AJ156" s="33" t="s">
        <v>26</v>
      </c>
      <c r="AK156" s="33" t="s">
        <v>24</v>
      </c>
      <c r="AL156" s="27"/>
      <c r="AM156" s="34" t="s">
        <v>25</v>
      </c>
      <c r="AN156" s="35" t="str">
        <f t="shared" si="13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8" customHeight="1" x14ac:dyDescent="0.3">
      <c r="A157" s="23">
        <v>153</v>
      </c>
      <c r="B157" s="24" t="s">
        <v>333</v>
      </c>
      <c r="C157" s="25" t="s">
        <v>334</v>
      </c>
      <c r="D157" s="23" t="s">
        <v>216</v>
      </c>
      <c r="E157" s="43">
        <v>46125</v>
      </c>
      <c r="F157" s="26" t="s">
        <v>23</v>
      </c>
      <c r="G157" s="26" t="s">
        <v>24</v>
      </c>
      <c r="H157" s="26" t="s">
        <v>25</v>
      </c>
      <c r="I157" s="26" t="s">
        <v>26</v>
      </c>
      <c r="J157" s="26" t="s">
        <v>24</v>
      </c>
      <c r="K157" s="27"/>
      <c r="L157" s="28" t="s">
        <v>25</v>
      </c>
      <c r="M157" s="29" t="str">
        <f t="shared" si="10"/>
        <v>✓ OK</v>
      </c>
      <c r="N157" s="43">
        <v>46139</v>
      </c>
      <c r="O157" s="26" t="s">
        <v>23</v>
      </c>
      <c r="P157" s="26" t="s">
        <v>24</v>
      </c>
      <c r="Q157" s="26" t="s">
        <v>25</v>
      </c>
      <c r="R157" s="26" t="s">
        <v>26</v>
      </c>
      <c r="S157" s="26" t="s">
        <v>24</v>
      </c>
      <c r="T157" s="27"/>
      <c r="U157" s="28" t="s">
        <v>25</v>
      </c>
      <c r="V157" s="29" t="str">
        <f t="shared" si="11"/>
        <v>✓ OK</v>
      </c>
      <c r="W157" s="45">
        <v>46248</v>
      </c>
      <c r="X157" s="30" t="s">
        <v>23</v>
      </c>
      <c r="Y157" s="30" t="s">
        <v>24</v>
      </c>
      <c r="Z157" s="30" t="s">
        <v>25</v>
      </c>
      <c r="AA157" s="30" t="s">
        <v>26</v>
      </c>
      <c r="AB157" s="30" t="s">
        <v>24</v>
      </c>
      <c r="AC157" s="27"/>
      <c r="AD157" s="31" t="s">
        <v>25</v>
      </c>
      <c r="AE157" s="32" t="str">
        <f t="shared" si="12"/>
        <v>✓ OK</v>
      </c>
      <c r="AF157" s="33" t="s">
        <v>27</v>
      </c>
      <c r="AG157" s="33" t="s">
        <v>23</v>
      </c>
      <c r="AH157" s="33" t="s">
        <v>24</v>
      </c>
      <c r="AI157" s="33" t="s">
        <v>25</v>
      </c>
      <c r="AJ157" s="33" t="s">
        <v>26</v>
      </c>
      <c r="AK157" s="33" t="s">
        <v>24</v>
      </c>
      <c r="AL157" s="27"/>
      <c r="AM157" s="34" t="s">
        <v>25</v>
      </c>
      <c r="AN157" s="35" t="str">
        <f t="shared" si="13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8" customHeight="1" x14ac:dyDescent="0.3">
      <c r="A158" s="39">
        <v>154</v>
      </c>
      <c r="B158" s="40" t="s">
        <v>335</v>
      </c>
      <c r="C158" s="41" t="s">
        <v>336</v>
      </c>
      <c r="D158" s="39" t="s">
        <v>216</v>
      </c>
      <c r="E158" s="43">
        <v>46125</v>
      </c>
      <c r="F158" s="26" t="s">
        <v>23</v>
      </c>
      <c r="G158" s="26" t="s">
        <v>24</v>
      </c>
      <c r="H158" s="26" t="s">
        <v>25</v>
      </c>
      <c r="I158" s="26" t="s">
        <v>26</v>
      </c>
      <c r="J158" s="26" t="s">
        <v>24</v>
      </c>
      <c r="K158" s="27"/>
      <c r="L158" s="28" t="s">
        <v>25</v>
      </c>
      <c r="M158" s="29" t="str">
        <f t="shared" si="10"/>
        <v>✓ OK</v>
      </c>
      <c r="N158" s="43">
        <v>46139</v>
      </c>
      <c r="O158" s="26" t="s">
        <v>23</v>
      </c>
      <c r="P158" s="26" t="s">
        <v>24</v>
      </c>
      <c r="Q158" s="26" t="s">
        <v>25</v>
      </c>
      <c r="R158" s="26" t="s">
        <v>26</v>
      </c>
      <c r="S158" s="26" t="s">
        <v>24</v>
      </c>
      <c r="T158" s="27"/>
      <c r="U158" s="28" t="s">
        <v>25</v>
      </c>
      <c r="V158" s="29" t="str">
        <f t="shared" si="11"/>
        <v>✓ OK</v>
      </c>
      <c r="W158" s="45">
        <v>46248</v>
      </c>
      <c r="X158" s="30" t="s">
        <v>23</v>
      </c>
      <c r="Y158" s="30" t="s">
        <v>24</v>
      </c>
      <c r="Z158" s="30" t="s">
        <v>25</v>
      </c>
      <c r="AA158" s="30" t="s">
        <v>26</v>
      </c>
      <c r="AB158" s="30" t="s">
        <v>24</v>
      </c>
      <c r="AC158" s="27"/>
      <c r="AD158" s="31" t="s">
        <v>25</v>
      </c>
      <c r="AE158" s="32" t="str">
        <f t="shared" si="12"/>
        <v>✓ OK</v>
      </c>
      <c r="AF158" s="33" t="s">
        <v>27</v>
      </c>
      <c r="AG158" s="33" t="s">
        <v>23</v>
      </c>
      <c r="AH158" s="33" t="s">
        <v>24</v>
      </c>
      <c r="AI158" s="33" t="s">
        <v>25</v>
      </c>
      <c r="AJ158" s="33" t="s">
        <v>26</v>
      </c>
      <c r="AK158" s="33" t="s">
        <v>24</v>
      </c>
      <c r="AL158" s="27"/>
      <c r="AM158" s="34" t="s">
        <v>25</v>
      </c>
      <c r="AN158" s="35" t="str">
        <f t="shared" si="13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8" customHeight="1" x14ac:dyDescent="0.3">
      <c r="A159" s="23">
        <v>155</v>
      </c>
      <c r="B159" s="24" t="s">
        <v>337</v>
      </c>
      <c r="C159" s="25" t="s">
        <v>338</v>
      </c>
      <c r="D159" s="23" t="s">
        <v>216</v>
      </c>
      <c r="E159" s="43">
        <v>46125</v>
      </c>
      <c r="F159" s="26" t="s">
        <v>23</v>
      </c>
      <c r="G159" s="26" t="s">
        <v>24</v>
      </c>
      <c r="H159" s="26" t="s">
        <v>25</v>
      </c>
      <c r="I159" s="26" t="s">
        <v>26</v>
      </c>
      <c r="J159" s="26" t="s">
        <v>24</v>
      </c>
      <c r="K159" s="27"/>
      <c r="L159" s="28" t="s">
        <v>25</v>
      </c>
      <c r="M159" s="29" t="str">
        <f t="shared" si="10"/>
        <v>✓ OK</v>
      </c>
      <c r="N159" s="43">
        <v>46139</v>
      </c>
      <c r="O159" s="26" t="s">
        <v>23</v>
      </c>
      <c r="P159" s="26" t="s">
        <v>24</v>
      </c>
      <c r="Q159" s="26" t="s">
        <v>25</v>
      </c>
      <c r="R159" s="26" t="s">
        <v>26</v>
      </c>
      <c r="S159" s="26" t="s">
        <v>24</v>
      </c>
      <c r="T159" s="27"/>
      <c r="U159" s="28" t="s">
        <v>25</v>
      </c>
      <c r="V159" s="29" t="str">
        <f t="shared" si="11"/>
        <v>✓ OK</v>
      </c>
      <c r="W159" s="45">
        <v>46248</v>
      </c>
      <c r="X159" s="30" t="s">
        <v>23</v>
      </c>
      <c r="Y159" s="30" t="s">
        <v>24</v>
      </c>
      <c r="Z159" s="30" t="s">
        <v>25</v>
      </c>
      <c r="AA159" s="30" t="s">
        <v>26</v>
      </c>
      <c r="AB159" s="30" t="s">
        <v>24</v>
      </c>
      <c r="AC159" s="27"/>
      <c r="AD159" s="31" t="s">
        <v>25</v>
      </c>
      <c r="AE159" s="32" t="str">
        <f t="shared" si="12"/>
        <v>✓ OK</v>
      </c>
      <c r="AF159" s="33" t="s">
        <v>27</v>
      </c>
      <c r="AG159" s="33" t="s">
        <v>23</v>
      </c>
      <c r="AH159" s="33" t="s">
        <v>24</v>
      </c>
      <c r="AI159" s="33" t="s">
        <v>25</v>
      </c>
      <c r="AJ159" s="33" t="s">
        <v>26</v>
      </c>
      <c r="AK159" s="33" t="s">
        <v>24</v>
      </c>
      <c r="AL159" s="27"/>
      <c r="AM159" s="34" t="s">
        <v>25</v>
      </c>
      <c r="AN159" s="35" t="str">
        <f t="shared" si="13"/>
        <v>✓ OK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8" customHeight="1" x14ac:dyDescent="0.3">
      <c r="A160" s="39">
        <v>156</v>
      </c>
      <c r="B160" s="40" t="s">
        <v>339</v>
      </c>
      <c r="C160" s="41" t="s">
        <v>340</v>
      </c>
      <c r="D160" s="39" t="s">
        <v>216</v>
      </c>
      <c r="E160" s="43">
        <v>46125</v>
      </c>
      <c r="F160" s="26" t="s">
        <v>23</v>
      </c>
      <c r="G160" s="26" t="s">
        <v>24</v>
      </c>
      <c r="H160" s="26" t="s">
        <v>25</v>
      </c>
      <c r="I160" s="26" t="s">
        <v>26</v>
      </c>
      <c r="J160" s="26" t="s">
        <v>24</v>
      </c>
      <c r="K160" s="27"/>
      <c r="L160" s="28" t="s">
        <v>25</v>
      </c>
      <c r="M160" s="29" t="str">
        <f t="shared" si="10"/>
        <v>✓ OK</v>
      </c>
      <c r="N160" s="43">
        <v>46139</v>
      </c>
      <c r="O160" s="26" t="s">
        <v>23</v>
      </c>
      <c r="P160" s="26" t="s">
        <v>24</v>
      </c>
      <c r="Q160" s="26" t="s">
        <v>25</v>
      </c>
      <c r="R160" s="26" t="s">
        <v>26</v>
      </c>
      <c r="S160" s="26" t="s">
        <v>24</v>
      </c>
      <c r="T160" s="27"/>
      <c r="U160" s="28" t="s">
        <v>25</v>
      </c>
      <c r="V160" s="29" t="str">
        <f t="shared" si="11"/>
        <v>✓ OK</v>
      </c>
      <c r="W160" s="45">
        <v>46248</v>
      </c>
      <c r="X160" s="30" t="s">
        <v>23</v>
      </c>
      <c r="Y160" s="30" t="s">
        <v>24</v>
      </c>
      <c r="Z160" s="30" t="s">
        <v>25</v>
      </c>
      <c r="AA160" s="30" t="s">
        <v>26</v>
      </c>
      <c r="AB160" s="30" t="s">
        <v>24</v>
      </c>
      <c r="AC160" s="27"/>
      <c r="AD160" s="31" t="s">
        <v>25</v>
      </c>
      <c r="AE160" s="32" t="str">
        <f t="shared" si="12"/>
        <v>✓ OK</v>
      </c>
      <c r="AF160" s="33" t="s">
        <v>27</v>
      </c>
      <c r="AG160" s="33" t="s">
        <v>23</v>
      </c>
      <c r="AH160" s="33" t="s">
        <v>24</v>
      </c>
      <c r="AI160" s="33" t="s">
        <v>25</v>
      </c>
      <c r="AJ160" s="33" t="s">
        <v>26</v>
      </c>
      <c r="AK160" s="33" t="s">
        <v>24</v>
      </c>
      <c r="AL160" s="27"/>
      <c r="AM160" s="34" t="s">
        <v>25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8" customHeight="1" x14ac:dyDescent="0.3">
      <c r="A161" s="23">
        <v>157</v>
      </c>
      <c r="B161" s="24" t="s">
        <v>341</v>
      </c>
      <c r="C161" s="25" t="s">
        <v>342</v>
      </c>
      <c r="D161" s="23" t="s">
        <v>216</v>
      </c>
      <c r="E161" s="43">
        <v>46125</v>
      </c>
      <c r="F161" s="26" t="s">
        <v>23</v>
      </c>
      <c r="G161" s="26" t="s">
        <v>24</v>
      </c>
      <c r="H161" s="26" t="s">
        <v>25</v>
      </c>
      <c r="I161" s="26" t="s">
        <v>26</v>
      </c>
      <c r="J161" s="26" t="s">
        <v>24</v>
      </c>
      <c r="K161" s="27"/>
      <c r="L161" s="28" t="s">
        <v>25</v>
      </c>
      <c r="M161" s="29" t="str">
        <f t="shared" si="10"/>
        <v>✓ OK</v>
      </c>
      <c r="N161" s="43">
        <v>46139</v>
      </c>
      <c r="O161" s="26" t="s">
        <v>23</v>
      </c>
      <c r="P161" s="26" t="s">
        <v>24</v>
      </c>
      <c r="Q161" s="26" t="s">
        <v>25</v>
      </c>
      <c r="R161" s="26" t="s">
        <v>26</v>
      </c>
      <c r="S161" s="26" t="s">
        <v>24</v>
      </c>
      <c r="T161" s="27"/>
      <c r="U161" s="28" t="s">
        <v>25</v>
      </c>
      <c r="V161" s="29" t="str">
        <f t="shared" si="11"/>
        <v>✓ OK</v>
      </c>
      <c r="W161" s="45">
        <v>46248</v>
      </c>
      <c r="X161" s="30" t="s">
        <v>23</v>
      </c>
      <c r="Y161" s="30" t="s">
        <v>24</v>
      </c>
      <c r="Z161" s="30" t="s">
        <v>25</v>
      </c>
      <c r="AA161" s="30" t="s">
        <v>26</v>
      </c>
      <c r="AB161" s="30" t="s">
        <v>24</v>
      </c>
      <c r="AC161" s="27"/>
      <c r="AD161" s="31" t="s">
        <v>25</v>
      </c>
      <c r="AE161" s="32" t="str">
        <f t="shared" si="12"/>
        <v>✓ OK</v>
      </c>
      <c r="AF161" s="33" t="s">
        <v>27</v>
      </c>
      <c r="AG161" s="33" t="s">
        <v>23</v>
      </c>
      <c r="AH161" s="33" t="s">
        <v>24</v>
      </c>
      <c r="AI161" s="33" t="s">
        <v>25</v>
      </c>
      <c r="AJ161" s="33" t="s">
        <v>26</v>
      </c>
      <c r="AK161" s="33" t="s">
        <v>24</v>
      </c>
      <c r="AL161" s="27"/>
      <c r="AM161" s="34" t="s">
        <v>25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8" customHeight="1" x14ac:dyDescent="0.3">
      <c r="A162" s="39">
        <v>158</v>
      </c>
      <c r="B162" s="40" t="s">
        <v>343</v>
      </c>
      <c r="C162" s="41" t="s">
        <v>344</v>
      </c>
      <c r="D162" s="39" t="s">
        <v>216</v>
      </c>
      <c r="E162" s="43">
        <v>46125</v>
      </c>
      <c r="F162" s="26" t="s">
        <v>23</v>
      </c>
      <c r="G162" s="26" t="s">
        <v>24</v>
      </c>
      <c r="H162" s="26" t="s">
        <v>25</v>
      </c>
      <c r="I162" s="26" t="s">
        <v>26</v>
      </c>
      <c r="J162" s="26" t="s">
        <v>24</v>
      </c>
      <c r="K162" s="27"/>
      <c r="L162" s="28" t="s">
        <v>25</v>
      </c>
      <c r="M162" s="29" t="str">
        <f t="shared" si="10"/>
        <v>✓ OK</v>
      </c>
      <c r="N162" s="43">
        <v>46139</v>
      </c>
      <c r="O162" s="26" t="s">
        <v>23</v>
      </c>
      <c r="P162" s="26" t="s">
        <v>24</v>
      </c>
      <c r="Q162" s="26" t="s">
        <v>25</v>
      </c>
      <c r="R162" s="26" t="s">
        <v>26</v>
      </c>
      <c r="S162" s="26" t="s">
        <v>24</v>
      </c>
      <c r="T162" s="27"/>
      <c r="U162" s="28" t="s">
        <v>25</v>
      </c>
      <c r="V162" s="29" t="str">
        <f t="shared" si="11"/>
        <v>✓ OK</v>
      </c>
      <c r="W162" s="45">
        <v>46248</v>
      </c>
      <c r="X162" s="30" t="s">
        <v>23</v>
      </c>
      <c r="Y162" s="30" t="s">
        <v>24</v>
      </c>
      <c r="Z162" s="30" t="s">
        <v>25</v>
      </c>
      <c r="AA162" s="30" t="s">
        <v>26</v>
      </c>
      <c r="AB162" s="30" t="s">
        <v>24</v>
      </c>
      <c r="AC162" s="27"/>
      <c r="AD162" s="31" t="s">
        <v>25</v>
      </c>
      <c r="AE162" s="32" t="str">
        <f t="shared" si="12"/>
        <v>✓ OK</v>
      </c>
      <c r="AF162" s="33" t="s">
        <v>27</v>
      </c>
      <c r="AG162" s="33" t="s">
        <v>23</v>
      </c>
      <c r="AH162" s="33" t="s">
        <v>24</v>
      </c>
      <c r="AI162" s="33" t="s">
        <v>25</v>
      </c>
      <c r="AJ162" s="33" t="s">
        <v>26</v>
      </c>
      <c r="AK162" s="33" t="s">
        <v>24</v>
      </c>
      <c r="AL162" s="27"/>
      <c r="AM162" s="34" t="s">
        <v>25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8" customHeight="1" x14ac:dyDescent="0.3">
      <c r="A163" s="23">
        <v>159</v>
      </c>
      <c r="B163" s="24" t="s">
        <v>345</v>
      </c>
      <c r="C163" s="25" t="s">
        <v>346</v>
      </c>
      <c r="D163" s="23" t="s">
        <v>216</v>
      </c>
      <c r="E163" s="43">
        <v>46125</v>
      </c>
      <c r="F163" s="26" t="s">
        <v>23</v>
      </c>
      <c r="G163" s="26" t="s">
        <v>24</v>
      </c>
      <c r="H163" s="26" t="s">
        <v>25</v>
      </c>
      <c r="I163" s="26" t="s">
        <v>26</v>
      </c>
      <c r="J163" s="26" t="s">
        <v>24</v>
      </c>
      <c r="K163" s="27"/>
      <c r="L163" s="28" t="s">
        <v>25</v>
      </c>
      <c r="M163" s="29" t="str">
        <f t="shared" si="10"/>
        <v>✓ OK</v>
      </c>
      <c r="N163" s="43">
        <v>46139</v>
      </c>
      <c r="O163" s="26" t="s">
        <v>23</v>
      </c>
      <c r="P163" s="26" t="s">
        <v>24</v>
      </c>
      <c r="Q163" s="26" t="s">
        <v>25</v>
      </c>
      <c r="R163" s="26" t="s">
        <v>26</v>
      </c>
      <c r="S163" s="26" t="s">
        <v>24</v>
      </c>
      <c r="T163" s="27"/>
      <c r="U163" s="28" t="s">
        <v>25</v>
      </c>
      <c r="V163" s="29" t="str">
        <f t="shared" si="11"/>
        <v>✓ OK</v>
      </c>
      <c r="W163" s="45">
        <v>46248</v>
      </c>
      <c r="X163" s="30" t="s">
        <v>23</v>
      </c>
      <c r="Y163" s="30" t="s">
        <v>24</v>
      </c>
      <c r="Z163" s="30" t="s">
        <v>25</v>
      </c>
      <c r="AA163" s="30" t="s">
        <v>26</v>
      </c>
      <c r="AB163" s="30" t="s">
        <v>24</v>
      </c>
      <c r="AC163" s="27"/>
      <c r="AD163" s="31" t="s">
        <v>25</v>
      </c>
      <c r="AE163" s="32" t="str">
        <f t="shared" si="12"/>
        <v>✓ OK</v>
      </c>
      <c r="AF163" s="33" t="s">
        <v>27</v>
      </c>
      <c r="AG163" s="33" t="s">
        <v>23</v>
      </c>
      <c r="AH163" s="33" t="s">
        <v>24</v>
      </c>
      <c r="AI163" s="33" t="s">
        <v>25</v>
      </c>
      <c r="AJ163" s="33" t="s">
        <v>26</v>
      </c>
      <c r="AK163" s="33" t="s">
        <v>24</v>
      </c>
      <c r="AL163" s="27"/>
      <c r="AM163" s="34" t="s">
        <v>25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8" customHeight="1" x14ac:dyDescent="0.3">
      <c r="A164" s="39">
        <v>160</v>
      </c>
      <c r="B164" s="40" t="s">
        <v>347</v>
      </c>
      <c r="C164" s="41" t="s">
        <v>348</v>
      </c>
      <c r="D164" s="39" t="s">
        <v>216</v>
      </c>
      <c r="E164" s="43">
        <v>46125</v>
      </c>
      <c r="F164" s="26" t="s">
        <v>23</v>
      </c>
      <c r="G164" s="26" t="s">
        <v>24</v>
      </c>
      <c r="H164" s="26" t="s">
        <v>25</v>
      </c>
      <c r="I164" s="26" t="s">
        <v>26</v>
      </c>
      <c r="J164" s="26" t="s">
        <v>24</v>
      </c>
      <c r="K164" s="27"/>
      <c r="L164" s="28" t="s">
        <v>25</v>
      </c>
      <c r="M164" s="29" t="str">
        <f t="shared" si="10"/>
        <v>✓ OK</v>
      </c>
      <c r="N164" s="43">
        <v>46139</v>
      </c>
      <c r="O164" s="26" t="s">
        <v>23</v>
      </c>
      <c r="P164" s="26" t="s">
        <v>24</v>
      </c>
      <c r="Q164" s="26" t="s">
        <v>25</v>
      </c>
      <c r="R164" s="26" t="s">
        <v>26</v>
      </c>
      <c r="S164" s="26" t="s">
        <v>24</v>
      </c>
      <c r="T164" s="27"/>
      <c r="U164" s="28" t="s">
        <v>25</v>
      </c>
      <c r="V164" s="29" t="str">
        <f t="shared" si="11"/>
        <v>✓ OK</v>
      </c>
      <c r="W164" s="45">
        <v>46248</v>
      </c>
      <c r="X164" s="30" t="s">
        <v>23</v>
      </c>
      <c r="Y164" s="30" t="s">
        <v>24</v>
      </c>
      <c r="Z164" s="30" t="s">
        <v>25</v>
      </c>
      <c r="AA164" s="30" t="s">
        <v>26</v>
      </c>
      <c r="AB164" s="30" t="s">
        <v>24</v>
      </c>
      <c r="AC164" s="27"/>
      <c r="AD164" s="31" t="s">
        <v>25</v>
      </c>
      <c r="AE164" s="32" t="str">
        <f t="shared" si="12"/>
        <v>✓ OK</v>
      </c>
      <c r="AF164" s="33" t="s">
        <v>27</v>
      </c>
      <c r="AG164" s="33" t="s">
        <v>23</v>
      </c>
      <c r="AH164" s="33" t="s">
        <v>24</v>
      </c>
      <c r="AI164" s="33" t="s">
        <v>25</v>
      </c>
      <c r="AJ164" s="33" t="s">
        <v>26</v>
      </c>
      <c r="AK164" s="33" t="s">
        <v>24</v>
      </c>
      <c r="AL164" s="27"/>
      <c r="AM164" s="34" t="s">
        <v>25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8" customHeight="1" x14ac:dyDescent="0.3">
      <c r="A165" s="23">
        <v>161</v>
      </c>
      <c r="B165" s="24" t="s">
        <v>349</v>
      </c>
      <c r="C165" s="25" t="s">
        <v>350</v>
      </c>
      <c r="D165" s="23" t="s">
        <v>216</v>
      </c>
      <c r="E165" s="43">
        <v>46125</v>
      </c>
      <c r="F165" s="26" t="s">
        <v>23</v>
      </c>
      <c r="G165" s="26" t="s">
        <v>24</v>
      </c>
      <c r="H165" s="26" t="s">
        <v>25</v>
      </c>
      <c r="I165" s="26" t="s">
        <v>26</v>
      </c>
      <c r="J165" s="26" t="s">
        <v>24</v>
      </c>
      <c r="K165" s="27"/>
      <c r="L165" s="28" t="s">
        <v>25</v>
      </c>
      <c r="M165" s="29" t="str">
        <f t="shared" si="10"/>
        <v>✓ OK</v>
      </c>
      <c r="N165" s="43">
        <v>46139</v>
      </c>
      <c r="O165" s="26" t="s">
        <v>23</v>
      </c>
      <c r="P165" s="26" t="s">
        <v>24</v>
      </c>
      <c r="Q165" s="26" t="s">
        <v>25</v>
      </c>
      <c r="R165" s="26" t="s">
        <v>26</v>
      </c>
      <c r="S165" s="26" t="s">
        <v>24</v>
      </c>
      <c r="T165" s="27"/>
      <c r="U165" s="28" t="s">
        <v>25</v>
      </c>
      <c r="V165" s="29" t="str">
        <f t="shared" si="11"/>
        <v>✓ OK</v>
      </c>
      <c r="W165" s="45">
        <v>46248</v>
      </c>
      <c r="X165" s="30" t="s">
        <v>23</v>
      </c>
      <c r="Y165" s="30" t="s">
        <v>24</v>
      </c>
      <c r="Z165" s="30" t="s">
        <v>25</v>
      </c>
      <c r="AA165" s="30" t="s">
        <v>26</v>
      </c>
      <c r="AB165" s="30" t="s">
        <v>24</v>
      </c>
      <c r="AC165" s="27"/>
      <c r="AD165" s="31" t="s">
        <v>25</v>
      </c>
      <c r="AE165" s="32" t="str">
        <f t="shared" si="12"/>
        <v>✓ OK</v>
      </c>
      <c r="AF165" s="33" t="s">
        <v>27</v>
      </c>
      <c r="AG165" s="33" t="s">
        <v>23</v>
      </c>
      <c r="AH165" s="33" t="s">
        <v>24</v>
      </c>
      <c r="AI165" s="33" t="s">
        <v>25</v>
      </c>
      <c r="AJ165" s="33" t="s">
        <v>26</v>
      </c>
      <c r="AK165" s="33" t="s">
        <v>24</v>
      </c>
      <c r="AL165" s="27"/>
      <c r="AM165" s="34" t="s">
        <v>25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8" customHeight="1" x14ac:dyDescent="0.3">
      <c r="A166" s="39">
        <v>162</v>
      </c>
      <c r="B166" s="40" t="s">
        <v>351</v>
      </c>
      <c r="C166" s="41" t="s">
        <v>352</v>
      </c>
      <c r="D166" s="39" t="s">
        <v>216</v>
      </c>
      <c r="E166" s="43">
        <v>46125</v>
      </c>
      <c r="F166" s="26" t="s">
        <v>23</v>
      </c>
      <c r="G166" s="26" t="s">
        <v>24</v>
      </c>
      <c r="H166" s="26" t="s">
        <v>25</v>
      </c>
      <c r="I166" s="26" t="s">
        <v>26</v>
      </c>
      <c r="J166" s="26" t="s">
        <v>24</v>
      </c>
      <c r="K166" s="27"/>
      <c r="L166" s="28" t="s">
        <v>25</v>
      </c>
      <c r="M166" s="29" t="str">
        <f t="shared" si="10"/>
        <v>✓ OK</v>
      </c>
      <c r="N166" s="43">
        <v>46139</v>
      </c>
      <c r="O166" s="26" t="s">
        <v>23</v>
      </c>
      <c r="P166" s="26" t="s">
        <v>24</v>
      </c>
      <c r="Q166" s="26" t="s">
        <v>25</v>
      </c>
      <c r="R166" s="26" t="s">
        <v>26</v>
      </c>
      <c r="S166" s="26" t="s">
        <v>24</v>
      </c>
      <c r="T166" s="27"/>
      <c r="U166" s="28" t="s">
        <v>25</v>
      </c>
      <c r="V166" s="29" t="str">
        <f t="shared" si="11"/>
        <v>✓ OK</v>
      </c>
      <c r="W166" s="45">
        <v>46248</v>
      </c>
      <c r="X166" s="30" t="s">
        <v>23</v>
      </c>
      <c r="Y166" s="30" t="s">
        <v>24</v>
      </c>
      <c r="Z166" s="30" t="s">
        <v>25</v>
      </c>
      <c r="AA166" s="30" t="s">
        <v>26</v>
      </c>
      <c r="AB166" s="30" t="s">
        <v>24</v>
      </c>
      <c r="AC166" s="27"/>
      <c r="AD166" s="31" t="s">
        <v>25</v>
      </c>
      <c r="AE166" s="32" t="str">
        <f t="shared" si="12"/>
        <v>✓ OK</v>
      </c>
      <c r="AF166" s="33" t="s">
        <v>27</v>
      </c>
      <c r="AG166" s="33" t="s">
        <v>23</v>
      </c>
      <c r="AH166" s="33" t="s">
        <v>24</v>
      </c>
      <c r="AI166" s="33" t="s">
        <v>25</v>
      </c>
      <c r="AJ166" s="33" t="s">
        <v>26</v>
      </c>
      <c r="AK166" s="33" t="s">
        <v>24</v>
      </c>
      <c r="AL166" s="27"/>
      <c r="AM166" s="34" t="s">
        <v>25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8" customHeight="1" x14ac:dyDescent="0.3">
      <c r="A167" s="23">
        <v>163</v>
      </c>
      <c r="B167" s="24" t="s">
        <v>353</v>
      </c>
      <c r="C167" s="25" t="s">
        <v>354</v>
      </c>
      <c r="D167" s="23" t="s">
        <v>216</v>
      </c>
      <c r="E167" s="43">
        <v>46125</v>
      </c>
      <c r="F167" s="26" t="s">
        <v>23</v>
      </c>
      <c r="G167" s="26" t="s">
        <v>24</v>
      </c>
      <c r="H167" s="26" t="s">
        <v>25</v>
      </c>
      <c r="I167" s="26" t="s">
        <v>26</v>
      </c>
      <c r="J167" s="26" t="s">
        <v>24</v>
      </c>
      <c r="K167" s="27"/>
      <c r="L167" s="28" t="s">
        <v>25</v>
      </c>
      <c r="M167" s="29" t="str">
        <f t="shared" si="10"/>
        <v>✓ OK</v>
      </c>
      <c r="N167" s="43">
        <v>46139</v>
      </c>
      <c r="O167" s="26" t="s">
        <v>23</v>
      </c>
      <c r="P167" s="26" t="s">
        <v>24</v>
      </c>
      <c r="Q167" s="26" t="s">
        <v>25</v>
      </c>
      <c r="R167" s="26" t="s">
        <v>26</v>
      </c>
      <c r="S167" s="26" t="s">
        <v>24</v>
      </c>
      <c r="T167" s="27"/>
      <c r="U167" s="28" t="s">
        <v>25</v>
      </c>
      <c r="V167" s="29" t="str">
        <f t="shared" si="11"/>
        <v>✓ OK</v>
      </c>
      <c r="W167" s="45">
        <v>46248</v>
      </c>
      <c r="X167" s="30" t="s">
        <v>23</v>
      </c>
      <c r="Y167" s="30" t="s">
        <v>24</v>
      </c>
      <c r="Z167" s="30" t="s">
        <v>25</v>
      </c>
      <c r="AA167" s="30" t="s">
        <v>26</v>
      </c>
      <c r="AB167" s="30" t="s">
        <v>24</v>
      </c>
      <c r="AC167" s="27"/>
      <c r="AD167" s="31" t="s">
        <v>25</v>
      </c>
      <c r="AE167" s="32" t="str">
        <f t="shared" si="12"/>
        <v>✓ OK</v>
      </c>
      <c r="AF167" s="33" t="s">
        <v>27</v>
      </c>
      <c r="AG167" s="33" t="s">
        <v>23</v>
      </c>
      <c r="AH167" s="33" t="s">
        <v>24</v>
      </c>
      <c r="AI167" s="33" t="s">
        <v>25</v>
      </c>
      <c r="AJ167" s="33" t="s">
        <v>26</v>
      </c>
      <c r="AK167" s="33" t="s">
        <v>24</v>
      </c>
      <c r="AL167" s="27"/>
      <c r="AM167" s="34" t="s">
        <v>25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8" customHeight="1" x14ac:dyDescent="0.3">
      <c r="A168" s="39">
        <v>164</v>
      </c>
      <c r="B168" s="40" t="s">
        <v>355</v>
      </c>
      <c r="C168" s="41" t="s">
        <v>356</v>
      </c>
      <c r="D168" s="39" t="s">
        <v>216</v>
      </c>
      <c r="E168" s="43">
        <v>46125</v>
      </c>
      <c r="F168" s="26" t="s">
        <v>23</v>
      </c>
      <c r="G168" s="26" t="s">
        <v>24</v>
      </c>
      <c r="H168" s="26" t="s">
        <v>25</v>
      </c>
      <c r="I168" s="26" t="s">
        <v>26</v>
      </c>
      <c r="J168" s="26" t="s">
        <v>24</v>
      </c>
      <c r="K168" s="27"/>
      <c r="L168" s="28" t="s">
        <v>25</v>
      </c>
      <c r="M168" s="29" t="str">
        <f t="shared" si="10"/>
        <v>✓ OK</v>
      </c>
      <c r="N168" s="43">
        <v>46139</v>
      </c>
      <c r="O168" s="26" t="s">
        <v>23</v>
      </c>
      <c r="P168" s="26" t="s">
        <v>24</v>
      </c>
      <c r="Q168" s="26" t="s">
        <v>25</v>
      </c>
      <c r="R168" s="26" t="s">
        <v>26</v>
      </c>
      <c r="S168" s="26" t="s">
        <v>24</v>
      </c>
      <c r="T168" s="27"/>
      <c r="U168" s="28" t="s">
        <v>25</v>
      </c>
      <c r="V168" s="29" t="str">
        <f t="shared" si="11"/>
        <v>✓ OK</v>
      </c>
      <c r="W168" s="45">
        <v>46248</v>
      </c>
      <c r="X168" s="30" t="s">
        <v>23</v>
      </c>
      <c r="Y168" s="30" t="s">
        <v>24</v>
      </c>
      <c r="Z168" s="30" t="s">
        <v>25</v>
      </c>
      <c r="AA168" s="30" t="s">
        <v>26</v>
      </c>
      <c r="AB168" s="30" t="s">
        <v>24</v>
      </c>
      <c r="AC168" s="27"/>
      <c r="AD168" s="31" t="s">
        <v>25</v>
      </c>
      <c r="AE168" s="32" t="str">
        <f t="shared" si="12"/>
        <v>✓ OK</v>
      </c>
      <c r="AF168" s="33" t="s">
        <v>27</v>
      </c>
      <c r="AG168" s="33" t="s">
        <v>23</v>
      </c>
      <c r="AH168" s="33" t="s">
        <v>24</v>
      </c>
      <c r="AI168" s="33" t="s">
        <v>25</v>
      </c>
      <c r="AJ168" s="33" t="s">
        <v>26</v>
      </c>
      <c r="AK168" s="33" t="s">
        <v>24</v>
      </c>
      <c r="AL168" s="27"/>
      <c r="AM168" s="34" t="s">
        <v>25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8" customHeight="1" x14ac:dyDescent="0.3">
      <c r="A169" s="23">
        <v>165</v>
      </c>
      <c r="B169" s="24" t="s">
        <v>357</v>
      </c>
      <c r="C169" s="25" t="s">
        <v>358</v>
      </c>
      <c r="D169" s="23" t="s">
        <v>216</v>
      </c>
      <c r="E169" s="43">
        <v>46125</v>
      </c>
      <c r="F169" s="26" t="s">
        <v>23</v>
      </c>
      <c r="G169" s="26" t="s">
        <v>24</v>
      </c>
      <c r="H169" s="26" t="s">
        <v>25</v>
      </c>
      <c r="I169" s="26" t="s">
        <v>26</v>
      </c>
      <c r="J169" s="26" t="s">
        <v>24</v>
      </c>
      <c r="K169" s="27"/>
      <c r="L169" s="28" t="s">
        <v>25</v>
      </c>
      <c r="M169" s="29" t="str">
        <f t="shared" si="10"/>
        <v>✓ OK</v>
      </c>
      <c r="N169" s="43">
        <v>46139</v>
      </c>
      <c r="O169" s="26" t="s">
        <v>23</v>
      </c>
      <c r="P169" s="26" t="s">
        <v>24</v>
      </c>
      <c r="Q169" s="26" t="s">
        <v>25</v>
      </c>
      <c r="R169" s="26" t="s">
        <v>26</v>
      </c>
      <c r="S169" s="26" t="s">
        <v>24</v>
      </c>
      <c r="T169" s="27"/>
      <c r="U169" s="28" t="s">
        <v>25</v>
      </c>
      <c r="V169" s="29" t="str">
        <f t="shared" si="11"/>
        <v>✓ OK</v>
      </c>
      <c r="W169" s="45">
        <v>46248</v>
      </c>
      <c r="X169" s="30" t="s">
        <v>23</v>
      </c>
      <c r="Y169" s="30" t="s">
        <v>24</v>
      </c>
      <c r="Z169" s="30" t="s">
        <v>25</v>
      </c>
      <c r="AA169" s="30" t="s">
        <v>26</v>
      </c>
      <c r="AB169" s="30" t="s">
        <v>24</v>
      </c>
      <c r="AC169" s="27"/>
      <c r="AD169" s="31" t="s">
        <v>25</v>
      </c>
      <c r="AE169" s="32" t="str">
        <f t="shared" si="12"/>
        <v>✓ OK</v>
      </c>
      <c r="AF169" s="33" t="s">
        <v>27</v>
      </c>
      <c r="AG169" s="33" t="s">
        <v>23</v>
      </c>
      <c r="AH169" s="33" t="s">
        <v>24</v>
      </c>
      <c r="AI169" s="33" t="s">
        <v>25</v>
      </c>
      <c r="AJ169" s="33" t="s">
        <v>26</v>
      </c>
      <c r="AK169" s="33" t="s">
        <v>24</v>
      </c>
      <c r="AL169" s="27"/>
      <c r="AM169" s="34" t="s">
        <v>25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8" customHeight="1" x14ac:dyDescent="0.3">
      <c r="A170" s="39">
        <v>166</v>
      </c>
      <c r="B170" s="40" t="s">
        <v>359</v>
      </c>
      <c r="C170" s="41" t="s">
        <v>360</v>
      </c>
      <c r="D170" s="39" t="s">
        <v>216</v>
      </c>
      <c r="E170" s="43">
        <v>46125</v>
      </c>
      <c r="F170" s="26" t="s">
        <v>23</v>
      </c>
      <c r="G170" s="26" t="s">
        <v>24</v>
      </c>
      <c r="H170" s="26" t="s">
        <v>25</v>
      </c>
      <c r="I170" s="26" t="s">
        <v>26</v>
      </c>
      <c r="J170" s="26" t="s">
        <v>24</v>
      </c>
      <c r="K170" s="27"/>
      <c r="L170" s="28" t="s">
        <v>25</v>
      </c>
      <c r="M170" s="29" t="str">
        <f t="shared" si="10"/>
        <v>✓ OK</v>
      </c>
      <c r="N170" s="43">
        <v>46139</v>
      </c>
      <c r="O170" s="26" t="s">
        <v>23</v>
      </c>
      <c r="P170" s="26" t="s">
        <v>24</v>
      </c>
      <c r="Q170" s="26" t="s">
        <v>25</v>
      </c>
      <c r="R170" s="26" t="s">
        <v>26</v>
      </c>
      <c r="S170" s="26" t="s">
        <v>24</v>
      </c>
      <c r="T170" s="27"/>
      <c r="U170" s="28" t="s">
        <v>25</v>
      </c>
      <c r="V170" s="29" t="str">
        <f t="shared" si="11"/>
        <v>✓ OK</v>
      </c>
      <c r="W170" s="45">
        <v>46248</v>
      </c>
      <c r="X170" s="30" t="s">
        <v>23</v>
      </c>
      <c r="Y170" s="30" t="s">
        <v>24</v>
      </c>
      <c r="Z170" s="30" t="s">
        <v>25</v>
      </c>
      <c r="AA170" s="30" t="s">
        <v>26</v>
      </c>
      <c r="AB170" s="30" t="s">
        <v>24</v>
      </c>
      <c r="AC170" s="27"/>
      <c r="AD170" s="31" t="s">
        <v>25</v>
      </c>
      <c r="AE170" s="32" t="str">
        <f t="shared" si="12"/>
        <v>✓ OK</v>
      </c>
      <c r="AF170" s="33" t="s">
        <v>27</v>
      </c>
      <c r="AG170" s="33" t="s">
        <v>23</v>
      </c>
      <c r="AH170" s="33" t="s">
        <v>24</v>
      </c>
      <c r="AI170" s="33" t="s">
        <v>25</v>
      </c>
      <c r="AJ170" s="33" t="s">
        <v>26</v>
      </c>
      <c r="AK170" s="33" t="s">
        <v>24</v>
      </c>
      <c r="AL170" s="27"/>
      <c r="AM170" s="34" t="s">
        <v>25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8" customHeight="1" x14ac:dyDescent="0.3">
      <c r="A171" s="23">
        <v>167</v>
      </c>
      <c r="B171" s="24" t="s">
        <v>361</v>
      </c>
      <c r="C171" s="25" t="s">
        <v>362</v>
      </c>
      <c r="D171" s="23" t="s">
        <v>216</v>
      </c>
      <c r="E171" s="43">
        <v>46125</v>
      </c>
      <c r="F171" s="26" t="s">
        <v>23</v>
      </c>
      <c r="G171" s="26" t="s">
        <v>24</v>
      </c>
      <c r="H171" s="26" t="s">
        <v>25</v>
      </c>
      <c r="I171" s="26" t="s">
        <v>26</v>
      </c>
      <c r="J171" s="26" t="s">
        <v>24</v>
      </c>
      <c r="K171" s="27"/>
      <c r="L171" s="28" t="s">
        <v>25</v>
      </c>
      <c r="M171" s="29" t="str">
        <f t="shared" si="10"/>
        <v>✓ OK</v>
      </c>
      <c r="N171" s="43">
        <v>46139</v>
      </c>
      <c r="O171" s="26" t="s">
        <v>23</v>
      </c>
      <c r="P171" s="26" t="s">
        <v>24</v>
      </c>
      <c r="Q171" s="26" t="s">
        <v>25</v>
      </c>
      <c r="R171" s="26" t="s">
        <v>26</v>
      </c>
      <c r="S171" s="26" t="s">
        <v>24</v>
      </c>
      <c r="T171" s="27"/>
      <c r="U171" s="28" t="s">
        <v>25</v>
      </c>
      <c r="V171" s="29" t="str">
        <f t="shared" si="11"/>
        <v>✓ OK</v>
      </c>
      <c r="W171" s="45">
        <v>46248</v>
      </c>
      <c r="X171" s="30" t="s">
        <v>23</v>
      </c>
      <c r="Y171" s="30" t="s">
        <v>24</v>
      </c>
      <c r="Z171" s="30" t="s">
        <v>25</v>
      </c>
      <c r="AA171" s="30" t="s">
        <v>26</v>
      </c>
      <c r="AB171" s="30" t="s">
        <v>24</v>
      </c>
      <c r="AC171" s="27"/>
      <c r="AD171" s="31" t="s">
        <v>25</v>
      </c>
      <c r="AE171" s="32" t="str">
        <f t="shared" si="12"/>
        <v>✓ OK</v>
      </c>
      <c r="AF171" s="33" t="s">
        <v>27</v>
      </c>
      <c r="AG171" s="33" t="s">
        <v>23</v>
      </c>
      <c r="AH171" s="33" t="s">
        <v>24</v>
      </c>
      <c r="AI171" s="33" t="s">
        <v>25</v>
      </c>
      <c r="AJ171" s="33" t="s">
        <v>26</v>
      </c>
      <c r="AK171" s="33" t="s">
        <v>24</v>
      </c>
      <c r="AL171" s="27"/>
      <c r="AM171" s="34" t="s">
        <v>25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8" customHeight="1" x14ac:dyDescent="0.3">
      <c r="A172" s="39">
        <v>168</v>
      </c>
      <c r="B172" s="40" t="s">
        <v>363</v>
      </c>
      <c r="C172" s="41" t="s">
        <v>364</v>
      </c>
      <c r="D172" s="39" t="s">
        <v>216</v>
      </c>
      <c r="E172" s="43">
        <v>46125</v>
      </c>
      <c r="F172" s="26" t="s">
        <v>23</v>
      </c>
      <c r="G172" s="26" t="s">
        <v>24</v>
      </c>
      <c r="H172" s="26" t="s">
        <v>25</v>
      </c>
      <c r="I172" s="26" t="s">
        <v>26</v>
      </c>
      <c r="J172" s="26" t="s">
        <v>24</v>
      </c>
      <c r="K172" s="27"/>
      <c r="L172" s="28" t="s">
        <v>25</v>
      </c>
      <c r="M172" s="29" t="str">
        <f t="shared" si="10"/>
        <v>✓ OK</v>
      </c>
      <c r="N172" s="43">
        <v>46139</v>
      </c>
      <c r="O172" s="26" t="s">
        <v>23</v>
      </c>
      <c r="P172" s="26" t="s">
        <v>24</v>
      </c>
      <c r="Q172" s="26" t="s">
        <v>25</v>
      </c>
      <c r="R172" s="26" t="s">
        <v>26</v>
      </c>
      <c r="S172" s="26" t="s">
        <v>24</v>
      </c>
      <c r="T172" s="27"/>
      <c r="U172" s="28" t="s">
        <v>25</v>
      </c>
      <c r="V172" s="29" t="str">
        <f t="shared" si="11"/>
        <v>✓ OK</v>
      </c>
      <c r="W172" s="45">
        <v>46248</v>
      </c>
      <c r="X172" s="30" t="s">
        <v>23</v>
      </c>
      <c r="Y172" s="30" t="s">
        <v>24</v>
      </c>
      <c r="Z172" s="30" t="s">
        <v>25</v>
      </c>
      <c r="AA172" s="30" t="s">
        <v>26</v>
      </c>
      <c r="AB172" s="30" t="s">
        <v>24</v>
      </c>
      <c r="AC172" s="27"/>
      <c r="AD172" s="31" t="s">
        <v>25</v>
      </c>
      <c r="AE172" s="32" t="str">
        <f t="shared" si="12"/>
        <v>✓ OK</v>
      </c>
      <c r="AF172" s="33" t="s">
        <v>27</v>
      </c>
      <c r="AG172" s="33" t="s">
        <v>23</v>
      </c>
      <c r="AH172" s="33" t="s">
        <v>24</v>
      </c>
      <c r="AI172" s="33" t="s">
        <v>25</v>
      </c>
      <c r="AJ172" s="33" t="s">
        <v>26</v>
      </c>
      <c r="AK172" s="33" t="s">
        <v>24</v>
      </c>
      <c r="AL172" s="27"/>
      <c r="AM172" s="34" t="s">
        <v>25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8" customHeight="1" x14ac:dyDescent="0.3">
      <c r="A173" s="23">
        <v>169</v>
      </c>
      <c r="B173" s="24" t="s">
        <v>365</v>
      </c>
      <c r="C173" s="25" t="s">
        <v>366</v>
      </c>
      <c r="D173" s="23" t="s">
        <v>216</v>
      </c>
      <c r="E173" s="43">
        <v>46125</v>
      </c>
      <c r="F173" s="26" t="s">
        <v>23</v>
      </c>
      <c r="G173" s="26" t="s">
        <v>24</v>
      </c>
      <c r="H173" s="26" t="s">
        <v>25</v>
      </c>
      <c r="I173" s="26" t="s">
        <v>26</v>
      </c>
      <c r="J173" s="26" t="s">
        <v>24</v>
      </c>
      <c r="K173" s="27"/>
      <c r="L173" s="28" t="s">
        <v>25</v>
      </c>
      <c r="M173" s="29" t="str">
        <f t="shared" si="10"/>
        <v>✓ OK</v>
      </c>
      <c r="N173" s="43">
        <v>46139</v>
      </c>
      <c r="O173" s="26" t="s">
        <v>23</v>
      </c>
      <c r="P173" s="26" t="s">
        <v>24</v>
      </c>
      <c r="Q173" s="26" t="s">
        <v>25</v>
      </c>
      <c r="R173" s="26" t="s">
        <v>26</v>
      </c>
      <c r="S173" s="26" t="s">
        <v>24</v>
      </c>
      <c r="T173" s="27"/>
      <c r="U173" s="28" t="s">
        <v>25</v>
      </c>
      <c r="V173" s="29" t="str">
        <f t="shared" si="11"/>
        <v>✓ OK</v>
      </c>
      <c r="W173" s="45">
        <v>46248</v>
      </c>
      <c r="X173" s="30" t="s">
        <v>23</v>
      </c>
      <c r="Y173" s="30" t="s">
        <v>24</v>
      </c>
      <c r="Z173" s="30" t="s">
        <v>25</v>
      </c>
      <c r="AA173" s="30" t="s">
        <v>26</v>
      </c>
      <c r="AB173" s="30" t="s">
        <v>24</v>
      </c>
      <c r="AC173" s="27"/>
      <c r="AD173" s="31" t="s">
        <v>25</v>
      </c>
      <c r="AE173" s="32" t="str">
        <f t="shared" si="12"/>
        <v>✓ OK</v>
      </c>
      <c r="AF173" s="33" t="s">
        <v>27</v>
      </c>
      <c r="AG173" s="33" t="s">
        <v>23</v>
      </c>
      <c r="AH173" s="33" t="s">
        <v>24</v>
      </c>
      <c r="AI173" s="33" t="s">
        <v>25</v>
      </c>
      <c r="AJ173" s="33" t="s">
        <v>26</v>
      </c>
      <c r="AK173" s="33" t="s">
        <v>24</v>
      </c>
      <c r="AL173" s="27"/>
      <c r="AM173" s="34" t="s">
        <v>25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8" customHeight="1" x14ac:dyDescent="0.3">
      <c r="A174" s="39">
        <v>170</v>
      </c>
      <c r="B174" s="40" t="s">
        <v>367</v>
      </c>
      <c r="C174" s="41" t="s">
        <v>368</v>
      </c>
      <c r="D174" s="39" t="s">
        <v>216</v>
      </c>
      <c r="E174" s="43">
        <v>46125</v>
      </c>
      <c r="F174" s="26" t="s">
        <v>23</v>
      </c>
      <c r="G174" s="26" t="s">
        <v>24</v>
      </c>
      <c r="H174" s="26" t="s">
        <v>25</v>
      </c>
      <c r="I174" s="26" t="s">
        <v>26</v>
      </c>
      <c r="J174" s="26" t="s">
        <v>24</v>
      </c>
      <c r="K174" s="27"/>
      <c r="L174" s="28" t="s">
        <v>25</v>
      </c>
      <c r="M174" s="29" t="str">
        <f t="shared" si="10"/>
        <v>✓ OK</v>
      </c>
      <c r="N174" s="43">
        <v>46139</v>
      </c>
      <c r="O174" s="26" t="s">
        <v>23</v>
      </c>
      <c r="P174" s="26" t="s">
        <v>24</v>
      </c>
      <c r="Q174" s="26" t="s">
        <v>25</v>
      </c>
      <c r="R174" s="26" t="s">
        <v>26</v>
      </c>
      <c r="S174" s="26" t="s">
        <v>24</v>
      </c>
      <c r="T174" s="27"/>
      <c r="U174" s="28" t="s">
        <v>25</v>
      </c>
      <c r="V174" s="29" t="str">
        <f t="shared" si="11"/>
        <v>✓ OK</v>
      </c>
      <c r="W174" s="45">
        <v>46248</v>
      </c>
      <c r="X174" s="30" t="s">
        <v>23</v>
      </c>
      <c r="Y174" s="30" t="s">
        <v>24</v>
      </c>
      <c r="Z174" s="30" t="s">
        <v>25</v>
      </c>
      <c r="AA174" s="30" t="s">
        <v>26</v>
      </c>
      <c r="AB174" s="30" t="s">
        <v>24</v>
      </c>
      <c r="AC174" s="27"/>
      <c r="AD174" s="31" t="s">
        <v>25</v>
      </c>
      <c r="AE174" s="32" t="str">
        <f t="shared" si="12"/>
        <v>✓ OK</v>
      </c>
      <c r="AF174" s="33" t="s">
        <v>27</v>
      </c>
      <c r="AG174" s="33" t="s">
        <v>23</v>
      </c>
      <c r="AH174" s="33" t="s">
        <v>24</v>
      </c>
      <c r="AI174" s="33" t="s">
        <v>25</v>
      </c>
      <c r="AJ174" s="33" t="s">
        <v>26</v>
      </c>
      <c r="AK174" s="33" t="s">
        <v>24</v>
      </c>
      <c r="AL174" s="27"/>
      <c r="AM174" s="34" t="s">
        <v>25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8" customHeight="1" x14ac:dyDescent="0.3">
      <c r="A175" s="23">
        <v>171</v>
      </c>
      <c r="B175" s="24" t="s">
        <v>369</v>
      </c>
      <c r="C175" s="25" t="s">
        <v>370</v>
      </c>
      <c r="D175" s="23" t="s">
        <v>216</v>
      </c>
      <c r="E175" s="43">
        <v>46125</v>
      </c>
      <c r="F175" s="26" t="s">
        <v>23</v>
      </c>
      <c r="G175" s="26" t="s">
        <v>24</v>
      </c>
      <c r="H175" s="26" t="s">
        <v>25</v>
      </c>
      <c r="I175" s="26" t="s">
        <v>26</v>
      </c>
      <c r="J175" s="26" t="s">
        <v>24</v>
      </c>
      <c r="K175" s="27"/>
      <c r="L175" s="28" t="s">
        <v>25</v>
      </c>
      <c r="M175" s="29" t="str">
        <f t="shared" si="10"/>
        <v>✓ OK</v>
      </c>
      <c r="N175" s="43">
        <v>46139</v>
      </c>
      <c r="O175" s="26" t="s">
        <v>23</v>
      </c>
      <c r="P175" s="26" t="s">
        <v>24</v>
      </c>
      <c r="Q175" s="26" t="s">
        <v>25</v>
      </c>
      <c r="R175" s="26" t="s">
        <v>26</v>
      </c>
      <c r="S175" s="26" t="s">
        <v>24</v>
      </c>
      <c r="T175" s="27"/>
      <c r="U175" s="28" t="s">
        <v>25</v>
      </c>
      <c r="V175" s="29" t="str">
        <f t="shared" si="11"/>
        <v>✓ OK</v>
      </c>
      <c r="W175" s="45">
        <v>46248</v>
      </c>
      <c r="X175" s="30" t="s">
        <v>23</v>
      </c>
      <c r="Y175" s="30" t="s">
        <v>24</v>
      </c>
      <c r="Z175" s="30" t="s">
        <v>25</v>
      </c>
      <c r="AA175" s="30" t="s">
        <v>26</v>
      </c>
      <c r="AB175" s="30" t="s">
        <v>24</v>
      </c>
      <c r="AC175" s="27"/>
      <c r="AD175" s="31" t="s">
        <v>25</v>
      </c>
      <c r="AE175" s="32" t="str">
        <f t="shared" si="12"/>
        <v>✓ OK</v>
      </c>
      <c r="AF175" s="33" t="s">
        <v>27</v>
      </c>
      <c r="AG175" s="33" t="s">
        <v>23</v>
      </c>
      <c r="AH175" s="33" t="s">
        <v>24</v>
      </c>
      <c r="AI175" s="33" t="s">
        <v>25</v>
      </c>
      <c r="AJ175" s="33" t="s">
        <v>26</v>
      </c>
      <c r="AK175" s="33" t="s">
        <v>24</v>
      </c>
      <c r="AL175" s="27"/>
      <c r="AM175" s="34" t="s">
        <v>25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8" customHeight="1" x14ac:dyDescent="0.3">
      <c r="A176" s="39">
        <v>172</v>
      </c>
      <c r="B176" s="40" t="s">
        <v>371</v>
      </c>
      <c r="C176" s="41" t="s">
        <v>372</v>
      </c>
      <c r="D176" s="39" t="s">
        <v>216</v>
      </c>
      <c r="E176" s="43">
        <v>46125</v>
      </c>
      <c r="F176" s="26" t="s">
        <v>23</v>
      </c>
      <c r="G176" s="26" t="s">
        <v>24</v>
      </c>
      <c r="H176" s="26" t="s">
        <v>25</v>
      </c>
      <c r="I176" s="26" t="s">
        <v>26</v>
      </c>
      <c r="J176" s="26" t="s">
        <v>24</v>
      </c>
      <c r="K176" s="27"/>
      <c r="L176" s="28" t="s">
        <v>25</v>
      </c>
      <c r="M176" s="29" t="str">
        <f t="shared" si="10"/>
        <v>✓ OK</v>
      </c>
      <c r="N176" s="43">
        <v>46139</v>
      </c>
      <c r="O176" s="26" t="s">
        <v>23</v>
      </c>
      <c r="P176" s="26" t="s">
        <v>24</v>
      </c>
      <c r="Q176" s="26" t="s">
        <v>25</v>
      </c>
      <c r="R176" s="26" t="s">
        <v>26</v>
      </c>
      <c r="S176" s="26" t="s">
        <v>24</v>
      </c>
      <c r="T176" s="27"/>
      <c r="U176" s="28" t="s">
        <v>25</v>
      </c>
      <c r="V176" s="29" t="str">
        <f t="shared" si="11"/>
        <v>✓ OK</v>
      </c>
      <c r="W176" s="45">
        <v>46248</v>
      </c>
      <c r="X176" s="30" t="s">
        <v>23</v>
      </c>
      <c r="Y176" s="30" t="s">
        <v>24</v>
      </c>
      <c r="Z176" s="30" t="s">
        <v>25</v>
      </c>
      <c r="AA176" s="30" t="s">
        <v>26</v>
      </c>
      <c r="AB176" s="30" t="s">
        <v>24</v>
      </c>
      <c r="AC176" s="27"/>
      <c r="AD176" s="31" t="s">
        <v>25</v>
      </c>
      <c r="AE176" s="32" t="str">
        <f t="shared" si="12"/>
        <v>✓ OK</v>
      </c>
      <c r="AF176" s="33" t="s">
        <v>27</v>
      </c>
      <c r="AG176" s="33" t="s">
        <v>23</v>
      </c>
      <c r="AH176" s="33" t="s">
        <v>24</v>
      </c>
      <c r="AI176" s="33" t="s">
        <v>25</v>
      </c>
      <c r="AJ176" s="33" t="s">
        <v>26</v>
      </c>
      <c r="AK176" s="33" t="s">
        <v>24</v>
      </c>
      <c r="AL176" s="27"/>
      <c r="AM176" s="34" t="s">
        <v>25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8" customHeight="1" x14ac:dyDescent="0.3">
      <c r="A177" s="23">
        <v>173</v>
      </c>
      <c r="B177" s="24" t="s">
        <v>373</v>
      </c>
      <c r="C177" s="25" t="s">
        <v>374</v>
      </c>
      <c r="D177" s="23" t="s">
        <v>216</v>
      </c>
      <c r="E177" s="43">
        <v>46125</v>
      </c>
      <c r="F177" s="26" t="s">
        <v>23</v>
      </c>
      <c r="G177" s="26" t="s">
        <v>24</v>
      </c>
      <c r="H177" s="26" t="s">
        <v>25</v>
      </c>
      <c r="I177" s="26" t="s">
        <v>26</v>
      </c>
      <c r="J177" s="26" t="s">
        <v>24</v>
      </c>
      <c r="K177" s="27"/>
      <c r="L177" s="28" t="s">
        <v>25</v>
      </c>
      <c r="M177" s="29" t="str">
        <f t="shared" si="10"/>
        <v>✓ OK</v>
      </c>
      <c r="N177" s="43">
        <v>46139</v>
      </c>
      <c r="O177" s="26" t="s">
        <v>23</v>
      </c>
      <c r="P177" s="26" t="s">
        <v>24</v>
      </c>
      <c r="Q177" s="26" t="s">
        <v>25</v>
      </c>
      <c r="R177" s="26" t="s">
        <v>26</v>
      </c>
      <c r="S177" s="26" t="s">
        <v>24</v>
      </c>
      <c r="T177" s="27"/>
      <c r="U177" s="28" t="s">
        <v>25</v>
      </c>
      <c r="V177" s="29" t="str">
        <f t="shared" si="11"/>
        <v>✓ OK</v>
      </c>
      <c r="W177" s="45">
        <v>46248</v>
      </c>
      <c r="X177" s="30" t="s">
        <v>23</v>
      </c>
      <c r="Y177" s="30" t="s">
        <v>24</v>
      </c>
      <c r="Z177" s="30" t="s">
        <v>25</v>
      </c>
      <c r="AA177" s="30" t="s">
        <v>26</v>
      </c>
      <c r="AB177" s="30" t="s">
        <v>24</v>
      </c>
      <c r="AC177" s="27"/>
      <c r="AD177" s="31" t="s">
        <v>25</v>
      </c>
      <c r="AE177" s="32" t="str">
        <f t="shared" si="12"/>
        <v>✓ OK</v>
      </c>
      <c r="AF177" s="33" t="s">
        <v>27</v>
      </c>
      <c r="AG177" s="33" t="s">
        <v>23</v>
      </c>
      <c r="AH177" s="33" t="s">
        <v>24</v>
      </c>
      <c r="AI177" s="33" t="s">
        <v>25</v>
      </c>
      <c r="AJ177" s="33" t="s">
        <v>26</v>
      </c>
      <c r="AK177" s="33" t="s">
        <v>24</v>
      </c>
      <c r="AL177" s="27"/>
      <c r="AM177" s="34" t="s">
        <v>25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8" customHeight="1" x14ac:dyDescent="0.3">
      <c r="A178" s="39">
        <v>174</v>
      </c>
      <c r="B178" s="40" t="s">
        <v>375</v>
      </c>
      <c r="C178" s="41" t="s">
        <v>376</v>
      </c>
      <c r="D178" s="39" t="s">
        <v>216</v>
      </c>
      <c r="E178" s="43">
        <v>46125</v>
      </c>
      <c r="F178" s="26" t="s">
        <v>23</v>
      </c>
      <c r="G178" s="26" t="s">
        <v>24</v>
      </c>
      <c r="H178" s="26" t="s">
        <v>25</v>
      </c>
      <c r="I178" s="26" t="s">
        <v>26</v>
      </c>
      <c r="J178" s="26" t="s">
        <v>24</v>
      </c>
      <c r="K178" s="27"/>
      <c r="L178" s="28" t="s">
        <v>25</v>
      </c>
      <c r="M178" s="29" t="str">
        <f t="shared" si="10"/>
        <v>✓ OK</v>
      </c>
      <c r="N178" s="43">
        <v>46139</v>
      </c>
      <c r="O178" s="26" t="s">
        <v>23</v>
      </c>
      <c r="P178" s="26" t="s">
        <v>24</v>
      </c>
      <c r="Q178" s="26" t="s">
        <v>25</v>
      </c>
      <c r="R178" s="26" t="s">
        <v>26</v>
      </c>
      <c r="S178" s="26" t="s">
        <v>24</v>
      </c>
      <c r="T178" s="27"/>
      <c r="U178" s="28" t="s">
        <v>25</v>
      </c>
      <c r="V178" s="29" t="str">
        <f t="shared" si="11"/>
        <v>✓ OK</v>
      </c>
      <c r="W178" s="45">
        <v>46248</v>
      </c>
      <c r="X178" s="30" t="s">
        <v>23</v>
      </c>
      <c r="Y178" s="30" t="s">
        <v>24</v>
      </c>
      <c r="Z178" s="30" t="s">
        <v>25</v>
      </c>
      <c r="AA178" s="30" t="s">
        <v>26</v>
      </c>
      <c r="AB178" s="30" t="s">
        <v>24</v>
      </c>
      <c r="AC178" s="27"/>
      <c r="AD178" s="31" t="s">
        <v>25</v>
      </c>
      <c r="AE178" s="32" t="str">
        <f t="shared" si="12"/>
        <v>✓ OK</v>
      </c>
      <c r="AF178" s="33" t="s">
        <v>27</v>
      </c>
      <c r="AG178" s="33" t="s">
        <v>23</v>
      </c>
      <c r="AH178" s="33" t="s">
        <v>24</v>
      </c>
      <c r="AI178" s="33" t="s">
        <v>25</v>
      </c>
      <c r="AJ178" s="33" t="s">
        <v>26</v>
      </c>
      <c r="AK178" s="33" t="s">
        <v>24</v>
      </c>
      <c r="AL178" s="27"/>
      <c r="AM178" s="34" t="s">
        <v>25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8" customHeight="1" x14ac:dyDescent="0.3">
      <c r="A179" s="23">
        <v>175</v>
      </c>
      <c r="B179" s="24" t="s">
        <v>377</v>
      </c>
      <c r="C179" s="25" t="s">
        <v>378</v>
      </c>
      <c r="D179" s="23" t="s">
        <v>216</v>
      </c>
      <c r="E179" s="43">
        <v>46125</v>
      </c>
      <c r="F179" s="26" t="s">
        <v>23</v>
      </c>
      <c r="G179" s="26" t="s">
        <v>24</v>
      </c>
      <c r="H179" s="26" t="s">
        <v>25</v>
      </c>
      <c r="I179" s="26" t="s">
        <v>26</v>
      </c>
      <c r="J179" s="26" t="s">
        <v>24</v>
      </c>
      <c r="K179" s="27"/>
      <c r="L179" s="28" t="s">
        <v>25</v>
      </c>
      <c r="M179" s="29" t="str">
        <f t="shared" si="10"/>
        <v>✓ OK</v>
      </c>
      <c r="N179" s="43">
        <v>46139</v>
      </c>
      <c r="O179" s="26" t="s">
        <v>23</v>
      </c>
      <c r="P179" s="26" t="s">
        <v>24</v>
      </c>
      <c r="Q179" s="26" t="s">
        <v>25</v>
      </c>
      <c r="R179" s="26" t="s">
        <v>26</v>
      </c>
      <c r="S179" s="26" t="s">
        <v>24</v>
      </c>
      <c r="T179" s="27"/>
      <c r="U179" s="28" t="s">
        <v>25</v>
      </c>
      <c r="V179" s="29" t="str">
        <f t="shared" si="11"/>
        <v>✓ OK</v>
      </c>
      <c r="W179" s="45">
        <v>46248</v>
      </c>
      <c r="X179" s="30" t="s">
        <v>23</v>
      </c>
      <c r="Y179" s="30" t="s">
        <v>24</v>
      </c>
      <c r="Z179" s="30" t="s">
        <v>25</v>
      </c>
      <c r="AA179" s="30" t="s">
        <v>26</v>
      </c>
      <c r="AB179" s="30" t="s">
        <v>24</v>
      </c>
      <c r="AC179" s="27"/>
      <c r="AD179" s="31" t="s">
        <v>25</v>
      </c>
      <c r="AE179" s="32" t="str">
        <f t="shared" si="12"/>
        <v>✓ OK</v>
      </c>
      <c r="AF179" s="33" t="s">
        <v>27</v>
      </c>
      <c r="AG179" s="33" t="s">
        <v>23</v>
      </c>
      <c r="AH179" s="33" t="s">
        <v>24</v>
      </c>
      <c r="AI179" s="33" t="s">
        <v>25</v>
      </c>
      <c r="AJ179" s="33" t="s">
        <v>26</v>
      </c>
      <c r="AK179" s="33" t="s">
        <v>24</v>
      </c>
      <c r="AL179" s="27"/>
      <c r="AM179" s="34" t="s">
        <v>25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8" customHeight="1" x14ac:dyDescent="0.3">
      <c r="A180" s="39">
        <v>176</v>
      </c>
      <c r="B180" s="40" t="s">
        <v>379</v>
      </c>
      <c r="C180" s="41" t="s">
        <v>380</v>
      </c>
      <c r="D180" s="39" t="s">
        <v>216</v>
      </c>
      <c r="E180" s="43">
        <v>46125</v>
      </c>
      <c r="F180" s="26" t="s">
        <v>23</v>
      </c>
      <c r="G180" s="26" t="s">
        <v>24</v>
      </c>
      <c r="H180" s="26" t="s">
        <v>25</v>
      </c>
      <c r="I180" s="26" t="s">
        <v>26</v>
      </c>
      <c r="J180" s="26" t="s">
        <v>24</v>
      </c>
      <c r="K180" s="27"/>
      <c r="L180" s="28" t="s">
        <v>25</v>
      </c>
      <c r="M180" s="29" t="str">
        <f t="shared" si="10"/>
        <v>✓ OK</v>
      </c>
      <c r="N180" s="43">
        <v>46139</v>
      </c>
      <c r="O180" s="26" t="s">
        <v>23</v>
      </c>
      <c r="P180" s="26" t="s">
        <v>24</v>
      </c>
      <c r="Q180" s="26" t="s">
        <v>25</v>
      </c>
      <c r="R180" s="26" t="s">
        <v>26</v>
      </c>
      <c r="S180" s="26" t="s">
        <v>24</v>
      </c>
      <c r="T180" s="27"/>
      <c r="U180" s="28" t="s">
        <v>25</v>
      </c>
      <c r="V180" s="29" t="str">
        <f t="shared" si="11"/>
        <v>✓ OK</v>
      </c>
      <c r="W180" s="45">
        <v>46248</v>
      </c>
      <c r="X180" s="30" t="s">
        <v>23</v>
      </c>
      <c r="Y180" s="30" t="s">
        <v>24</v>
      </c>
      <c r="Z180" s="30" t="s">
        <v>25</v>
      </c>
      <c r="AA180" s="30" t="s">
        <v>26</v>
      </c>
      <c r="AB180" s="30" t="s">
        <v>24</v>
      </c>
      <c r="AC180" s="27"/>
      <c r="AD180" s="31" t="s">
        <v>25</v>
      </c>
      <c r="AE180" s="32" t="str">
        <f t="shared" si="12"/>
        <v>✓ OK</v>
      </c>
      <c r="AF180" s="33" t="s">
        <v>27</v>
      </c>
      <c r="AG180" s="33" t="s">
        <v>23</v>
      </c>
      <c r="AH180" s="33" t="s">
        <v>24</v>
      </c>
      <c r="AI180" s="33" t="s">
        <v>25</v>
      </c>
      <c r="AJ180" s="33" t="s">
        <v>26</v>
      </c>
      <c r="AK180" s="33" t="s">
        <v>24</v>
      </c>
      <c r="AL180" s="27"/>
      <c r="AM180" s="34" t="s">
        <v>25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8" customHeight="1" x14ac:dyDescent="0.3">
      <c r="A181" s="23">
        <v>177</v>
      </c>
      <c r="B181" s="24" t="s">
        <v>381</v>
      </c>
      <c r="C181" s="25" t="s">
        <v>382</v>
      </c>
      <c r="D181" s="23" t="s">
        <v>216</v>
      </c>
      <c r="E181" s="43">
        <v>46125</v>
      </c>
      <c r="F181" s="26" t="s">
        <v>23</v>
      </c>
      <c r="G181" s="26" t="s">
        <v>24</v>
      </c>
      <c r="H181" s="26" t="s">
        <v>25</v>
      </c>
      <c r="I181" s="26" t="s">
        <v>26</v>
      </c>
      <c r="J181" s="26" t="s">
        <v>24</v>
      </c>
      <c r="K181" s="27"/>
      <c r="L181" s="28" t="s">
        <v>25</v>
      </c>
      <c r="M181" s="29" t="str">
        <f t="shared" si="10"/>
        <v>✓ OK</v>
      </c>
      <c r="N181" s="43">
        <v>46139</v>
      </c>
      <c r="O181" s="26" t="s">
        <v>23</v>
      </c>
      <c r="P181" s="26" t="s">
        <v>24</v>
      </c>
      <c r="Q181" s="26" t="s">
        <v>25</v>
      </c>
      <c r="R181" s="26" t="s">
        <v>26</v>
      </c>
      <c r="S181" s="26" t="s">
        <v>24</v>
      </c>
      <c r="T181" s="27"/>
      <c r="U181" s="28" t="s">
        <v>25</v>
      </c>
      <c r="V181" s="29" t="str">
        <f t="shared" si="11"/>
        <v>✓ OK</v>
      </c>
      <c r="W181" s="45">
        <v>46248</v>
      </c>
      <c r="X181" s="30" t="s">
        <v>23</v>
      </c>
      <c r="Y181" s="30" t="s">
        <v>24</v>
      </c>
      <c r="Z181" s="30" t="s">
        <v>25</v>
      </c>
      <c r="AA181" s="30" t="s">
        <v>26</v>
      </c>
      <c r="AB181" s="30" t="s">
        <v>24</v>
      </c>
      <c r="AC181" s="27"/>
      <c r="AD181" s="31" t="s">
        <v>25</v>
      </c>
      <c r="AE181" s="32" t="str">
        <f t="shared" si="12"/>
        <v>✓ OK</v>
      </c>
      <c r="AF181" s="33" t="s">
        <v>27</v>
      </c>
      <c r="AG181" s="33" t="s">
        <v>23</v>
      </c>
      <c r="AH181" s="33" t="s">
        <v>24</v>
      </c>
      <c r="AI181" s="33" t="s">
        <v>25</v>
      </c>
      <c r="AJ181" s="33" t="s">
        <v>26</v>
      </c>
      <c r="AK181" s="33" t="s">
        <v>24</v>
      </c>
      <c r="AL181" s="27"/>
      <c r="AM181" s="34" t="s">
        <v>25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8" customHeight="1" x14ac:dyDescent="0.3">
      <c r="A182" s="39">
        <v>178</v>
      </c>
      <c r="B182" s="40" t="s">
        <v>383</v>
      </c>
      <c r="C182" s="41" t="s">
        <v>384</v>
      </c>
      <c r="D182" s="39" t="s">
        <v>216</v>
      </c>
      <c r="E182" s="43">
        <v>46125</v>
      </c>
      <c r="F182" s="26" t="s">
        <v>23</v>
      </c>
      <c r="G182" s="26" t="s">
        <v>24</v>
      </c>
      <c r="H182" s="26" t="s">
        <v>25</v>
      </c>
      <c r="I182" s="26" t="s">
        <v>26</v>
      </c>
      <c r="J182" s="26" t="s">
        <v>24</v>
      </c>
      <c r="K182" s="27"/>
      <c r="L182" s="28" t="s">
        <v>25</v>
      </c>
      <c r="M182" s="29" t="str">
        <f t="shared" si="10"/>
        <v>✓ OK</v>
      </c>
      <c r="N182" s="43">
        <v>46139</v>
      </c>
      <c r="O182" s="26" t="s">
        <v>23</v>
      </c>
      <c r="P182" s="26" t="s">
        <v>24</v>
      </c>
      <c r="Q182" s="26" t="s">
        <v>25</v>
      </c>
      <c r="R182" s="26" t="s">
        <v>26</v>
      </c>
      <c r="S182" s="26" t="s">
        <v>24</v>
      </c>
      <c r="T182" s="27"/>
      <c r="U182" s="28" t="s">
        <v>25</v>
      </c>
      <c r="V182" s="29" t="str">
        <f t="shared" si="11"/>
        <v>✓ OK</v>
      </c>
      <c r="W182" s="45">
        <v>46248</v>
      </c>
      <c r="X182" s="30" t="s">
        <v>23</v>
      </c>
      <c r="Y182" s="30" t="s">
        <v>24</v>
      </c>
      <c r="Z182" s="30" t="s">
        <v>25</v>
      </c>
      <c r="AA182" s="30" t="s">
        <v>26</v>
      </c>
      <c r="AB182" s="30" t="s">
        <v>24</v>
      </c>
      <c r="AC182" s="27"/>
      <c r="AD182" s="31" t="s">
        <v>25</v>
      </c>
      <c r="AE182" s="32" t="str">
        <f t="shared" si="12"/>
        <v>✓ OK</v>
      </c>
      <c r="AF182" s="33" t="s">
        <v>27</v>
      </c>
      <c r="AG182" s="33" t="s">
        <v>23</v>
      </c>
      <c r="AH182" s="33" t="s">
        <v>24</v>
      </c>
      <c r="AI182" s="33" t="s">
        <v>25</v>
      </c>
      <c r="AJ182" s="33" t="s">
        <v>26</v>
      </c>
      <c r="AK182" s="33" t="s">
        <v>24</v>
      </c>
      <c r="AL182" s="27"/>
      <c r="AM182" s="34" t="s">
        <v>25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8" customHeight="1" x14ac:dyDescent="0.3">
      <c r="A183" s="23">
        <v>179</v>
      </c>
      <c r="B183" s="24" t="s">
        <v>385</v>
      </c>
      <c r="C183" s="25" t="s">
        <v>386</v>
      </c>
      <c r="D183" s="23" t="s">
        <v>216</v>
      </c>
      <c r="E183" s="43">
        <v>46125</v>
      </c>
      <c r="F183" s="26" t="s">
        <v>23</v>
      </c>
      <c r="G183" s="26" t="s">
        <v>24</v>
      </c>
      <c r="H183" s="26" t="s">
        <v>25</v>
      </c>
      <c r="I183" s="26" t="s">
        <v>26</v>
      </c>
      <c r="J183" s="26" t="s">
        <v>24</v>
      </c>
      <c r="K183" s="27"/>
      <c r="L183" s="28" t="s">
        <v>25</v>
      </c>
      <c r="M183" s="29" t="str">
        <f t="shared" si="10"/>
        <v>✓ OK</v>
      </c>
      <c r="N183" s="43">
        <v>46139</v>
      </c>
      <c r="O183" s="26" t="s">
        <v>23</v>
      </c>
      <c r="P183" s="26" t="s">
        <v>24</v>
      </c>
      <c r="Q183" s="26" t="s">
        <v>25</v>
      </c>
      <c r="R183" s="26" t="s">
        <v>26</v>
      </c>
      <c r="S183" s="26" t="s">
        <v>24</v>
      </c>
      <c r="T183" s="27"/>
      <c r="U183" s="28" t="s">
        <v>25</v>
      </c>
      <c r="V183" s="29" t="str">
        <f t="shared" si="11"/>
        <v>✓ OK</v>
      </c>
      <c r="W183" s="45">
        <v>46248</v>
      </c>
      <c r="X183" s="30" t="s">
        <v>23</v>
      </c>
      <c r="Y183" s="30" t="s">
        <v>24</v>
      </c>
      <c r="Z183" s="30" t="s">
        <v>25</v>
      </c>
      <c r="AA183" s="30" t="s">
        <v>26</v>
      </c>
      <c r="AB183" s="30" t="s">
        <v>24</v>
      </c>
      <c r="AC183" s="27"/>
      <c r="AD183" s="31" t="s">
        <v>25</v>
      </c>
      <c r="AE183" s="32" t="str">
        <f t="shared" si="12"/>
        <v>✓ OK</v>
      </c>
      <c r="AF183" s="33" t="s">
        <v>27</v>
      </c>
      <c r="AG183" s="33" t="s">
        <v>23</v>
      </c>
      <c r="AH183" s="33" t="s">
        <v>24</v>
      </c>
      <c r="AI183" s="33" t="s">
        <v>25</v>
      </c>
      <c r="AJ183" s="33" t="s">
        <v>26</v>
      </c>
      <c r="AK183" s="33" t="s">
        <v>24</v>
      </c>
      <c r="AL183" s="27"/>
      <c r="AM183" s="34" t="s">
        <v>25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8" customHeight="1" x14ac:dyDescent="0.3">
      <c r="A184" s="39">
        <v>180</v>
      </c>
      <c r="B184" s="40" t="s">
        <v>387</v>
      </c>
      <c r="C184" s="41" t="s">
        <v>388</v>
      </c>
      <c r="D184" s="39" t="s">
        <v>216</v>
      </c>
      <c r="E184" s="43">
        <v>46125</v>
      </c>
      <c r="F184" s="26" t="s">
        <v>23</v>
      </c>
      <c r="G184" s="26" t="s">
        <v>24</v>
      </c>
      <c r="H184" s="26" t="s">
        <v>25</v>
      </c>
      <c r="I184" s="26" t="s">
        <v>26</v>
      </c>
      <c r="J184" s="26" t="s">
        <v>24</v>
      </c>
      <c r="K184" s="27"/>
      <c r="L184" s="28" t="s">
        <v>25</v>
      </c>
      <c r="M184" s="29" t="str">
        <f t="shared" si="10"/>
        <v>✓ OK</v>
      </c>
      <c r="N184" s="43">
        <v>46139</v>
      </c>
      <c r="O184" s="26" t="s">
        <v>23</v>
      </c>
      <c r="P184" s="26" t="s">
        <v>24</v>
      </c>
      <c r="Q184" s="26" t="s">
        <v>25</v>
      </c>
      <c r="R184" s="26" t="s">
        <v>26</v>
      </c>
      <c r="S184" s="26" t="s">
        <v>24</v>
      </c>
      <c r="T184" s="27"/>
      <c r="U184" s="28" t="s">
        <v>25</v>
      </c>
      <c r="V184" s="29" t="str">
        <f t="shared" si="11"/>
        <v>✓ OK</v>
      </c>
      <c r="W184" s="45">
        <v>46248</v>
      </c>
      <c r="X184" s="30" t="s">
        <v>23</v>
      </c>
      <c r="Y184" s="30" t="s">
        <v>24</v>
      </c>
      <c r="Z184" s="30" t="s">
        <v>25</v>
      </c>
      <c r="AA184" s="30" t="s">
        <v>26</v>
      </c>
      <c r="AB184" s="30" t="s">
        <v>24</v>
      </c>
      <c r="AC184" s="27"/>
      <c r="AD184" s="31" t="s">
        <v>25</v>
      </c>
      <c r="AE184" s="32" t="str">
        <f t="shared" si="12"/>
        <v>✓ OK</v>
      </c>
      <c r="AF184" s="33" t="s">
        <v>27</v>
      </c>
      <c r="AG184" s="33" t="s">
        <v>23</v>
      </c>
      <c r="AH184" s="33" t="s">
        <v>24</v>
      </c>
      <c r="AI184" s="33" t="s">
        <v>25</v>
      </c>
      <c r="AJ184" s="33" t="s">
        <v>26</v>
      </c>
      <c r="AK184" s="33" t="s">
        <v>24</v>
      </c>
      <c r="AL184" s="27"/>
      <c r="AM184" s="34" t="s">
        <v>25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8" customHeight="1" x14ac:dyDescent="0.3">
      <c r="A185" s="23">
        <v>181</v>
      </c>
      <c r="B185" s="24" t="s">
        <v>389</v>
      </c>
      <c r="C185" s="25" t="s">
        <v>390</v>
      </c>
      <c r="D185" s="23" t="s">
        <v>216</v>
      </c>
      <c r="E185" s="43">
        <v>46125</v>
      </c>
      <c r="F185" s="26" t="s">
        <v>23</v>
      </c>
      <c r="G185" s="26" t="s">
        <v>24</v>
      </c>
      <c r="H185" s="26" t="s">
        <v>25</v>
      </c>
      <c r="I185" s="26" t="s">
        <v>26</v>
      </c>
      <c r="J185" s="26" t="s">
        <v>24</v>
      </c>
      <c r="K185" s="27"/>
      <c r="L185" s="28" t="s">
        <v>25</v>
      </c>
      <c r="M185" s="29" t="str">
        <f t="shared" si="10"/>
        <v>✓ OK</v>
      </c>
      <c r="N185" s="43">
        <v>46139</v>
      </c>
      <c r="O185" s="26" t="s">
        <v>23</v>
      </c>
      <c r="P185" s="26" t="s">
        <v>24</v>
      </c>
      <c r="Q185" s="26" t="s">
        <v>25</v>
      </c>
      <c r="R185" s="26" t="s">
        <v>26</v>
      </c>
      <c r="S185" s="26" t="s">
        <v>24</v>
      </c>
      <c r="T185" s="27"/>
      <c r="U185" s="28" t="s">
        <v>25</v>
      </c>
      <c r="V185" s="29" t="str">
        <f t="shared" si="11"/>
        <v>✓ OK</v>
      </c>
      <c r="W185" s="45">
        <v>46248</v>
      </c>
      <c r="X185" s="30" t="s">
        <v>23</v>
      </c>
      <c r="Y185" s="30" t="s">
        <v>24</v>
      </c>
      <c r="Z185" s="30" t="s">
        <v>25</v>
      </c>
      <c r="AA185" s="30" t="s">
        <v>26</v>
      </c>
      <c r="AB185" s="30" t="s">
        <v>24</v>
      </c>
      <c r="AC185" s="27"/>
      <c r="AD185" s="31" t="s">
        <v>25</v>
      </c>
      <c r="AE185" s="32" t="str">
        <f t="shared" si="12"/>
        <v>✓ OK</v>
      </c>
      <c r="AF185" s="33" t="s">
        <v>27</v>
      </c>
      <c r="AG185" s="33" t="s">
        <v>23</v>
      </c>
      <c r="AH185" s="33" t="s">
        <v>24</v>
      </c>
      <c r="AI185" s="33" t="s">
        <v>25</v>
      </c>
      <c r="AJ185" s="33" t="s">
        <v>26</v>
      </c>
      <c r="AK185" s="33" t="s">
        <v>24</v>
      </c>
      <c r="AL185" s="27"/>
      <c r="AM185" s="34" t="s">
        <v>25</v>
      </c>
      <c r="AN185" s="35" t="str">
        <f t="shared" si="13"/>
        <v>✓ OK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8" customHeight="1" x14ac:dyDescent="0.3">
      <c r="A186" s="39">
        <v>182</v>
      </c>
      <c r="B186" s="40" t="s">
        <v>391</v>
      </c>
      <c r="C186" s="41" t="s">
        <v>392</v>
      </c>
      <c r="D186" s="39" t="s">
        <v>216</v>
      </c>
      <c r="E186" s="43">
        <v>46125</v>
      </c>
      <c r="F186" s="26" t="s">
        <v>23</v>
      </c>
      <c r="G186" s="26" t="s">
        <v>24</v>
      </c>
      <c r="H186" s="26" t="s">
        <v>25</v>
      </c>
      <c r="I186" s="26" t="s">
        <v>26</v>
      </c>
      <c r="J186" s="26" t="s">
        <v>24</v>
      </c>
      <c r="K186" s="27"/>
      <c r="L186" s="28" t="s">
        <v>25</v>
      </c>
      <c r="M186" s="29" t="str">
        <f t="shared" si="10"/>
        <v>✓ OK</v>
      </c>
      <c r="N186" s="43">
        <v>46139</v>
      </c>
      <c r="O186" s="26" t="s">
        <v>23</v>
      </c>
      <c r="P186" s="26" t="s">
        <v>24</v>
      </c>
      <c r="Q186" s="26" t="s">
        <v>25</v>
      </c>
      <c r="R186" s="26" t="s">
        <v>26</v>
      </c>
      <c r="S186" s="26" t="s">
        <v>24</v>
      </c>
      <c r="T186" s="27"/>
      <c r="U186" s="28" t="s">
        <v>25</v>
      </c>
      <c r="V186" s="29" t="str">
        <f t="shared" si="11"/>
        <v>✓ OK</v>
      </c>
      <c r="W186" s="45">
        <v>46248</v>
      </c>
      <c r="X186" s="30" t="s">
        <v>23</v>
      </c>
      <c r="Y186" s="30" t="s">
        <v>24</v>
      </c>
      <c r="Z186" s="30" t="s">
        <v>25</v>
      </c>
      <c r="AA186" s="30" t="s">
        <v>26</v>
      </c>
      <c r="AB186" s="30" t="s">
        <v>24</v>
      </c>
      <c r="AC186" s="27"/>
      <c r="AD186" s="31" t="s">
        <v>25</v>
      </c>
      <c r="AE186" s="32" t="str">
        <f t="shared" si="12"/>
        <v>✓ OK</v>
      </c>
      <c r="AF186" s="33" t="s">
        <v>27</v>
      </c>
      <c r="AG186" s="33" t="s">
        <v>23</v>
      </c>
      <c r="AH186" s="33" t="s">
        <v>24</v>
      </c>
      <c r="AI186" s="33" t="s">
        <v>25</v>
      </c>
      <c r="AJ186" s="33" t="s">
        <v>26</v>
      </c>
      <c r="AK186" s="33" t="s">
        <v>24</v>
      </c>
      <c r="AL186" s="27"/>
      <c r="AM186" s="34" t="s">
        <v>25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8" customHeight="1" x14ac:dyDescent="0.3">
      <c r="A187" s="23">
        <v>183</v>
      </c>
      <c r="B187" s="24" t="s">
        <v>393</v>
      </c>
      <c r="C187" s="25" t="s">
        <v>394</v>
      </c>
      <c r="D187" s="23" t="s">
        <v>216</v>
      </c>
      <c r="E187" s="43">
        <v>46125</v>
      </c>
      <c r="F187" s="26" t="s">
        <v>23</v>
      </c>
      <c r="G187" s="26" t="s">
        <v>24</v>
      </c>
      <c r="H187" s="26" t="s">
        <v>25</v>
      </c>
      <c r="I187" s="26" t="s">
        <v>26</v>
      </c>
      <c r="J187" s="26" t="s">
        <v>24</v>
      </c>
      <c r="K187" s="27"/>
      <c r="L187" s="28" t="s">
        <v>25</v>
      </c>
      <c r="M187" s="29" t="str">
        <f t="shared" si="10"/>
        <v>✓ OK</v>
      </c>
      <c r="N187" s="43">
        <v>46139</v>
      </c>
      <c r="O187" s="26" t="s">
        <v>23</v>
      </c>
      <c r="P187" s="26" t="s">
        <v>24</v>
      </c>
      <c r="Q187" s="26" t="s">
        <v>25</v>
      </c>
      <c r="R187" s="26" t="s">
        <v>26</v>
      </c>
      <c r="S187" s="26" t="s">
        <v>24</v>
      </c>
      <c r="T187" s="27"/>
      <c r="U187" s="28" t="s">
        <v>25</v>
      </c>
      <c r="V187" s="29" t="str">
        <f t="shared" si="11"/>
        <v>✓ OK</v>
      </c>
      <c r="W187" s="45">
        <v>46248</v>
      </c>
      <c r="X187" s="30" t="s">
        <v>23</v>
      </c>
      <c r="Y187" s="30" t="s">
        <v>24</v>
      </c>
      <c r="Z187" s="30" t="s">
        <v>25</v>
      </c>
      <c r="AA187" s="30" t="s">
        <v>26</v>
      </c>
      <c r="AB187" s="30" t="s">
        <v>24</v>
      </c>
      <c r="AC187" s="27"/>
      <c r="AD187" s="31" t="s">
        <v>25</v>
      </c>
      <c r="AE187" s="32" t="str">
        <f t="shared" si="12"/>
        <v>✓ OK</v>
      </c>
      <c r="AF187" s="33" t="s">
        <v>27</v>
      </c>
      <c r="AG187" s="33" t="s">
        <v>23</v>
      </c>
      <c r="AH187" s="33" t="s">
        <v>24</v>
      </c>
      <c r="AI187" s="33" t="s">
        <v>25</v>
      </c>
      <c r="AJ187" s="33" t="s">
        <v>26</v>
      </c>
      <c r="AK187" s="33" t="s">
        <v>24</v>
      </c>
      <c r="AL187" s="27"/>
      <c r="AM187" s="34" t="s">
        <v>25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8" customHeight="1" x14ac:dyDescent="0.3">
      <c r="A188" s="39">
        <v>184</v>
      </c>
      <c r="B188" s="40" t="s">
        <v>395</v>
      </c>
      <c r="C188" s="41" t="s">
        <v>396</v>
      </c>
      <c r="D188" s="39" t="s">
        <v>216</v>
      </c>
      <c r="E188" s="43">
        <v>46125</v>
      </c>
      <c r="F188" s="26" t="s">
        <v>23</v>
      </c>
      <c r="G188" s="26" t="s">
        <v>24</v>
      </c>
      <c r="H188" s="26" t="s">
        <v>25</v>
      </c>
      <c r="I188" s="26" t="s">
        <v>26</v>
      </c>
      <c r="J188" s="26" t="s">
        <v>24</v>
      </c>
      <c r="K188" s="27"/>
      <c r="L188" s="28" t="s">
        <v>25</v>
      </c>
      <c r="M188" s="29" t="str">
        <f t="shared" si="10"/>
        <v>✓ OK</v>
      </c>
      <c r="N188" s="43">
        <v>46139</v>
      </c>
      <c r="O188" s="26" t="s">
        <v>23</v>
      </c>
      <c r="P188" s="26" t="s">
        <v>24</v>
      </c>
      <c r="Q188" s="26" t="s">
        <v>25</v>
      </c>
      <c r="R188" s="26" t="s">
        <v>26</v>
      </c>
      <c r="S188" s="26" t="s">
        <v>24</v>
      </c>
      <c r="T188" s="27"/>
      <c r="U188" s="28" t="s">
        <v>25</v>
      </c>
      <c r="V188" s="29" t="str">
        <f t="shared" si="11"/>
        <v>✓ OK</v>
      </c>
      <c r="W188" s="45">
        <v>46248</v>
      </c>
      <c r="X188" s="30" t="s">
        <v>23</v>
      </c>
      <c r="Y188" s="30" t="s">
        <v>24</v>
      </c>
      <c r="Z188" s="30" t="s">
        <v>25</v>
      </c>
      <c r="AA188" s="30" t="s">
        <v>26</v>
      </c>
      <c r="AB188" s="30" t="s">
        <v>24</v>
      </c>
      <c r="AC188" s="27"/>
      <c r="AD188" s="31" t="s">
        <v>25</v>
      </c>
      <c r="AE188" s="32" t="str">
        <f t="shared" si="12"/>
        <v>✓ OK</v>
      </c>
      <c r="AF188" s="33" t="s">
        <v>27</v>
      </c>
      <c r="AG188" s="33" t="s">
        <v>23</v>
      </c>
      <c r="AH188" s="33" t="s">
        <v>24</v>
      </c>
      <c r="AI188" s="33" t="s">
        <v>25</v>
      </c>
      <c r="AJ188" s="33" t="s">
        <v>26</v>
      </c>
      <c r="AK188" s="33" t="s">
        <v>24</v>
      </c>
      <c r="AL188" s="27"/>
      <c r="AM188" s="34" t="s">
        <v>25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8" customHeight="1" x14ac:dyDescent="0.3">
      <c r="A189" s="23">
        <v>185</v>
      </c>
      <c r="B189" s="24" t="s">
        <v>397</v>
      </c>
      <c r="C189" s="25" t="s">
        <v>398</v>
      </c>
      <c r="D189" s="23" t="s">
        <v>216</v>
      </c>
      <c r="E189" s="43">
        <v>46125</v>
      </c>
      <c r="F189" s="26" t="s">
        <v>23</v>
      </c>
      <c r="G189" s="26" t="s">
        <v>24</v>
      </c>
      <c r="H189" s="26" t="s">
        <v>25</v>
      </c>
      <c r="I189" s="26" t="s">
        <v>26</v>
      </c>
      <c r="J189" s="26" t="s">
        <v>24</v>
      </c>
      <c r="K189" s="27"/>
      <c r="L189" s="28" t="s">
        <v>25</v>
      </c>
      <c r="M189" s="29" t="str">
        <f t="shared" si="10"/>
        <v>✓ OK</v>
      </c>
      <c r="N189" s="43">
        <v>46139</v>
      </c>
      <c r="O189" s="26" t="s">
        <v>23</v>
      </c>
      <c r="P189" s="26" t="s">
        <v>24</v>
      </c>
      <c r="Q189" s="26" t="s">
        <v>25</v>
      </c>
      <c r="R189" s="26" t="s">
        <v>26</v>
      </c>
      <c r="S189" s="26" t="s">
        <v>24</v>
      </c>
      <c r="T189" s="27"/>
      <c r="U189" s="28" t="s">
        <v>25</v>
      </c>
      <c r="V189" s="29" t="str">
        <f t="shared" si="11"/>
        <v>✓ OK</v>
      </c>
      <c r="W189" s="45">
        <v>46248</v>
      </c>
      <c r="X189" s="30" t="s">
        <v>23</v>
      </c>
      <c r="Y189" s="30" t="s">
        <v>24</v>
      </c>
      <c r="Z189" s="30" t="s">
        <v>25</v>
      </c>
      <c r="AA189" s="30" t="s">
        <v>26</v>
      </c>
      <c r="AB189" s="30" t="s">
        <v>24</v>
      </c>
      <c r="AC189" s="27"/>
      <c r="AD189" s="31" t="s">
        <v>25</v>
      </c>
      <c r="AE189" s="32" t="str">
        <f t="shared" si="12"/>
        <v>✓ OK</v>
      </c>
      <c r="AF189" s="33" t="s">
        <v>27</v>
      </c>
      <c r="AG189" s="33" t="s">
        <v>23</v>
      </c>
      <c r="AH189" s="33" t="s">
        <v>24</v>
      </c>
      <c r="AI189" s="33" t="s">
        <v>25</v>
      </c>
      <c r="AJ189" s="33" t="s">
        <v>26</v>
      </c>
      <c r="AK189" s="33" t="s">
        <v>24</v>
      </c>
      <c r="AL189" s="27"/>
      <c r="AM189" s="34" t="s">
        <v>25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8" customHeight="1" x14ac:dyDescent="0.3">
      <c r="A190" s="39">
        <v>186</v>
      </c>
      <c r="B190" s="40" t="s">
        <v>399</v>
      </c>
      <c r="C190" s="41" t="s">
        <v>400</v>
      </c>
      <c r="D190" s="39" t="s">
        <v>216</v>
      </c>
      <c r="E190" s="43">
        <v>46125</v>
      </c>
      <c r="F190" s="26" t="s">
        <v>23</v>
      </c>
      <c r="G190" s="26" t="s">
        <v>24</v>
      </c>
      <c r="H190" s="26" t="s">
        <v>25</v>
      </c>
      <c r="I190" s="26" t="s">
        <v>26</v>
      </c>
      <c r="J190" s="26" t="s">
        <v>24</v>
      </c>
      <c r="K190" s="27"/>
      <c r="L190" s="28" t="s">
        <v>25</v>
      </c>
      <c r="M190" s="29" t="str">
        <f t="shared" si="10"/>
        <v>✓ OK</v>
      </c>
      <c r="N190" s="43">
        <v>46139</v>
      </c>
      <c r="O190" s="26" t="s">
        <v>23</v>
      </c>
      <c r="P190" s="26" t="s">
        <v>24</v>
      </c>
      <c r="Q190" s="26" t="s">
        <v>25</v>
      </c>
      <c r="R190" s="26" t="s">
        <v>26</v>
      </c>
      <c r="S190" s="26" t="s">
        <v>24</v>
      </c>
      <c r="T190" s="27"/>
      <c r="U190" s="28" t="s">
        <v>25</v>
      </c>
      <c r="V190" s="29" t="str">
        <f t="shared" si="11"/>
        <v>✓ OK</v>
      </c>
      <c r="W190" s="45">
        <v>46248</v>
      </c>
      <c r="X190" s="30" t="s">
        <v>23</v>
      </c>
      <c r="Y190" s="30" t="s">
        <v>24</v>
      </c>
      <c r="Z190" s="30" t="s">
        <v>25</v>
      </c>
      <c r="AA190" s="30" t="s">
        <v>26</v>
      </c>
      <c r="AB190" s="30" t="s">
        <v>24</v>
      </c>
      <c r="AC190" s="27"/>
      <c r="AD190" s="31" t="s">
        <v>25</v>
      </c>
      <c r="AE190" s="32" t="str">
        <f t="shared" si="12"/>
        <v>✓ OK</v>
      </c>
      <c r="AF190" s="33" t="s">
        <v>27</v>
      </c>
      <c r="AG190" s="33" t="s">
        <v>23</v>
      </c>
      <c r="AH190" s="33" t="s">
        <v>24</v>
      </c>
      <c r="AI190" s="33" t="s">
        <v>25</v>
      </c>
      <c r="AJ190" s="33" t="s">
        <v>26</v>
      </c>
      <c r="AK190" s="33" t="s">
        <v>24</v>
      </c>
      <c r="AL190" s="27"/>
      <c r="AM190" s="34" t="s">
        <v>25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8" customHeight="1" x14ac:dyDescent="0.3">
      <c r="A191" s="23">
        <v>187</v>
      </c>
      <c r="B191" s="24" t="s">
        <v>401</v>
      </c>
      <c r="C191" s="25" t="s">
        <v>402</v>
      </c>
      <c r="D191" s="23" t="s">
        <v>216</v>
      </c>
      <c r="E191" s="43">
        <v>46125</v>
      </c>
      <c r="F191" s="26" t="s">
        <v>23</v>
      </c>
      <c r="G191" s="26" t="s">
        <v>24</v>
      </c>
      <c r="H191" s="26" t="s">
        <v>25</v>
      </c>
      <c r="I191" s="26" t="s">
        <v>26</v>
      </c>
      <c r="J191" s="26" t="s">
        <v>24</v>
      </c>
      <c r="K191" s="27"/>
      <c r="L191" s="28" t="s">
        <v>25</v>
      </c>
      <c r="M191" s="29" t="str">
        <f t="shared" si="10"/>
        <v>✓ OK</v>
      </c>
      <c r="N191" s="43">
        <v>46139</v>
      </c>
      <c r="O191" s="26" t="s">
        <v>23</v>
      </c>
      <c r="P191" s="26" t="s">
        <v>24</v>
      </c>
      <c r="Q191" s="26" t="s">
        <v>25</v>
      </c>
      <c r="R191" s="26" t="s">
        <v>26</v>
      </c>
      <c r="S191" s="26" t="s">
        <v>24</v>
      </c>
      <c r="T191" s="27"/>
      <c r="U191" s="28" t="s">
        <v>25</v>
      </c>
      <c r="V191" s="29" t="str">
        <f t="shared" si="11"/>
        <v>✓ OK</v>
      </c>
      <c r="W191" s="45">
        <v>46248</v>
      </c>
      <c r="X191" s="30" t="s">
        <v>23</v>
      </c>
      <c r="Y191" s="30" t="s">
        <v>24</v>
      </c>
      <c r="Z191" s="30" t="s">
        <v>25</v>
      </c>
      <c r="AA191" s="30" t="s">
        <v>26</v>
      </c>
      <c r="AB191" s="30" t="s">
        <v>24</v>
      </c>
      <c r="AC191" s="27"/>
      <c r="AD191" s="31" t="s">
        <v>25</v>
      </c>
      <c r="AE191" s="32" t="str">
        <f t="shared" si="12"/>
        <v>✓ OK</v>
      </c>
      <c r="AF191" s="33" t="s">
        <v>27</v>
      </c>
      <c r="AG191" s="33" t="s">
        <v>23</v>
      </c>
      <c r="AH191" s="33" t="s">
        <v>24</v>
      </c>
      <c r="AI191" s="33" t="s">
        <v>25</v>
      </c>
      <c r="AJ191" s="33" t="s">
        <v>26</v>
      </c>
      <c r="AK191" s="33" t="s">
        <v>24</v>
      </c>
      <c r="AL191" s="27"/>
      <c r="AM191" s="34" t="s">
        <v>25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8" customHeight="1" x14ac:dyDescent="0.3">
      <c r="A192" s="39">
        <v>188</v>
      </c>
      <c r="B192" s="40" t="s">
        <v>403</v>
      </c>
      <c r="C192" s="41" t="s">
        <v>404</v>
      </c>
      <c r="D192" s="39" t="s">
        <v>216</v>
      </c>
      <c r="E192" s="43">
        <v>46125</v>
      </c>
      <c r="F192" s="26" t="s">
        <v>23</v>
      </c>
      <c r="G192" s="26" t="s">
        <v>24</v>
      </c>
      <c r="H192" s="26" t="s">
        <v>25</v>
      </c>
      <c r="I192" s="26" t="s">
        <v>26</v>
      </c>
      <c r="J192" s="26" t="s">
        <v>24</v>
      </c>
      <c r="K192" s="27"/>
      <c r="L192" s="28" t="s">
        <v>25</v>
      </c>
      <c r="M192" s="29" t="str">
        <f t="shared" si="10"/>
        <v>✓ OK</v>
      </c>
      <c r="N192" s="43">
        <v>46139</v>
      </c>
      <c r="O192" s="26" t="s">
        <v>23</v>
      </c>
      <c r="P192" s="26" t="s">
        <v>24</v>
      </c>
      <c r="Q192" s="26" t="s">
        <v>25</v>
      </c>
      <c r="R192" s="26" t="s">
        <v>26</v>
      </c>
      <c r="S192" s="26" t="s">
        <v>24</v>
      </c>
      <c r="T192" s="27"/>
      <c r="U192" s="28" t="s">
        <v>25</v>
      </c>
      <c r="V192" s="29" t="str">
        <f t="shared" si="11"/>
        <v>✓ OK</v>
      </c>
      <c r="W192" s="45">
        <v>46248</v>
      </c>
      <c r="X192" s="30" t="s">
        <v>23</v>
      </c>
      <c r="Y192" s="30" t="s">
        <v>24</v>
      </c>
      <c r="Z192" s="30" t="s">
        <v>25</v>
      </c>
      <c r="AA192" s="30" t="s">
        <v>26</v>
      </c>
      <c r="AB192" s="30" t="s">
        <v>24</v>
      </c>
      <c r="AC192" s="27"/>
      <c r="AD192" s="31" t="s">
        <v>25</v>
      </c>
      <c r="AE192" s="32" t="str">
        <f t="shared" si="12"/>
        <v>✓ OK</v>
      </c>
      <c r="AF192" s="33" t="s">
        <v>27</v>
      </c>
      <c r="AG192" s="33" t="s">
        <v>23</v>
      </c>
      <c r="AH192" s="33" t="s">
        <v>24</v>
      </c>
      <c r="AI192" s="33" t="s">
        <v>25</v>
      </c>
      <c r="AJ192" s="33" t="s">
        <v>26</v>
      </c>
      <c r="AK192" s="33" t="s">
        <v>24</v>
      </c>
      <c r="AL192" s="27"/>
      <c r="AM192" s="34" t="s">
        <v>25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8" customHeight="1" x14ac:dyDescent="0.3">
      <c r="A193" s="23">
        <v>189</v>
      </c>
      <c r="B193" s="24" t="s">
        <v>405</v>
      </c>
      <c r="C193" s="25" t="s">
        <v>406</v>
      </c>
      <c r="D193" s="23" t="s">
        <v>216</v>
      </c>
      <c r="E193" s="43">
        <v>46125</v>
      </c>
      <c r="F193" s="26" t="s">
        <v>23</v>
      </c>
      <c r="G193" s="26" t="s">
        <v>24</v>
      </c>
      <c r="H193" s="26" t="s">
        <v>25</v>
      </c>
      <c r="I193" s="26" t="s">
        <v>26</v>
      </c>
      <c r="J193" s="26" t="s">
        <v>24</v>
      </c>
      <c r="K193" s="27"/>
      <c r="L193" s="28" t="s">
        <v>25</v>
      </c>
      <c r="M193" s="29" t="str">
        <f t="shared" si="10"/>
        <v>✓ OK</v>
      </c>
      <c r="N193" s="43">
        <v>46139</v>
      </c>
      <c r="O193" s="26" t="s">
        <v>23</v>
      </c>
      <c r="P193" s="26" t="s">
        <v>24</v>
      </c>
      <c r="Q193" s="26" t="s">
        <v>25</v>
      </c>
      <c r="R193" s="26" t="s">
        <v>26</v>
      </c>
      <c r="S193" s="26" t="s">
        <v>24</v>
      </c>
      <c r="T193" s="27"/>
      <c r="U193" s="28" t="s">
        <v>25</v>
      </c>
      <c r="V193" s="29" t="str">
        <f t="shared" si="11"/>
        <v>✓ OK</v>
      </c>
      <c r="W193" s="45">
        <v>46248</v>
      </c>
      <c r="X193" s="30" t="s">
        <v>23</v>
      </c>
      <c r="Y193" s="30" t="s">
        <v>24</v>
      </c>
      <c r="Z193" s="30" t="s">
        <v>25</v>
      </c>
      <c r="AA193" s="30" t="s">
        <v>26</v>
      </c>
      <c r="AB193" s="30" t="s">
        <v>24</v>
      </c>
      <c r="AC193" s="27"/>
      <c r="AD193" s="31" t="s">
        <v>25</v>
      </c>
      <c r="AE193" s="32" t="str">
        <f t="shared" si="12"/>
        <v>✓ OK</v>
      </c>
      <c r="AF193" s="33" t="s">
        <v>27</v>
      </c>
      <c r="AG193" s="33" t="s">
        <v>23</v>
      </c>
      <c r="AH193" s="33" t="s">
        <v>24</v>
      </c>
      <c r="AI193" s="33" t="s">
        <v>25</v>
      </c>
      <c r="AJ193" s="33" t="s">
        <v>26</v>
      </c>
      <c r="AK193" s="33" t="s">
        <v>24</v>
      </c>
      <c r="AL193" s="27"/>
      <c r="AM193" s="34" t="s">
        <v>25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8" customHeight="1" x14ac:dyDescent="0.3">
      <c r="A194" s="39">
        <v>190</v>
      </c>
      <c r="B194" s="40" t="s">
        <v>407</v>
      </c>
      <c r="C194" s="41" t="s">
        <v>408</v>
      </c>
      <c r="D194" s="39" t="s">
        <v>216</v>
      </c>
      <c r="E194" s="43">
        <v>46125</v>
      </c>
      <c r="F194" s="26" t="s">
        <v>23</v>
      </c>
      <c r="G194" s="26" t="s">
        <v>24</v>
      </c>
      <c r="H194" s="26" t="s">
        <v>25</v>
      </c>
      <c r="I194" s="26" t="s">
        <v>26</v>
      </c>
      <c r="J194" s="26" t="s">
        <v>24</v>
      </c>
      <c r="K194" s="27"/>
      <c r="L194" s="28" t="s">
        <v>25</v>
      </c>
      <c r="M194" s="29" t="str">
        <f t="shared" si="10"/>
        <v>✓ OK</v>
      </c>
      <c r="N194" s="43">
        <v>46139</v>
      </c>
      <c r="O194" s="26" t="s">
        <v>23</v>
      </c>
      <c r="P194" s="26" t="s">
        <v>24</v>
      </c>
      <c r="Q194" s="26" t="s">
        <v>25</v>
      </c>
      <c r="R194" s="26" t="s">
        <v>26</v>
      </c>
      <c r="S194" s="26" t="s">
        <v>24</v>
      </c>
      <c r="T194" s="27"/>
      <c r="U194" s="28" t="s">
        <v>25</v>
      </c>
      <c r="V194" s="29" t="str">
        <f t="shared" si="11"/>
        <v>✓ OK</v>
      </c>
      <c r="W194" s="45">
        <v>46248</v>
      </c>
      <c r="X194" s="30" t="s">
        <v>23</v>
      </c>
      <c r="Y194" s="30" t="s">
        <v>24</v>
      </c>
      <c r="Z194" s="30" t="s">
        <v>25</v>
      </c>
      <c r="AA194" s="30" t="s">
        <v>26</v>
      </c>
      <c r="AB194" s="30" t="s">
        <v>24</v>
      </c>
      <c r="AC194" s="27"/>
      <c r="AD194" s="31" t="s">
        <v>25</v>
      </c>
      <c r="AE194" s="32" t="str">
        <f t="shared" si="12"/>
        <v>✓ OK</v>
      </c>
      <c r="AF194" s="33" t="s">
        <v>27</v>
      </c>
      <c r="AG194" s="33" t="s">
        <v>23</v>
      </c>
      <c r="AH194" s="33" t="s">
        <v>24</v>
      </c>
      <c r="AI194" s="33" t="s">
        <v>25</v>
      </c>
      <c r="AJ194" s="33" t="s">
        <v>26</v>
      </c>
      <c r="AK194" s="33" t="s">
        <v>24</v>
      </c>
      <c r="AL194" s="27"/>
      <c r="AM194" s="34" t="s">
        <v>25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8" customHeight="1" x14ac:dyDescent="0.3">
      <c r="A195" s="23">
        <v>191</v>
      </c>
      <c r="B195" s="24" t="s">
        <v>409</v>
      </c>
      <c r="C195" s="25" t="s">
        <v>410</v>
      </c>
      <c r="D195" s="23" t="s">
        <v>216</v>
      </c>
      <c r="E195" s="43">
        <v>46125</v>
      </c>
      <c r="F195" s="26" t="s">
        <v>23</v>
      </c>
      <c r="G195" s="26" t="s">
        <v>24</v>
      </c>
      <c r="H195" s="26" t="s">
        <v>25</v>
      </c>
      <c r="I195" s="26" t="s">
        <v>26</v>
      </c>
      <c r="J195" s="26" t="s">
        <v>24</v>
      </c>
      <c r="K195" s="27"/>
      <c r="L195" s="28" t="s">
        <v>25</v>
      </c>
      <c r="M195" s="29" t="str">
        <f t="shared" si="10"/>
        <v>✓ OK</v>
      </c>
      <c r="N195" s="43">
        <v>46139</v>
      </c>
      <c r="O195" s="26" t="s">
        <v>23</v>
      </c>
      <c r="P195" s="26" t="s">
        <v>24</v>
      </c>
      <c r="Q195" s="26" t="s">
        <v>25</v>
      </c>
      <c r="R195" s="26" t="s">
        <v>26</v>
      </c>
      <c r="S195" s="26" t="s">
        <v>24</v>
      </c>
      <c r="T195" s="27"/>
      <c r="U195" s="28" t="s">
        <v>25</v>
      </c>
      <c r="V195" s="29" t="str">
        <f t="shared" si="11"/>
        <v>✓ OK</v>
      </c>
      <c r="W195" s="45">
        <v>46248</v>
      </c>
      <c r="X195" s="30" t="s">
        <v>23</v>
      </c>
      <c r="Y195" s="30" t="s">
        <v>24</v>
      </c>
      <c r="Z195" s="30" t="s">
        <v>25</v>
      </c>
      <c r="AA195" s="30" t="s">
        <v>26</v>
      </c>
      <c r="AB195" s="30" t="s">
        <v>24</v>
      </c>
      <c r="AC195" s="27"/>
      <c r="AD195" s="31" t="s">
        <v>25</v>
      </c>
      <c r="AE195" s="32" t="str">
        <f t="shared" si="12"/>
        <v>✓ OK</v>
      </c>
      <c r="AF195" s="33" t="s">
        <v>27</v>
      </c>
      <c r="AG195" s="33" t="s">
        <v>23</v>
      </c>
      <c r="AH195" s="33" t="s">
        <v>24</v>
      </c>
      <c r="AI195" s="33" t="s">
        <v>25</v>
      </c>
      <c r="AJ195" s="33" t="s">
        <v>26</v>
      </c>
      <c r="AK195" s="33" t="s">
        <v>24</v>
      </c>
      <c r="AL195" s="27"/>
      <c r="AM195" s="34" t="s">
        <v>25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8" customHeight="1" x14ac:dyDescent="0.3">
      <c r="A196" s="39">
        <v>192</v>
      </c>
      <c r="B196" s="40" t="s">
        <v>411</v>
      </c>
      <c r="C196" s="41" t="s">
        <v>412</v>
      </c>
      <c r="D196" s="39" t="s">
        <v>216</v>
      </c>
      <c r="E196" s="43">
        <v>46125</v>
      </c>
      <c r="F196" s="26" t="s">
        <v>23</v>
      </c>
      <c r="G196" s="26" t="s">
        <v>24</v>
      </c>
      <c r="H196" s="26" t="s">
        <v>25</v>
      </c>
      <c r="I196" s="26" t="s">
        <v>26</v>
      </c>
      <c r="J196" s="26" t="s">
        <v>24</v>
      </c>
      <c r="K196" s="27"/>
      <c r="L196" s="28" t="s">
        <v>25</v>
      </c>
      <c r="M196" s="29" t="str">
        <f t="shared" si="10"/>
        <v>✓ OK</v>
      </c>
      <c r="N196" s="43">
        <v>46139</v>
      </c>
      <c r="O196" s="26" t="s">
        <v>23</v>
      </c>
      <c r="P196" s="26" t="s">
        <v>24</v>
      </c>
      <c r="Q196" s="26" t="s">
        <v>25</v>
      </c>
      <c r="R196" s="26" t="s">
        <v>26</v>
      </c>
      <c r="S196" s="26" t="s">
        <v>24</v>
      </c>
      <c r="T196" s="27"/>
      <c r="U196" s="28" t="s">
        <v>25</v>
      </c>
      <c r="V196" s="29" t="str">
        <f t="shared" si="11"/>
        <v>✓ OK</v>
      </c>
      <c r="W196" s="45">
        <v>46248</v>
      </c>
      <c r="X196" s="30" t="s">
        <v>23</v>
      </c>
      <c r="Y196" s="30" t="s">
        <v>24</v>
      </c>
      <c r="Z196" s="30" t="s">
        <v>25</v>
      </c>
      <c r="AA196" s="30" t="s">
        <v>26</v>
      </c>
      <c r="AB196" s="30" t="s">
        <v>24</v>
      </c>
      <c r="AC196" s="27"/>
      <c r="AD196" s="31" t="s">
        <v>25</v>
      </c>
      <c r="AE196" s="32" t="str">
        <f t="shared" si="12"/>
        <v>✓ OK</v>
      </c>
      <c r="AF196" s="33" t="s">
        <v>27</v>
      </c>
      <c r="AG196" s="33" t="s">
        <v>23</v>
      </c>
      <c r="AH196" s="33" t="s">
        <v>24</v>
      </c>
      <c r="AI196" s="33" t="s">
        <v>25</v>
      </c>
      <c r="AJ196" s="33" t="s">
        <v>26</v>
      </c>
      <c r="AK196" s="33" t="s">
        <v>24</v>
      </c>
      <c r="AL196" s="27"/>
      <c r="AM196" s="34" t="s">
        <v>25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8" customHeight="1" x14ac:dyDescent="0.3">
      <c r="A197" s="23">
        <v>193</v>
      </c>
      <c r="B197" s="24" t="s">
        <v>413</v>
      </c>
      <c r="C197" s="25" t="s">
        <v>414</v>
      </c>
      <c r="D197" s="23" t="s">
        <v>216</v>
      </c>
      <c r="E197" s="43">
        <v>46125</v>
      </c>
      <c r="F197" s="26" t="s">
        <v>23</v>
      </c>
      <c r="G197" s="26" t="s">
        <v>24</v>
      </c>
      <c r="H197" s="26" t="s">
        <v>25</v>
      </c>
      <c r="I197" s="26" t="s">
        <v>26</v>
      </c>
      <c r="J197" s="26" t="s">
        <v>24</v>
      </c>
      <c r="K197" s="27"/>
      <c r="L197" s="28" t="s">
        <v>25</v>
      </c>
      <c r="M197" s="29" t="str">
        <f t="shared" ref="M197:M260" si="15">IF(E197="","",IF(H197="Yes","❌ Disc",IF(G197="No","⚠ Missing",IF(J197="Yes","✓ OK","⚠ Check"))))</f>
        <v>✓ OK</v>
      </c>
      <c r="N197" s="43">
        <v>46139</v>
      </c>
      <c r="O197" s="26" t="s">
        <v>23</v>
      </c>
      <c r="P197" s="26" t="s">
        <v>24</v>
      </c>
      <c r="Q197" s="26" t="s">
        <v>25</v>
      </c>
      <c r="R197" s="26" t="s">
        <v>26</v>
      </c>
      <c r="S197" s="26" t="s">
        <v>24</v>
      </c>
      <c r="T197" s="27"/>
      <c r="U197" s="28" t="s">
        <v>25</v>
      </c>
      <c r="V197" s="29" t="str">
        <f t="shared" ref="V197:V260" si="16">IF(N197="","",IF(Q197="Yes","❌ Disc",IF(P197="No","⚠ Missing",IF(S197="Yes","✓ OK","⚠ Check"))))</f>
        <v>✓ OK</v>
      </c>
      <c r="W197" s="45">
        <v>46248</v>
      </c>
      <c r="X197" s="30" t="s">
        <v>23</v>
      </c>
      <c r="Y197" s="30" t="s">
        <v>24</v>
      </c>
      <c r="Z197" s="30" t="s">
        <v>25</v>
      </c>
      <c r="AA197" s="30" t="s">
        <v>26</v>
      </c>
      <c r="AB197" s="30" t="s">
        <v>24</v>
      </c>
      <c r="AC197" s="27"/>
      <c r="AD197" s="31" t="s">
        <v>25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27</v>
      </c>
      <c r="AG197" s="33" t="s">
        <v>23</v>
      </c>
      <c r="AH197" s="33" t="s">
        <v>24</v>
      </c>
      <c r="AI197" s="33" t="s">
        <v>25</v>
      </c>
      <c r="AJ197" s="33" t="s">
        <v>26</v>
      </c>
      <c r="AK197" s="33" t="s">
        <v>24</v>
      </c>
      <c r="AL197" s="27"/>
      <c r="AM197" s="34" t="s">
        <v>25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9">
        <v>194</v>
      </c>
      <c r="B198" s="40" t="s">
        <v>415</v>
      </c>
      <c r="C198" s="41" t="s">
        <v>416</v>
      </c>
      <c r="D198" s="39" t="s">
        <v>216</v>
      </c>
      <c r="E198" s="43">
        <v>46125</v>
      </c>
      <c r="F198" s="26" t="s">
        <v>23</v>
      </c>
      <c r="G198" s="26" t="s">
        <v>24</v>
      </c>
      <c r="H198" s="26" t="s">
        <v>25</v>
      </c>
      <c r="I198" s="26" t="s">
        <v>26</v>
      </c>
      <c r="J198" s="26" t="s">
        <v>24</v>
      </c>
      <c r="K198" s="27"/>
      <c r="L198" s="28" t="s">
        <v>25</v>
      </c>
      <c r="M198" s="29" t="str">
        <f t="shared" si="15"/>
        <v>✓ OK</v>
      </c>
      <c r="N198" s="43">
        <v>46139</v>
      </c>
      <c r="O198" s="26" t="s">
        <v>23</v>
      </c>
      <c r="P198" s="26" t="s">
        <v>24</v>
      </c>
      <c r="Q198" s="26" t="s">
        <v>25</v>
      </c>
      <c r="R198" s="26" t="s">
        <v>26</v>
      </c>
      <c r="S198" s="26" t="s">
        <v>24</v>
      </c>
      <c r="T198" s="27"/>
      <c r="U198" s="28" t="s">
        <v>25</v>
      </c>
      <c r="V198" s="29" t="str">
        <f t="shared" si="16"/>
        <v>✓ OK</v>
      </c>
      <c r="W198" s="45">
        <v>46248</v>
      </c>
      <c r="X198" s="30" t="s">
        <v>23</v>
      </c>
      <c r="Y198" s="30" t="s">
        <v>24</v>
      </c>
      <c r="Z198" s="30" t="s">
        <v>25</v>
      </c>
      <c r="AA198" s="30" t="s">
        <v>26</v>
      </c>
      <c r="AB198" s="30" t="s">
        <v>24</v>
      </c>
      <c r="AC198" s="27"/>
      <c r="AD198" s="31" t="s">
        <v>25</v>
      </c>
      <c r="AE198" s="32" t="str">
        <f t="shared" si="17"/>
        <v>✓ OK</v>
      </c>
      <c r="AF198" s="33" t="s">
        <v>27</v>
      </c>
      <c r="AG198" s="33" t="s">
        <v>23</v>
      </c>
      <c r="AH198" s="33" t="s">
        <v>24</v>
      </c>
      <c r="AI198" s="33" t="s">
        <v>25</v>
      </c>
      <c r="AJ198" s="33" t="s">
        <v>26</v>
      </c>
      <c r="AK198" s="33" t="s">
        <v>24</v>
      </c>
      <c r="AL198" s="27"/>
      <c r="AM198" s="34" t="s">
        <v>25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8" customHeight="1" x14ac:dyDescent="0.3">
      <c r="A199" s="23">
        <v>195</v>
      </c>
      <c r="B199" s="24" t="s">
        <v>417</v>
      </c>
      <c r="C199" s="25" t="s">
        <v>418</v>
      </c>
      <c r="D199" s="23" t="s">
        <v>216</v>
      </c>
      <c r="E199" s="43">
        <v>46125</v>
      </c>
      <c r="F199" s="26" t="s">
        <v>23</v>
      </c>
      <c r="G199" s="26" t="s">
        <v>24</v>
      </c>
      <c r="H199" s="26" t="s">
        <v>25</v>
      </c>
      <c r="I199" s="26" t="s">
        <v>26</v>
      </c>
      <c r="J199" s="26" t="s">
        <v>24</v>
      </c>
      <c r="K199" s="27"/>
      <c r="L199" s="28" t="s">
        <v>25</v>
      </c>
      <c r="M199" s="29" t="str">
        <f t="shared" si="15"/>
        <v>✓ OK</v>
      </c>
      <c r="N199" s="43">
        <v>46139</v>
      </c>
      <c r="O199" s="26" t="s">
        <v>23</v>
      </c>
      <c r="P199" s="26" t="s">
        <v>24</v>
      </c>
      <c r="Q199" s="26" t="s">
        <v>25</v>
      </c>
      <c r="R199" s="26" t="s">
        <v>26</v>
      </c>
      <c r="S199" s="26" t="s">
        <v>24</v>
      </c>
      <c r="T199" s="27"/>
      <c r="U199" s="28" t="s">
        <v>25</v>
      </c>
      <c r="V199" s="29" t="str">
        <f t="shared" si="16"/>
        <v>✓ OK</v>
      </c>
      <c r="W199" s="45">
        <v>46248</v>
      </c>
      <c r="X199" s="30" t="s">
        <v>23</v>
      </c>
      <c r="Y199" s="30" t="s">
        <v>24</v>
      </c>
      <c r="Z199" s="30" t="s">
        <v>25</v>
      </c>
      <c r="AA199" s="30" t="s">
        <v>26</v>
      </c>
      <c r="AB199" s="30" t="s">
        <v>24</v>
      </c>
      <c r="AC199" s="27"/>
      <c r="AD199" s="31" t="s">
        <v>25</v>
      </c>
      <c r="AE199" s="32" t="str">
        <f t="shared" si="17"/>
        <v>✓ OK</v>
      </c>
      <c r="AF199" s="33" t="s">
        <v>27</v>
      </c>
      <c r="AG199" s="33" t="s">
        <v>23</v>
      </c>
      <c r="AH199" s="33" t="s">
        <v>24</v>
      </c>
      <c r="AI199" s="33" t="s">
        <v>25</v>
      </c>
      <c r="AJ199" s="33" t="s">
        <v>26</v>
      </c>
      <c r="AK199" s="33" t="s">
        <v>24</v>
      </c>
      <c r="AL199" s="27"/>
      <c r="AM199" s="34" t="s">
        <v>25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8" customHeight="1" x14ac:dyDescent="0.3">
      <c r="A200" s="39">
        <v>196</v>
      </c>
      <c r="B200" s="40" t="s">
        <v>419</v>
      </c>
      <c r="C200" s="41" t="s">
        <v>420</v>
      </c>
      <c r="D200" s="39" t="s">
        <v>216</v>
      </c>
      <c r="E200" s="43">
        <v>46125</v>
      </c>
      <c r="F200" s="26" t="s">
        <v>23</v>
      </c>
      <c r="G200" s="26" t="s">
        <v>24</v>
      </c>
      <c r="H200" s="26" t="s">
        <v>25</v>
      </c>
      <c r="I200" s="26" t="s">
        <v>26</v>
      </c>
      <c r="J200" s="26" t="s">
        <v>24</v>
      </c>
      <c r="K200" s="27"/>
      <c r="L200" s="28" t="s">
        <v>25</v>
      </c>
      <c r="M200" s="29" t="str">
        <f t="shared" si="15"/>
        <v>✓ OK</v>
      </c>
      <c r="N200" s="43">
        <v>46139</v>
      </c>
      <c r="O200" s="26" t="s">
        <v>23</v>
      </c>
      <c r="P200" s="26" t="s">
        <v>24</v>
      </c>
      <c r="Q200" s="26" t="s">
        <v>25</v>
      </c>
      <c r="R200" s="26" t="s">
        <v>26</v>
      </c>
      <c r="S200" s="26" t="s">
        <v>24</v>
      </c>
      <c r="T200" s="27"/>
      <c r="U200" s="28" t="s">
        <v>25</v>
      </c>
      <c r="V200" s="29" t="str">
        <f t="shared" si="16"/>
        <v>✓ OK</v>
      </c>
      <c r="W200" s="45">
        <v>46248</v>
      </c>
      <c r="X200" s="30" t="s">
        <v>23</v>
      </c>
      <c r="Y200" s="30" t="s">
        <v>24</v>
      </c>
      <c r="Z200" s="30" t="s">
        <v>25</v>
      </c>
      <c r="AA200" s="30" t="s">
        <v>26</v>
      </c>
      <c r="AB200" s="30" t="s">
        <v>24</v>
      </c>
      <c r="AC200" s="27"/>
      <c r="AD200" s="31" t="s">
        <v>25</v>
      </c>
      <c r="AE200" s="32" t="str">
        <f t="shared" si="17"/>
        <v>✓ OK</v>
      </c>
      <c r="AF200" s="33" t="s">
        <v>27</v>
      </c>
      <c r="AG200" s="33" t="s">
        <v>23</v>
      </c>
      <c r="AH200" s="33" t="s">
        <v>24</v>
      </c>
      <c r="AI200" s="33" t="s">
        <v>25</v>
      </c>
      <c r="AJ200" s="33" t="s">
        <v>26</v>
      </c>
      <c r="AK200" s="33" t="s">
        <v>24</v>
      </c>
      <c r="AL200" s="27"/>
      <c r="AM200" s="34" t="s">
        <v>25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8" customHeight="1" x14ac:dyDescent="0.3">
      <c r="A201" s="23">
        <v>197</v>
      </c>
      <c r="B201" s="24" t="s">
        <v>421</v>
      </c>
      <c r="C201" s="25" t="s">
        <v>422</v>
      </c>
      <c r="D201" s="23" t="s">
        <v>216</v>
      </c>
      <c r="E201" s="43">
        <v>46125</v>
      </c>
      <c r="F201" s="26" t="s">
        <v>23</v>
      </c>
      <c r="G201" s="26" t="s">
        <v>24</v>
      </c>
      <c r="H201" s="26" t="s">
        <v>25</v>
      </c>
      <c r="I201" s="26" t="s">
        <v>26</v>
      </c>
      <c r="J201" s="26" t="s">
        <v>24</v>
      </c>
      <c r="K201" s="27"/>
      <c r="L201" s="28" t="s">
        <v>25</v>
      </c>
      <c r="M201" s="29" t="str">
        <f t="shared" si="15"/>
        <v>✓ OK</v>
      </c>
      <c r="N201" s="43">
        <v>46139</v>
      </c>
      <c r="O201" s="26" t="s">
        <v>23</v>
      </c>
      <c r="P201" s="26" t="s">
        <v>24</v>
      </c>
      <c r="Q201" s="26" t="s">
        <v>25</v>
      </c>
      <c r="R201" s="26" t="s">
        <v>26</v>
      </c>
      <c r="S201" s="26" t="s">
        <v>24</v>
      </c>
      <c r="T201" s="27"/>
      <c r="U201" s="28" t="s">
        <v>25</v>
      </c>
      <c r="V201" s="29" t="str">
        <f t="shared" si="16"/>
        <v>✓ OK</v>
      </c>
      <c r="W201" s="45">
        <v>46248</v>
      </c>
      <c r="X201" s="30" t="s">
        <v>23</v>
      </c>
      <c r="Y201" s="30" t="s">
        <v>24</v>
      </c>
      <c r="Z201" s="30" t="s">
        <v>25</v>
      </c>
      <c r="AA201" s="30" t="s">
        <v>26</v>
      </c>
      <c r="AB201" s="30" t="s">
        <v>24</v>
      </c>
      <c r="AC201" s="27"/>
      <c r="AD201" s="31" t="s">
        <v>25</v>
      </c>
      <c r="AE201" s="32" t="str">
        <f t="shared" si="17"/>
        <v>✓ OK</v>
      </c>
      <c r="AF201" s="33" t="s">
        <v>27</v>
      </c>
      <c r="AG201" s="33" t="s">
        <v>23</v>
      </c>
      <c r="AH201" s="33" t="s">
        <v>24</v>
      </c>
      <c r="AI201" s="33" t="s">
        <v>25</v>
      </c>
      <c r="AJ201" s="33" t="s">
        <v>26</v>
      </c>
      <c r="AK201" s="33" t="s">
        <v>24</v>
      </c>
      <c r="AL201" s="27"/>
      <c r="AM201" s="34" t="s">
        <v>25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8" customHeight="1" x14ac:dyDescent="0.3">
      <c r="A202" s="39">
        <v>198</v>
      </c>
      <c r="B202" s="40" t="s">
        <v>423</v>
      </c>
      <c r="C202" s="41" t="s">
        <v>424</v>
      </c>
      <c r="D202" s="39" t="s">
        <v>216</v>
      </c>
      <c r="E202" s="43">
        <v>46125</v>
      </c>
      <c r="F202" s="26" t="s">
        <v>23</v>
      </c>
      <c r="G202" s="26" t="s">
        <v>24</v>
      </c>
      <c r="H202" s="26" t="s">
        <v>25</v>
      </c>
      <c r="I202" s="26" t="s">
        <v>26</v>
      </c>
      <c r="J202" s="26" t="s">
        <v>24</v>
      </c>
      <c r="K202" s="27"/>
      <c r="L202" s="28" t="s">
        <v>25</v>
      </c>
      <c r="M202" s="29" t="str">
        <f t="shared" si="15"/>
        <v>✓ OK</v>
      </c>
      <c r="N202" s="43">
        <v>46139</v>
      </c>
      <c r="O202" s="26" t="s">
        <v>23</v>
      </c>
      <c r="P202" s="26" t="s">
        <v>24</v>
      </c>
      <c r="Q202" s="26" t="s">
        <v>25</v>
      </c>
      <c r="R202" s="26" t="s">
        <v>26</v>
      </c>
      <c r="S202" s="26" t="s">
        <v>24</v>
      </c>
      <c r="T202" s="27"/>
      <c r="U202" s="28" t="s">
        <v>25</v>
      </c>
      <c r="V202" s="29" t="str">
        <f t="shared" si="16"/>
        <v>✓ OK</v>
      </c>
      <c r="W202" s="45">
        <v>46248</v>
      </c>
      <c r="X202" s="30" t="s">
        <v>23</v>
      </c>
      <c r="Y202" s="30" t="s">
        <v>24</v>
      </c>
      <c r="Z202" s="30" t="s">
        <v>25</v>
      </c>
      <c r="AA202" s="30" t="s">
        <v>26</v>
      </c>
      <c r="AB202" s="30" t="s">
        <v>24</v>
      </c>
      <c r="AC202" s="27"/>
      <c r="AD202" s="31" t="s">
        <v>25</v>
      </c>
      <c r="AE202" s="32" t="str">
        <f t="shared" si="17"/>
        <v>✓ OK</v>
      </c>
      <c r="AF202" s="33" t="s">
        <v>27</v>
      </c>
      <c r="AG202" s="33" t="s">
        <v>23</v>
      </c>
      <c r="AH202" s="33" t="s">
        <v>24</v>
      </c>
      <c r="AI202" s="33" t="s">
        <v>25</v>
      </c>
      <c r="AJ202" s="33" t="s">
        <v>26</v>
      </c>
      <c r="AK202" s="33" t="s">
        <v>24</v>
      </c>
      <c r="AL202" s="27"/>
      <c r="AM202" s="34" t="s">
        <v>25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8" customHeight="1" x14ac:dyDescent="0.3">
      <c r="A203" s="23">
        <v>199</v>
      </c>
      <c r="B203" s="24" t="s">
        <v>425</v>
      </c>
      <c r="C203" s="25" t="s">
        <v>426</v>
      </c>
      <c r="D203" s="23" t="s">
        <v>216</v>
      </c>
      <c r="E203" s="43">
        <v>46125</v>
      </c>
      <c r="F203" s="26" t="s">
        <v>23</v>
      </c>
      <c r="G203" s="26" t="s">
        <v>24</v>
      </c>
      <c r="H203" s="26" t="s">
        <v>25</v>
      </c>
      <c r="I203" s="26" t="s">
        <v>26</v>
      </c>
      <c r="J203" s="26" t="s">
        <v>24</v>
      </c>
      <c r="K203" s="27"/>
      <c r="L203" s="28" t="s">
        <v>25</v>
      </c>
      <c r="M203" s="29" t="str">
        <f t="shared" si="15"/>
        <v>✓ OK</v>
      </c>
      <c r="N203" s="43">
        <v>46139</v>
      </c>
      <c r="O203" s="26" t="s">
        <v>23</v>
      </c>
      <c r="P203" s="26" t="s">
        <v>24</v>
      </c>
      <c r="Q203" s="26" t="s">
        <v>25</v>
      </c>
      <c r="R203" s="26" t="s">
        <v>26</v>
      </c>
      <c r="S203" s="26" t="s">
        <v>24</v>
      </c>
      <c r="T203" s="27"/>
      <c r="U203" s="28" t="s">
        <v>25</v>
      </c>
      <c r="V203" s="29" t="str">
        <f t="shared" si="16"/>
        <v>✓ OK</v>
      </c>
      <c r="W203" s="45">
        <v>46248</v>
      </c>
      <c r="X203" s="30" t="s">
        <v>23</v>
      </c>
      <c r="Y203" s="30" t="s">
        <v>24</v>
      </c>
      <c r="Z203" s="30" t="s">
        <v>25</v>
      </c>
      <c r="AA203" s="30" t="s">
        <v>26</v>
      </c>
      <c r="AB203" s="30" t="s">
        <v>24</v>
      </c>
      <c r="AC203" s="27"/>
      <c r="AD203" s="31" t="s">
        <v>25</v>
      </c>
      <c r="AE203" s="32" t="str">
        <f t="shared" si="17"/>
        <v>✓ OK</v>
      </c>
      <c r="AF203" s="33" t="s">
        <v>27</v>
      </c>
      <c r="AG203" s="33" t="s">
        <v>23</v>
      </c>
      <c r="AH203" s="33" t="s">
        <v>24</v>
      </c>
      <c r="AI203" s="33" t="s">
        <v>25</v>
      </c>
      <c r="AJ203" s="33" t="s">
        <v>26</v>
      </c>
      <c r="AK203" s="33" t="s">
        <v>24</v>
      </c>
      <c r="AL203" s="27"/>
      <c r="AM203" s="34" t="s">
        <v>25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8" customHeight="1" x14ac:dyDescent="0.3">
      <c r="A204" s="39">
        <v>200</v>
      </c>
      <c r="B204" s="40" t="s">
        <v>427</v>
      </c>
      <c r="C204" s="41" t="s">
        <v>428</v>
      </c>
      <c r="D204" s="39" t="s">
        <v>216</v>
      </c>
      <c r="E204" s="43">
        <v>46125</v>
      </c>
      <c r="F204" s="26" t="s">
        <v>23</v>
      </c>
      <c r="G204" s="26" t="s">
        <v>24</v>
      </c>
      <c r="H204" s="26" t="s">
        <v>25</v>
      </c>
      <c r="I204" s="26" t="s">
        <v>26</v>
      </c>
      <c r="J204" s="26" t="s">
        <v>24</v>
      </c>
      <c r="K204" s="27"/>
      <c r="L204" s="28" t="s">
        <v>25</v>
      </c>
      <c r="M204" s="29" t="str">
        <f t="shared" si="15"/>
        <v>✓ OK</v>
      </c>
      <c r="N204" s="43">
        <v>46139</v>
      </c>
      <c r="O204" s="26" t="s">
        <v>23</v>
      </c>
      <c r="P204" s="26" t="s">
        <v>24</v>
      </c>
      <c r="Q204" s="26" t="s">
        <v>25</v>
      </c>
      <c r="R204" s="26" t="s">
        <v>26</v>
      </c>
      <c r="S204" s="26" t="s">
        <v>24</v>
      </c>
      <c r="T204" s="27"/>
      <c r="U204" s="28" t="s">
        <v>25</v>
      </c>
      <c r="V204" s="29" t="str">
        <f t="shared" si="16"/>
        <v>✓ OK</v>
      </c>
      <c r="W204" s="45">
        <v>46248</v>
      </c>
      <c r="X204" s="30" t="s">
        <v>23</v>
      </c>
      <c r="Y204" s="30" t="s">
        <v>24</v>
      </c>
      <c r="Z204" s="30" t="s">
        <v>25</v>
      </c>
      <c r="AA204" s="30" t="s">
        <v>26</v>
      </c>
      <c r="AB204" s="30" t="s">
        <v>24</v>
      </c>
      <c r="AC204" s="27"/>
      <c r="AD204" s="31" t="s">
        <v>25</v>
      </c>
      <c r="AE204" s="32" t="str">
        <f t="shared" si="17"/>
        <v>✓ OK</v>
      </c>
      <c r="AF204" s="33" t="s">
        <v>27</v>
      </c>
      <c r="AG204" s="33" t="s">
        <v>23</v>
      </c>
      <c r="AH204" s="33" t="s">
        <v>24</v>
      </c>
      <c r="AI204" s="33" t="s">
        <v>25</v>
      </c>
      <c r="AJ204" s="33" t="s">
        <v>26</v>
      </c>
      <c r="AK204" s="33" t="s">
        <v>24</v>
      </c>
      <c r="AL204" s="27"/>
      <c r="AM204" s="34" t="s">
        <v>25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8" customHeight="1" x14ac:dyDescent="0.3">
      <c r="A205" s="23">
        <v>201</v>
      </c>
      <c r="B205" s="24" t="s">
        <v>429</v>
      </c>
      <c r="C205" s="25" t="s">
        <v>430</v>
      </c>
      <c r="D205" s="23" t="s">
        <v>216</v>
      </c>
      <c r="E205" s="43">
        <v>46125</v>
      </c>
      <c r="F205" s="26" t="s">
        <v>23</v>
      </c>
      <c r="G205" s="26" t="s">
        <v>24</v>
      </c>
      <c r="H205" s="26" t="s">
        <v>25</v>
      </c>
      <c r="I205" s="26" t="s">
        <v>26</v>
      </c>
      <c r="J205" s="26" t="s">
        <v>24</v>
      </c>
      <c r="K205" s="27"/>
      <c r="L205" s="28" t="s">
        <v>25</v>
      </c>
      <c r="M205" s="29" t="str">
        <f t="shared" si="15"/>
        <v>✓ OK</v>
      </c>
      <c r="N205" s="43">
        <v>46139</v>
      </c>
      <c r="O205" s="26" t="s">
        <v>23</v>
      </c>
      <c r="P205" s="26" t="s">
        <v>24</v>
      </c>
      <c r="Q205" s="26" t="s">
        <v>25</v>
      </c>
      <c r="R205" s="26" t="s">
        <v>26</v>
      </c>
      <c r="S205" s="26" t="s">
        <v>24</v>
      </c>
      <c r="T205" s="27"/>
      <c r="U205" s="28" t="s">
        <v>25</v>
      </c>
      <c r="V205" s="29" t="str">
        <f t="shared" si="16"/>
        <v>✓ OK</v>
      </c>
      <c r="W205" s="45">
        <v>46248</v>
      </c>
      <c r="X205" s="30" t="s">
        <v>23</v>
      </c>
      <c r="Y205" s="30" t="s">
        <v>24</v>
      </c>
      <c r="Z205" s="30" t="s">
        <v>25</v>
      </c>
      <c r="AA205" s="30" t="s">
        <v>26</v>
      </c>
      <c r="AB205" s="30" t="s">
        <v>24</v>
      </c>
      <c r="AC205" s="27"/>
      <c r="AD205" s="31" t="s">
        <v>25</v>
      </c>
      <c r="AE205" s="32" t="str">
        <f t="shared" si="17"/>
        <v>✓ OK</v>
      </c>
      <c r="AF205" s="33" t="s">
        <v>27</v>
      </c>
      <c r="AG205" s="33" t="s">
        <v>23</v>
      </c>
      <c r="AH205" s="33" t="s">
        <v>24</v>
      </c>
      <c r="AI205" s="33" t="s">
        <v>25</v>
      </c>
      <c r="AJ205" s="33" t="s">
        <v>26</v>
      </c>
      <c r="AK205" s="33" t="s">
        <v>24</v>
      </c>
      <c r="AL205" s="27"/>
      <c r="AM205" s="34" t="s">
        <v>25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8" customHeight="1" x14ac:dyDescent="0.3">
      <c r="A206" s="39">
        <v>202</v>
      </c>
      <c r="B206" s="40" t="s">
        <v>431</v>
      </c>
      <c r="C206" s="41" t="s">
        <v>432</v>
      </c>
      <c r="D206" s="39" t="s">
        <v>216</v>
      </c>
      <c r="E206" s="43">
        <v>46125</v>
      </c>
      <c r="F206" s="26" t="s">
        <v>23</v>
      </c>
      <c r="G206" s="26" t="s">
        <v>24</v>
      </c>
      <c r="H206" s="26" t="s">
        <v>25</v>
      </c>
      <c r="I206" s="26" t="s">
        <v>26</v>
      </c>
      <c r="J206" s="26" t="s">
        <v>24</v>
      </c>
      <c r="K206" s="27"/>
      <c r="L206" s="28" t="s">
        <v>25</v>
      </c>
      <c r="M206" s="29" t="str">
        <f t="shared" si="15"/>
        <v>✓ OK</v>
      </c>
      <c r="N206" s="43">
        <v>46139</v>
      </c>
      <c r="O206" s="26" t="s">
        <v>23</v>
      </c>
      <c r="P206" s="26" t="s">
        <v>24</v>
      </c>
      <c r="Q206" s="26" t="s">
        <v>25</v>
      </c>
      <c r="R206" s="26" t="s">
        <v>26</v>
      </c>
      <c r="S206" s="26" t="s">
        <v>24</v>
      </c>
      <c r="T206" s="27"/>
      <c r="U206" s="28" t="s">
        <v>25</v>
      </c>
      <c r="V206" s="29" t="str">
        <f t="shared" si="16"/>
        <v>✓ OK</v>
      </c>
      <c r="W206" s="45">
        <v>46248</v>
      </c>
      <c r="X206" s="30" t="s">
        <v>23</v>
      </c>
      <c r="Y206" s="30" t="s">
        <v>24</v>
      </c>
      <c r="Z206" s="30" t="s">
        <v>25</v>
      </c>
      <c r="AA206" s="30" t="s">
        <v>26</v>
      </c>
      <c r="AB206" s="30" t="s">
        <v>24</v>
      </c>
      <c r="AC206" s="27"/>
      <c r="AD206" s="31" t="s">
        <v>25</v>
      </c>
      <c r="AE206" s="32" t="str">
        <f t="shared" si="17"/>
        <v>✓ OK</v>
      </c>
      <c r="AF206" s="33" t="s">
        <v>27</v>
      </c>
      <c r="AG206" s="33" t="s">
        <v>23</v>
      </c>
      <c r="AH206" s="33" t="s">
        <v>24</v>
      </c>
      <c r="AI206" s="33" t="s">
        <v>25</v>
      </c>
      <c r="AJ206" s="33" t="s">
        <v>26</v>
      </c>
      <c r="AK206" s="33" t="s">
        <v>24</v>
      </c>
      <c r="AL206" s="27"/>
      <c r="AM206" s="34" t="s">
        <v>25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8" customHeight="1" x14ac:dyDescent="0.3">
      <c r="A207" s="23">
        <v>203</v>
      </c>
      <c r="B207" s="24" t="s">
        <v>433</v>
      </c>
      <c r="C207" s="25" t="s">
        <v>434</v>
      </c>
      <c r="D207" s="23" t="s">
        <v>216</v>
      </c>
      <c r="E207" s="43">
        <v>46125</v>
      </c>
      <c r="F207" s="26" t="s">
        <v>23</v>
      </c>
      <c r="G207" s="26" t="s">
        <v>24</v>
      </c>
      <c r="H207" s="26" t="s">
        <v>25</v>
      </c>
      <c r="I207" s="26" t="s">
        <v>26</v>
      </c>
      <c r="J207" s="26" t="s">
        <v>24</v>
      </c>
      <c r="K207" s="27"/>
      <c r="L207" s="28" t="s">
        <v>25</v>
      </c>
      <c r="M207" s="29" t="str">
        <f t="shared" si="15"/>
        <v>✓ OK</v>
      </c>
      <c r="N207" s="43">
        <v>46139</v>
      </c>
      <c r="O207" s="26" t="s">
        <v>23</v>
      </c>
      <c r="P207" s="26" t="s">
        <v>24</v>
      </c>
      <c r="Q207" s="26" t="s">
        <v>25</v>
      </c>
      <c r="R207" s="26" t="s">
        <v>26</v>
      </c>
      <c r="S207" s="26" t="s">
        <v>24</v>
      </c>
      <c r="T207" s="27"/>
      <c r="U207" s="28" t="s">
        <v>25</v>
      </c>
      <c r="V207" s="29" t="str">
        <f t="shared" si="16"/>
        <v>✓ OK</v>
      </c>
      <c r="W207" s="45">
        <v>46248</v>
      </c>
      <c r="X207" s="30" t="s">
        <v>23</v>
      </c>
      <c r="Y207" s="30" t="s">
        <v>24</v>
      </c>
      <c r="Z207" s="30" t="s">
        <v>25</v>
      </c>
      <c r="AA207" s="30" t="s">
        <v>26</v>
      </c>
      <c r="AB207" s="30" t="s">
        <v>24</v>
      </c>
      <c r="AC207" s="27"/>
      <c r="AD207" s="31" t="s">
        <v>25</v>
      </c>
      <c r="AE207" s="32" t="str">
        <f t="shared" si="17"/>
        <v>✓ OK</v>
      </c>
      <c r="AF207" s="33" t="s">
        <v>27</v>
      </c>
      <c r="AG207" s="33" t="s">
        <v>23</v>
      </c>
      <c r="AH207" s="33" t="s">
        <v>24</v>
      </c>
      <c r="AI207" s="33" t="s">
        <v>25</v>
      </c>
      <c r="AJ207" s="33" t="s">
        <v>26</v>
      </c>
      <c r="AK207" s="33" t="s">
        <v>24</v>
      </c>
      <c r="AL207" s="27"/>
      <c r="AM207" s="34" t="s">
        <v>25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8" customHeight="1" x14ac:dyDescent="0.3">
      <c r="A208" s="39">
        <v>204</v>
      </c>
      <c r="B208" s="40" t="s">
        <v>435</v>
      </c>
      <c r="C208" s="41" t="s">
        <v>436</v>
      </c>
      <c r="D208" s="39" t="s">
        <v>216</v>
      </c>
      <c r="E208" s="43">
        <v>46125</v>
      </c>
      <c r="F208" s="26" t="s">
        <v>23</v>
      </c>
      <c r="G208" s="26" t="s">
        <v>24</v>
      </c>
      <c r="H208" s="26" t="s">
        <v>25</v>
      </c>
      <c r="I208" s="26" t="s">
        <v>26</v>
      </c>
      <c r="J208" s="26" t="s">
        <v>24</v>
      </c>
      <c r="K208" s="27"/>
      <c r="L208" s="28" t="s">
        <v>25</v>
      </c>
      <c r="M208" s="29" t="str">
        <f t="shared" si="15"/>
        <v>✓ OK</v>
      </c>
      <c r="N208" s="43">
        <v>46139</v>
      </c>
      <c r="O208" s="26" t="s">
        <v>23</v>
      </c>
      <c r="P208" s="26" t="s">
        <v>24</v>
      </c>
      <c r="Q208" s="26" t="s">
        <v>25</v>
      </c>
      <c r="R208" s="26" t="s">
        <v>26</v>
      </c>
      <c r="S208" s="26" t="s">
        <v>24</v>
      </c>
      <c r="T208" s="27"/>
      <c r="U208" s="28" t="s">
        <v>25</v>
      </c>
      <c r="V208" s="29" t="str">
        <f t="shared" si="16"/>
        <v>✓ OK</v>
      </c>
      <c r="W208" s="45">
        <v>46248</v>
      </c>
      <c r="X208" s="30" t="s">
        <v>23</v>
      </c>
      <c r="Y208" s="30" t="s">
        <v>24</v>
      </c>
      <c r="Z208" s="30" t="s">
        <v>25</v>
      </c>
      <c r="AA208" s="30" t="s">
        <v>26</v>
      </c>
      <c r="AB208" s="30" t="s">
        <v>24</v>
      </c>
      <c r="AC208" s="27"/>
      <c r="AD208" s="31" t="s">
        <v>25</v>
      </c>
      <c r="AE208" s="32" t="str">
        <f t="shared" si="17"/>
        <v>✓ OK</v>
      </c>
      <c r="AF208" s="33" t="s">
        <v>27</v>
      </c>
      <c r="AG208" s="33" t="s">
        <v>23</v>
      </c>
      <c r="AH208" s="33" t="s">
        <v>24</v>
      </c>
      <c r="AI208" s="33" t="s">
        <v>25</v>
      </c>
      <c r="AJ208" s="33" t="s">
        <v>26</v>
      </c>
      <c r="AK208" s="33" t="s">
        <v>24</v>
      </c>
      <c r="AL208" s="27"/>
      <c r="AM208" s="34" t="s">
        <v>25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8" customHeight="1" x14ac:dyDescent="0.3">
      <c r="A209" s="23">
        <v>205</v>
      </c>
      <c r="B209" s="24" t="s">
        <v>437</v>
      </c>
      <c r="C209" s="25" t="s">
        <v>438</v>
      </c>
      <c r="D209" s="23" t="s">
        <v>216</v>
      </c>
      <c r="E209" s="43">
        <v>46125</v>
      </c>
      <c r="F209" s="26" t="s">
        <v>23</v>
      </c>
      <c r="G209" s="26" t="s">
        <v>24</v>
      </c>
      <c r="H209" s="26" t="s">
        <v>25</v>
      </c>
      <c r="I209" s="26" t="s">
        <v>26</v>
      </c>
      <c r="J209" s="26" t="s">
        <v>24</v>
      </c>
      <c r="K209" s="27"/>
      <c r="L209" s="28" t="s">
        <v>25</v>
      </c>
      <c r="M209" s="29" t="str">
        <f t="shared" si="15"/>
        <v>✓ OK</v>
      </c>
      <c r="N209" s="43">
        <v>46139</v>
      </c>
      <c r="O209" s="26" t="s">
        <v>23</v>
      </c>
      <c r="P209" s="26" t="s">
        <v>24</v>
      </c>
      <c r="Q209" s="26" t="s">
        <v>25</v>
      </c>
      <c r="R209" s="26" t="s">
        <v>26</v>
      </c>
      <c r="S209" s="26" t="s">
        <v>24</v>
      </c>
      <c r="T209" s="27"/>
      <c r="U209" s="28" t="s">
        <v>25</v>
      </c>
      <c r="V209" s="29" t="str">
        <f t="shared" si="16"/>
        <v>✓ OK</v>
      </c>
      <c r="W209" s="45">
        <v>46248</v>
      </c>
      <c r="X209" s="30" t="s">
        <v>23</v>
      </c>
      <c r="Y209" s="30" t="s">
        <v>24</v>
      </c>
      <c r="Z209" s="30" t="s">
        <v>25</v>
      </c>
      <c r="AA209" s="30" t="s">
        <v>26</v>
      </c>
      <c r="AB209" s="30" t="s">
        <v>24</v>
      </c>
      <c r="AC209" s="27"/>
      <c r="AD209" s="31" t="s">
        <v>25</v>
      </c>
      <c r="AE209" s="32" t="str">
        <f t="shared" si="17"/>
        <v>✓ OK</v>
      </c>
      <c r="AF209" s="33" t="s">
        <v>27</v>
      </c>
      <c r="AG209" s="33" t="s">
        <v>23</v>
      </c>
      <c r="AH209" s="33" t="s">
        <v>24</v>
      </c>
      <c r="AI209" s="33" t="s">
        <v>25</v>
      </c>
      <c r="AJ209" s="33" t="s">
        <v>26</v>
      </c>
      <c r="AK209" s="33" t="s">
        <v>24</v>
      </c>
      <c r="AL209" s="27"/>
      <c r="AM209" s="34" t="s">
        <v>25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8" customHeight="1" x14ac:dyDescent="0.3">
      <c r="A210" s="39">
        <v>206</v>
      </c>
      <c r="B210" s="40" t="s">
        <v>439</v>
      </c>
      <c r="C210" s="41" t="s">
        <v>440</v>
      </c>
      <c r="D210" s="39" t="s">
        <v>216</v>
      </c>
      <c r="E210" s="43">
        <v>46125</v>
      </c>
      <c r="F210" s="26" t="s">
        <v>23</v>
      </c>
      <c r="G210" s="26" t="s">
        <v>24</v>
      </c>
      <c r="H210" s="26" t="s">
        <v>25</v>
      </c>
      <c r="I210" s="26" t="s">
        <v>26</v>
      </c>
      <c r="J210" s="26" t="s">
        <v>24</v>
      </c>
      <c r="K210" s="27"/>
      <c r="L210" s="28" t="s">
        <v>25</v>
      </c>
      <c r="M210" s="29" t="str">
        <f t="shared" si="15"/>
        <v>✓ OK</v>
      </c>
      <c r="N210" s="43">
        <v>46139</v>
      </c>
      <c r="O210" s="26" t="s">
        <v>23</v>
      </c>
      <c r="P210" s="26" t="s">
        <v>24</v>
      </c>
      <c r="Q210" s="26" t="s">
        <v>25</v>
      </c>
      <c r="R210" s="26" t="s">
        <v>26</v>
      </c>
      <c r="S210" s="26" t="s">
        <v>24</v>
      </c>
      <c r="T210" s="27"/>
      <c r="U210" s="28" t="s">
        <v>25</v>
      </c>
      <c r="V210" s="29" t="str">
        <f t="shared" si="16"/>
        <v>✓ OK</v>
      </c>
      <c r="W210" s="45">
        <v>46248</v>
      </c>
      <c r="X210" s="30" t="s">
        <v>23</v>
      </c>
      <c r="Y210" s="30" t="s">
        <v>24</v>
      </c>
      <c r="Z210" s="30" t="s">
        <v>25</v>
      </c>
      <c r="AA210" s="30" t="s">
        <v>26</v>
      </c>
      <c r="AB210" s="30" t="s">
        <v>24</v>
      </c>
      <c r="AC210" s="27"/>
      <c r="AD210" s="31" t="s">
        <v>25</v>
      </c>
      <c r="AE210" s="32" t="str">
        <f t="shared" si="17"/>
        <v>✓ OK</v>
      </c>
      <c r="AF210" s="33" t="s">
        <v>27</v>
      </c>
      <c r="AG210" s="33" t="s">
        <v>23</v>
      </c>
      <c r="AH210" s="33" t="s">
        <v>24</v>
      </c>
      <c r="AI210" s="33" t="s">
        <v>25</v>
      </c>
      <c r="AJ210" s="33" t="s">
        <v>26</v>
      </c>
      <c r="AK210" s="33" t="s">
        <v>24</v>
      </c>
      <c r="AL210" s="27"/>
      <c r="AM210" s="34" t="s">
        <v>25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8" customHeight="1" x14ac:dyDescent="0.3">
      <c r="A211" s="23">
        <v>207</v>
      </c>
      <c r="B211" s="24" t="s">
        <v>441</v>
      </c>
      <c r="C211" s="25" t="s">
        <v>442</v>
      </c>
      <c r="D211" s="23" t="s">
        <v>216</v>
      </c>
      <c r="E211" s="43">
        <v>46125</v>
      </c>
      <c r="F211" s="26" t="s">
        <v>23</v>
      </c>
      <c r="G211" s="26" t="s">
        <v>24</v>
      </c>
      <c r="H211" s="26" t="s">
        <v>25</v>
      </c>
      <c r="I211" s="26" t="s">
        <v>26</v>
      </c>
      <c r="J211" s="26" t="s">
        <v>24</v>
      </c>
      <c r="K211" s="27"/>
      <c r="L211" s="28" t="s">
        <v>25</v>
      </c>
      <c r="M211" s="29" t="str">
        <f t="shared" si="15"/>
        <v>✓ OK</v>
      </c>
      <c r="N211" s="43">
        <v>46139</v>
      </c>
      <c r="O211" s="26" t="s">
        <v>23</v>
      </c>
      <c r="P211" s="26" t="s">
        <v>24</v>
      </c>
      <c r="Q211" s="26" t="s">
        <v>25</v>
      </c>
      <c r="R211" s="26" t="s">
        <v>26</v>
      </c>
      <c r="S211" s="26" t="s">
        <v>24</v>
      </c>
      <c r="T211" s="27"/>
      <c r="U211" s="28" t="s">
        <v>25</v>
      </c>
      <c r="V211" s="29" t="str">
        <f t="shared" si="16"/>
        <v>✓ OK</v>
      </c>
      <c r="W211" s="45">
        <v>46248</v>
      </c>
      <c r="X211" s="30" t="s">
        <v>23</v>
      </c>
      <c r="Y211" s="30" t="s">
        <v>24</v>
      </c>
      <c r="Z211" s="30" t="s">
        <v>25</v>
      </c>
      <c r="AA211" s="30" t="s">
        <v>26</v>
      </c>
      <c r="AB211" s="30" t="s">
        <v>24</v>
      </c>
      <c r="AC211" s="27"/>
      <c r="AD211" s="31" t="s">
        <v>25</v>
      </c>
      <c r="AE211" s="32" t="str">
        <f t="shared" si="17"/>
        <v>✓ OK</v>
      </c>
      <c r="AF211" s="33" t="s">
        <v>27</v>
      </c>
      <c r="AG211" s="33" t="s">
        <v>23</v>
      </c>
      <c r="AH211" s="33" t="s">
        <v>24</v>
      </c>
      <c r="AI211" s="33" t="s">
        <v>25</v>
      </c>
      <c r="AJ211" s="33" t="s">
        <v>26</v>
      </c>
      <c r="AK211" s="33" t="s">
        <v>24</v>
      </c>
      <c r="AL211" s="27"/>
      <c r="AM211" s="34" t="s">
        <v>25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8" customHeight="1" x14ac:dyDescent="0.3">
      <c r="A212" s="39">
        <v>208</v>
      </c>
      <c r="B212" s="40" t="s">
        <v>443</v>
      </c>
      <c r="C212" s="41" t="s">
        <v>444</v>
      </c>
      <c r="D212" s="39" t="s">
        <v>216</v>
      </c>
      <c r="E212" s="43">
        <v>46125</v>
      </c>
      <c r="F212" s="26" t="s">
        <v>23</v>
      </c>
      <c r="G212" s="26" t="s">
        <v>24</v>
      </c>
      <c r="H212" s="26" t="s">
        <v>25</v>
      </c>
      <c r="I212" s="26" t="s">
        <v>26</v>
      </c>
      <c r="J212" s="26" t="s">
        <v>24</v>
      </c>
      <c r="K212" s="27"/>
      <c r="L212" s="28" t="s">
        <v>25</v>
      </c>
      <c r="M212" s="29" t="str">
        <f t="shared" si="15"/>
        <v>✓ OK</v>
      </c>
      <c r="N212" s="43">
        <v>46139</v>
      </c>
      <c r="O212" s="26" t="s">
        <v>23</v>
      </c>
      <c r="P212" s="26" t="s">
        <v>24</v>
      </c>
      <c r="Q212" s="26" t="s">
        <v>25</v>
      </c>
      <c r="R212" s="26" t="s">
        <v>26</v>
      </c>
      <c r="S212" s="26" t="s">
        <v>24</v>
      </c>
      <c r="T212" s="27"/>
      <c r="U212" s="28" t="s">
        <v>25</v>
      </c>
      <c r="V212" s="29" t="str">
        <f t="shared" si="16"/>
        <v>✓ OK</v>
      </c>
      <c r="W212" s="45">
        <v>46248</v>
      </c>
      <c r="X212" s="30" t="s">
        <v>23</v>
      </c>
      <c r="Y212" s="30" t="s">
        <v>24</v>
      </c>
      <c r="Z212" s="30" t="s">
        <v>25</v>
      </c>
      <c r="AA212" s="30" t="s">
        <v>26</v>
      </c>
      <c r="AB212" s="30" t="s">
        <v>24</v>
      </c>
      <c r="AC212" s="27"/>
      <c r="AD212" s="31" t="s">
        <v>25</v>
      </c>
      <c r="AE212" s="32" t="str">
        <f t="shared" si="17"/>
        <v>✓ OK</v>
      </c>
      <c r="AF212" s="33" t="s">
        <v>27</v>
      </c>
      <c r="AG212" s="33" t="s">
        <v>23</v>
      </c>
      <c r="AH212" s="33" t="s">
        <v>24</v>
      </c>
      <c r="AI212" s="33" t="s">
        <v>25</v>
      </c>
      <c r="AJ212" s="33" t="s">
        <v>26</v>
      </c>
      <c r="AK212" s="33" t="s">
        <v>24</v>
      </c>
      <c r="AL212" s="27"/>
      <c r="AM212" s="34" t="s">
        <v>25</v>
      </c>
      <c r="AN212" s="35" t="str">
        <f t="shared" si="18"/>
        <v>✓ OK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8" customHeight="1" x14ac:dyDescent="0.3">
      <c r="A213" s="23">
        <v>209</v>
      </c>
      <c r="B213" s="24" t="s">
        <v>445</v>
      </c>
      <c r="C213" s="25" t="s">
        <v>446</v>
      </c>
      <c r="D213" s="23" t="s">
        <v>216</v>
      </c>
      <c r="E213" s="43">
        <v>46125</v>
      </c>
      <c r="F213" s="26" t="s">
        <v>23</v>
      </c>
      <c r="G213" s="26" t="s">
        <v>24</v>
      </c>
      <c r="H213" s="26" t="s">
        <v>25</v>
      </c>
      <c r="I213" s="26" t="s">
        <v>26</v>
      </c>
      <c r="J213" s="26" t="s">
        <v>24</v>
      </c>
      <c r="K213" s="27"/>
      <c r="L213" s="28" t="s">
        <v>25</v>
      </c>
      <c r="M213" s="29" t="str">
        <f t="shared" si="15"/>
        <v>✓ OK</v>
      </c>
      <c r="N213" s="43">
        <v>46139</v>
      </c>
      <c r="O213" s="26" t="s">
        <v>23</v>
      </c>
      <c r="P213" s="26" t="s">
        <v>24</v>
      </c>
      <c r="Q213" s="26" t="s">
        <v>25</v>
      </c>
      <c r="R213" s="26" t="s">
        <v>26</v>
      </c>
      <c r="S213" s="26" t="s">
        <v>24</v>
      </c>
      <c r="T213" s="27"/>
      <c r="U213" s="28" t="s">
        <v>25</v>
      </c>
      <c r="V213" s="29" t="str">
        <f t="shared" si="16"/>
        <v>✓ OK</v>
      </c>
      <c r="W213" s="45">
        <v>46248</v>
      </c>
      <c r="X213" s="30" t="s">
        <v>23</v>
      </c>
      <c r="Y213" s="30" t="s">
        <v>24</v>
      </c>
      <c r="Z213" s="30" t="s">
        <v>25</v>
      </c>
      <c r="AA213" s="30" t="s">
        <v>26</v>
      </c>
      <c r="AB213" s="30" t="s">
        <v>24</v>
      </c>
      <c r="AC213" s="27"/>
      <c r="AD213" s="31" t="s">
        <v>25</v>
      </c>
      <c r="AE213" s="32" t="str">
        <f t="shared" si="17"/>
        <v>✓ OK</v>
      </c>
      <c r="AF213" s="33" t="s">
        <v>27</v>
      </c>
      <c r="AG213" s="33" t="s">
        <v>23</v>
      </c>
      <c r="AH213" s="33" t="s">
        <v>24</v>
      </c>
      <c r="AI213" s="33" t="s">
        <v>25</v>
      </c>
      <c r="AJ213" s="33" t="s">
        <v>26</v>
      </c>
      <c r="AK213" s="33" t="s">
        <v>24</v>
      </c>
      <c r="AL213" s="27"/>
      <c r="AM213" s="34" t="s">
        <v>25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8" customHeight="1" x14ac:dyDescent="0.3">
      <c r="A214" s="39">
        <v>210</v>
      </c>
      <c r="B214" s="40" t="s">
        <v>447</v>
      </c>
      <c r="C214" s="41" t="s">
        <v>448</v>
      </c>
      <c r="D214" s="39" t="s">
        <v>216</v>
      </c>
      <c r="E214" s="43">
        <v>46125</v>
      </c>
      <c r="F214" s="26" t="s">
        <v>23</v>
      </c>
      <c r="G214" s="26" t="s">
        <v>24</v>
      </c>
      <c r="H214" s="26" t="s">
        <v>25</v>
      </c>
      <c r="I214" s="26" t="s">
        <v>26</v>
      </c>
      <c r="J214" s="26" t="s">
        <v>24</v>
      </c>
      <c r="K214" s="27"/>
      <c r="L214" s="28" t="s">
        <v>25</v>
      </c>
      <c r="M214" s="29" t="str">
        <f t="shared" si="15"/>
        <v>✓ OK</v>
      </c>
      <c r="N214" s="43">
        <v>46139</v>
      </c>
      <c r="O214" s="26" t="s">
        <v>23</v>
      </c>
      <c r="P214" s="26" t="s">
        <v>24</v>
      </c>
      <c r="Q214" s="26" t="s">
        <v>25</v>
      </c>
      <c r="R214" s="26" t="s">
        <v>26</v>
      </c>
      <c r="S214" s="26" t="s">
        <v>24</v>
      </c>
      <c r="T214" s="27"/>
      <c r="U214" s="28" t="s">
        <v>25</v>
      </c>
      <c r="V214" s="29" t="str">
        <f t="shared" si="16"/>
        <v>✓ OK</v>
      </c>
      <c r="W214" s="45">
        <v>46248</v>
      </c>
      <c r="X214" s="30" t="s">
        <v>23</v>
      </c>
      <c r="Y214" s="30" t="s">
        <v>24</v>
      </c>
      <c r="Z214" s="30" t="s">
        <v>25</v>
      </c>
      <c r="AA214" s="30" t="s">
        <v>26</v>
      </c>
      <c r="AB214" s="30" t="s">
        <v>24</v>
      </c>
      <c r="AC214" s="27"/>
      <c r="AD214" s="31" t="s">
        <v>25</v>
      </c>
      <c r="AE214" s="32" t="str">
        <f t="shared" si="17"/>
        <v>✓ OK</v>
      </c>
      <c r="AF214" s="33" t="s">
        <v>27</v>
      </c>
      <c r="AG214" s="33" t="s">
        <v>23</v>
      </c>
      <c r="AH214" s="33" t="s">
        <v>24</v>
      </c>
      <c r="AI214" s="33" t="s">
        <v>25</v>
      </c>
      <c r="AJ214" s="33" t="s">
        <v>26</v>
      </c>
      <c r="AK214" s="33" t="s">
        <v>24</v>
      </c>
      <c r="AL214" s="27"/>
      <c r="AM214" s="34" t="s">
        <v>25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8" customHeight="1" x14ac:dyDescent="0.3">
      <c r="A215" s="23">
        <v>211</v>
      </c>
      <c r="B215" s="24" t="s">
        <v>449</v>
      </c>
      <c r="C215" s="25" t="s">
        <v>450</v>
      </c>
      <c r="D215" s="23" t="s">
        <v>216</v>
      </c>
      <c r="E215" s="43">
        <v>46125</v>
      </c>
      <c r="F215" s="26" t="s">
        <v>23</v>
      </c>
      <c r="G215" s="26" t="s">
        <v>24</v>
      </c>
      <c r="H215" s="26" t="s">
        <v>25</v>
      </c>
      <c r="I215" s="26" t="s">
        <v>26</v>
      </c>
      <c r="J215" s="26" t="s">
        <v>24</v>
      </c>
      <c r="K215" s="27"/>
      <c r="L215" s="28" t="s">
        <v>25</v>
      </c>
      <c r="M215" s="29" t="str">
        <f t="shared" si="15"/>
        <v>✓ OK</v>
      </c>
      <c r="N215" s="43">
        <v>46139</v>
      </c>
      <c r="O215" s="26" t="s">
        <v>23</v>
      </c>
      <c r="P215" s="26" t="s">
        <v>24</v>
      </c>
      <c r="Q215" s="26" t="s">
        <v>25</v>
      </c>
      <c r="R215" s="26" t="s">
        <v>26</v>
      </c>
      <c r="S215" s="26" t="s">
        <v>24</v>
      </c>
      <c r="T215" s="27"/>
      <c r="U215" s="28" t="s">
        <v>25</v>
      </c>
      <c r="V215" s="29" t="str">
        <f t="shared" si="16"/>
        <v>✓ OK</v>
      </c>
      <c r="W215" s="45">
        <v>46248</v>
      </c>
      <c r="X215" s="30" t="s">
        <v>23</v>
      </c>
      <c r="Y215" s="30" t="s">
        <v>24</v>
      </c>
      <c r="Z215" s="30" t="s">
        <v>25</v>
      </c>
      <c r="AA215" s="30" t="s">
        <v>26</v>
      </c>
      <c r="AB215" s="30" t="s">
        <v>24</v>
      </c>
      <c r="AC215" s="27"/>
      <c r="AD215" s="31" t="s">
        <v>25</v>
      </c>
      <c r="AE215" s="32" t="str">
        <f t="shared" si="17"/>
        <v>✓ OK</v>
      </c>
      <c r="AF215" s="33" t="s">
        <v>27</v>
      </c>
      <c r="AG215" s="33" t="s">
        <v>23</v>
      </c>
      <c r="AH215" s="33" t="s">
        <v>24</v>
      </c>
      <c r="AI215" s="33" t="s">
        <v>25</v>
      </c>
      <c r="AJ215" s="33" t="s">
        <v>26</v>
      </c>
      <c r="AK215" s="33" t="s">
        <v>24</v>
      </c>
      <c r="AL215" s="27"/>
      <c r="AM215" s="34" t="s">
        <v>25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8" customHeight="1" x14ac:dyDescent="0.3">
      <c r="A216" s="39">
        <v>212</v>
      </c>
      <c r="B216" s="40" t="s">
        <v>451</v>
      </c>
      <c r="C216" s="41" t="s">
        <v>452</v>
      </c>
      <c r="D216" s="39" t="s">
        <v>216</v>
      </c>
      <c r="E216" s="43">
        <v>46125</v>
      </c>
      <c r="F216" s="26" t="s">
        <v>23</v>
      </c>
      <c r="G216" s="26" t="s">
        <v>24</v>
      </c>
      <c r="H216" s="26" t="s">
        <v>25</v>
      </c>
      <c r="I216" s="26" t="s">
        <v>26</v>
      </c>
      <c r="J216" s="26" t="s">
        <v>24</v>
      </c>
      <c r="K216" s="27"/>
      <c r="L216" s="28" t="s">
        <v>25</v>
      </c>
      <c r="M216" s="29" t="str">
        <f t="shared" si="15"/>
        <v>✓ OK</v>
      </c>
      <c r="N216" s="43">
        <v>46139</v>
      </c>
      <c r="O216" s="26" t="s">
        <v>23</v>
      </c>
      <c r="P216" s="26" t="s">
        <v>24</v>
      </c>
      <c r="Q216" s="26" t="s">
        <v>25</v>
      </c>
      <c r="R216" s="26" t="s">
        <v>26</v>
      </c>
      <c r="S216" s="26" t="s">
        <v>24</v>
      </c>
      <c r="T216" s="27"/>
      <c r="U216" s="28" t="s">
        <v>25</v>
      </c>
      <c r="V216" s="29" t="str">
        <f t="shared" si="16"/>
        <v>✓ OK</v>
      </c>
      <c r="W216" s="45">
        <v>46248</v>
      </c>
      <c r="X216" s="30" t="s">
        <v>23</v>
      </c>
      <c r="Y216" s="30" t="s">
        <v>24</v>
      </c>
      <c r="Z216" s="30" t="s">
        <v>25</v>
      </c>
      <c r="AA216" s="30" t="s">
        <v>26</v>
      </c>
      <c r="AB216" s="30" t="s">
        <v>24</v>
      </c>
      <c r="AC216" s="27"/>
      <c r="AD216" s="31" t="s">
        <v>25</v>
      </c>
      <c r="AE216" s="32" t="str">
        <f t="shared" si="17"/>
        <v>✓ OK</v>
      </c>
      <c r="AF216" s="33" t="s">
        <v>27</v>
      </c>
      <c r="AG216" s="33" t="s">
        <v>23</v>
      </c>
      <c r="AH216" s="33" t="s">
        <v>24</v>
      </c>
      <c r="AI216" s="33" t="s">
        <v>25</v>
      </c>
      <c r="AJ216" s="33" t="s">
        <v>26</v>
      </c>
      <c r="AK216" s="33" t="s">
        <v>24</v>
      </c>
      <c r="AL216" s="27"/>
      <c r="AM216" s="34" t="s">
        <v>25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8" customHeight="1" x14ac:dyDescent="0.3">
      <c r="A217" s="23">
        <v>213</v>
      </c>
      <c r="B217" s="24" t="s">
        <v>453</v>
      </c>
      <c r="C217" s="25" t="s">
        <v>454</v>
      </c>
      <c r="D217" s="23" t="s">
        <v>216</v>
      </c>
      <c r="E217" s="43">
        <v>46125</v>
      </c>
      <c r="F217" s="26" t="s">
        <v>23</v>
      </c>
      <c r="G217" s="26" t="s">
        <v>24</v>
      </c>
      <c r="H217" s="26" t="s">
        <v>25</v>
      </c>
      <c r="I217" s="26" t="s">
        <v>26</v>
      </c>
      <c r="J217" s="26" t="s">
        <v>24</v>
      </c>
      <c r="K217" s="27"/>
      <c r="L217" s="28" t="s">
        <v>25</v>
      </c>
      <c r="M217" s="29" t="str">
        <f t="shared" si="15"/>
        <v>✓ OK</v>
      </c>
      <c r="N217" s="43">
        <v>46139</v>
      </c>
      <c r="O217" s="26" t="s">
        <v>23</v>
      </c>
      <c r="P217" s="26" t="s">
        <v>24</v>
      </c>
      <c r="Q217" s="26" t="s">
        <v>25</v>
      </c>
      <c r="R217" s="26" t="s">
        <v>26</v>
      </c>
      <c r="S217" s="26" t="s">
        <v>24</v>
      </c>
      <c r="T217" s="27"/>
      <c r="U217" s="28" t="s">
        <v>25</v>
      </c>
      <c r="V217" s="29" t="str">
        <f t="shared" si="16"/>
        <v>✓ OK</v>
      </c>
      <c r="W217" s="45">
        <v>46248</v>
      </c>
      <c r="X217" s="30" t="s">
        <v>23</v>
      </c>
      <c r="Y217" s="30" t="s">
        <v>24</v>
      </c>
      <c r="Z217" s="30" t="s">
        <v>25</v>
      </c>
      <c r="AA217" s="30" t="s">
        <v>26</v>
      </c>
      <c r="AB217" s="30" t="s">
        <v>24</v>
      </c>
      <c r="AC217" s="27"/>
      <c r="AD217" s="31" t="s">
        <v>25</v>
      </c>
      <c r="AE217" s="32" t="str">
        <f t="shared" si="17"/>
        <v>✓ OK</v>
      </c>
      <c r="AF217" s="33" t="s">
        <v>27</v>
      </c>
      <c r="AG217" s="33" t="s">
        <v>23</v>
      </c>
      <c r="AH217" s="33" t="s">
        <v>24</v>
      </c>
      <c r="AI217" s="33" t="s">
        <v>25</v>
      </c>
      <c r="AJ217" s="33" t="s">
        <v>26</v>
      </c>
      <c r="AK217" s="33" t="s">
        <v>24</v>
      </c>
      <c r="AL217" s="27"/>
      <c r="AM217" s="34" t="s">
        <v>25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8" customHeight="1" x14ac:dyDescent="0.3">
      <c r="A218" s="39">
        <v>214</v>
      </c>
      <c r="B218" s="40" t="s">
        <v>455</v>
      </c>
      <c r="C218" s="41" t="s">
        <v>456</v>
      </c>
      <c r="D218" s="39" t="s">
        <v>216</v>
      </c>
      <c r="E218" s="43">
        <v>46125</v>
      </c>
      <c r="F218" s="26" t="s">
        <v>23</v>
      </c>
      <c r="G218" s="26" t="s">
        <v>24</v>
      </c>
      <c r="H218" s="26" t="s">
        <v>25</v>
      </c>
      <c r="I218" s="26" t="s">
        <v>26</v>
      </c>
      <c r="J218" s="26" t="s">
        <v>24</v>
      </c>
      <c r="K218" s="27"/>
      <c r="L218" s="28" t="s">
        <v>25</v>
      </c>
      <c r="M218" s="29" t="str">
        <f t="shared" si="15"/>
        <v>✓ OK</v>
      </c>
      <c r="N218" s="43">
        <v>46139</v>
      </c>
      <c r="O218" s="26" t="s">
        <v>23</v>
      </c>
      <c r="P218" s="26" t="s">
        <v>24</v>
      </c>
      <c r="Q218" s="26" t="s">
        <v>25</v>
      </c>
      <c r="R218" s="26" t="s">
        <v>26</v>
      </c>
      <c r="S218" s="26" t="s">
        <v>24</v>
      </c>
      <c r="T218" s="27"/>
      <c r="U218" s="28" t="s">
        <v>25</v>
      </c>
      <c r="V218" s="29" t="str">
        <f t="shared" si="16"/>
        <v>✓ OK</v>
      </c>
      <c r="W218" s="45">
        <v>46248</v>
      </c>
      <c r="X218" s="30" t="s">
        <v>23</v>
      </c>
      <c r="Y218" s="30" t="s">
        <v>24</v>
      </c>
      <c r="Z218" s="30" t="s">
        <v>25</v>
      </c>
      <c r="AA218" s="30" t="s">
        <v>26</v>
      </c>
      <c r="AB218" s="30" t="s">
        <v>24</v>
      </c>
      <c r="AC218" s="27"/>
      <c r="AD218" s="31" t="s">
        <v>25</v>
      </c>
      <c r="AE218" s="32" t="str">
        <f t="shared" si="17"/>
        <v>✓ OK</v>
      </c>
      <c r="AF218" s="33" t="s">
        <v>27</v>
      </c>
      <c r="AG218" s="33" t="s">
        <v>23</v>
      </c>
      <c r="AH218" s="33" t="s">
        <v>24</v>
      </c>
      <c r="AI218" s="33" t="s">
        <v>25</v>
      </c>
      <c r="AJ218" s="33" t="s">
        <v>26</v>
      </c>
      <c r="AK218" s="33" t="s">
        <v>24</v>
      </c>
      <c r="AL218" s="27"/>
      <c r="AM218" s="34" t="s">
        <v>25</v>
      </c>
      <c r="AN218" s="35" t="str">
        <f t="shared" si="18"/>
        <v>✓ OK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8" customHeight="1" x14ac:dyDescent="0.3">
      <c r="A219" s="23">
        <v>215</v>
      </c>
      <c r="B219" s="24" t="s">
        <v>457</v>
      </c>
      <c r="C219" s="25" t="s">
        <v>458</v>
      </c>
      <c r="D219" s="23" t="s">
        <v>216</v>
      </c>
      <c r="E219" s="43">
        <v>46125</v>
      </c>
      <c r="F219" s="26" t="s">
        <v>23</v>
      </c>
      <c r="G219" s="26" t="s">
        <v>24</v>
      </c>
      <c r="H219" s="26" t="s">
        <v>25</v>
      </c>
      <c r="I219" s="26" t="s">
        <v>26</v>
      </c>
      <c r="J219" s="26" t="s">
        <v>24</v>
      </c>
      <c r="K219" s="27"/>
      <c r="L219" s="28" t="s">
        <v>25</v>
      </c>
      <c r="M219" s="29" t="str">
        <f t="shared" si="15"/>
        <v>✓ OK</v>
      </c>
      <c r="N219" s="43">
        <v>46139</v>
      </c>
      <c r="O219" s="26" t="s">
        <v>23</v>
      </c>
      <c r="P219" s="26" t="s">
        <v>24</v>
      </c>
      <c r="Q219" s="26" t="s">
        <v>25</v>
      </c>
      <c r="R219" s="26" t="s">
        <v>26</v>
      </c>
      <c r="S219" s="26" t="s">
        <v>24</v>
      </c>
      <c r="T219" s="27"/>
      <c r="U219" s="28" t="s">
        <v>25</v>
      </c>
      <c r="V219" s="29" t="str">
        <f t="shared" si="16"/>
        <v>✓ OK</v>
      </c>
      <c r="W219" s="45">
        <v>46248</v>
      </c>
      <c r="X219" s="30" t="s">
        <v>23</v>
      </c>
      <c r="Y219" s="30" t="s">
        <v>24</v>
      </c>
      <c r="Z219" s="30" t="s">
        <v>25</v>
      </c>
      <c r="AA219" s="30" t="s">
        <v>26</v>
      </c>
      <c r="AB219" s="30" t="s">
        <v>24</v>
      </c>
      <c r="AC219" s="27"/>
      <c r="AD219" s="31" t="s">
        <v>25</v>
      </c>
      <c r="AE219" s="32" t="str">
        <f t="shared" si="17"/>
        <v>✓ OK</v>
      </c>
      <c r="AF219" s="33" t="s">
        <v>27</v>
      </c>
      <c r="AG219" s="33" t="s">
        <v>23</v>
      </c>
      <c r="AH219" s="33" t="s">
        <v>24</v>
      </c>
      <c r="AI219" s="33" t="s">
        <v>25</v>
      </c>
      <c r="AJ219" s="33" t="s">
        <v>26</v>
      </c>
      <c r="AK219" s="33" t="s">
        <v>24</v>
      </c>
      <c r="AL219" s="27"/>
      <c r="AM219" s="34" t="s">
        <v>25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8" customHeight="1" x14ac:dyDescent="0.3">
      <c r="A220" s="39">
        <v>216</v>
      </c>
      <c r="B220" s="40" t="s">
        <v>459</v>
      </c>
      <c r="C220" s="41" t="s">
        <v>460</v>
      </c>
      <c r="D220" s="39" t="s">
        <v>216</v>
      </c>
      <c r="E220" s="43">
        <v>46125</v>
      </c>
      <c r="F220" s="26" t="s">
        <v>23</v>
      </c>
      <c r="G220" s="26" t="s">
        <v>24</v>
      </c>
      <c r="H220" s="26" t="s">
        <v>25</v>
      </c>
      <c r="I220" s="26" t="s">
        <v>26</v>
      </c>
      <c r="J220" s="26" t="s">
        <v>24</v>
      </c>
      <c r="K220" s="27"/>
      <c r="L220" s="28" t="s">
        <v>25</v>
      </c>
      <c r="M220" s="29" t="str">
        <f t="shared" si="15"/>
        <v>✓ OK</v>
      </c>
      <c r="N220" s="43">
        <v>46139</v>
      </c>
      <c r="O220" s="26" t="s">
        <v>23</v>
      </c>
      <c r="P220" s="26" t="s">
        <v>24</v>
      </c>
      <c r="Q220" s="26" t="s">
        <v>25</v>
      </c>
      <c r="R220" s="26" t="s">
        <v>26</v>
      </c>
      <c r="S220" s="26" t="s">
        <v>24</v>
      </c>
      <c r="T220" s="27"/>
      <c r="U220" s="28" t="s">
        <v>25</v>
      </c>
      <c r="V220" s="29" t="str">
        <f t="shared" si="16"/>
        <v>✓ OK</v>
      </c>
      <c r="W220" s="45">
        <v>46248</v>
      </c>
      <c r="X220" s="30" t="s">
        <v>23</v>
      </c>
      <c r="Y220" s="30" t="s">
        <v>24</v>
      </c>
      <c r="Z220" s="30" t="s">
        <v>25</v>
      </c>
      <c r="AA220" s="30" t="s">
        <v>26</v>
      </c>
      <c r="AB220" s="30" t="s">
        <v>24</v>
      </c>
      <c r="AC220" s="27"/>
      <c r="AD220" s="31" t="s">
        <v>25</v>
      </c>
      <c r="AE220" s="32" t="str">
        <f t="shared" si="17"/>
        <v>✓ OK</v>
      </c>
      <c r="AF220" s="33" t="s">
        <v>27</v>
      </c>
      <c r="AG220" s="33" t="s">
        <v>23</v>
      </c>
      <c r="AH220" s="33" t="s">
        <v>24</v>
      </c>
      <c r="AI220" s="33" t="s">
        <v>25</v>
      </c>
      <c r="AJ220" s="33" t="s">
        <v>26</v>
      </c>
      <c r="AK220" s="33" t="s">
        <v>24</v>
      </c>
      <c r="AL220" s="27"/>
      <c r="AM220" s="34" t="s">
        <v>25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8" customHeight="1" x14ac:dyDescent="0.3">
      <c r="A221" s="23">
        <v>217</v>
      </c>
      <c r="B221" s="24" t="s">
        <v>461</v>
      </c>
      <c r="C221" s="25" t="s">
        <v>462</v>
      </c>
      <c r="D221" s="23" t="s">
        <v>216</v>
      </c>
      <c r="E221" s="43">
        <v>46125</v>
      </c>
      <c r="F221" s="26" t="s">
        <v>23</v>
      </c>
      <c r="G221" s="26" t="s">
        <v>24</v>
      </c>
      <c r="H221" s="26" t="s">
        <v>25</v>
      </c>
      <c r="I221" s="26" t="s">
        <v>26</v>
      </c>
      <c r="J221" s="26" t="s">
        <v>24</v>
      </c>
      <c r="K221" s="27"/>
      <c r="L221" s="28" t="s">
        <v>25</v>
      </c>
      <c r="M221" s="29" t="str">
        <f t="shared" si="15"/>
        <v>✓ OK</v>
      </c>
      <c r="N221" s="43">
        <v>46139</v>
      </c>
      <c r="O221" s="26" t="s">
        <v>23</v>
      </c>
      <c r="P221" s="26" t="s">
        <v>24</v>
      </c>
      <c r="Q221" s="26" t="s">
        <v>25</v>
      </c>
      <c r="R221" s="26" t="s">
        <v>26</v>
      </c>
      <c r="S221" s="26" t="s">
        <v>24</v>
      </c>
      <c r="T221" s="27"/>
      <c r="U221" s="28" t="s">
        <v>25</v>
      </c>
      <c r="V221" s="29" t="str">
        <f t="shared" si="16"/>
        <v>✓ OK</v>
      </c>
      <c r="W221" s="45">
        <v>46248</v>
      </c>
      <c r="X221" s="30" t="s">
        <v>23</v>
      </c>
      <c r="Y221" s="30" t="s">
        <v>24</v>
      </c>
      <c r="Z221" s="30" t="s">
        <v>25</v>
      </c>
      <c r="AA221" s="30" t="s">
        <v>26</v>
      </c>
      <c r="AB221" s="30" t="s">
        <v>24</v>
      </c>
      <c r="AC221" s="27"/>
      <c r="AD221" s="31" t="s">
        <v>25</v>
      </c>
      <c r="AE221" s="32" t="str">
        <f t="shared" si="17"/>
        <v>✓ OK</v>
      </c>
      <c r="AF221" s="33" t="s">
        <v>27</v>
      </c>
      <c r="AG221" s="33" t="s">
        <v>23</v>
      </c>
      <c r="AH221" s="33" t="s">
        <v>24</v>
      </c>
      <c r="AI221" s="33" t="s">
        <v>25</v>
      </c>
      <c r="AJ221" s="33" t="s">
        <v>26</v>
      </c>
      <c r="AK221" s="33" t="s">
        <v>24</v>
      </c>
      <c r="AL221" s="27"/>
      <c r="AM221" s="34" t="s">
        <v>25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8" customHeight="1" x14ac:dyDescent="0.3">
      <c r="A222" s="39">
        <v>218</v>
      </c>
      <c r="B222" s="40" t="s">
        <v>463</v>
      </c>
      <c r="C222" s="41" t="s">
        <v>464</v>
      </c>
      <c r="D222" s="39" t="s">
        <v>216</v>
      </c>
      <c r="E222" s="43">
        <v>46125</v>
      </c>
      <c r="F222" s="26" t="s">
        <v>23</v>
      </c>
      <c r="G222" s="26" t="s">
        <v>24</v>
      </c>
      <c r="H222" s="26" t="s">
        <v>25</v>
      </c>
      <c r="I222" s="26" t="s">
        <v>26</v>
      </c>
      <c r="J222" s="26" t="s">
        <v>24</v>
      </c>
      <c r="K222" s="27"/>
      <c r="L222" s="28" t="s">
        <v>25</v>
      </c>
      <c r="M222" s="29" t="str">
        <f t="shared" si="15"/>
        <v>✓ OK</v>
      </c>
      <c r="N222" s="43">
        <v>46139</v>
      </c>
      <c r="O222" s="26" t="s">
        <v>23</v>
      </c>
      <c r="P222" s="26" t="s">
        <v>24</v>
      </c>
      <c r="Q222" s="26" t="s">
        <v>25</v>
      </c>
      <c r="R222" s="26" t="s">
        <v>26</v>
      </c>
      <c r="S222" s="26" t="s">
        <v>24</v>
      </c>
      <c r="T222" s="27"/>
      <c r="U222" s="28" t="s">
        <v>25</v>
      </c>
      <c r="V222" s="29" t="str">
        <f t="shared" si="16"/>
        <v>✓ OK</v>
      </c>
      <c r="W222" s="45">
        <v>46248</v>
      </c>
      <c r="X222" s="30" t="s">
        <v>23</v>
      </c>
      <c r="Y222" s="30" t="s">
        <v>24</v>
      </c>
      <c r="Z222" s="30" t="s">
        <v>25</v>
      </c>
      <c r="AA222" s="30" t="s">
        <v>26</v>
      </c>
      <c r="AB222" s="30" t="s">
        <v>24</v>
      </c>
      <c r="AC222" s="27"/>
      <c r="AD222" s="31" t="s">
        <v>25</v>
      </c>
      <c r="AE222" s="32" t="str">
        <f t="shared" si="17"/>
        <v>✓ OK</v>
      </c>
      <c r="AF222" s="33" t="s">
        <v>27</v>
      </c>
      <c r="AG222" s="33" t="s">
        <v>23</v>
      </c>
      <c r="AH222" s="33" t="s">
        <v>24</v>
      </c>
      <c r="AI222" s="33" t="s">
        <v>25</v>
      </c>
      <c r="AJ222" s="33" t="s">
        <v>26</v>
      </c>
      <c r="AK222" s="33" t="s">
        <v>24</v>
      </c>
      <c r="AL222" s="27"/>
      <c r="AM222" s="34" t="s">
        <v>25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8" customHeight="1" x14ac:dyDescent="0.3">
      <c r="A223" s="23">
        <v>219</v>
      </c>
      <c r="B223" s="24" t="s">
        <v>465</v>
      </c>
      <c r="C223" s="25" t="s">
        <v>466</v>
      </c>
      <c r="D223" s="23" t="s">
        <v>216</v>
      </c>
      <c r="E223" s="43">
        <v>46125</v>
      </c>
      <c r="F223" s="26" t="s">
        <v>23</v>
      </c>
      <c r="G223" s="26" t="s">
        <v>24</v>
      </c>
      <c r="H223" s="26" t="s">
        <v>25</v>
      </c>
      <c r="I223" s="26" t="s">
        <v>26</v>
      </c>
      <c r="J223" s="26" t="s">
        <v>24</v>
      </c>
      <c r="K223" s="27"/>
      <c r="L223" s="28" t="s">
        <v>25</v>
      </c>
      <c r="M223" s="29" t="str">
        <f t="shared" si="15"/>
        <v>✓ OK</v>
      </c>
      <c r="N223" s="43">
        <v>46139</v>
      </c>
      <c r="O223" s="26" t="s">
        <v>23</v>
      </c>
      <c r="P223" s="26" t="s">
        <v>24</v>
      </c>
      <c r="Q223" s="26" t="s">
        <v>25</v>
      </c>
      <c r="R223" s="26" t="s">
        <v>26</v>
      </c>
      <c r="S223" s="26" t="s">
        <v>24</v>
      </c>
      <c r="T223" s="27"/>
      <c r="U223" s="28" t="s">
        <v>25</v>
      </c>
      <c r="V223" s="29" t="str">
        <f t="shared" si="16"/>
        <v>✓ OK</v>
      </c>
      <c r="W223" s="45">
        <v>46248</v>
      </c>
      <c r="X223" s="30" t="s">
        <v>23</v>
      </c>
      <c r="Y223" s="30" t="s">
        <v>24</v>
      </c>
      <c r="Z223" s="30" t="s">
        <v>25</v>
      </c>
      <c r="AA223" s="30" t="s">
        <v>26</v>
      </c>
      <c r="AB223" s="30" t="s">
        <v>24</v>
      </c>
      <c r="AC223" s="27"/>
      <c r="AD223" s="31" t="s">
        <v>25</v>
      </c>
      <c r="AE223" s="32" t="str">
        <f t="shared" si="17"/>
        <v>✓ OK</v>
      </c>
      <c r="AF223" s="33" t="s">
        <v>27</v>
      </c>
      <c r="AG223" s="33" t="s">
        <v>23</v>
      </c>
      <c r="AH223" s="33" t="s">
        <v>24</v>
      </c>
      <c r="AI223" s="33" t="s">
        <v>25</v>
      </c>
      <c r="AJ223" s="33" t="s">
        <v>26</v>
      </c>
      <c r="AK223" s="33" t="s">
        <v>24</v>
      </c>
      <c r="AL223" s="27"/>
      <c r="AM223" s="34" t="s">
        <v>25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8" customHeight="1" x14ac:dyDescent="0.3">
      <c r="A224" s="39">
        <v>220</v>
      </c>
      <c r="B224" s="40" t="s">
        <v>467</v>
      </c>
      <c r="C224" s="41" t="s">
        <v>468</v>
      </c>
      <c r="D224" s="39" t="s">
        <v>216</v>
      </c>
      <c r="E224" s="43">
        <v>46125</v>
      </c>
      <c r="F224" s="26" t="s">
        <v>23</v>
      </c>
      <c r="G224" s="26" t="s">
        <v>24</v>
      </c>
      <c r="H224" s="26" t="s">
        <v>25</v>
      </c>
      <c r="I224" s="26" t="s">
        <v>26</v>
      </c>
      <c r="J224" s="26" t="s">
        <v>24</v>
      </c>
      <c r="K224" s="27"/>
      <c r="L224" s="28" t="s">
        <v>25</v>
      </c>
      <c r="M224" s="29" t="str">
        <f t="shared" si="15"/>
        <v>✓ OK</v>
      </c>
      <c r="N224" s="43">
        <v>46139</v>
      </c>
      <c r="O224" s="26" t="s">
        <v>23</v>
      </c>
      <c r="P224" s="26" t="s">
        <v>24</v>
      </c>
      <c r="Q224" s="26" t="s">
        <v>25</v>
      </c>
      <c r="R224" s="26" t="s">
        <v>26</v>
      </c>
      <c r="S224" s="26" t="s">
        <v>24</v>
      </c>
      <c r="T224" s="27"/>
      <c r="U224" s="28" t="s">
        <v>25</v>
      </c>
      <c r="V224" s="29" t="str">
        <f t="shared" si="16"/>
        <v>✓ OK</v>
      </c>
      <c r="W224" s="45">
        <v>46248</v>
      </c>
      <c r="X224" s="30" t="s">
        <v>23</v>
      </c>
      <c r="Y224" s="30" t="s">
        <v>24</v>
      </c>
      <c r="Z224" s="30" t="s">
        <v>25</v>
      </c>
      <c r="AA224" s="30" t="s">
        <v>26</v>
      </c>
      <c r="AB224" s="30" t="s">
        <v>24</v>
      </c>
      <c r="AC224" s="27"/>
      <c r="AD224" s="31" t="s">
        <v>25</v>
      </c>
      <c r="AE224" s="32" t="str">
        <f t="shared" si="17"/>
        <v>✓ OK</v>
      </c>
      <c r="AF224" s="33" t="s">
        <v>27</v>
      </c>
      <c r="AG224" s="33" t="s">
        <v>23</v>
      </c>
      <c r="AH224" s="33" t="s">
        <v>24</v>
      </c>
      <c r="AI224" s="33" t="s">
        <v>25</v>
      </c>
      <c r="AJ224" s="33" t="s">
        <v>26</v>
      </c>
      <c r="AK224" s="33" t="s">
        <v>24</v>
      </c>
      <c r="AL224" s="27"/>
      <c r="AM224" s="34" t="s">
        <v>25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8" customHeight="1" x14ac:dyDescent="0.3">
      <c r="A225" s="23">
        <v>221</v>
      </c>
      <c r="B225" s="24" t="s">
        <v>469</v>
      </c>
      <c r="C225" s="25" t="s">
        <v>470</v>
      </c>
      <c r="D225" s="23" t="s">
        <v>216</v>
      </c>
      <c r="E225" s="43">
        <v>46125</v>
      </c>
      <c r="F225" s="26" t="s">
        <v>23</v>
      </c>
      <c r="G225" s="26" t="s">
        <v>24</v>
      </c>
      <c r="H225" s="26" t="s">
        <v>25</v>
      </c>
      <c r="I225" s="26" t="s">
        <v>26</v>
      </c>
      <c r="J225" s="26" t="s">
        <v>24</v>
      </c>
      <c r="K225" s="27"/>
      <c r="L225" s="28" t="s">
        <v>25</v>
      </c>
      <c r="M225" s="29" t="str">
        <f t="shared" si="15"/>
        <v>✓ OK</v>
      </c>
      <c r="N225" s="43">
        <v>46139</v>
      </c>
      <c r="O225" s="26" t="s">
        <v>23</v>
      </c>
      <c r="P225" s="26" t="s">
        <v>24</v>
      </c>
      <c r="Q225" s="26" t="s">
        <v>25</v>
      </c>
      <c r="R225" s="26" t="s">
        <v>26</v>
      </c>
      <c r="S225" s="26" t="s">
        <v>24</v>
      </c>
      <c r="T225" s="27"/>
      <c r="U225" s="28" t="s">
        <v>25</v>
      </c>
      <c r="V225" s="29" t="str">
        <f t="shared" si="16"/>
        <v>✓ OK</v>
      </c>
      <c r="W225" s="45">
        <v>46248</v>
      </c>
      <c r="X225" s="30" t="s">
        <v>23</v>
      </c>
      <c r="Y225" s="30" t="s">
        <v>24</v>
      </c>
      <c r="Z225" s="30" t="s">
        <v>25</v>
      </c>
      <c r="AA225" s="30" t="s">
        <v>26</v>
      </c>
      <c r="AB225" s="30" t="s">
        <v>24</v>
      </c>
      <c r="AC225" s="27"/>
      <c r="AD225" s="31" t="s">
        <v>25</v>
      </c>
      <c r="AE225" s="32" t="str">
        <f t="shared" si="17"/>
        <v>✓ OK</v>
      </c>
      <c r="AF225" s="33" t="s">
        <v>27</v>
      </c>
      <c r="AG225" s="33" t="s">
        <v>23</v>
      </c>
      <c r="AH225" s="33" t="s">
        <v>24</v>
      </c>
      <c r="AI225" s="33" t="s">
        <v>25</v>
      </c>
      <c r="AJ225" s="33" t="s">
        <v>26</v>
      </c>
      <c r="AK225" s="33" t="s">
        <v>24</v>
      </c>
      <c r="AL225" s="27"/>
      <c r="AM225" s="34" t="s">
        <v>25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8" customHeight="1" x14ac:dyDescent="0.3">
      <c r="A226" s="39">
        <v>222</v>
      </c>
      <c r="B226" s="40" t="s">
        <v>471</v>
      </c>
      <c r="C226" s="41" t="s">
        <v>472</v>
      </c>
      <c r="D226" s="39" t="s">
        <v>216</v>
      </c>
      <c r="E226" s="43">
        <v>46125</v>
      </c>
      <c r="F226" s="26" t="s">
        <v>23</v>
      </c>
      <c r="G226" s="26" t="s">
        <v>24</v>
      </c>
      <c r="H226" s="26" t="s">
        <v>25</v>
      </c>
      <c r="I226" s="26" t="s">
        <v>26</v>
      </c>
      <c r="J226" s="26" t="s">
        <v>24</v>
      </c>
      <c r="K226" s="27"/>
      <c r="L226" s="28" t="s">
        <v>25</v>
      </c>
      <c r="M226" s="29" t="str">
        <f t="shared" si="15"/>
        <v>✓ OK</v>
      </c>
      <c r="N226" s="43">
        <v>46139</v>
      </c>
      <c r="O226" s="26" t="s">
        <v>23</v>
      </c>
      <c r="P226" s="26" t="s">
        <v>24</v>
      </c>
      <c r="Q226" s="26" t="s">
        <v>25</v>
      </c>
      <c r="R226" s="26" t="s">
        <v>26</v>
      </c>
      <c r="S226" s="26" t="s">
        <v>24</v>
      </c>
      <c r="T226" s="27"/>
      <c r="U226" s="28" t="s">
        <v>25</v>
      </c>
      <c r="V226" s="29" t="str">
        <f t="shared" si="16"/>
        <v>✓ OK</v>
      </c>
      <c r="W226" s="45">
        <v>46248</v>
      </c>
      <c r="X226" s="30" t="s">
        <v>23</v>
      </c>
      <c r="Y226" s="30" t="s">
        <v>24</v>
      </c>
      <c r="Z226" s="30" t="s">
        <v>25</v>
      </c>
      <c r="AA226" s="30" t="s">
        <v>26</v>
      </c>
      <c r="AB226" s="30" t="s">
        <v>24</v>
      </c>
      <c r="AC226" s="27"/>
      <c r="AD226" s="31" t="s">
        <v>25</v>
      </c>
      <c r="AE226" s="32" t="str">
        <f t="shared" si="17"/>
        <v>✓ OK</v>
      </c>
      <c r="AF226" s="33" t="s">
        <v>27</v>
      </c>
      <c r="AG226" s="33" t="s">
        <v>23</v>
      </c>
      <c r="AH226" s="33" t="s">
        <v>24</v>
      </c>
      <c r="AI226" s="33" t="s">
        <v>25</v>
      </c>
      <c r="AJ226" s="33" t="s">
        <v>26</v>
      </c>
      <c r="AK226" s="33" t="s">
        <v>24</v>
      </c>
      <c r="AL226" s="27"/>
      <c r="AM226" s="34" t="s">
        <v>25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8" customHeight="1" x14ac:dyDescent="0.3">
      <c r="A227" s="23">
        <v>223</v>
      </c>
      <c r="B227" s="24" t="s">
        <v>473</v>
      </c>
      <c r="C227" s="25" t="s">
        <v>474</v>
      </c>
      <c r="D227" s="23" t="s">
        <v>216</v>
      </c>
      <c r="E227" s="43">
        <v>46125</v>
      </c>
      <c r="F227" s="26" t="s">
        <v>23</v>
      </c>
      <c r="G227" s="26" t="s">
        <v>24</v>
      </c>
      <c r="H227" s="26" t="s">
        <v>25</v>
      </c>
      <c r="I227" s="26" t="s">
        <v>26</v>
      </c>
      <c r="J227" s="26" t="s">
        <v>24</v>
      </c>
      <c r="K227" s="27"/>
      <c r="L227" s="28" t="s">
        <v>25</v>
      </c>
      <c r="M227" s="29" t="str">
        <f t="shared" si="15"/>
        <v>✓ OK</v>
      </c>
      <c r="N227" s="43">
        <v>46139</v>
      </c>
      <c r="O227" s="26" t="s">
        <v>23</v>
      </c>
      <c r="P227" s="26" t="s">
        <v>24</v>
      </c>
      <c r="Q227" s="26" t="s">
        <v>25</v>
      </c>
      <c r="R227" s="26" t="s">
        <v>26</v>
      </c>
      <c r="S227" s="26" t="s">
        <v>24</v>
      </c>
      <c r="T227" s="27"/>
      <c r="U227" s="28" t="s">
        <v>25</v>
      </c>
      <c r="V227" s="29" t="str">
        <f t="shared" si="16"/>
        <v>✓ OK</v>
      </c>
      <c r="W227" s="45">
        <v>46248</v>
      </c>
      <c r="X227" s="30" t="s">
        <v>23</v>
      </c>
      <c r="Y227" s="30" t="s">
        <v>24</v>
      </c>
      <c r="Z227" s="30" t="s">
        <v>25</v>
      </c>
      <c r="AA227" s="30" t="s">
        <v>26</v>
      </c>
      <c r="AB227" s="30" t="s">
        <v>24</v>
      </c>
      <c r="AC227" s="27"/>
      <c r="AD227" s="31" t="s">
        <v>25</v>
      </c>
      <c r="AE227" s="32" t="str">
        <f t="shared" si="17"/>
        <v>✓ OK</v>
      </c>
      <c r="AF227" s="33" t="s">
        <v>27</v>
      </c>
      <c r="AG227" s="33" t="s">
        <v>23</v>
      </c>
      <c r="AH227" s="33" t="s">
        <v>24</v>
      </c>
      <c r="AI227" s="33" t="s">
        <v>25</v>
      </c>
      <c r="AJ227" s="33" t="s">
        <v>26</v>
      </c>
      <c r="AK227" s="33" t="s">
        <v>24</v>
      </c>
      <c r="AL227" s="27"/>
      <c r="AM227" s="34" t="s">
        <v>25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8" customHeight="1" x14ac:dyDescent="0.3">
      <c r="A228" s="39">
        <v>224</v>
      </c>
      <c r="B228" s="40" t="s">
        <v>475</v>
      </c>
      <c r="C228" s="41" t="s">
        <v>476</v>
      </c>
      <c r="D228" s="39" t="s">
        <v>216</v>
      </c>
      <c r="E228" s="43">
        <v>46125</v>
      </c>
      <c r="F228" s="26" t="s">
        <v>23</v>
      </c>
      <c r="G228" s="26" t="s">
        <v>24</v>
      </c>
      <c r="H228" s="26" t="s">
        <v>25</v>
      </c>
      <c r="I228" s="26" t="s">
        <v>26</v>
      </c>
      <c r="J228" s="26" t="s">
        <v>24</v>
      </c>
      <c r="K228" s="27"/>
      <c r="L228" s="28" t="s">
        <v>25</v>
      </c>
      <c r="M228" s="29" t="str">
        <f t="shared" si="15"/>
        <v>✓ OK</v>
      </c>
      <c r="N228" s="43">
        <v>46139</v>
      </c>
      <c r="O228" s="26" t="s">
        <v>23</v>
      </c>
      <c r="P228" s="26" t="s">
        <v>24</v>
      </c>
      <c r="Q228" s="26" t="s">
        <v>25</v>
      </c>
      <c r="R228" s="26" t="s">
        <v>26</v>
      </c>
      <c r="S228" s="26" t="s">
        <v>24</v>
      </c>
      <c r="T228" s="27"/>
      <c r="U228" s="28" t="s">
        <v>25</v>
      </c>
      <c r="V228" s="29" t="str">
        <f t="shared" si="16"/>
        <v>✓ OK</v>
      </c>
      <c r="W228" s="45">
        <v>46248</v>
      </c>
      <c r="X228" s="30" t="s">
        <v>23</v>
      </c>
      <c r="Y228" s="30" t="s">
        <v>24</v>
      </c>
      <c r="Z228" s="30" t="s">
        <v>25</v>
      </c>
      <c r="AA228" s="30" t="s">
        <v>26</v>
      </c>
      <c r="AB228" s="30" t="s">
        <v>24</v>
      </c>
      <c r="AC228" s="27"/>
      <c r="AD228" s="31" t="s">
        <v>25</v>
      </c>
      <c r="AE228" s="32" t="str">
        <f t="shared" si="17"/>
        <v>✓ OK</v>
      </c>
      <c r="AF228" s="33" t="s">
        <v>27</v>
      </c>
      <c r="AG228" s="33" t="s">
        <v>23</v>
      </c>
      <c r="AH228" s="33" t="s">
        <v>24</v>
      </c>
      <c r="AI228" s="33" t="s">
        <v>25</v>
      </c>
      <c r="AJ228" s="33" t="s">
        <v>26</v>
      </c>
      <c r="AK228" s="33" t="s">
        <v>24</v>
      </c>
      <c r="AL228" s="27"/>
      <c r="AM228" s="34" t="s">
        <v>25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8" customHeight="1" x14ac:dyDescent="0.3">
      <c r="A229" s="23">
        <v>225</v>
      </c>
      <c r="B229" s="24" t="s">
        <v>477</v>
      </c>
      <c r="C229" s="25" t="s">
        <v>478</v>
      </c>
      <c r="D229" s="23" t="s">
        <v>216</v>
      </c>
      <c r="E229" s="43">
        <v>46125</v>
      </c>
      <c r="F229" s="26" t="s">
        <v>23</v>
      </c>
      <c r="G229" s="26" t="s">
        <v>24</v>
      </c>
      <c r="H229" s="26" t="s">
        <v>25</v>
      </c>
      <c r="I229" s="26" t="s">
        <v>26</v>
      </c>
      <c r="J229" s="26" t="s">
        <v>24</v>
      </c>
      <c r="K229" s="27"/>
      <c r="L229" s="28" t="s">
        <v>25</v>
      </c>
      <c r="M229" s="29" t="str">
        <f t="shared" si="15"/>
        <v>✓ OK</v>
      </c>
      <c r="N229" s="43">
        <v>46139</v>
      </c>
      <c r="O229" s="26" t="s">
        <v>23</v>
      </c>
      <c r="P229" s="26" t="s">
        <v>24</v>
      </c>
      <c r="Q229" s="26" t="s">
        <v>25</v>
      </c>
      <c r="R229" s="26" t="s">
        <v>26</v>
      </c>
      <c r="S229" s="26" t="s">
        <v>24</v>
      </c>
      <c r="T229" s="27"/>
      <c r="U229" s="28" t="s">
        <v>25</v>
      </c>
      <c r="V229" s="29" t="str">
        <f t="shared" si="16"/>
        <v>✓ OK</v>
      </c>
      <c r="W229" s="45">
        <v>46248</v>
      </c>
      <c r="X229" s="30" t="s">
        <v>23</v>
      </c>
      <c r="Y229" s="30" t="s">
        <v>24</v>
      </c>
      <c r="Z229" s="30" t="s">
        <v>25</v>
      </c>
      <c r="AA229" s="30" t="s">
        <v>26</v>
      </c>
      <c r="AB229" s="30" t="s">
        <v>24</v>
      </c>
      <c r="AC229" s="27"/>
      <c r="AD229" s="31" t="s">
        <v>25</v>
      </c>
      <c r="AE229" s="32" t="str">
        <f t="shared" si="17"/>
        <v>✓ OK</v>
      </c>
      <c r="AF229" s="33" t="s">
        <v>27</v>
      </c>
      <c r="AG229" s="33" t="s">
        <v>23</v>
      </c>
      <c r="AH229" s="33" t="s">
        <v>24</v>
      </c>
      <c r="AI229" s="33" t="s">
        <v>25</v>
      </c>
      <c r="AJ229" s="33" t="s">
        <v>26</v>
      </c>
      <c r="AK229" s="33" t="s">
        <v>24</v>
      </c>
      <c r="AL229" s="27"/>
      <c r="AM229" s="34" t="s">
        <v>25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8" customHeight="1" x14ac:dyDescent="0.3">
      <c r="A230" s="39">
        <v>226</v>
      </c>
      <c r="B230" s="40" t="s">
        <v>479</v>
      </c>
      <c r="C230" s="41" t="s">
        <v>480</v>
      </c>
      <c r="D230" s="39" t="s">
        <v>216</v>
      </c>
      <c r="E230" s="43">
        <v>46125</v>
      </c>
      <c r="F230" s="26" t="s">
        <v>23</v>
      </c>
      <c r="G230" s="26" t="s">
        <v>24</v>
      </c>
      <c r="H230" s="26" t="s">
        <v>25</v>
      </c>
      <c r="I230" s="26" t="s">
        <v>26</v>
      </c>
      <c r="J230" s="26" t="s">
        <v>24</v>
      </c>
      <c r="K230" s="27"/>
      <c r="L230" s="28" t="s">
        <v>25</v>
      </c>
      <c r="M230" s="29" t="str">
        <f t="shared" si="15"/>
        <v>✓ OK</v>
      </c>
      <c r="N230" s="43">
        <v>46139</v>
      </c>
      <c r="O230" s="26" t="s">
        <v>23</v>
      </c>
      <c r="P230" s="26" t="s">
        <v>24</v>
      </c>
      <c r="Q230" s="26" t="s">
        <v>25</v>
      </c>
      <c r="R230" s="26" t="s">
        <v>26</v>
      </c>
      <c r="S230" s="26" t="s">
        <v>24</v>
      </c>
      <c r="T230" s="27"/>
      <c r="U230" s="28" t="s">
        <v>25</v>
      </c>
      <c r="V230" s="29" t="str">
        <f t="shared" si="16"/>
        <v>✓ OK</v>
      </c>
      <c r="W230" s="45">
        <v>46248</v>
      </c>
      <c r="X230" s="30" t="s">
        <v>23</v>
      </c>
      <c r="Y230" s="30" t="s">
        <v>24</v>
      </c>
      <c r="Z230" s="30" t="s">
        <v>25</v>
      </c>
      <c r="AA230" s="30" t="s">
        <v>26</v>
      </c>
      <c r="AB230" s="30" t="s">
        <v>24</v>
      </c>
      <c r="AC230" s="27"/>
      <c r="AD230" s="31" t="s">
        <v>25</v>
      </c>
      <c r="AE230" s="32" t="str">
        <f t="shared" si="17"/>
        <v>✓ OK</v>
      </c>
      <c r="AF230" s="33" t="s">
        <v>27</v>
      </c>
      <c r="AG230" s="33" t="s">
        <v>23</v>
      </c>
      <c r="AH230" s="33" t="s">
        <v>24</v>
      </c>
      <c r="AI230" s="33" t="s">
        <v>25</v>
      </c>
      <c r="AJ230" s="33" t="s">
        <v>26</v>
      </c>
      <c r="AK230" s="33" t="s">
        <v>24</v>
      </c>
      <c r="AL230" s="27"/>
      <c r="AM230" s="34" t="s">
        <v>25</v>
      </c>
      <c r="AN230" s="35" t="str">
        <f t="shared" si="18"/>
        <v>✓ OK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8" customHeight="1" x14ac:dyDescent="0.3">
      <c r="A231" s="23">
        <v>227</v>
      </c>
      <c r="B231" s="24" t="s">
        <v>481</v>
      </c>
      <c r="C231" s="25" t="s">
        <v>482</v>
      </c>
      <c r="D231" s="23" t="s">
        <v>216</v>
      </c>
      <c r="E231" s="43">
        <v>46125</v>
      </c>
      <c r="F231" s="26" t="s">
        <v>23</v>
      </c>
      <c r="G231" s="26" t="s">
        <v>24</v>
      </c>
      <c r="H231" s="26" t="s">
        <v>25</v>
      </c>
      <c r="I231" s="26" t="s">
        <v>26</v>
      </c>
      <c r="J231" s="26" t="s">
        <v>24</v>
      </c>
      <c r="K231" s="27"/>
      <c r="L231" s="28" t="s">
        <v>25</v>
      </c>
      <c r="M231" s="29" t="str">
        <f t="shared" si="15"/>
        <v>✓ OK</v>
      </c>
      <c r="N231" s="43">
        <v>46139</v>
      </c>
      <c r="O231" s="26" t="s">
        <v>23</v>
      </c>
      <c r="P231" s="26" t="s">
        <v>24</v>
      </c>
      <c r="Q231" s="26" t="s">
        <v>25</v>
      </c>
      <c r="R231" s="26" t="s">
        <v>26</v>
      </c>
      <c r="S231" s="26" t="s">
        <v>24</v>
      </c>
      <c r="T231" s="27"/>
      <c r="U231" s="28" t="s">
        <v>25</v>
      </c>
      <c r="V231" s="29" t="str">
        <f t="shared" si="16"/>
        <v>✓ OK</v>
      </c>
      <c r="W231" s="45">
        <v>46248</v>
      </c>
      <c r="X231" s="30" t="s">
        <v>23</v>
      </c>
      <c r="Y231" s="30" t="s">
        <v>24</v>
      </c>
      <c r="Z231" s="30" t="s">
        <v>25</v>
      </c>
      <c r="AA231" s="30" t="s">
        <v>26</v>
      </c>
      <c r="AB231" s="30" t="s">
        <v>24</v>
      </c>
      <c r="AC231" s="27"/>
      <c r="AD231" s="31" t="s">
        <v>25</v>
      </c>
      <c r="AE231" s="32" t="str">
        <f t="shared" si="17"/>
        <v>✓ OK</v>
      </c>
      <c r="AF231" s="33" t="s">
        <v>27</v>
      </c>
      <c r="AG231" s="33" t="s">
        <v>23</v>
      </c>
      <c r="AH231" s="33" t="s">
        <v>24</v>
      </c>
      <c r="AI231" s="33" t="s">
        <v>25</v>
      </c>
      <c r="AJ231" s="33" t="s">
        <v>26</v>
      </c>
      <c r="AK231" s="33" t="s">
        <v>24</v>
      </c>
      <c r="AL231" s="27"/>
      <c r="AM231" s="34" t="s">
        <v>25</v>
      </c>
      <c r="AN231" s="35" t="str">
        <f t="shared" si="18"/>
        <v>✓ OK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8" customHeight="1" x14ac:dyDescent="0.3">
      <c r="A232" s="39">
        <v>228</v>
      </c>
      <c r="B232" s="40" t="s">
        <v>483</v>
      </c>
      <c r="C232" s="41" t="s">
        <v>484</v>
      </c>
      <c r="D232" s="39" t="s">
        <v>216</v>
      </c>
      <c r="E232" s="43">
        <v>46125</v>
      </c>
      <c r="F232" s="26" t="s">
        <v>23</v>
      </c>
      <c r="G232" s="26" t="s">
        <v>24</v>
      </c>
      <c r="H232" s="26" t="s">
        <v>25</v>
      </c>
      <c r="I232" s="26" t="s">
        <v>26</v>
      </c>
      <c r="J232" s="26" t="s">
        <v>24</v>
      </c>
      <c r="K232" s="27"/>
      <c r="L232" s="28" t="s">
        <v>25</v>
      </c>
      <c r="M232" s="29" t="str">
        <f t="shared" si="15"/>
        <v>✓ OK</v>
      </c>
      <c r="N232" s="43">
        <v>46139</v>
      </c>
      <c r="O232" s="26" t="s">
        <v>23</v>
      </c>
      <c r="P232" s="26" t="s">
        <v>24</v>
      </c>
      <c r="Q232" s="26" t="s">
        <v>25</v>
      </c>
      <c r="R232" s="26" t="s">
        <v>26</v>
      </c>
      <c r="S232" s="26" t="s">
        <v>24</v>
      </c>
      <c r="T232" s="27"/>
      <c r="U232" s="28" t="s">
        <v>25</v>
      </c>
      <c r="V232" s="29" t="str">
        <f t="shared" si="16"/>
        <v>✓ OK</v>
      </c>
      <c r="W232" s="45">
        <v>46248</v>
      </c>
      <c r="X232" s="30" t="s">
        <v>23</v>
      </c>
      <c r="Y232" s="30" t="s">
        <v>24</v>
      </c>
      <c r="Z232" s="30" t="s">
        <v>25</v>
      </c>
      <c r="AA232" s="30" t="s">
        <v>26</v>
      </c>
      <c r="AB232" s="30" t="s">
        <v>24</v>
      </c>
      <c r="AC232" s="27"/>
      <c r="AD232" s="31" t="s">
        <v>25</v>
      </c>
      <c r="AE232" s="32" t="str">
        <f t="shared" si="17"/>
        <v>✓ OK</v>
      </c>
      <c r="AF232" s="33" t="s">
        <v>27</v>
      </c>
      <c r="AG232" s="33" t="s">
        <v>23</v>
      </c>
      <c r="AH232" s="33" t="s">
        <v>24</v>
      </c>
      <c r="AI232" s="33" t="s">
        <v>25</v>
      </c>
      <c r="AJ232" s="33" t="s">
        <v>26</v>
      </c>
      <c r="AK232" s="33" t="s">
        <v>24</v>
      </c>
      <c r="AL232" s="27"/>
      <c r="AM232" s="34" t="s">
        <v>25</v>
      </c>
      <c r="AN232" s="35" t="str">
        <f t="shared" si="18"/>
        <v>✓ OK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8" customHeight="1" x14ac:dyDescent="0.3">
      <c r="A233" s="23">
        <v>229</v>
      </c>
      <c r="B233" s="24" t="s">
        <v>485</v>
      </c>
      <c r="C233" s="25" t="s">
        <v>486</v>
      </c>
      <c r="D233" s="23" t="s">
        <v>216</v>
      </c>
      <c r="E233" s="43">
        <v>46125</v>
      </c>
      <c r="F233" s="26" t="s">
        <v>23</v>
      </c>
      <c r="G233" s="26" t="s">
        <v>24</v>
      </c>
      <c r="H233" s="26" t="s">
        <v>25</v>
      </c>
      <c r="I233" s="26" t="s">
        <v>26</v>
      </c>
      <c r="J233" s="26" t="s">
        <v>24</v>
      </c>
      <c r="K233" s="27"/>
      <c r="L233" s="28" t="s">
        <v>25</v>
      </c>
      <c r="M233" s="29" t="str">
        <f t="shared" si="15"/>
        <v>✓ OK</v>
      </c>
      <c r="N233" s="43">
        <v>46139</v>
      </c>
      <c r="O233" s="26" t="s">
        <v>23</v>
      </c>
      <c r="P233" s="26" t="s">
        <v>24</v>
      </c>
      <c r="Q233" s="26" t="s">
        <v>25</v>
      </c>
      <c r="R233" s="26" t="s">
        <v>26</v>
      </c>
      <c r="S233" s="26" t="s">
        <v>24</v>
      </c>
      <c r="T233" s="27"/>
      <c r="U233" s="28" t="s">
        <v>25</v>
      </c>
      <c r="V233" s="29" t="str">
        <f t="shared" si="16"/>
        <v>✓ OK</v>
      </c>
      <c r="W233" s="45">
        <v>46248</v>
      </c>
      <c r="X233" s="30" t="s">
        <v>23</v>
      </c>
      <c r="Y233" s="30" t="s">
        <v>24</v>
      </c>
      <c r="Z233" s="30" t="s">
        <v>25</v>
      </c>
      <c r="AA233" s="30" t="s">
        <v>26</v>
      </c>
      <c r="AB233" s="30" t="s">
        <v>24</v>
      </c>
      <c r="AC233" s="27"/>
      <c r="AD233" s="31" t="s">
        <v>25</v>
      </c>
      <c r="AE233" s="32" t="str">
        <f t="shared" si="17"/>
        <v>✓ OK</v>
      </c>
      <c r="AF233" s="33" t="s">
        <v>27</v>
      </c>
      <c r="AG233" s="33" t="s">
        <v>23</v>
      </c>
      <c r="AH233" s="33" t="s">
        <v>24</v>
      </c>
      <c r="AI233" s="33" t="s">
        <v>25</v>
      </c>
      <c r="AJ233" s="33" t="s">
        <v>26</v>
      </c>
      <c r="AK233" s="33" t="s">
        <v>24</v>
      </c>
      <c r="AL233" s="27"/>
      <c r="AM233" s="34" t="s">
        <v>25</v>
      </c>
      <c r="AN233" s="35" t="str">
        <f t="shared" si="18"/>
        <v>✓ OK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8" customHeight="1" x14ac:dyDescent="0.3">
      <c r="A234" s="39">
        <v>230</v>
      </c>
      <c r="B234" s="40" t="s">
        <v>487</v>
      </c>
      <c r="C234" s="41" t="s">
        <v>488</v>
      </c>
      <c r="D234" s="39" t="s">
        <v>216</v>
      </c>
      <c r="E234" s="43">
        <v>46125</v>
      </c>
      <c r="F234" s="26" t="s">
        <v>23</v>
      </c>
      <c r="G234" s="26" t="s">
        <v>24</v>
      </c>
      <c r="H234" s="26" t="s">
        <v>25</v>
      </c>
      <c r="I234" s="26" t="s">
        <v>26</v>
      </c>
      <c r="J234" s="26" t="s">
        <v>24</v>
      </c>
      <c r="K234" s="27"/>
      <c r="L234" s="28" t="s">
        <v>25</v>
      </c>
      <c r="M234" s="29" t="str">
        <f t="shared" si="15"/>
        <v>✓ OK</v>
      </c>
      <c r="N234" s="43">
        <v>46139</v>
      </c>
      <c r="O234" s="26" t="s">
        <v>23</v>
      </c>
      <c r="P234" s="26" t="s">
        <v>24</v>
      </c>
      <c r="Q234" s="26" t="s">
        <v>25</v>
      </c>
      <c r="R234" s="26" t="s">
        <v>26</v>
      </c>
      <c r="S234" s="26" t="s">
        <v>24</v>
      </c>
      <c r="T234" s="27"/>
      <c r="U234" s="28" t="s">
        <v>25</v>
      </c>
      <c r="V234" s="29" t="str">
        <f t="shared" si="16"/>
        <v>✓ OK</v>
      </c>
      <c r="W234" s="45">
        <v>46248</v>
      </c>
      <c r="X234" s="30" t="s">
        <v>23</v>
      </c>
      <c r="Y234" s="30" t="s">
        <v>24</v>
      </c>
      <c r="Z234" s="30" t="s">
        <v>25</v>
      </c>
      <c r="AA234" s="30" t="s">
        <v>26</v>
      </c>
      <c r="AB234" s="30" t="s">
        <v>24</v>
      </c>
      <c r="AC234" s="27"/>
      <c r="AD234" s="31" t="s">
        <v>25</v>
      </c>
      <c r="AE234" s="32" t="str">
        <f t="shared" si="17"/>
        <v>✓ OK</v>
      </c>
      <c r="AF234" s="33" t="s">
        <v>27</v>
      </c>
      <c r="AG234" s="33" t="s">
        <v>23</v>
      </c>
      <c r="AH234" s="33" t="s">
        <v>24</v>
      </c>
      <c r="AI234" s="33" t="s">
        <v>25</v>
      </c>
      <c r="AJ234" s="33" t="s">
        <v>26</v>
      </c>
      <c r="AK234" s="33" t="s">
        <v>24</v>
      </c>
      <c r="AL234" s="27"/>
      <c r="AM234" s="34" t="s">
        <v>25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8" customHeight="1" x14ac:dyDescent="0.3">
      <c r="A235" s="23">
        <v>231</v>
      </c>
      <c r="B235" s="24" t="s">
        <v>489</v>
      </c>
      <c r="C235" s="25" t="s">
        <v>490</v>
      </c>
      <c r="D235" s="23" t="s">
        <v>216</v>
      </c>
      <c r="E235" s="43">
        <v>46125</v>
      </c>
      <c r="F235" s="26" t="s">
        <v>23</v>
      </c>
      <c r="G235" s="26" t="s">
        <v>24</v>
      </c>
      <c r="H235" s="26" t="s">
        <v>25</v>
      </c>
      <c r="I235" s="26" t="s">
        <v>26</v>
      </c>
      <c r="J235" s="26" t="s">
        <v>24</v>
      </c>
      <c r="K235" s="27"/>
      <c r="L235" s="28" t="s">
        <v>25</v>
      </c>
      <c r="M235" s="29" t="str">
        <f t="shared" si="15"/>
        <v>✓ OK</v>
      </c>
      <c r="N235" s="43">
        <v>46139</v>
      </c>
      <c r="O235" s="26" t="s">
        <v>23</v>
      </c>
      <c r="P235" s="26" t="s">
        <v>24</v>
      </c>
      <c r="Q235" s="26" t="s">
        <v>25</v>
      </c>
      <c r="R235" s="26" t="s">
        <v>26</v>
      </c>
      <c r="S235" s="26" t="s">
        <v>24</v>
      </c>
      <c r="T235" s="27"/>
      <c r="U235" s="28" t="s">
        <v>25</v>
      </c>
      <c r="V235" s="29" t="str">
        <f t="shared" si="16"/>
        <v>✓ OK</v>
      </c>
      <c r="W235" s="45">
        <v>46248</v>
      </c>
      <c r="X235" s="30" t="s">
        <v>23</v>
      </c>
      <c r="Y235" s="30" t="s">
        <v>24</v>
      </c>
      <c r="Z235" s="30" t="s">
        <v>25</v>
      </c>
      <c r="AA235" s="30" t="s">
        <v>26</v>
      </c>
      <c r="AB235" s="30" t="s">
        <v>24</v>
      </c>
      <c r="AC235" s="27"/>
      <c r="AD235" s="31" t="s">
        <v>25</v>
      </c>
      <c r="AE235" s="32" t="str">
        <f t="shared" si="17"/>
        <v>✓ OK</v>
      </c>
      <c r="AF235" s="33" t="s">
        <v>27</v>
      </c>
      <c r="AG235" s="33" t="s">
        <v>23</v>
      </c>
      <c r="AH235" s="33" t="s">
        <v>24</v>
      </c>
      <c r="AI235" s="33" t="s">
        <v>25</v>
      </c>
      <c r="AJ235" s="33" t="s">
        <v>26</v>
      </c>
      <c r="AK235" s="33" t="s">
        <v>24</v>
      </c>
      <c r="AL235" s="27"/>
      <c r="AM235" s="34" t="s">
        <v>25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8" customHeight="1" x14ac:dyDescent="0.3">
      <c r="A236" s="39">
        <v>232</v>
      </c>
      <c r="B236" s="40" t="s">
        <v>491</v>
      </c>
      <c r="C236" s="41" t="s">
        <v>492</v>
      </c>
      <c r="D236" s="39" t="s">
        <v>216</v>
      </c>
      <c r="E236" s="43">
        <v>46125</v>
      </c>
      <c r="F236" s="26" t="s">
        <v>23</v>
      </c>
      <c r="G236" s="26" t="s">
        <v>24</v>
      </c>
      <c r="H236" s="26" t="s">
        <v>25</v>
      </c>
      <c r="I236" s="26" t="s">
        <v>26</v>
      </c>
      <c r="J236" s="26" t="s">
        <v>24</v>
      </c>
      <c r="K236" s="27"/>
      <c r="L236" s="28" t="s">
        <v>25</v>
      </c>
      <c r="M236" s="29" t="str">
        <f t="shared" si="15"/>
        <v>✓ OK</v>
      </c>
      <c r="N236" s="43">
        <v>46139</v>
      </c>
      <c r="O236" s="26" t="s">
        <v>23</v>
      </c>
      <c r="P236" s="26" t="s">
        <v>24</v>
      </c>
      <c r="Q236" s="26" t="s">
        <v>25</v>
      </c>
      <c r="R236" s="26" t="s">
        <v>26</v>
      </c>
      <c r="S236" s="26" t="s">
        <v>24</v>
      </c>
      <c r="T236" s="27"/>
      <c r="U236" s="28" t="s">
        <v>25</v>
      </c>
      <c r="V236" s="29" t="str">
        <f t="shared" si="16"/>
        <v>✓ OK</v>
      </c>
      <c r="W236" s="45">
        <v>46248</v>
      </c>
      <c r="X236" s="30" t="s">
        <v>23</v>
      </c>
      <c r="Y236" s="30" t="s">
        <v>24</v>
      </c>
      <c r="Z236" s="30" t="s">
        <v>25</v>
      </c>
      <c r="AA236" s="30" t="s">
        <v>26</v>
      </c>
      <c r="AB236" s="30" t="s">
        <v>24</v>
      </c>
      <c r="AC236" s="27"/>
      <c r="AD236" s="31" t="s">
        <v>25</v>
      </c>
      <c r="AE236" s="32" t="str">
        <f t="shared" si="17"/>
        <v>✓ OK</v>
      </c>
      <c r="AF236" s="33" t="s">
        <v>27</v>
      </c>
      <c r="AG236" s="33" t="s">
        <v>23</v>
      </c>
      <c r="AH236" s="33" t="s">
        <v>24</v>
      </c>
      <c r="AI236" s="33" t="s">
        <v>25</v>
      </c>
      <c r="AJ236" s="33" t="s">
        <v>26</v>
      </c>
      <c r="AK236" s="33" t="s">
        <v>24</v>
      </c>
      <c r="AL236" s="27"/>
      <c r="AM236" s="34" t="s">
        <v>25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8" customHeight="1" x14ac:dyDescent="0.3">
      <c r="A237" s="23">
        <v>233</v>
      </c>
      <c r="B237" s="24" t="s">
        <v>493</v>
      </c>
      <c r="C237" s="25" t="s">
        <v>494</v>
      </c>
      <c r="D237" s="23" t="s">
        <v>216</v>
      </c>
      <c r="E237" s="43">
        <v>46125</v>
      </c>
      <c r="F237" s="26" t="s">
        <v>23</v>
      </c>
      <c r="G237" s="26" t="s">
        <v>24</v>
      </c>
      <c r="H237" s="26" t="s">
        <v>25</v>
      </c>
      <c r="I237" s="26" t="s">
        <v>26</v>
      </c>
      <c r="J237" s="26" t="s">
        <v>24</v>
      </c>
      <c r="K237" s="27"/>
      <c r="L237" s="28" t="s">
        <v>25</v>
      </c>
      <c r="M237" s="29" t="str">
        <f t="shared" si="15"/>
        <v>✓ OK</v>
      </c>
      <c r="N237" s="43">
        <v>46139</v>
      </c>
      <c r="O237" s="26" t="s">
        <v>23</v>
      </c>
      <c r="P237" s="26" t="s">
        <v>24</v>
      </c>
      <c r="Q237" s="26" t="s">
        <v>25</v>
      </c>
      <c r="R237" s="26" t="s">
        <v>26</v>
      </c>
      <c r="S237" s="26" t="s">
        <v>24</v>
      </c>
      <c r="T237" s="27"/>
      <c r="U237" s="28" t="s">
        <v>25</v>
      </c>
      <c r="V237" s="29" t="str">
        <f t="shared" si="16"/>
        <v>✓ OK</v>
      </c>
      <c r="W237" s="45">
        <v>46248</v>
      </c>
      <c r="X237" s="30" t="s">
        <v>23</v>
      </c>
      <c r="Y237" s="30" t="s">
        <v>24</v>
      </c>
      <c r="Z237" s="30" t="s">
        <v>25</v>
      </c>
      <c r="AA237" s="30" t="s">
        <v>26</v>
      </c>
      <c r="AB237" s="30" t="s">
        <v>24</v>
      </c>
      <c r="AC237" s="27"/>
      <c r="AD237" s="31" t="s">
        <v>25</v>
      </c>
      <c r="AE237" s="32" t="str">
        <f t="shared" si="17"/>
        <v>✓ OK</v>
      </c>
      <c r="AF237" s="33" t="s">
        <v>27</v>
      </c>
      <c r="AG237" s="33" t="s">
        <v>23</v>
      </c>
      <c r="AH237" s="33" t="s">
        <v>24</v>
      </c>
      <c r="AI237" s="33" t="s">
        <v>25</v>
      </c>
      <c r="AJ237" s="33" t="s">
        <v>26</v>
      </c>
      <c r="AK237" s="33" t="s">
        <v>24</v>
      </c>
      <c r="AL237" s="27"/>
      <c r="AM237" s="34" t="s">
        <v>25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8" customHeight="1" x14ac:dyDescent="0.3">
      <c r="A238" s="39">
        <v>234</v>
      </c>
      <c r="B238" s="40" t="s">
        <v>495</v>
      </c>
      <c r="C238" s="41" t="s">
        <v>496</v>
      </c>
      <c r="D238" s="39" t="s">
        <v>216</v>
      </c>
      <c r="E238" s="43">
        <v>46125</v>
      </c>
      <c r="F238" s="26" t="s">
        <v>23</v>
      </c>
      <c r="G238" s="26" t="s">
        <v>24</v>
      </c>
      <c r="H238" s="26" t="s">
        <v>25</v>
      </c>
      <c r="I238" s="26" t="s">
        <v>26</v>
      </c>
      <c r="J238" s="26" t="s">
        <v>24</v>
      </c>
      <c r="K238" s="27"/>
      <c r="L238" s="28" t="s">
        <v>25</v>
      </c>
      <c r="M238" s="29" t="str">
        <f t="shared" si="15"/>
        <v>✓ OK</v>
      </c>
      <c r="N238" s="43">
        <v>46139</v>
      </c>
      <c r="O238" s="26" t="s">
        <v>23</v>
      </c>
      <c r="P238" s="26" t="s">
        <v>24</v>
      </c>
      <c r="Q238" s="26" t="s">
        <v>25</v>
      </c>
      <c r="R238" s="26" t="s">
        <v>26</v>
      </c>
      <c r="S238" s="26" t="s">
        <v>24</v>
      </c>
      <c r="T238" s="27"/>
      <c r="U238" s="28" t="s">
        <v>25</v>
      </c>
      <c r="V238" s="29" t="str">
        <f t="shared" si="16"/>
        <v>✓ OK</v>
      </c>
      <c r="W238" s="45">
        <v>46248</v>
      </c>
      <c r="X238" s="30" t="s">
        <v>23</v>
      </c>
      <c r="Y238" s="30" t="s">
        <v>24</v>
      </c>
      <c r="Z238" s="30" t="s">
        <v>25</v>
      </c>
      <c r="AA238" s="30" t="s">
        <v>26</v>
      </c>
      <c r="AB238" s="30" t="s">
        <v>24</v>
      </c>
      <c r="AC238" s="27"/>
      <c r="AD238" s="31" t="s">
        <v>25</v>
      </c>
      <c r="AE238" s="32" t="str">
        <f t="shared" si="17"/>
        <v>✓ OK</v>
      </c>
      <c r="AF238" s="33" t="s">
        <v>27</v>
      </c>
      <c r="AG238" s="33" t="s">
        <v>23</v>
      </c>
      <c r="AH238" s="33" t="s">
        <v>24</v>
      </c>
      <c r="AI238" s="33" t="s">
        <v>25</v>
      </c>
      <c r="AJ238" s="33" t="s">
        <v>26</v>
      </c>
      <c r="AK238" s="33" t="s">
        <v>24</v>
      </c>
      <c r="AL238" s="27"/>
      <c r="AM238" s="34" t="s">
        <v>25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8" customHeight="1" x14ac:dyDescent="0.3">
      <c r="A239" s="23">
        <v>235</v>
      </c>
      <c r="B239" s="24" t="s">
        <v>497</v>
      </c>
      <c r="C239" s="25" t="s">
        <v>498</v>
      </c>
      <c r="D239" s="23" t="s">
        <v>216</v>
      </c>
      <c r="E239" s="43">
        <v>46125</v>
      </c>
      <c r="F239" s="26" t="s">
        <v>23</v>
      </c>
      <c r="G239" s="26" t="s">
        <v>24</v>
      </c>
      <c r="H239" s="26" t="s">
        <v>25</v>
      </c>
      <c r="I239" s="26" t="s">
        <v>26</v>
      </c>
      <c r="J239" s="26" t="s">
        <v>24</v>
      </c>
      <c r="K239" s="27"/>
      <c r="L239" s="28" t="s">
        <v>25</v>
      </c>
      <c r="M239" s="29" t="str">
        <f t="shared" si="15"/>
        <v>✓ OK</v>
      </c>
      <c r="N239" s="43">
        <v>46139</v>
      </c>
      <c r="O239" s="26" t="s">
        <v>23</v>
      </c>
      <c r="P239" s="26" t="s">
        <v>24</v>
      </c>
      <c r="Q239" s="26" t="s">
        <v>25</v>
      </c>
      <c r="R239" s="26" t="s">
        <v>26</v>
      </c>
      <c r="S239" s="26" t="s">
        <v>24</v>
      </c>
      <c r="T239" s="27"/>
      <c r="U239" s="28" t="s">
        <v>25</v>
      </c>
      <c r="V239" s="29" t="str">
        <f t="shared" si="16"/>
        <v>✓ OK</v>
      </c>
      <c r="W239" s="45">
        <v>46248</v>
      </c>
      <c r="X239" s="30" t="s">
        <v>23</v>
      </c>
      <c r="Y239" s="30" t="s">
        <v>24</v>
      </c>
      <c r="Z239" s="30" t="s">
        <v>25</v>
      </c>
      <c r="AA239" s="30" t="s">
        <v>26</v>
      </c>
      <c r="AB239" s="30" t="s">
        <v>24</v>
      </c>
      <c r="AC239" s="27"/>
      <c r="AD239" s="31" t="s">
        <v>25</v>
      </c>
      <c r="AE239" s="32" t="str">
        <f t="shared" si="17"/>
        <v>✓ OK</v>
      </c>
      <c r="AF239" s="33" t="s">
        <v>27</v>
      </c>
      <c r="AG239" s="33" t="s">
        <v>23</v>
      </c>
      <c r="AH239" s="33" t="s">
        <v>24</v>
      </c>
      <c r="AI239" s="33" t="s">
        <v>25</v>
      </c>
      <c r="AJ239" s="33" t="s">
        <v>26</v>
      </c>
      <c r="AK239" s="33" t="s">
        <v>24</v>
      </c>
      <c r="AL239" s="27"/>
      <c r="AM239" s="34" t="s">
        <v>25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8" customHeight="1" x14ac:dyDescent="0.3">
      <c r="A240" s="39">
        <v>236</v>
      </c>
      <c r="B240" s="40" t="s">
        <v>499</v>
      </c>
      <c r="C240" s="41" t="s">
        <v>500</v>
      </c>
      <c r="D240" s="39" t="s">
        <v>216</v>
      </c>
      <c r="E240" s="43">
        <v>46125</v>
      </c>
      <c r="F240" s="26" t="s">
        <v>23</v>
      </c>
      <c r="G240" s="26" t="s">
        <v>24</v>
      </c>
      <c r="H240" s="26" t="s">
        <v>25</v>
      </c>
      <c r="I240" s="26" t="s">
        <v>26</v>
      </c>
      <c r="J240" s="26" t="s">
        <v>24</v>
      </c>
      <c r="K240" s="27"/>
      <c r="L240" s="28" t="s">
        <v>25</v>
      </c>
      <c r="M240" s="29" t="str">
        <f t="shared" si="15"/>
        <v>✓ OK</v>
      </c>
      <c r="N240" s="43">
        <v>46139</v>
      </c>
      <c r="O240" s="26" t="s">
        <v>23</v>
      </c>
      <c r="P240" s="26" t="s">
        <v>24</v>
      </c>
      <c r="Q240" s="26" t="s">
        <v>25</v>
      </c>
      <c r="R240" s="26" t="s">
        <v>26</v>
      </c>
      <c r="S240" s="26" t="s">
        <v>24</v>
      </c>
      <c r="T240" s="27"/>
      <c r="U240" s="28" t="s">
        <v>25</v>
      </c>
      <c r="V240" s="29" t="str">
        <f t="shared" si="16"/>
        <v>✓ OK</v>
      </c>
      <c r="W240" s="45">
        <v>46248</v>
      </c>
      <c r="X240" s="30" t="s">
        <v>23</v>
      </c>
      <c r="Y240" s="30" t="s">
        <v>24</v>
      </c>
      <c r="Z240" s="30" t="s">
        <v>25</v>
      </c>
      <c r="AA240" s="30" t="s">
        <v>26</v>
      </c>
      <c r="AB240" s="30" t="s">
        <v>24</v>
      </c>
      <c r="AC240" s="27"/>
      <c r="AD240" s="31" t="s">
        <v>25</v>
      </c>
      <c r="AE240" s="32" t="str">
        <f t="shared" si="17"/>
        <v>✓ OK</v>
      </c>
      <c r="AF240" s="33" t="s">
        <v>27</v>
      </c>
      <c r="AG240" s="33" t="s">
        <v>23</v>
      </c>
      <c r="AH240" s="33" t="s">
        <v>24</v>
      </c>
      <c r="AI240" s="33" t="s">
        <v>25</v>
      </c>
      <c r="AJ240" s="33" t="s">
        <v>26</v>
      </c>
      <c r="AK240" s="33" t="s">
        <v>24</v>
      </c>
      <c r="AL240" s="27"/>
      <c r="AM240" s="34" t="s">
        <v>25</v>
      </c>
      <c r="AN240" s="35" t="str">
        <f t="shared" si="18"/>
        <v>✓ OK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8" customHeight="1" x14ac:dyDescent="0.3">
      <c r="A241" s="23">
        <v>237</v>
      </c>
      <c r="B241" s="24" t="s">
        <v>501</v>
      </c>
      <c r="C241" s="25" t="s">
        <v>502</v>
      </c>
      <c r="D241" s="23" t="s">
        <v>216</v>
      </c>
      <c r="E241" s="43">
        <v>46125</v>
      </c>
      <c r="F241" s="26" t="s">
        <v>23</v>
      </c>
      <c r="G241" s="26" t="s">
        <v>24</v>
      </c>
      <c r="H241" s="26" t="s">
        <v>25</v>
      </c>
      <c r="I241" s="26" t="s">
        <v>26</v>
      </c>
      <c r="J241" s="26" t="s">
        <v>24</v>
      </c>
      <c r="K241" s="27"/>
      <c r="L241" s="28" t="s">
        <v>25</v>
      </c>
      <c r="M241" s="29" t="str">
        <f t="shared" si="15"/>
        <v>✓ OK</v>
      </c>
      <c r="N241" s="43">
        <v>46139</v>
      </c>
      <c r="O241" s="26" t="s">
        <v>23</v>
      </c>
      <c r="P241" s="26" t="s">
        <v>24</v>
      </c>
      <c r="Q241" s="26" t="s">
        <v>25</v>
      </c>
      <c r="R241" s="26" t="s">
        <v>26</v>
      </c>
      <c r="S241" s="26" t="s">
        <v>24</v>
      </c>
      <c r="T241" s="27"/>
      <c r="U241" s="28" t="s">
        <v>25</v>
      </c>
      <c r="V241" s="29" t="str">
        <f t="shared" si="16"/>
        <v>✓ OK</v>
      </c>
      <c r="W241" s="45">
        <v>46248</v>
      </c>
      <c r="X241" s="30" t="s">
        <v>23</v>
      </c>
      <c r="Y241" s="30" t="s">
        <v>24</v>
      </c>
      <c r="Z241" s="30" t="s">
        <v>25</v>
      </c>
      <c r="AA241" s="30" t="s">
        <v>26</v>
      </c>
      <c r="AB241" s="30" t="s">
        <v>24</v>
      </c>
      <c r="AC241" s="27"/>
      <c r="AD241" s="31" t="s">
        <v>25</v>
      </c>
      <c r="AE241" s="32" t="str">
        <f t="shared" si="17"/>
        <v>✓ OK</v>
      </c>
      <c r="AF241" s="33" t="s">
        <v>27</v>
      </c>
      <c r="AG241" s="33" t="s">
        <v>23</v>
      </c>
      <c r="AH241" s="33" t="s">
        <v>24</v>
      </c>
      <c r="AI241" s="33" t="s">
        <v>25</v>
      </c>
      <c r="AJ241" s="33" t="s">
        <v>26</v>
      </c>
      <c r="AK241" s="33" t="s">
        <v>24</v>
      </c>
      <c r="AL241" s="27"/>
      <c r="AM241" s="34" t="s">
        <v>25</v>
      </c>
      <c r="AN241" s="35" t="str">
        <f t="shared" si="18"/>
        <v>✓ OK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8" customHeight="1" x14ac:dyDescent="0.3">
      <c r="A242" s="39">
        <v>238</v>
      </c>
      <c r="B242" s="40" t="s">
        <v>503</v>
      </c>
      <c r="C242" s="41" t="s">
        <v>504</v>
      </c>
      <c r="D242" s="39" t="s">
        <v>216</v>
      </c>
      <c r="E242" s="43">
        <v>46125</v>
      </c>
      <c r="F242" s="26" t="s">
        <v>23</v>
      </c>
      <c r="G242" s="26" t="s">
        <v>24</v>
      </c>
      <c r="H242" s="26" t="s">
        <v>25</v>
      </c>
      <c r="I242" s="26" t="s">
        <v>26</v>
      </c>
      <c r="J242" s="26" t="s">
        <v>24</v>
      </c>
      <c r="K242" s="27"/>
      <c r="L242" s="28" t="s">
        <v>25</v>
      </c>
      <c r="M242" s="29" t="str">
        <f t="shared" si="15"/>
        <v>✓ OK</v>
      </c>
      <c r="N242" s="43">
        <v>46139</v>
      </c>
      <c r="O242" s="26" t="s">
        <v>23</v>
      </c>
      <c r="P242" s="26" t="s">
        <v>24</v>
      </c>
      <c r="Q242" s="26" t="s">
        <v>25</v>
      </c>
      <c r="R242" s="26" t="s">
        <v>26</v>
      </c>
      <c r="S242" s="26" t="s">
        <v>24</v>
      </c>
      <c r="T242" s="27"/>
      <c r="U242" s="28" t="s">
        <v>25</v>
      </c>
      <c r="V242" s="29" t="str">
        <f t="shared" si="16"/>
        <v>✓ OK</v>
      </c>
      <c r="W242" s="45">
        <v>46248</v>
      </c>
      <c r="X242" s="30" t="s">
        <v>23</v>
      </c>
      <c r="Y242" s="30" t="s">
        <v>24</v>
      </c>
      <c r="Z242" s="30" t="s">
        <v>25</v>
      </c>
      <c r="AA242" s="30" t="s">
        <v>26</v>
      </c>
      <c r="AB242" s="30" t="s">
        <v>24</v>
      </c>
      <c r="AC242" s="27"/>
      <c r="AD242" s="31" t="s">
        <v>25</v>
      </c>
      <c r="AE242" s="32" t="str">
        <f t="shared" si="17"/>
        <v>✓ OK</v>
      </c>
      <c r="AF242" s="33" t="s">
        <v>27</v>
      </c>
      <c r="AG242" s="33" t="s">
        <v>23</v>
      </c>
      <c r="AH242" s="33" t="s">
        <v>24</v>
      </c>
      <c r="AI242" s="33" t="s">
        <v>25</v>
      </c>
      <c r="AJ242" s="33" t="s">
        <v>26</v>
      </c>
      <c r="AK242" s="33" t="s">
        <v>24</v>
      </c>
      <c r="AL242" s="27"/>
      <c r="AM242" s="34" t="s">
        <v>25</v>
      </c>
      <c r="AN242" s="35" t="str">
        <f t="shared" si="18"/>
        <v>✓ OK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8" customHeight="1" x14ac:dyDescent="0.3">
      <c r="A243" s="23">
        <v>239</v>
      </c>
      <c r="B243" s="24" t="s">
        <v>505</v>
      </c>
      <c r="C243" s="25" t="s">
        <v>506</v>
      </c>
      <c r="D243" s="23" t="s">
        <v>216</v>
      </c>
      <c r="E243" s="43">
        <v>46125</v>
      </c>
      <c r="F243" s="26" t="s">
        <v>23</v>
      </c>
      <c r="G243" s="26" t="s">
        <v>24</v>
      </c>
      <c r="H243" s="26" t="s">
        <v>25</v>
      </c>
      <c r="I243" s="26" t="s">
        <v>26</v>
      </c>
      <c r="J243" s="26" t="s">
        <v>24</v>
      </c>
      <c r="K243" s="27"/>
      <c r="L243" s="28" t="s">
        <v>25</v>
      </c>
      <c r="M243" s="29" t="str">
        <f t="shared" si="15"/>
        <v>✓ OK</v>
      </c>
      <c r="N243" s="43">
        <v>46139</v>
      </c>
      <c r="O243" s="26" t="s">
        <v>23</v>
      </c>
      <c r="P243" s="26" t="s">
        <v>24</v>
      </c>
      <c r="Q243" s="26" t="s">
        <v>25</v>
      </c>
      <c r="R243" s="26" t="s">
        <v>26</v>
      </c>
      <c r="S243" s="26" t="s">
        <v>24</v>
      </c>
      <c r="T243" s="27"/>
      <c r="U243" s="28" t="s">
        <v>25</v>
      </c>
      <c r="V243" s="29" t="str">
        <f t="shared" si="16"/>
        <v>✓ OK</v>
      </c>
      <c r="W243" s="45">
        <v>46248</v>
      </c>
      <c r="X243" s="30" t="s">
        <v>23</v>
      </c>
      <c r="Y243" s="30" t="s">
        <v>24</v>
      </c>
      <c r="Z243" s="30" t="s">
        <v>25</v>
      </c>
      <c r="AA243" s="30" t="s">
        <v>26</v>
      </c>
      <c r="AB243" s="30" t="s">
        <v>24</v>
      </c>
      <c r="AC243" s="27"/>
      <c r="AD243" s="31" t="s">
        <v>25</v>
      </c>
      <c r="AE243" s="32" t="str">
        <f t="shared" si="17"/>
        <v>✓ OK</v>
      </c>
      <c r="AF243" s="33" t="s">
        <v>27</v>
      </c>
      <c r="AG243" s="33" t="s">
        <v>23</v>
      </c>
      <c r="AH243" s="33" t="s">
        <v>24</v>
      </c>
      <c r="AI243" s="33" t="s">
        <v>25</v>
      </c>
      <c r="AJ243" s="33" t="s">
        <v>26</v>
      </c>
      <c r="AK243" s="33" t="s">
        <v>24</v>
      </c>
      <c r="AL243" s="27"/>
      <c r="AM243" s="34" t="s">
        <v>25</v>
      </c>
      <c r="AN243" s="35" t="str">
        <f t="shared" si="18"/>
        <v>✓ OK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8" customHeight="1" x14ac:dyDescent="0.3">
      <c r="A244" s="39">
        <v>240</v>
      </c>
      <c r="B244" s="40" t="s">
        <v>507</v>
      </c>
      <c r="C244" s="41" t="s">
        <v>508</v>
      </c>
      <c r="D244" s="39" t="s">
        <v>216</v>
      </c>
      <c r="E244" s="43">
        <v>46125</v>
      </c>
      <c r="F244" s="26" t="s">
        <v>23</v>
      </c>
      <c r="G244" s="26" t="s">
        <v>24</v>
      </c>
      <c r="H244" s="26" t="s">
        <v>25</v>
      </c>
      <c r="I244" s="26" t="s">
        <v>26</v>
      </c>
      <c r="J244" s="26" t="s">
        <v>24</v>
      </c>
      <c r="K244" s="27"/>
      <c r="L244" s="28" t="s">
        <v>25</v>
      </c>
      <c r="M244" s="29" t="str">
        <f t="shared" si="15"/>
        <v>✓ OK</v>
      </c>
      <c r="N244" s="43">
        <v>46139</v>
      </c>
      <c r="O244" s="26" t="s">
        <v>23</v>
      </c>
      <c r="P244" s="26" t="s">
        <v>24</v>
      </c>
      <c r="Q244" s="26" t="s">
        <v>25</v>
      </c>
      <c r="R244" s="26" t="s">
        <v>26</v>
      </c>
      <c r="S244" s="26" t="s">
        <v>24</v>
      </c>
      <c r="T244" s="27"/>
      <c r="U244" s="28" t="s">
        <v>25</v>
      </c>
      <c r="V244" s="29" t="str">
        <f t="shared" si="16"/>
        <v>✓ OK</v>
      </c>
      <c r="W244" s="45">
        <v>46248</v>
      </c>
      <c r="X244" s="30" t="s">
        <v>23</v>
      </c>
      <c r="Y244" s="30" t="s">
        <v>24</v>
      </c>
      <c r="Z244" s="30" t="s">
        <v>25</v>
      </c>
      <c r="AA244" s="30" t="s">
        <v>26</v>
      </c>
      <c r="AB244" s="30" t="s">
        <v>24</v>
      </c>
      <c r="AC244" s="27"/>
      <c r="AD244" s="31" t="s">
        <v>25</v>
      </c>
      <c r="AE244" s="32" t="str">
        <f t="shared" si="17"/>
        <v>✓ OK</v>
      </c>
      <c r="AF244" s="33" t="s">
        <v>27</v>
      </c>
      <c r="AG244" s="33" t="s">
        <v>23</v>
      </c>
      <c r="AH244" s="33" t="s">
        <v>24</v>
      </c>
      <c r="AI244" s="33" t="s">
        <v>25</v>
      </c>
      <c r="AJ244" s="33" t="s">
        <v>26</v>
      </c>
      <c r="AK244" s="33" t="s">
        <v>24</v>
      </c>
      <c r="AL244" s="27"/>
      <c r="AM244" s="34" t="s">
        <v>25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8" customHeight="1" x14ac:dyDescent="0.3">
      <c r="A245" s="23">
        <v>241</v>
      </c>
      <c r="B245" s="24" t="s">
        <v>509</v>
      </c>
      <c r="C245" s="25" t="s">
        <v>510</v>
      </c>
      <c r="D245" s="23" t="s">
        <v>216</v>
      </c>
      <c r="E245" s="43">
        <v>46125</v>
      </c>
      <c r="F245" s="26" t="s">
        <v>23</v>
      </c>
      <c r="G245" s="26" t="s">
        <v>24</v>
      </c>
      <c r="H245" s="26" t="s">
        <v>25</v>
      </c>
      <c r="I245" s="26" t="s">
        <v>26</v>
      </c>
      <c r="J245" s="26" t="s">
        <v>24</v>
      </c>
      <c r="K245" s="27"/>
      <c r="L245" s="28" t="s">
        <v>25</v>
      </c>
      <c r="M245" s="29" t="str">
        <f t="shared" si="15"/>
        <v>✓ OK</v>
      </c>
      <c r="N245" s="43">
        <v>46139</v>
      </c>
      <c r="O245" s="26" t="s">
        <v>23</v>
      </c>
      <c r="P245" s="26" t="s">
        <v>24</v>
      </c>
      <c r="Q245" s="26" t="s">
        <v>25</v>
      </c>
      <c r="R245" s="26" t="s">
        <v>26</v>
      </c>
      <c r="S245" s="26" t="s">
        <v>24</v>
      </c>
      <c r="T245" s="27"/>
      <c r="U245" s="28" t="s">
        <v>25</v>
      </c>
      <c r="V245" s="29" t="str">
        <f t="shared" si="16"/>
        <v>✓ OK</v>
      </c>
      <c r="W245" s="45">
        <v>46248</v>
      </c>
      <c r="X245" s="30" t="s">
        <v>23</v>
      </c>
      <c r="Y245" s="30" t="s">
        <v>24</v>
      </c>
      <c r="Z245" s="30" t="s">
        <v>25</v>
      </c>
      <c r="AA245" s="30" t="s">
        <v>26</v>
      </c>
      <c r="AB245" s="30" t="s">
        <v>24</v>
      </c>
      <c r="AC245" s="27"/>
      <c r="AD245" s="31" t="s">
        <v>25</v>
      </c>
      <c r="AE245" s="32" t="str">
        <f t="shared" si="17"/>
        <v>✓ OK</v>
      </c>
      <c r="AF245" s="33" t="s">
        <v>27</v>
      </c>
      <c r="AG245" s="33" t="s">
        <v>23</v>
      </c>
      <c r="AH245" s="33" t="s">
        <v>24</v>
      </c>
      <c r="AI245" s="33" t="s">
        <v>25</v>
      </c>
      <c r="AJ245" s="33" t="s">
        <v>26</v>
      </c>
      <c r="AK245" s="33" t="s">
        <v>24</v>
      </c>
      <c r="AL245" s="27"/>
      <c r="AM245" s="34" t="s">
        <v>25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8" customHeight="1" x14ac:dyDescent="0.3">
      <c r="A246" s="39">
        <v>242</v>
      </c>
      <c r="B246" s="40" t="s">
        <v>511</v>
      </c>
      <c r="C246" s="41" t="s">
        <v>512</v>
      </c>
      <c r="D246" s="39" t="s">
        <v>216</v>
      </c>
      <c r="E246" s="43">
        <v>46125</v>
      </c>
      <c r="F246" s="26" t="s">
        <v>23</v>
      </c>
      <c r="G246" s="26" t="s">
        <v>24</v>
      </c>
      <c r="H246" s="26" t="s">
        <v>25</v>
      </c>
      <c r="I246" s="26" t="s">
        <v>26</v>
      </c>
      <c r="J246" s="26" t="s">
        <v>24</v>
      </c>
      <c r="K246" s="27"/>
      <c r="L246" s="28" t="s">
        <v>25</v>
      </c>
      <c r="M246" s="29" t="str">
        <f t="shared" si="15"/>
        <v>✓ OK</v>
      </c>
      <c r="N246" s="43">
        <v>46139</v>
      </c>
      <c r="O246" s="26" t="s">
        <v>23</v>
      </c>
      <c r="P246" s="26" t="s">
        <v>24</v>
      </c>
      <c r="Q246" s="26" t="s">
        <v>25</v>
      </c>
      <c r="R246" s="26" t="s">
        <v>26</v>
      </c>
      <c r="S246" s="26" t="s">
        <v>24</v>
      </c>
      <c r="T246" s="27"/>
      <c r="U246" s="28" t="s">
        <v>25</v>
      </c>
      <c r="V246" s="29" t="str">
        <f t="shared" si="16"/>
        <v>✓ OK</v>
      </c>
      <c r="W246" s="45">
        <v>46248</v>
      </c>
      <c r="X246" s="30" t="s">
        <v>23</v>
      </c>
      <c r="Y246" s="30" t="s">
        <v>24</v>
      </c>
      <c r="Z246" s="30" t="s">
        <v>25</v>
      </c>
      <c r="AA246" s="30" t="s">
        <v>26</v>
      </c>
      <c r="AB246" s="30" t="s">
        <v>24</v>
      </c>
      <c r="AC246" s="27"/>
      <c r="AD246" s="31" t="s">
        <v>25</v>
      </c>
      <c r="AE246" s="32" t="str">
        <f t="shared" si="17"/>
        <v>✓ OK</v>
      </c>
      <c r="AF246" s="33" t="s">
        <v>27</v>
      </c>
      <c r="AG246" s="33" t="s">
        <v>23</v>
      </c>
      <c r="AH246" s="33" t="s">
        <v>24</v>
      </c>
      <c r="AI246" s="33" t="s">
        <v>25</v>
      </c>
      <c r="AJ246" s="33" t="s">
        <v>26</v>
      </c>
      <c r="AK246" s="33" t="s">
        <v>24</v>
      </c>
      <c r="AL246" s="27"/>
      <c r="AM246" s="34" t="s">
        <v>25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8" customHeight="1" x14ac:dyDescent="0.3">
      <c r="A247" s="23">
        <v>243</v>
      </c>
      <c r="B247" s="24" t="s">
        <v>513</v>
      </c>
      <c r="C247" s="25" t="s">
        <v>514</v>
      </c>
      <c r="D247" s="23" t="s">
        <v>216</v>
      </c>
      <c r="E247" s="43">
        <v>46125</v>
      </c>
      <c r="F247" s="26" t="s">
        <v>23</v>
      </c>
      <c r="G247" s="26" t="s">
        <v>24</v>
      </c>
      <c r="H247" s="26" t="s">
        <v>25</v>
      </c>
      <c r="I247" s="26" t="s">
        <v>26</v>
      </c>
      <c r="J247" s="26" t="s">
        <v>24</v>
      </c>
      <c r="K247" s="27"/>
      <c r="L247" s="28" t="s">
        <v>25</v>
      </c>
      <c r="M247" s="29" t="str">
        <f t="shared" si="15"/>
        <v>✓ OK</v>
      </c>
      <c r="N247" s="43">
        <v>46139</v>
      </c>
      <c r="O247" s="26" t="s">
        <v>23</v>
      </c>
      <c r="P247" s="26" t="s">
        <v>24</v>
      </c>
      <c r="Q247" s="26" t="s">
        <v>25</v>
      </c>
      <c r="R247" s="26" t="s">
        <v>26</v>
      </c>
      <c r="S247" s="26" t="s">
        <v>24</v>
      </c>
      <c r="T247" s="27"/>
      <c r="U247" s="28" t="s">
        <v>25</v>
      </c>
      <c r="V247" s="29" t="str">
        <f t="shared" si="16"/>
        <v>✓ OK</v>
      </c>
      <c r="W247" s="45">
        <v>46248</v>
      </c>
      <c r="X247" s="30" t="s">
        <v>23</v>
      </c>
      <c r="Y247" s="30" t="s">
        <v>24</v>
      </c>
      <c r="Z247" s="30" t="s">
        <v>25</v>
      </c>
      <c r="AA247" s="30" t="s">
        <v>26</v>
      </c>
      <c r="AB247" s="30" t="s">
        <v>24</v>
      </c>
      <c r="AC247" s="27"/>
      <c r="AD247" s="31" t="s">
        <v>25</v>
      </c>
      <c r="AE247" s="32" t="str">
        <f t="shared" si="17"/>
        <v>✓ OK</v>
      </c>
      <c r="AF247" s="33" t="s">
        <v>27</v>
      </c>
      <c r="AG247" s="33" t="s">
        <v>23</v>
      </c>
      <c r="AH247" s="33" t="s">
        <v>24</v>
      </c>
      <c r="AI247" s="33" t="s">
        <v>25</v>
      </c>
      <c r="AJ247" s="33" t="s">
        <v>26</v>
      </c>
      <c r="AK247" s="33" t="s">
        <v>24</v>
      </c>
      <c r="AL247" s="27"/>
      <c r="AM247" s="34" t="s">
        <v>25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8" customHeight="1" x14ac:dyDescent="0.3">
      <c r="A248" s="39">
        <v>244</v>
      </c>
      <c r="B248" s="40" t="s">
        <v>515</v>
      </c>
      <c r="C248" s="41" t="s">
        <v>516</v>
      </c>
      <c r="D248" s="39" t="s">
        <v>216</v>
      </c>
      <c r="E248" s="43">
        <v>46125</v>
      </c>
      <c r="F248" s="26" t="s">
        <v>23</v>
      </c>
      <c r="G248" s="26" t="s">
        <v>24</v>
      </c>
      <c r="H248" s="26" t="s">
        <v>25</v>
      </c>
      <c r="I248" s="26" t="s">
        <v>26</v>
      </c>
      <c r="J248" s="26" t="s">
        <v>24</v>
      </c>
      <c r="K248" s="27"/>
      <c r="L248" s="28" t="s">
        <v>25</v>
      </c>
      <c r="M248" s="29" t="str">
        <f t="shared" si="15"/>
        <v>✓ OK</v>
      </c>
      <c r="N248" s="43">
        <v>46139</v>
      </c>
      <c r="O248" s="26" t="s">
        <v>23</v>
      </c>
      <c r="P248" s="26" t="s">
        <v>24</v>
      </c>
      <c r="Q248" s="26" t="s">
        <v>25</v>
      </c>
      <c r="R248" s="26" t="s">
        <v>26</v>
      </c>
      <c r="S248" s="26" t="s">
        <v>24</v>
      </c>
      <c r="T248" s="27"/>
      <c r="U248" s="28" t="s">
        <v>25</v>
      </c>
      <c r="V248" s="29" t="str">
        <f t="shared" si="16"/>
        <v>✓ OK</v>
      </c>
      <c r="W248" s="45">
        <v>46248</v>
      </c>
      <c r="X248" s="30" t="s">
        <v>23</v>
      </c>
      <c r="Y248" s="30" t="s">
        <v>24</v>
      </c>
      <c r="Z248" s="30" t="s">
        <v>25</v>
      </c>
      <c r="AA248" s="30" t="s">
        <v>26</v>
      </c>
      <c r="AB248" s="30" t="s">
        <v>24</v>
      </c>
      <c r="AC248" s="27"/>
      <c r="AD248" s="31" t="s">
        <v>25</v>
      </c>
      <c r="AE248" s="32" t="str">
        <f t="shared" si="17"/>
        <v>✓ OK</v>
      </c>
      <c r="AF248" s="33" t="s">
        <v>27</v>
      </c>
      <c r="AG248" s="33" t="s">
        <v>23</v>
      </c>
      <c r="AH248" s="33" t="s">
        <v>24</v>
      </c>
      <c r="AI248" s="33" t="s">
        <v>25</v>
      </c>
      <c r="AJ248" s="33" t="s">
        <v>26</v>
      </c>
      <c r="AK248" s="33" t="s">
        <v>24</v>
      </c>
      <c r="AL248" s="27"/>
      <c r="AM248" s="34" t="s">
        <v>25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8" customHeight="1" x14ac:dyDescent="0.3">
      <c r="A249" s="23">
        <v>245</v>
      </c>
      <c r="B249" s="24" t="s">
        <v>517</v>
      </c>
      <c r="C249" s="25" t="s">
        <v>518</v>
      </c>
      <c r="D249" s="23" t="s">
        <v>216</v>
      </c>
      <c r="E249" s="43">
        <v>46125</v>
      </c>
      <c r="F249" s="26" t="s">
        <v>23</v>
      </c>
      <c r="G249" s="26" t="s">
        <v>24</v>
      </c>
      <c r="H249" s="26" t="s">
        <v>25</v>
      </c>
      <c r="I249" s="26" t="s">
        <v>26</v>
      </c>
      <c r="J249" s="26" t="s">
        <v>24</v>
      </c>
      <c r="K249" s="27"/>
      <c r="L249" s="28" t="s">
        <v>25</v>
      </c>
      <c r="M249" s="29" t="str">
        <f t="shared" si="15"/>
        <v>✓ OK</v>
      </c>
      <c r="N249" s="43">
        <v>46139</v>
      </c>
      <c r="O249" s="26" t="s">
        <v>23</v>
      </c>
      <c r="P249" s="26" t="s">
        <v>24</v>
      </c>
      <c r="Q249" s="26" t="s">
        <v>25</v>
      </c>
      <c r="R249" s="26" t="s">
        <v>26</v>
      </c>
      <c r="S249" s="26" t="s">
        <v>24</v>
      </c>
      <c r="T249" s="27"/>
      <c r="U249" s="28" t="s">
        <v>25</v>
      </c>
      <c r="V249" s="29" t="str">
        <f t="shared" si="16"/>
        <v>✓ OK</v>
      </c>
      <c r="W249" s="45">
        <v>46248</v>
      </c>
      <c r="X249" s="30" t="s">
        <v>23</v>
      </c>
      <c r="Y249" s="30" t="s">
        <v>24</v>
      </c>
      <c r="Z249" s="30" t="s">
        <v>25</v>
      </c>
      <c r="AA249" s="30" t="s">
        <v>26</v>
      </c>
      <c r="AB249" s="30" t="s">
        <v>24</v>
      </c>
      <c r="AC249" s="27"/>
      <c r="AD249" s="31" t="s">
        <v>25</v>
      </c>
      <c r="AE249" s="32" t="str">
        <f t="shared" si="17"/>
        <v>✓ OK</v>
      </c>
      <c r="AF249" s="33" t="s">
        <v>27</v>
      </c>
      <c r="AG249" s="33" t="s">
        <v>23</v>
      </c>
      <c r="AH249" s="33" t="s">
        <v>24</v>
      </c>
      <c r="AI249" s="33" t="s">
        <v>25</v>
      </c>
      <c r="AJ249" s="33" t="s">
        <v>26</v>
      </c>
      <c r="AK249" s="33" t="s">
        <v>24</v>
      </c>
      <c r="AL249" s="27"/>
      <c r="AM249" s="34" t="s">
        <v>25</v>
      </c>
      <c r="AN249" s="35" t="str">
        <f t="shared" si="18"/>
        <v>✓ OK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8" customHeight="1" x14ac:dyDescent="0.3">
      <c r="A250" s="39">
        <v>246</v>
      </c>
      <c r="B250" s="40" t="s">
        <v>519</v>
      </c>
      <c r="C250" s="41" t="s">
        <v>520</v>
      </c>
      <c r="D250" s="39" t="s">
        <v>216</v>
      </c>
      <c r="E250" s="43">
        <v>46125</v>
      </c>
      <c r="F250" s="26" t="s">
        <v>23</v>
      </c>
      <c r="G250" s="26" t="s">
        <v>24</v>
      </c>
      <c r="H250" s="26" t="s">
        <v>25</v>
      </c>
      <c r="I250" s="26" t="s">
        <v>26</v>
      </c>
      <c r="J250" s="26" t="s">
        <v>24</v>
      </c>
      <c r="K250" s="27"/>
      <c r="L250" s="28" t="s">
        <v>25</v>
      </c>
      <c r="M250" s="29" t="str">
        <f t="shared" si="15"/>
        <v>✓ OK</v>
      </c>
      <c r="N250" s="43">
        <v>46139</v>
      </c>
      <c r="O250" s="26" t="s">
        <v>23</v>
      </c>
      <c r="P250" s="26" t="s">
        <v>24</v>
      </c>
      <c r="Q250" s="26" t="s">
        <v>25</v>
      </c>
      <c r="R250" s="26" t="s">
        <v>26</v>
      </c>
      <c r="S250" s="26" t="s">
        <v>24</v>
      </c>
      <c r="T250" s="27"/>
      <c r="U250" s="28" t="s">
        <v>25</v>
      </c>
      <c r="V250" s="29" t="str">
        <f t="shared" si="16"/>
        <v>✓ OK</v>
      </c>
      <c r="W250" s="45">
        <v>46248</v>
      </c>
      <c r="X250" s="30" t="s">
        <v>23</v>
      </c>
      <c r="Y250" s="30" t="s">
        <v>24</v>
      </c>
      <c r="Z250" s="30" t="s">
        <v>25</v>
      </c>
      <c r="AA250" s="30" t="s">
        <v>26</v>
      </c>
      <c r="AB250" s="30" t="s">
        <v>24</v>
      </c>
      <c r="AC250" s="27"/>
      <c r="AD250" s="31" t="s">
        <v>25</v>
      </c>
      <c r="AE250" s="32" t="str">
        <f t="shared" si="17"/>
        <v>✓ OK</v>
      </c>
      <c r="AF250" s="33" t="s">
        <v>27</v>
      </c>
      <c r="AG250" s="33" t="s">
        <v>23</v>
      </c>
      <c r="AH250" s="33" t="s">
        <v>24</v>
      </c>
      <c r="AI250" s="33" t="s">
        <v>25</v>
      </c>
      <c r="AJ250" s="33" t="s">
        <v>26</v>
      </c>
      <c r="AK250" s="33" t="s">
        <v>24</v>
      </c>
      <c r="AL250" s="27"/>
      <c r="AM250" s="34" t="s">
        <v>25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8" customHeight="1" x14ac:dyDescent="0.3">
      <c r="A251" s="23">
        <v>247</v>
      </c>
      <c r="B251" s="24" t="s">
        <v>521</v>
      </c>
      <c r="C251" s="25" t="s">
        <v>522</v>
      </c>
      <c r="D251" s="23" t="s">
        <v>216</v>
      </c>
      <c r="E251" s="43">
        <v>46125</v>
      </c>
      <c r="F251" s="26" t="s">
        <v>23</v>
      </c>
      <c r="G251" s="26" t="s">
        <v>24</v>
      </c>
      <c r="H251" s="26" t="s">
        <v>25</v>
      </c>
      <c r="I251" s="26" t="s">
        <v>26</v>
      </c>
      <c r="J251" s="26" t="s">
        <v>24</v>
      </c>
      <c r="K251" s="27"/>
      <c r="L251" s="28" t="s">
        <v>25</v>
      </c>
      <c r="M251" s="29" t="str">
        <f t="shared" si="15"/>
        <v>✓ OK</v>
      </c>
      <c r="N251" s="43">
        <v>46139</v>
      </c>
      <c r="O251" s="26" t="s">
        <v>23</v>
      </c>
      <c r="P251" s="26" t="s">
        <v>24</v>
      </c>
      <c r="Q251" s="26" t="s">
        <v>25</v>
      </c>
      <c r="R251" s="26" t="s">
        <v>26</v>
      </c>
      <c r="S251" s="26" t="s">
        <v>24</v>
      </c>
      <c r="T251" s="27"/>
      <c r="U251" s="28" t="s">
        <v>25</v>
      </c>
      <c r="V251" s="29" t="str">
        <f t="shared" si="16"/>
        <v>✓ OK</v>
      </c>
      <c r="W251" s="45">
        <v>46248</v>
      </c>
      <c r="X251" s="30" t="s">
        <v>23</v>
      </c>
      <c r="Y251" s="30" t="s">
        <v>24</v>
      </c>
      <c r="Z251" s="30" t="s">
        <v>25</v>
      </c>
      <c r="AA251" s="30" t="s">
        <v>26</v>
      </c>
      <c r="AB251" s="30" t="s">
        <v>24</v>
      </c>
      <c r="AC251" s="27"/>
      <c r="AD251" s="31" t="s">
        <v>25</v>
      </c>
      <c r="AE251" s="32" t="str">
        <f t="shared" si="17"/>
        <v>✓ OK</v>
      </c>
      <c r="AF251" s="33" t="s">
        <v>27</v>
      </c>
      <c r="AG251" s="33" t="s">
        <v>23</v>
      </c>
      <c r="AH251" s="33" t="s">
        <v>24</v>
      </c>
      <c r="AI251" s="33" t="s">
        <v>25</v>
      </c>
      <c r="AJ251" s="33" t="s">
        <v>26</v>
      </c>
      <c r="AK251" s="33" t="s">
        <v>24</v>
      </c>
      <c r="AL251" s="27"/>
      <c r="AM251" s="34" t="s">
        <v>25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8" customHeight="1" x14ac:dyDescent="0.3">
      <c r="A252" s="39">
        <v>248</v>
      </c>
      <c r="B252" s="40" t="s">
        <v>523</v>
      </c>
      <c r="C252" s="41" t="s">
        <v>524</v>
      </c>
      <c r="D252" s="39" t="s">
        <v>216</v>
      </c>
      <c r="E252" s="43">
        <v>46125</v>
      </c>
      <c r="F252" s="26" t="s">
        <v>23</v>
      </c>
      <c r="G252" s="26" t="s">
        <v>24</v>
      </c>
      <c r="H252" s="26" t="s">
        <v>25</v>
      </c>
      <c r="I252" s="26" t="s">
        <v>26</v>
      </c>
      <c r="J252" s="26" t="s">
        <v>24</v>
      </c>
      <c r="K252" s="27"/>
      <c r="L252" s="28" t="s">
        <v>25</v>
      </c>
      <c r="M252" s="29" t="str">
        <f t="shared" si="15"/>
        <v>✓ OK</v>
      </c>
      <c r="N252" s="43">
        <v>46139</v>
      </c>
      <c r="O252" s="26" t="s">
        <v>23</v>
      </c>
      <c r="P252" s="26" t="s">
        <v>24</v>
      </c>
      <c r="Q252" s="26" t="s">
        <v>25</v>
      </c>
      <c r="R252" s="26" t="s">
        <v>26</v>
      </c>
      <c r="S252" s="26" t="s">
        <v>24</v>
      </c>
      <c r="T252" s="27"/>
      <c r="U252" s="28" t="s">
        <v>25</v>
      </c>
      <c r="V252" s="29" t="str">
        <f t="shared" si="16"/>
        <v>✓ OK</v>
      </c>
      <c r="W252" s="45">
        <v>46248</v>
      </c>
      <c r="X252" s="30" t="s">
        <v>23</v>
      </c>
      <c r="Y252" s="30" t="s">
        <v>24</v>
      </c>
      <c r="Z252" s="30" t="s">
        <v>25</v>
      </c>
      <c r="AA252" s="30" t="s">
        <v>26</v>
      </c>
      <c r="AB252" s="30" t="s">
        <v>24</v>
      </c>
      <c r="AC252" s="27"/>
      <c r="AD252" s="31" t="s">
        <v>25</v>
      </c>
      <c r="AE252" s="32" t="str">
        <f t="shared" si="17"/>
        <v>✓ OK</v>
      </c>
      <c r="AF252" s="33" t="s">
        <v>27</v>
      </c>
      <c r="AG252" s="33" t="s">
        <v>23</v>
      </c>
      <c r="AH252" s="33" t="s">
        <v>24</v>
      </c>
      <c r="AI252" s="33" t="s">
        <v>25</v>
      </c>
      <c r="AJ252" s="33" t="s">
        <v>26</v>
      </c>
      <c r="AK252" s="33" t="s">
        <v>24</v>
      </c>
      <c r="AL252" s="27"/>
      <c r="AM252" s="34" t="s">
        <v>25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8" customHeight="1" x14ac:dyDescent="0.3">
      <c r="A253" s="23">
        <v>249</v>
      </c>
      <c r="B253" s="24" t="s">
        <v>525</v>
      </c>
      <c r="C253" s="25" t="s">
        <v>526</v>
      </c>
      <c r="D253" s="23" t="s">
        <v>216</v>
      </c>
      <c r="E253" s="43">
        <v>46125</v>
      </c>
      <c r="F253" s="26" t="s">
        <v>23</v>
      </c>
      <c r="G253" s="26" t="s">
        <v>24</v>
      </c>
      <c r="H253" s="26" t="s">
        <v>25</v>
      </c>
      <c r="I253" s="26" t="s">
        <v>26</v>
      </c>
      <c r="J253" s="26" t="s">
        <v>24</v>
      </c>
      <c r="K253" s="27"/>
      <c r="L253" s="28" t="s">
        <v>25</v>
      </c>
      <c r="M253" s="29" t="str">
        <f t="shared" si="15"/>
        <v>✓ OK</v>
      </c>
      <c r="N253" s="43">
        <v>46139</v>
      </c>
      <c r="O253" s="26" t="s">
        <v>23</v>
      </c>
      <c r="P253" s="26" t="s">
        <v>24</v>
      </c>
      <c r="Q253" s="26" t="s">
        <v>25</v>
      </c>
      <c r="R253" s="26" t="s">
        <v>26</v>
      </c>
      <c r="S253" s="26" t="s">
        <v>24</v>
      </c>
      <c r="T253" s="27"/>
      <c r="U253" s="28" t="s">
        <v>25</v>
      </c>
      <c r="V253" s="29" t="str">
        <f t="shared" si="16"/>
        <v>✓ OK</v>
      </c>
      <c r="W253" s="45">
        <v>46248</v>
      </c>
      <c r="X253" s="30" t="s">
        <v>23</v>
      </c>
      <c r="Y253" s="30" t="s">
        <v>24</v>
      </c>
      <c r="Z253" s="30" t="s">
        <v>25</v>
      </c>
      <c r="AA253" s="30" t="s">
        <v>26</v>
      </c>
      <c r="AB253" s="30" t="s">
        <v>24</v>
      </c>
      <c r="AC253" s="27"/>
      <c r="AD253" s="31" t="s">
        <v>25</v>
      </c>
      <c r="AE253" s="32" t="str">
        <f t="shared" si="17"/>
        <v>✓ OK</v>
      </c>
      <c r="AF253" s="33" t="s">
        <v>27</v>
      </c>
      <c r="AG253" s="33" t="s">
        <v>23</v>
      </c>
      <c r="AH253" s="33" t="s">
        <v>24</v>
      </c>
      <c r="AI253" s="33" t="s">
        <v>25</v>
      </c>
      <c r="AJ253" s="33" t="s">
        <v>26</v>
      </c>
      <c r="AK253" s="33" t="s">
        <v>24</v>
      </c>
      <c r="AL253" s="27"/>
      <c r="AM253" s="34" t="s">
        <v>25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8" customHeight="1" x14ac:dyDescent="0.3">
      <c r="A254" s="39">
        <v>250</v>
      </c>
      <c r="B254" s="40" t="s">
        <v>527</v>
      </c>
      <c r="C254" s="41" t="s">
        <v>528</v>
      </c>
      <c r="D254" s="39" t="s">
        <v>216</v>
      </c>
      <c r="E254" s="43">
        <v>46125</v>
      </c>
      <c r="F254" s="26" t="s">
        <v>23</v>
      </c>
      <c r="G254" s="26" t="s">
        <v>24</v>
      </c>
      <c r="H254" s="26" t="s">
        <v>25</v>
      </c>
      <c r="I254" s="26" t="s">
        <v>26</v>
      </c>
      <c r="J254" s="26" t="s">
        <v>24</v>
      </c>
      <c r="K254" s="27"/>
      <c r="L254" s="28" t="s">
        <v>25</v>
      </c>
      <c r="M254" s="29" t="str">
        <f t="shared" si="15"/>
        <v>✓ OK</v>
      </c>
      <c r="N254" s="43">
        <v>46139</v>
      </c>
      <c r="O254" s="26" t="s">
        <v>23</v>
      </c>
      <c r="P254" s="26" t="s">
        <v>24</v>
      </c>
      <c r="Q254" s="26" t="s">
        <v>25</v>
      </c>
      <c r="R254" s="26" t="s">
        <v>26</v>
      </c>
      <c r="S254" s="26" t="s">
        <v>24</v>
      </c>
      <c r="T254" s="27"/>
      <c r="U254" s="28" t="s">
        <v>25</v>
      </c>
      <c r="V254" s="29" t="str">
        <f t="shared" si="16"/>
        <v>✓ OK</v>
      </c>
      <c r="W254" s="45">
        <v>46248</v>
      </c>
      <c r="X254" s="30" t="s">
        <v>23</v>
      </c>
      <c r="Y254" s="30" t="s">
        <v>24</v>
      </c>
      <c r="Z254" s="30" t="s">
        <v>25</v>
      </c>
      <c r="AA254" s="30" t="s">
        <v>26</v>
      </c>
      <c r="AB254" s="30" t="s">
        <v>24</v>
      </c>
      <c r="AC254" s="27"/>
      <c r="AD254" s="31" t="s">
        <v>25</v>
      </c>
      <c r="AE254" s="32" t="str">
        <f t="shared" si="17"/>
        <v>✓ OK</v>
      </c>
      <c r="AF254" s="33" t="s">
        <v>27</v>
      </c>
      <c r="AG254" s="33" t="s">
        <v>23</v>
      </c>
      <c r="AH254" s="33" t="s">
        <v>24</v>
      </c>
      <c r="AI254" s="33" t="s">
        <v>25</v>
      </c>
      <c r="AJ254" s="33" t="s">
        <v>26</v>
      </c>
      <c r="AK254" s="33" t="s">
        <v>24</v>
      </c>
      <c r="AL254" s="27"/>
      <c r="AM254" s="34" t="s">
        <v>25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8" customHeight="1" x14ac:dyDescent="0.3">
      <c r="A255" s="23">
        <v>251</v>
      </c>
      <c r="B255" s="24" t="s">
        <v>529</v>
      </c>
      <c r="C255" s="25" t="s">
        <v>530</v>
      </c>
      <c r="D255" s="23" t="s">
        <v>216</v>
      </c>
      <c r="E255" s="43">
        <v>46125</v>
      </c>
      <c r="F255" s="26" t="s">
        <v>23</v>
      </c>
      <c r="G255" s="26" t="s">
        <v>24</v>
      </c>
      <c r="H255" s="26" t="s">
        <v>25</v>
      </c>
      <c r="I255" s="26" t="s">
        <v>26</v>
      </c>
      <c r="J255" s="26" t="s">
        <v>24</v>
      </c>
      <c r="K255" s="27"/>
      <c r="L255" s="28" t="s">
        <v>25</v>
      </c>
      <c r="M255" s="29" t="str">
        <f t="shared" si="15"/>
        <v>✓ OK</v>
      </c>
      <c r="N255" s="43">
        <v>46139</v>
      </c>
      <c r="O255" s="26" t="s">
        <v>23</v>
      </c>
      <c r="P255" s="26" t="s">
        <v>24</v>
      </c>
      <c r="Q255" s="26" t="s">
        <v>25</v>
      </c>
      <c r="R255" s="26" t="s">
        <v>26</v>
      </c>
      <c r="S255" s="26" t="s">
        <v>24</v>
      </c>
      <c r="T255" s="27"/>
      <c r="U255" s="28" t="s">
        <v>25</v>
      </c>
      <c r="V255" s="29" t="str">
        <f t="shared" si="16"/>
        <v>✓ OK</v>
      </c>
      <c r="W255" s="45">
        <v>46248</v>
      </c>
      <c r="X255" s="30" t="s">
        <v>23</v>
      </c>
      <c r="Y255" s="30" t="s">
        <v>24</v>
      </c>
      <c r="Z255" s="30" t="s">
        <v>25</v>
      </c>
      <c r="AA255" s="30" t="s">
        <v>26</v>
      </c>
      <c r="AB255" s="30" t="s">
        <v>24</v>
      </c>
      <c r="AC255" s="27"/>
      <c r="AD255" s="31" t="s">
        <v>25</v>
      </c>
      <c r="AE255" s="32" t="str">
        <f t="shared" si="17"/>
        <v>✓ OK</v>
      </c>
      <c r="AF255" s="33" t="s">
        <v>27</v>
      </c>
      <c r="AG255" s="33" t="s">
        <v>23</v>
      </c>
      <c r="AH255" s="33" t="s">
        <v>24</v>
      </c>
      <c r="AI255" s="33" t="s">
        <v>25</v>
      </c>
      <c r="AJ255" s="33" t="s">
        <v>26</v>
      </c>
      <c r="AK255" s="33" t="s">
        <v>24</v>
      </c>
      <c r="AL255" s="27"/>
      <c r="AM255" s="34" t="s">
        <v>25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8" customHeight="1" x14ac:dyDescent="0.3">
      <c r="A256" s="39">
        <v>252</v>
      </c>
      <c r="B256" s="40" t="s">
        <v>531</v>
      </c>
      <c r="C256" s="41" t="s">
        <v>532</v>
      </c>
      <c r="D256" s="39" t="s">
        <v>216</v>
      </c>
      <c r="E256" s="43">
        <v>46125</v>
      </c>
      <c r="F256" s="26" t="s">
        <v>23</v>
      </c>
      <c r="G256" s="26" t="s">
        <v>24</v>
      </c>
      <c r="H256" s="26" t="s">
        <v>25</v>
      </c>
      <c r="I256" s="26" t="s">
        <v>26</v>
      </c>
      <c r="J256" s="26" t="s">
        <v>24</v>
      </c>
      <c r="K256" s="27"/>
      <c r="L256" s="28" t="s">
        <v>25</v>
      </c>
      <c r="M256" s="29" t="str">
        <f t="shared" si="15"/>
        <v>✓ OK</v>
      </c>
      <c r="N256" s="43">
        <v>46139</v>
      </c>
      <c r="O256" s="26" t="s">
        <v>23</v>
      </c>
      <c r="P256" s="26" t="s">
        <v>24</v>
      </c>
      <c r="Q256" s="26" t="s">
        <v>25</v>
      </c>
      <c r="R256" s="26" t="s">
        <v>26</v>
      </c>
      <c r="S256" s="26" t="s">
        <v>24</v>
      </c>
      <c r="T256" s="27"/>
      <c r="U256" s="28" t="s">
        <v>25</v>
      </c>
      <c r="V256" s="29" t="str">
        <f t="shared" si="16"/>
        <v>✓ OK</v>
      </c>
      <c r="W256" s="45">
        <v>46248</v>
      </c>
      <c r="X256" s="30" t="s">
        <v>23</v>
      </c>
      <c r="Y256" s="30" t="s">
        <v>24</v>
      </c>
      <c r="Z256" s="30" t="s">
        <v>25</v>
      </c>
      <c r="AA256" s="30" t="s">
        <v>26</v>
      </c>
      <c r="AB256" s="30" t="s">
        <v>24</v>
      </c>
      <c r="AC256" s="27"/>
      <c r="AD256" s="31" t="s">
        <v>25</v>
      </c>
      <c r="AE256" s="32" t="str">
        <f t="shared" si="17"/>
        <v>✓ OK</v>
      </c>
      <c r="AF256" s="33" t="s">
        <v>27</v>
      </c>
      <c r="AG256" s="33" t="s">
        <v>23</v>
      </c>
      <c r="AH256" s="33" t="s">
        <v>24</v>
      </c>
      <c r="AI256" s="33" t="s">
        <v>25</v>
      </c>
      <c r="AJ256" s="33" t="s">
        <v>26</v>
      </c>
      <c r="AK256" s="33" t="s">
        <v>24</v>
      </c>
      <c r="AL256" s="27"/>
      <c r="AM256" s="34" t="s">
        <v>25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8" customHeight="1" x14ac:dyDescent="0.3">
      <c r="A257" s="23">
        <v>253</v>
      </c>
      <c r="B257" s="24" t="s">
        <v>533</v>
      </c>
      <c r="C257" s="25" t="s">
        <v>534</v>
      </c>
      <c r="D257" s="23" t="s">
        <v>216</v>
      </c>
      <c r="E257" s="43">
        <v>46125</v>
      </c>
      <c r="F257" s="26" t="s">
        <v>23</v>
      </c>
      <c r="G257" s="26" t="s">
        <v>24</v>
      </c>
      <c r="H257" s="26" t="s">
        <v>25</v>
      </c>
      <c r="I257" s="26" t="s">
        <v>26</v>
      </c>
      <c r="J257" s="26" t="s">
        <v>24</v>
      </c>
      <c r="K257" s="27"/>
      <c r="L257" s="28" t="s">
        <v>25</v>
      </c>
      <c r="M257" s="29" t="str">
        <f t="shared" si="15"/>
        <v>✓ OK</v>
      </c>
      <c r="N257" s="43">
        <v>46139</v>
      </c>
      <c r="O257" s="26" t="s">
        <v>23</v>
      </c>
      <c r="P257" s="26" t="s">
        <v>24</v>
      </c>
      <c r="Q257" s="26" t="s">
        <v>25</v>
      </c>
      <c r="R257" s="26" t="s">
        <v>26</v>
      </c>
      <c r="S257" s="26" t="s">
        <v>24</v>
      </c>
      <c r="T257" s="27"/>
      <c r="U257" s="28" t="s">
        <v>25</v>
      </c>
      <c r="V257" s="29" t="str">
        <f t="shared" si="16"/>
        <v>✓ OK</v>
      </c>
      <c r="W257" s="45">
        <v>46248</v>
      </c>
      <c r="X257" s="30" t="s">
        <v>23</v>
      </c>
      <c r="Y257" s="30" t="s">
        <v>24</v>
      </c>
      <c r="Z257" s="30" t="s">
        <v>25</v>
      </c>
      <c r="AA257" s="30" t="s">
        <v>26</v>
      </c>
      <c r="AB257" s="30" t="s">
        <v>24</v>
      </c>
      <c r="AC257" s="27"/>
      <c r="AD257" s="31" t="s">
        <v>25</v>
      </c>
      <c r="AE257" s="32" t="str">
        <f t="shared" si="17"/>
        <v>✓ OK</v>
      </c>
      <c r="AF257" s="33" t="s">
        <v>27</v>
      </c>
      <c r="AG257" s="33" t="s">
        <v>23</v>
      </c>
      <c r="AH257" s="33" t="s">
        <v>24</v>
      </c>
      <c r="AI257" s="33" t="s">
        <v>25</v>
      </c>
      <c r="AJ257" s="33" t="s">
        <v>26</v>
      </c>
      <c r="AK257" s="33" t="s">
        <v>24</v>
      </c>
      <c r="AL257" s="27"/>
      <c r="AM257" s="34" t="s">
        <v>25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8" customHeight="1" x14ac:dyDescent="0.3">
      <c r="A258" s="39">
        <v>254</v>
      </c>
      <c r="B258" s="40" t="s">
        <v>535</v>
      </c>
      <c r="C258" s="41" t="s">
        <v>536</v>
      </c>
      <c r="D258" s="39" t="s">
        <v>216</v>
      </c>
      <c r="E258" s="43">
        <v>46125</v>
      </c>
      <c r="F258" s="26" t="s">
        <v>23</v>
      </c>
      <c r="G258" s="26" t="s">
        <v>24</v>
      </c>
      <c r="H258" s="26" t="s">
        <v>25</v>
      </c>
      <c r="I258" s="26" t="s">
        <v>26</v>
      </c>
      <c r="J258" s="26" t="s">
        <v>24</v>
      </c>
      <c r="K258" s="27"/>
      <c r="L258" s="28" t="s">
        <v>25</v>
      </c>
      <c r="M258" s="29" t="str">
        <f t="shared" si="15"/>
        <v>✓ OK</v>
      </c>
      <c r="N258" s="43">
        <v>46139</v>
      </c>
      <c r="O258" s="26" t="s">
        <v>23</v>
      </c>
      <c r="P258" s="26" t="s">
        <v>24</v>
      </c>
      <c r="Q258" s="26" t="s">
        <v>25</v>
      </c>
      <c r="R258" s="26" t="s">
        <v>26</v>
      </c>
      <c r="S258" s="26" t="s">
        <v>24</v>
      </c>
      <c r="T258" s="27"/>
      <c r="U258" s="28" t="s">
        <v>25</v>
      </c>
      <c r="V258" s="29" t="str">
        <f t="shared" si="16"/>
        <v>✓ OK</v>
      </c>
      <c r="W258" s="45">
        <v>46248</v>
      </c>
      <c r="X258" s="30" t="s">
        <v>23</v>
      </c>
      <c r="Y258" s="30" t="s">
        <v>24</v>
      </c>
      <c r="Z258" s="30" t="s">
        <v>25</v>
      </c>
      <c r="AA258" s="30" t="s">
        <v>26</v>
      </c>
      <c r="AB258" s="30" t="s">
        <v>24</v>
      </c>
      <c r="AC258" s="27"/>
      <c r="AD258" s="31" t="s">
        <v>25</v>
      </c>
      <c r="AE258" s="32" t="str">
        <f t="shared" si="17"/>
        <v>✓ OK</v>
      </c>
      <c r="AF258" s="33" t="s">
        <v>27</v>
      </c>
      <c r="AG258" s="33" t="s">
        <v>23</v>
      </c>
      <c r="AH258" s="33" t="s">
        <v>24</v>
      </c>
      <c r="AI258" s="33" t="s">
        <v>25</v>
      </c>
      <c r="AJ258" s="33" t="s">
        <v>26</v>
      </c>
      <c r="AK258" s="33" t="s">
        <v>24</v>
      </c>
      <c r="AL258" s="27"/>
      <c r="AM258" s="34" t="s">
        <v>25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8" customHeight="1" x14ac:dyDescent="0.3">
      <c r="A259" s="23">
        <v>255</v>
      </c>
      <c r="B259" s="24" t="s">
        <v>537</v>
      </c>
      <c r="C259" s="25" t="s">
        <v>538</v>
      </c>
      <c r="D259" s="23" t="s">
        <v>216</v>
      </c>
      <c r="E259" s="43">
        <v>46125</v>
      </c>
      <c r="F259" s="26" t="s">
        <v>23</v>
      </c>
      <c r="G259" s="26" t="s">
        <v>24</v>
      </c>
      <c r="H259" s="26" t="s">
        <v>25</v>
      </c>
      <c r="I259" s="26" t="s">
        <v>26</v>
      </c>
      <c r="J259" s="26" t="s">
        <v>24</v>
      </c>
      <c r="K259" s="27"/>
      <c r="L259" s="28" t="s">
        <v>25</v>
      </c>
      <c r="M259" s="29" t="str">
        <f t="shared" si="15"/>
        <v>✓ OK</v>
      </c>
      <c r="N259" s="43">
        <v>46139</v>
      </c>
      <c r="O259" s="26" t="s">
        <v>23</v>
      </c>
      <c r="P259" s="26" t="s">
        <v>24</v>
      </c>
      <c r="Q259" s="26" t="s">
        <v>25</v>
      </c>
      <c r="R259" s="26" t="s">
        <v>26</v>
      </c>
      <c r="S259" s="26" t="s">
        <v>24</v>
      </c>
      <c r="T259" s="27"/>
      <c r="U259" s="28" t="s">
        <v>25</v>
      </c>
      <c r="V259" s="29" t="str">
        <f t="shared" si="16"/>
        <v>✓ OK</v>
      </c>
      <c r="W259" s="45">
        <v>46248</v>
      </c>
      <c r="X259" s="30" t="s">
        <v>23</v>
      </c>
      <c r="Y259" s="30" t="s">
        <v>24</v>
      </c>
      <c r="Z259" s="30" t="s">
        <v>25</v>
      </c>
      <c r="AA259" s="30" t="s">
        <v>26</v>
      </c>
      <c r="AB259" s="30" t="s">
        <v>24</v>
      </c>
      <c r="AC259" s="27"/>
      <c r="AD259" s="31" t="s">
        <v>25</v>
      </c>
      <c r="AE259" s="32" t="str">
        <f t="shared" si="17"/>
        <v>✓ OK</v>
      </c>
      <c r="AF259" s="33" t="s">
        <v>27</v>
      </c>
      <c r="AG259" s="33" t="s">
        <v>23</v>
      </c>
      <c r="AH259" s="33" t="s">
        <v>24</v>
      </c>
      <c r="AI259" s="33" t="s">
        <v>25</v>
      </c>
      <c r="AJ259" s="33" t="s">
        <v>26</v>
      </c>
      <c r="AK259" s="33" t="s">
        <v>24</v>
      </c>
      <c r="AL259" s="27"/>
      <c r="AM259" s="34" t="s">
        <v>25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8" customHeight="1" x14ac:dyDescent="0.3">
      <c r="A260" s="39">
        <v>256</v>
      </c>
      <c r="B260" s="40" t="s">
        <v>539</v>
      </c>
      <c r="C260" s="41" t="s">
        <v>540</v>
      </c>
      <c r="D260" s="39" t="s">
        <v>216</v>
      </c>
      <c r="E260" s="43">
        <v>46125</v>
      </c>
      <c r="F260" s="26" t="s">
        <v>23</v>
      </c>
      <c r="G260" s="26" t="s">
        <v>24</v>
      </c>
      <c r="H260" s="26" t="s">
        <v>25</v>
      </c>
      <c r="I260" s="26" t="s">
        <v>26</v>
      </c>
      <c r="J260" s="26" t="s">
        <v>24</v>
      </c>
      <c r="K260" s="27"/>
      <c r="L260" s="28" t="s">
        <v>25</v>
      </c>
      <c r="M260" s="29" t="str">
        <f t="shared" si="15"/>
        <v>✓ OK</v>
      </c>
      <c r="N260" s="43">
        <v>46139</v>
      </c>
      <c r="O260" s="26" t="s">
        <v>23</v>
      </c>
      <c r="P260" s="26" t="s">
        <v>24</v>
      </c>
      <c r="Q260" s="26" t="s">
        <v>25</v>
      </c>
      <c r="R260" s="26" t="s">
        <v>26</v>
      </c>
      <c r="S260" s="26" t="s">
        <v>24</v>
      </c>
      <c r="T260" s="27"/>
      <c r="U260" s="28" t="s">
        <v>25</v>
      </c>
      <c r="V260" s="29" t="str">
        <f t="shared" si="16"/>
        <v>✓ OK</v>
      </c>
      <c r="W260" s="45">
        <v>46248</v>
      </c>
      <c r="X260" s="30" t="s">
        <v>23</v>
      </c>
      <c r="Y260" s="30" t="s">
        <v>24</v>
      </c>
      <c r="Z260" s="30" t="s">
        <v>25</v>
      </c>
      <c r="AA260" s="30" t="s">
        <v>26</v>
      </c>
      <c r="AB260" s="30" t="s">
        <v>24</v>
      </c>
      <c r="AC260" s="27"/>
      <c r="AD260" s="31" t="s">
        <v>25</v>
      </c>
      <c r="AE260" s="32" t="str">
        <f t="shared" si="17"/>
        <v>✓ OK</v>
      </c>
      <c r="AF260" s="33" t="s">
        <v>27</v>
      </c>
      <c r="AG260" s="33" t="s">
        <v>23</v>
      </c>
      <c r="AH260" s="33" t="s">
        <v>24</v>
      </c>
      <c r="AI260" s="33" t="s">
        <v>25</v>
      </c>
      <c r="AJ260" s="33" t="s">
        <v>26</v>
      </c>
      <c r="AK260" s="33" t="s">
        <v>24</v>
      </c>
      <c r="AL260" s="27"/>
      <c r="AM260" s="34" t="s">
        <v>25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8" customHeight="1" x14ac:dyDescent="0.3">
      <c r="A261" s="23">
        <v>257</v>
      </c>
      <c r="B261" s="24" t="s">
        <v>541</v>
      </c>
      <c r="C261" s="25" t="s">
        <v>542</v>
      </c>
      <c r="D261" s="23" t="s">
        <v>216</v>
      </c>
      <c r="E261" s="43">
        <v>46125</v>
      </c>
      <c r="F261" s="26" t="s">
        <v>23</v>
      </c>
      <c r="G261" s="26" t="s">
        <v>24</v>
      </c>
      <c r="H261" s="26" t="s">
        <v>25</v>
      </c>
      <c r="I261" s="26" t="s">
        <v>26</v>
      </c>
      <c r="J261" s="26" t="s">
        <v>24</v>
      </c>
      <c r="K261" s="27"/>
      <c r="L261" s="28" t="s">
        <v>25</v>
      </c>
      <c r="M261" s="29" t="str">
        <f t="shared" ref="M261:M292" si="20">IF(E261="","",IF(H261="Yes","❌ Disc",IF(G261="No","⚠ Missing",IF(J261="Yes","✓ OK","⚠ Check"))))</f>
        <v>✓ OK</v>
      </c>
      <c r="N261" s="43">
        <v>46139</v>
      </c>
      <c r="O261" s="26" t="s">
        <v>23</v>
      </c>
      <c r="P261" s="26" t="s">
        <v>24</v>
      </c>
      <c r="Q261" s="26" t="s">
        <v>25</v>
      </c>
      <c r="R261" s="26" t="s">
        <v>26</v>
      </c>
      <c r="S261" s="26" t="s">
        <v>24</v>
      </c>
      <c r="T261" s="27"/>
      <c r="U261" s="28" t="s">
        <v>25</v>
      </c>
      <c r="V261" s="29" t="str">
        <f t="shared" ref="V261:V292" si="21">IF(N261="","",IF(Q261="Yes","❌ Disc",IF(P261="No","⚠ Missing",IF(S261="Yes","✓ OK","⚠ Check"))))</f>
        <v>✓ OK</v>
      </c>
      <c r="W261" s="45">
        <v>46248</v>
      </c>
      <c r="X261" s="30" t="s">
        <v>23</v>
      </c>
      <c r="Y261" s="30" t="s">
        <v>24</v>
      </c>
      <c r="Z261" s="30" t="s">
        <v>25</v>
      </c>
      <c r="AA261" s="30" t="s">
        <v>26</v>
      </c>
      <c r="AB261" s="30" t="s">
        <v>24</v>
      </c>
      <c r="AC261" s="27"/>
      <c r="AD261" s="31" t="s">
        <v>25</v>
      </c>
      <c r="AE261" s="32" t="str">
        <f t="shared" ref="AE261:AE292" si="22">IF(W261="","",IF(Z261="Yes","❌ Disc",IF(Y261="No","⚠ Missing",IF(AB261="Yes","✓ OK","⚠ Check"))))</f>
        <v>✓ OK</v>
      </c>
      <c r="AF261" s="33" t="s">
        <v>27</v>
      </c>
      <c r="AG261" s="33" t="s">
        <v>23</v>
      </c>
      <c r="AH261" s="33" t="s">
        <v>24</v>
      </c>
      <c r="AI261" s="33" t="s">
        <v>25</v>
      </c>
      <c r="AJ261" s="33" t="s">
        <v>26</v>
      </c>
      <c r="AK261" s="33" t="s">
        <v>24</v>
      </c>
      <c r="AL261" s="27"/>
      <c r="AM261" s="34" t="s">
        <v>25</v>
      </c>
      <c r="AN261" s="35" t="str">
        <f t="shared" ref="AN261:AN292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292" si="24">IF(AO261="","",IF(AR261="Yes","❌ Disc",IF(AQ261="No","⚠ Missing",IF(AT261="Yes","✓ OK","⚠ Check"))))</f>
        <v/>
      </c>
    </row>
    <row r="262" spans="1:49" ht="18" customHeight="1" x14ac:dyDescent="0.3">
      <c r="A262" s="39">
        <v>258</v>
      </c>
      <c r="B262" s="40" t="s">
        <v>543</v>
      </c>
      <c r="C262" s="41" t="s">
        <v>544</v>
      </c>
      <c r="D262" s="39" t="s">
        <v>216</v>
      </c>
      <c r="E262" s="43">
        <v>46125</v>
      </c>
      <c r="F262" s="26" t="s">
        <v>23</v>
      </c>
      <c r="G262" s="26" t="s">
        <v>24</v>
      </c>
      <c r="H262" s="26" t="s">
        <v>25</v>
      </c>
      <c r="I262" s="26" t="s">
        <v>26</v>
      </c>
      <c r="J262" s="26" t="s">
        <v>24</v>
      </c>
      <c r="K262" s="27"/>
      <c r="L262" s="28" t="s">
        <v>25</v>
      </c>
      <c r="M262" s="29" t="str">
        <f t="shared" si="20"/>
        <v>✓ OK</v>
      </c>
      <c r="N262" s="43">
        <v>46139</v>
      </c>
      <c r="O262" s="26" t="s">
        <v>23</v>
      </c>
      <c r="P262" s="26" t="s">
        <v>24</v>
      </c>
      <c r="Q262" s="26" t="s">
        <v>25</v>
      </c>
      <c r="R262" s="26" t="s">
        <v>26</v>
      </c>
      <c r="S262" s="26" t="s">
        <v>24</v>
      </c>
      <c r="T262" s="27"/>
      <c r="U262" s="28" t="s">
        <v>25</v>
      </c>
      <c r="V262" s="29" t="str">
        <f t="shared" si="21"/>
        <v>✓ OK</v>
      </c>
      <c r="W262" s="45">
        <v>46248</v>
      </c>
      <c r="X262" s="30" t="s">
        <v>23</v>
      </c>
      <c r="Y262" s="30" t="s">
        <v>24</v>
      </c>
      <c r="Z262" s="30" t="s">
        <v>25</v>
      </c>
      <c r="AA262" s="30" t="s">
        <v>26</v>
      </c>
      <c r="AB262" s="30" t="s">
        <v>24</v>
      </c>
      <c r="AC262" s="27"/>
      <c r="AD262" s="31" t="s">
        <v>25</v>
      </c>
      <c r="AE262" s="32" t="str">
        <f t="shared" si="22"/>
        <v>✓ OK</v>
      </c>
      <c r="AF262" s="33" t="s">
        <v>27</v>
      </c>
      <c r="AG262" s="33" t="s">
        <v>23</v>
      </c>
      <c r="AH262" s="33" t="s">
        <v>24</v>
      </c>
      <c r="AI262" s="33" t="s">
        <v>25</v>
      </c>
      <c r="AJ262" s="33" t="s">
        <v>26</v>
      </c>
      <c r="AK262" s="33" t="s">
        <v>24</v>
      </c>
      <c r="AL262" s="27"/>
      <c r="AM262" s="34" t="s">
        <v>25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8" customHeight="1" x14ac:dyDescent="0.3">
      <c r="A263" s="23">
        <v>259</v>
      </c>
      <c r="B263" s="24" t="s">
        <v>545</v>
      </c>
      <c r="C263" s="25" t="s">
        <v>546</v>
      </c>
      <c r="D263" s="23" t="s">
        <v>216</v>
      </c>
      <c r="E263" s="43">
        <v>46125</v>
      </c>
      <c r="F263" s="26" t="s">
        <v>23</v>
      </c>
      <c r="G263" s="26" t="s">
        <v>24</v>
      </c>
      <c r="H263" s="26" t="s">
        <v>25</v>
      </c>
      <c r="I263" s="26" t="s">
        <v>26</v>
      </c>
      <c r="J263" s="26" t="s">
        <v>24</v>
      </c>
      <c r="K263" s="27"/>
      <c r="L263" s="28" t="s">
        <v>25</v>
      </c>
      <c r="M263" s="29" t="str">
        <f t="shared" si="20"/>
        <v>✓ OK</v>
      </c>
      <c r="N263" s="43">
        <v>46139</v>
      </c>
      <c r="O263" s="26" t="s">
        <v>23</v>
      </c>
      <c r="P263" s="26" t="s">
        <v>24</v>
      </c>
      <c r="Q263" s="26" t="s">
        <v>25</v>
      </c>
      <c r="R263" s="26" t="s">
        <v>26</v>
      </c>
      <c r="S263" s="26" t="s">
        <v>24</v>
      </c>
      <c r="T263" s="27"/>
      <c r="U263" s="28" t="s">
        <v>25</v>
      </c>
      <c r="V263" s="29" t="str">
        <f t="shared" si="21"/>
        <v>✓ OK</v>
      </c>
      <c r="W263" s="45">
        <v>46248</v>
      </c>
      <c r="X263" s="30" t="s">
        <v>23</v>
      </c>
      <c r="Y263" s="30" t="s">
        <v>24</v>
      </c>
      <c r="Z263" s="30" t="s">
        <v>25</v>
      </c>
      <c r="AA263" s="30" t="s">
        <v>26</v>
      </c>
      <c r="AB263" s="30" t="s">
        <v>24</v>
      </c>
      <c r="AC263" s="27"/>
      <c r="AD263" s="31" t="s">
        <v>25</v>
      </c>
      <c r="AE263" s="32" t="str">
        <f t="shared" si="22"/>
        <v>✓ OK</v>
      </c>
      <c r="AF263" s="33" t="s">
        <v>27</v>
      </c>
      <c r="AG263" s="33" t="s">
        <v>23</v>
      </c>
      <c r="AH263" s="33" t="s">
        <v>24</v>
      </c>
      <c r="AI263" s="33" t="s">
        <v>25</v>
      </c>
      <c r="AJ263" s="33" t="s">
        <v>26</v>
      </c>
      <c r="AK263" s="33" t="s">
        <v>24</v>
      </c>
      <c r="AL263" s="27"/>
      <c r="AM263" s="34" t="s">
        <v>25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8" customHeight="1" x14ac:dyDescent="0.3">
      <c r="A264" s="39">
        <v>260</v>
      </c>
      <c r="B264" s="40" t="s">
        <v>547</v>
      </c>
      <c r="C264" s="41" t="s">
        <v>548</v>
      </c>
      <c r="D264" s="39" t="s">
        <v>216</v>
      </c>
      <c r="E264" s="43">
        <v>46125</v>
      </c>
      <c r="F264" s="26" t="s">
        <v>23</v>
      </c>
      <c r="G264" s="26" t="s">
        <v>24</v>
      </c>
      <c r="H264" s="26" t="s">
        <v>25</v>
      </c>
      <c r="I264" s="26" t="s">
        <v>26</v>
      </c>
      <c r="J264" s="26" t="s">
        <v>24</v>
      </c>
      <c r="K264" s="27"/>
      <c r="L264" s="28" t="s">
        <v>25</v>
      </c>
      <c r="M264" s="29" t="str">
        <f t="shared" si="20"/>
        <v>✓ OK</v>
      </c>
      <c r="N264" s="43">
        <v>46139</v>
      </c>
      <c r="O264" s="26" t="s">
        <v>23</v>
      </c>
      <c r="P264" s="26" t="s">
        <v>24</v>
      </c>
      <c r="Q264" s="26" t="s">
        <v>25</v>
      </c>
      <c r="R264" s="26" t="s">
        <v>26</v>
      </c>
      <c r="S264" s="26" t="s">
        <v>24</v>
      </c>
      <c r="T264" s="27"/>
      <c r="U264" s="28" t="s">
        <v>25</v>
      </c>
      <c r="V264" s="29" t="str">
        <f t="shared" si="21"/>
        <v>✓ OK</v>
      </c>
      <c r="W264" s="45">
        <v>46248</v>
      </c>
      <c r="X264" s="30" t="s">
        <v>23</v>
      </c>
      <c r="Y264" s="30" t="s">
        <v>24</v>
      </c>
      <c r="Z264" s="30" t="s">
        <v>25</v>
      </c>
      <c r="AA264" s="30" t="s">
        <v>26</v>
      </c>
      <c r="AB264" s="30" t="s">
        <v>24</v>
      </c>
      <c r="AC264" s="27"/>
      <c r="AD264" s="31" t="s">
        <v>25</v>
      </c>
      <c r="AE264" s="32" t="str">
        <f t="shared" si="22"/>
        <v>✓ OK</v>
      </c>
      <c r="AF264" s="33" t="s">
        <v>27</v>
      </c>
      <c r="AG264" s="33" t="s">
        <v>23</v>
      </c>
      <c r="AH264" s="33" t="s">
        <v>24</v>
      </c>
      <c r="AI264" s="33" t="s">
        <v>25</v>
      </c>
      <c r="AJ264" s="33" t="s">
        <v>26</v>
      </c>
      <c r="AK264" s="33" t="s">
        <v>24</v>
      </c>
      <c r="AL264" s="27"/>
      <c r="AM264" s="34" t="s">
        <v>25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8" customHeight="1" x14ac:dyDescent="0.3">
      <c r="A265" s="23">
        <v>261</v>
      </c>
      <c r="B265" s="24" t="s">
        <v>549</v>
      </c>
      <c r="C265" s="25" t="s">
        <v>550</v>
      </c>
      <c r="D265" s="23" t="s">
        <v>216</v>
      </c>
      <c r="E265" s="43">
        <v>46125</v>
      </c>
      <c r="F265" s="26" t="s">
        <v>23</v>
      </c>
      <c r="G265" s="26" t="s">
        <v>24</v>
      </c>
      <c r="H265" s="26" t="s">
        <v>25</v>
      </c>
      <c r="I265" s="26" t="s">
        <v>26</v>
      </c>
      <c r="J265" s="26" t="s">
        <v>24</v>
      </c>
      <c r="K265" s="27"/>
      <c r="L265" s="28" t="s">
        <v>25</v>
      </c>
      <c r="M265" s="29" t="str">
        <f t="shared" si="20"/>
        <v>✓ OK</v>
      </c>
      <c r="N265" s="43">
        <v>46139</v>
      </c>
      <c r="O265" s="26" t="s">
        <v>23</v>
      </c>
      <c r="P265" s="26" t="s">
        <v>24</v>
      </c>
      <c r="Q265" s="26" t="s">
        <v>25</v>
      </c>
      <c r="R265" s="26" t="s">
        <v>26</v>
      </c>
      <c r="S265" s="26" t="s">
        <v>24</v>
      </c>
      <c r="T265" s="27"/>
      <c r="U265" s="28" t="s">
        <v>25</v>
      </c>
      <c r="V265" s="29" t="str">
        <f t="shared" si="21"/>
        <v>✓ OK</v>
      </c>
      <c r="W265" s="45">
        <v>46248</v>
      </c>
      <c r="X265" s="30" t="s">
        <v>23</v>
      </c>
      <c r="Y265" s="30" t="s">
        <v>24</v>
      </c>
      <c r="Z265" s="30" t="s">
        <v>25</v>
      </c>
      <c r="AA265" s="30" t="s">
        <v>26</v>
      </c>
      <c r="AB265" s="30" t="s">
        <v>24</v>
      </c>
      <c r="AC265" s="27"/>
      <c r="AD265" s="31" t="s">
        <v>25</v>
      </c>
      <c r="AE265" s="32" t="str">
        <f t="shared" si="22"/>
        <v>✓ OK</v>
      </c>
      <c r="AF265" s="33" t="s">
        <v>27</v>
      </c>
      <c r="AG265" s="33" t="s">
        <v>23</v>
      </c>
      <c r="AH265" s="33" t="s">
        <v>24</v>
      </c>
      <c r="AI265" s="33" t="s">
        <v>25</v>
      </c>
      <c r="AJ265" s="33" t="s">
        <v>26</v>
      </c>
      <c r="AK265" s="33" t="s">
        <v>24</v>
      </c>
      <c r="AL265" s="27"/>
      <c r="AM265" s="34" t="s">
        <v>25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8" customHeight="1" x14ac:dyDescent="0.3">
      <c r="A266" s="39">
        <v>262</v>
      </c>
      <c r="B266" s="40" t="s">
        <v>551</v>
      </c>
      <c r="C266" s="41" t="s">
        <v>552</v>
      </c>
      <c r="D266" s="39" t="s">
        <v>216</v>
      </c>
      <c r="E266" s="43">
        <v>46125</v>
      </c>
      <c r="F266" s="26" t="s">
        <v>23</v>
      </c>
      <c r="G266" s="26" t="s">
        <v>24</v>
      </c>
      <c r="H266" s="26" t="s">
        <v>25</v>
      </c>
      <c r="I266" s="26" t="s">
        <v>26</v>
      </c>
      <c r="J266" s="26" t="s">
        <v>24</v>
      </c>
      <c r="K266" s="27"/>
      <c r="L266" s="28" t="s">
        <v>25</v>
      </c>
      <c r="M266" s="29" t="str">
        <f t="shared" si="20"/>
        <v>✓ OK</v>
      </c>
      <c r="N266" s="43">
        <v>46139</v>
      </c>
      <c r="O266" s="26" t="s">
        <v>23</v>
      </c>
      <c r="P266" s="26" t="s">
        <v>24</v>
      </c>
      <c r="Q266" s="26" t="s">
        <v>25</v>
      </c>
      <c r="R266" s="26" t="s">
        <v>26</v>
      </c>
      <c r="S266" s="26" t="s">
        <v>24</v>
      </c>
      <c r="T266" s="27"/>
      <c r="U266" s="28" t="s">
        <v>25</v>
      </c>
      <c r="V266" s="29" t="str">
        <f t="shared" si="21"/>
        <v>✓ OK</v>
      </c>
      <c r="W266" s="45">
        <v>46248</v>
      </c>
      <c r="X266" s="30" t="s">
        <v>23</v>
      </c>
      <c r="Y266" s="30" t="s">
        <v>24</v>
      </c>
      <c r="Z266" s="30" t="s">
        <v>25</v>
      </c>
      <c r="AA266" s="30" t="s">
        <v>26</v>
      </c>
      <c r="AB266" s="30" t="s">
        <v>24</v>
      </c>
      <c r="AC266" s="27"/>
      <c r="AD266" s="31" t="s">
        <v>25</v>
      </c>
      <c r="AE266" s="32" t="str">
        <f t="shared" si="22"/>
        <v>✓ OK</v>
      </c>
      <c r="AF266" s="33" t="s">
        <v>27</v>
      </c>
      <c r="AG266" s="33" t="s">
        <v>23</v>
      </c>
      <c r="AH266" s="33" t="s">
        <v>24</v>
      </c>
      <c r="AI266" s="33" t="s">
        <v>25</v>
      </c>
      <c r="AJ266" s="33" t="s">
        <v>26</v>
      </c>
      <c r="AK266" s="33" t="s">
        <v>24</v>
      </c>
      <c r="AL266" s="27"/>
      <c r="AM266" s="34" t="s">
        <v>25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8" customHeight="1" x14ac:dyDescent="0.3">
      <c r="A267" s="23">
        <v>263</v>
      </c>
      <c r="B267" s="24" t="s">
        <v>553</v>
      </c>
      <c r="C267" s="25" t="s">
        <v>554</v>
      </c>
      <c r="D267" s="23" t="s">
        <v>216</v>
      </c>
      <c r="E267" s="43">
        <v>46125</v>
      </c>
      <c r="F267" s="26" t="s">
        <v>23</v>
      </c>
      <c r="G267" s="26" t="s">
        <v>24</v>
      </c>
      <c r="H267" s="26" t="s">
        <v>25</v>
      </c>
      <c r="I267" s="26" t="s">
        <v>26</v>
      </c>
      <c r="J267" s="26" t="s">
        <v>24</v>
      </c>
      <c r="K267" s="27"/>
      <c r="L267" s="28" t="s">
        <v>25</v>
      </c>
      <c r="M267" s="29" t="str">
        <f t="shared" si="20"/>
        <v>✓ OK</v>
      </c>
      <c r="N267" s="43">
        <v>46139</v>
      </c>
      <c r="O267" s="26" t="s">
        <v>23</v>
      </c>
      <c r="P267" s="26" t="s">
        <v>24</v>
      </c>
      <c r="Q267" s="26" t="s">
        <v>25</v>
      </c>
      <c r="R267" s="26" t="s">
        <v>26</v>
      </c>
      <c r="S267" s="26" t="s">
        <v>24</v>
      </c>
      <c r="T267" s="27"/>
      <c r="U267" s="28" t="s">
        <v>25</v>
      </c>
      <c r="V267" s="29" t="str">
        <f t="shared" si="21"/>
        <v>✓ OK</v>
      </c>
      <c r="W267" s="45">
        <v>46248</v>
      </c>
      <c r="X267" s="30" t="s">
        <v>23</v>
      </c>
      <c r="Y267" s="30" t="s">
        <v>24</v>
      </c>
      <c r="Z267" s="30" t="s">
        <v>25</v>
      </c>
      <c r="AA267" s="30" t="s">
        <v>26</v>
      </c>
      <c r="AB267" s="30" t="s">
        <v>24</v>
      </c>
      <c r="AC267" s="27"/>
      <c r="AD267" s="31" t="s">
        <v>25</v>
      </c>
      <c r="AE267" s="32" t="str">
        <f t="shared" si="22"/>
        <v>✓ OK</v>
      </c>
      <c r="AF267" s="33" t="s">
        <v>27</v>
      </c>
      <c r="AG267" s="33" t="s">
        <v>23</v>
      </c>
      <c r="AH267" s="33" t="s">
        <v>24</v>
      </c>
      <c r="AI267" s="33" t="s">
        <v>25</v>
      </c>
      <c r="AJ267" s="33" t="s">
        <v>26</v>
      </c>
      <c r="AK267" s="33" t="s">
        <v>24</v>
      </c>
      <c r="AL267" s="27"/>
      <c r="AM267" s="34" t="s">
        <v>25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8" customHeight="1" x14ac:dyDescent="0.3">
      <c r="A268" s="39">
        <v>264</v>
      </c>
      <c r="B268" s="40" t="s">
        <v>555</v>
      </c>
      <c r="C268" s="41" t="s">
        <v>556</v>
      </c>
      <c r="D268" s="39" t="s">
        <v>216</v>
      </c>
      <c r="E268" s="43">
        <v>46125</v>
      </c>
      <c r="F268" s="26" t="s">
        <v>23</v>
      </c>
      <c r="G268" s="26" t="s">
        <v>24</v>
      </c>
      <c r="H268" s="26" t="s">
        <v>25</v>
      </c>
      <c r="I268" s="26" t="s">
        <v>26</v>
      </c>
      <c r="J268" s="26" t="s">
        <v>24</v>
      </c>
      <c r="K268" s="27"/>
      <c r="L268" s="28" t="s">
        <v>25</v>
      </c>
      <c r="M268" s="29" t="str">
        <f t="shared" si="20"/>
        <v>✓ OK</v>
      </c>
      <c r="N268" s="43">
        <v>46139</v>
      </c>
      <c r="O268" s="26" t="s">
        <v>23</v>
      </c>
      <c r="P268" s="26" t="s">
        <v>24</v>
      </c>
      <c r="Q268" s="26" t="s">
        <v>25</v>
      </c>
      <c r="R268" s="26" t="s">
        <v>26</v>
      </c>
      <c r="S268" s="26" t="s">
        <v>24</v>
      </c>
      <c r="T268" s="27"/>
      <c r="U268" s="28" t="s">
        <v>25</v>
      </c>
      <c r="V268" s="29" t="str">
        <f t="shared" si="21"/>
        <v>✓ OK</v>
      </c>
      <c r="W268" s="45">
        <v>46248</v>
      </c>
      <c r="X268" s="30" t="s">
        <v>23</v>
      </c>
      <c r="Y268" s="30" t="s">
        <v>24</v>
      </c>
      <c r="Z268" s="30" t="s">
        <v>25</v>
      </c>
      <c r="AA268" s="30" t="s">
        <v>26</v>
      </c>
      <c r="AB268" s="30" t="s">
        <v>24</v>
      </c>
      <c r="AC268" s="27"/>
      <c r="AD268" s="31" t="s">
        <v>25</v>
      </c>
      <c r="AE268" s="32" t="str">
        <f t="shared" si="22"/>
        <v>✓ OK</v>
      </c>
      <c r="AF268" s="33" t="s">
        <v>27</v>
      </c>
      <c r="AG268" s="33" t="s">
        <v>23</v>
      </c>
      <c r="AH268" s="33" t="s">
        <v>24</v>
      </c>
      <c r="AI268" s="33" t="s">
        <v>25</v>
      </c>
      <c r="AJ268" s="33" t="s">
        <v>26</v>
      </c>
      <c r="AK268" s="33" t="s">
        <v>24</v>
      </c>
      <c r="AL268" s="27"/>
      <c r="AM268" s="34" t="s">
        <v>25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8" customHeight="1" x14ac:dyDescent="0.3">
      <c r="A269" s="23">
        <v>265</v>
      </c>
      <c r="B269" s="24" t="s">
        <v>557</v>
      </c>
      <c r="C269" s="25" t="s">
        <v>558</v>
      </c>
      <c r="D269" s="23" t="s">
        <v>216</v>
      </c>
      <c r="E269" s="43">
        <v>46125</v>
      </c>
      <c r="F269" s="26" t="s">
        <v>23</v>
      </c>
      <c r="G269" s="26" t="s">
        <v>24</v>
      </c>
      <c r="H269" s="26" t="s">
        <v>25</v>
      </c>
      <c r="I269" s="26" t="s">
        <v>26</v>
      </c>
      <c r="J269" s="26" t="s">
        <v>24</v>
      </c>
      <c r="K269" s="27"/>
      <c r="L269" s="28" t="s">
        <v>25</v>
      </c>
      <c r="M269" s="29" t="str">
        <f t="shared" si="20"/>
        <v>✓ OK</v>
      </c>
      <c r="N269" s="43">
        <v>46139</v>
      </c>
      <c r="O269" s="26" t="s">
        <v>23</v>
      </c>
      <c r="P269" s="26" t="s">
        <v>24</v>
      </c>
      <c r="Q269" s="26" t="s">
        <v>25</v>
      </c>
      <c r="R269" s="26" t="s">
        <v>26</v>
      </c>
      <c r="S269" s="26" t="s">
        <v>24</v>
      </c>
      <c r="T269" s="27"/>
      <c r="U269" s="28" t="s">
        <v>25</v>
      </c>
      <c r="V269" s="29" t="str">
        <f t="shared" si="21"/>
        <v>✓ OK</v>
      </c>
      <c r="W269" s="45">
        <v>46248</v>
      </c>
      <c r="X269" s="30" t="s">
        <v>23</v>
      </c>
      <c r="Y269" s="30" t="s">
        <v>24</v>
      </c>
      <c r="Z269" s="30" t="s">
        <v>25</v>
      </c>
      <c r="AA269" s="30" t="s">
        <v>26</v>
      </c>
      <c r="AB269" s="30" t="s">
        <v>24</v>
      </c>
      <c r="AC269" s="27"/>
      <c r="AD269" s="31" t="s">
        <v>25</v>
      </c>
      <c r="AE269" s="32" t="str">
        <f t="shared" si="22"/>
        <v>✓ OK</v>
      </c>
      <c r="AF269" s="33" t="s">
        <v>27</v>
      </c>
      <c r="AG269" s="33" t="s">
        <v>23</v>
      </c>
      <c r="AH269" s="33" t="s">
        <v>24</v>
      </c>
      <c r="AI269" s="33" t="s">
        <v>25</v>
      </c>
      <c r="AJ269" s="33" t="s">
        <v>26</v>
      </c>
      <c r="AK269" s="33" t="s">
        <v>24</v>
      </c>
      <c r="AL269" s="27"/>
      <c r="AM269" s="34" t="s">
        <v>25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8" customHeight="1" x14ac:dyDescent="0.3">
      <c r="A270" s="39">
        <v>266</v>
      </c>
      <c r="B270" s="40" t="s">
        <v>559</v>
      </c>
      <c r="C270" s="41" t="s">
        <v>560</v>
      </c>
      <c r="D270" s="39" t="s">
        <v>216</v>
      </c>
      <c r="E270" s="43">
        <v>46125</v>
      </c>
      <c r="F270" s="26" t="s">
        <v>23</v>
      </c>
      <c r="G270" s="26" t="s">
        <v>24</v>
      </c>
      <c r="H270" s="26" t="s">
        <v>25</v>
      </c>
      <c r="I270" s="26" t="s">
        <v>26</v>
      </c>
      <c r="J270" s="26" t="s">
        <v>24</v>
      </c>
      <c r="K270" s="27"/>
      <c r="L270" s="28" t="s">
        <v>25</v>
      </c>
      <c r="M270" s="29" t="str">
        <f t="shared" si="20"/>
        <v>✓ OK</v>
      </c>
      <c r="N270" s="43">
        <v>46139</v>
      </c>
      <c r="O270" s="26" t="s">
        <v>23</v>
      </c>
      <c r="P270" s="26" t="s">
        <v>24</v>
      </c>
      <c r="Q270" s="26" t="s">
        <v>25</v>
      </c>
      <c r="R270" s="26" t="s">
        <v>26</v>
      </c>
      <c r="S270" s="26" t="s">
        <v>24</v>
      </c>
      <c r="T270" s="27"/>
      <c r="U270" s="28" t="s">
        <v>25</v>
      </c>
      <c r="V270" s="29" t="str">
        <f t="shared" si="21"/>
        <v>✓ OK</v>
      </c>
      <c r="W270" s="45">
        <v>46248</v>
      </c>
      <c r="X270" s="30" t="s">
        <v>23</v>
      </c>
      <c r="Y270" s="30" t="s">
        <v>24</v>
      </c>
      <c r="Z270" s="30" t="s">
        <v>25</v>
      </c>
      <c r="AA270" s="30" t="s">
        <v>26</v>
      </c>
      <c r="AB270" s="30" t="s">
        <v>24</v>
      </c>
      <c r="AC270" s="27"/>
      <c r="AD270" s="31" t="s">
        <v>25</v>
      </c>
      <c r="AE270" s="32" t="str">
        <f t="shared" si="22"/>
        <v>✓ OK</v>
      </c>
      <c r="AF270" s="33" t="s">
        <v>27</v>
      </c>
      <c r="AG270" s="33" t="s">
        <v>23</v>
      </c>
      <c r="AH270" s="33" t="s">
        <v>24</v>
      </c>
      <c r="AI270" s="33" t="s">
        <v>25</v>
      </c>
      <c r="AJ270" s="33" t="s">
        <v>26</v>
      </c>
      <c r="AK270" s="33" t="s">
        <v>24</v>
      </c>
      <c r="AL270" s="27"/>
      <c r="AM270" s="34" t="s">
        <v>25</v>
      </c>
      <c r="AN270" s="35" t="str">
        <f t="shared" si="23"/>
        <v>✓ OK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8" customHeight="1" x14ac:dyDescent="0.3">
      <c r="A271" s="23">
        <v>267</v>
      </c>
      <c r="B271" s="24" t="s">
        <v>561</v>
      </c>
      <c r="C271" s="25" t="s">
        <v>562</v>
      </c>
      <c r="D271" s="23" t="s">
        <v>216</v>
      </c>
      <c r="E271" s="43">
        <v>46125</v>
      </c>
      <c r="F271" s="26" t="s">
        <v>23</v>
      </c>
      <c r="G271" s="26" t="s">
        <v>24</v>
      </c>
      <c r="H271" s="26" t="s">
        <v>25</v>
      </c>
      <c r="I271" s="26" t="s">
        <v>26</v>
      </c>
      <c r="J271" s="26" t="s">
        <v>24</v>
      </c>
      <c r="K271" s="27"/>
      <c r="L271" s="28" t="s">
        <v>25</v>
      </c>
      <c r="M271" s="29" t="str">
        <f t="shared" si="20"/>
        <v>✓ OK</v>
      </c>
      <c r="N271" s="43">
        <v>46139</v>
      </c>
      <c r="O271" s="26" t="s">
        <v>23</v>
      </c>
      <c r="P271" s="26" t="s">
        <v>24</v>
      </c>
      <c r="Q271" s="26" t="s">
        <v>25</v>
      </c>
      <c r="R271" s="26" t="s">
        <v>26</v>
      </c>
      <c r="S271" s="26" t="s">
        <v>24</v>
      </c>
      <c r="T271" s="27"/>
      <c r="U271" s="28" t="s">
        <v>25</v>
      </c>
      <c r="V271" s="29" t="str">
        <f t="shared" si="21"/>
        <v>✓ OK</v>
      </c>
      <c r="W271" s="45">
        <v>46248</v>
      </c>
      <c r="X271" s="30" t="s">
        <v>23</v>
      </c>
      <c r="Y271" s="30" t="s">
        <v>24</v>
      </c>
      <c r="Z271" s="30" t="s">
        <v>25</v>
      </c>
      <c r="AA271" s="30" t="s">
        <v>26</v>
      </c>
      <c r="AB271" s="30" t="s">
        <v>24</v>
      </c>
      <c r="AC271" s="27"/>
      <c r="AD271" s="31" t="s">
        <v>25</v>
      </c>
      <c r="AE271" s="32" t="str">
        <f t="shared" si="22"/>
        <v>✓ OK</v>
      </c>
      <c r="AF271" s="33" t="s">
        <v>27</v>
      </c>
      <c r="AG271" s="33" t="s">
        <v>23</v>
      </c>
      <c r="AH271" s="33" t="s">
        <v>24</v>
      </c>
      <c r="AI271" s="33" t="s">
        <v>25</v>
      </c>
      <c r="AJ271" s="33" t="s">
        <v>26</v>
      </c>
      <c r="AK271" s="33" t="s">
        <v>24</v>
      </c>
      <c r="AL271" s="27"/>
      <c r="AM271" s="34" t="s">
        <v>25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8" customHeight="1" x14ac:dyDescent="0.3">
      <c r="A272" s="39">
        <v>268</v>
      </c>
      <c r="B272" s="40" t="s">
        <v>563</v>
      </c>
      <c r="C272" s="41" t="s">
        <v>564</v>
      </c>
      <c r="D272" s="39" t="s">
        <v>216</v>
      </c>
      <c r="E272" s="43">
        <v>46125</v>
      </c>
      <c r="F272" s="26" t="s">
        <v>23</v>
      </c>
      <c r="G272" s="26" t="s">
        <v>24</v>
      </c>
      <c r="H272" s="26" t="s">
        <v>25</v>
      </c>
      <c r="I272" s="26" t="s">
        <v>26</v>
      </c>
      <c r="J272" s="26" t="s">
        <v>24</v>
      </c>
      <c r="K272" s="27"/>
      <c r="L272" s="28" t="s">
        <v>25</v>
      </c>
      <c r="M272" s="29" t="str">
        <f t="shared" si="20"/>
        <v>✓ OK</v>
      </c>
      <c r="N272" s="43">
        <v>46139</v>
      </c>
      <c r="O272" s="26" t="s">
        <v>23</v>
      </c>
      <c r="P272" s="26" t="s">
        <v>24</v>
      </c>
      <c r="Q272" s="26" t="s">
        <v>25</v>
      </c>
      <c r="R272" s="26" t="s">
        <v>26</v>
      </c>
      <c r="S272" s="26" t="s">
        <v>24</v>
      </c>
      <c r="T272" s="27"/>
      <c r="U272" s="28" t="s">
        <v>25</v>
      </c>
      <c r="V272" s="29" t="str">
        <f t="shared" si="21"/>
        <v>✓ OK</v>
      </c>
      <c r="W272" s="45">
        <v>46248</v>
      </c>
      <c r="X272" s="30" t="s">
        <v>23</v>
      </c>
      <c r="Y272" s="30" t="s">
        <v>24</v>
      </c>
      <c r="Z272" s="30" t="s">
        <v>25</v>
      </c>
      <c r="AA272" s="30" t="s">
        <v>26</v>
      </c>
      <c r="AB272" s="30" t="s">
        <v>24</v>
      </c>
      <c r="AC272" s="27"/>
      <c r="AD272" s="31" t="s">
        <v>25</v>
      </c>
      <c r="AE272" s="32" t="str">
        <f t="shared" si="22"/>
        <v>✓ OK</v>
      </c>
      <c r="AF272" s="33" t="s">
        <v>27</v>
      </c>
      <c r="AG272" s="33" t="s">
        <v>23</v>
      </c>
      <c r="AH272" s="33" t="s">
        <v>24</v>
      </c>
      <c r="AI272" s="33" t="s">
        <v>25</v>
      </c>
      <c r="AJ272" s="33" t="s">
        <v>26</v>
      </c>
      <c r="AK272" s="33" t="s">
        <v>24</v>
      </c>
      <c r="AL272" s="27"/>
      <c r="AM272" s="34" t="s">
        <v>25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8" customHeight="1" x14ac:dyDescent="0.3">
      <c r="A273" s="23">
        <v>269</v>
      </c>
      <c r="B273" s="24" t="s">
        <v>565</v>
      </c>
      <c r="C273" s="25" t="s">
        <v>566</v>
      </c>
      <c r="D273" s="23" t="s">
        <v>216</v>
      </c>
      <c r="E273" s="43">
        <v>46125</v>
      </c>
      <c r="F273" s="26" t="s">
        <v>23</v>
      </c>
      <c r="G273" s="26" t="s">
        <v>24</v>
      </c>
      <c r="H273" s="26" t="s">
        <v>25</v>
      </c>
      <c r="I273" s="26" t="s">
        <v>26</v>
      </c>
      <c r="J273" s="26" t="s">
        <v>24</v>
      </c>
      <c r="K273" s="27"/>
      <c r="L273" s="28" t="s">
        <v>25</v>
      </c>
      <c r="M273" s="29" t="str">
        <f t="shared" si="20"/>
        <v>✓ OK</v>
      </c>
      <c r="N273" s="43">
        <v>46139</v>
      </c>
      <c r="O273" s="26" t="s">
        <v>23</v>
      </c>
      <c r="P273" s="26" t="s">
        <v>24</v>
      </c>
      <c r="Q273" s="26" t="s">
        <v>25</v>
      </c>
      <c r="R273" s="26" t="s">
        <v>26</v>
      </c>
      <c r="S273" s="26" t="s">
        <v>24</v>
      </c>
      <c r="T273" s="27"/>
      <c r="U273" s="28" t="s">
        <v>25</v>
      </c>
      <c r="V273" s="29" t="str">
        <f t="shared" si="21"/>
        <v>✓ OK</v>
      </c>
      <c r="W273" s="45">
        <v>46248</v>
      </c>
      <c r="X273" s="30" t="s">
        <v>23</v>
      </c>
      <c r="Y273" s="30" t="s">
        <v>24</v>
      </c>
      <c r="Z273" s="30" t="s">
        <v>25</v>
      </c>
      <c r="AA273" s="30" t="s">
        <v>26</v>
      </c>
      <c r="AB273" s="30" t="s">
        <v>24</v>
      </c>
      <c r="AC273" s="27"/>
      <c r="AD273" s="31" t="s">
        <v>25</v>
      </c>
      <c r="AE273" s="32" t="str">
        <f t="shared" si="22"/>
        <v>✓ OK</v>
      </c>
      <c r="AF273" s="33" t="s">
        <v>27</v>
      </c>
      <c r="AG273" s="33" t="s">
        <v>23</v>
      </c>
      <c r="AH273" s="33" t="s">
        <v>24</v>
      </c>
      <c r="AI273" s="33" t="s">
        <v>25</v>
      </c>
      <c r="AJ273" s="33" t="s">
        <v>26</v>
      </c>
      <c r="AK273" s="33" t="s">
        <v>24</v>
      </c>
      <c r="AL273" s="27"/>
      <c r="AM273" s="34" t="s">
        <v>25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8" customHeight="1" x14ac:dyDescent="0.3">
      <c r="A274" s="39">
        <v>270</v>
      </c>
      <c r="B274" s="40" t="s">
        <v>567</v>
      </c>
      <c r="C274" s="41" t="s">
        <v>568</v>
      </c>
      <c r="D274" s="39" t="s">
        <v>216</v>
      </c>
      <c r="E274" s="43">
        <v>46125</v>
      </c>
      <c r="F274" s="26" t="s">
        <v>23</v>
      </c>
      <c r="G274" s="26" t="s">
        <v>24</v>
      </c>
      <c r="H274" s="26" t="s">
        <v>25</v>
      </c>
      <c r="I274" s="26" t="s">
        <v>26</v>
      </c>
      <c r="J274" s="26" t="s">
        <v>24</v>
      </c>
      <c r="K274" s="27"/>
      <c r="L274" s="28" t="s">
        <v>25</v>
      </c>
      <c r="M274" s="29" t="str">
        <f t="shared" si="20"/>
        <v>✓ OK</v>
      </c>
      <c r="N274" s="43">
        <v>46139</v>
      </c>
      <c r="O274" s="26" t="s">
        <v>23</v>
      </c>
      <c r="P274" s="26" t="s">
        <v>24</v>
      </c>
      <c r="Q274" s="26" t="s">
        <v>25</v>
      </c>
      <c r="R274" s="26" t="s">
        <v>26</v>
      </c>
      <c r="S274" s="26" t="s">
        <v>24</v>
      </c>
      <c r="T274" s="27"/>
      <c r="U274" s="28" t="s">
        <v>25</v>
      </c>
      <c r="V274" s="29" t="str">
        <f t="shared" si="21"/>
        <v>✓ OK</v>
      </c>
      <c r="W274" s="45">
        <v>46248</v>
      </c>
      <c r="X274" s="30" t="s">
        <v>23</v>
      </c>
      <c r="Y274" s="30" t="s">
        <v>24</v>
      </c>
      <c r="Z274" s="30" t="s">
        <v>25</v>
      </c>
      <c r="AA274" s="30" t="s">
        <v>26</v>
      </c>
      <c r="AB274" s="30" t="s">
        <v>24</v>
      </c>
      <c r="AC274" s="27"/>
      <c r="AD274" s="31" t="s">
        <v>25</v>
      </c>
      <c r="AE274" s="32" t="str">
        <f t="shared" si="22"/>
        <v>✓ OK</v>
      </c>
      <c r="AF274" s="33" t="s">
        <v>27</v>
      </c>
      <c r="AG274" s="33" t="s">
        <v>23</v>
      </c>
      <c r="AH274" s="33" t="s">
        <v>24</v>
      </c>
      <c r="AI274" s="33" t="s">
        <v>25</v>
      </c>
      <c r="AJ274" s="33" t="s">
        <v>26</v>
      </c>
      <c r="AK274" s="33" t="s">
        <v>24</v>
      </c>
      <c r="AL274" s="27"/>
      <c r="AM274" s="34" t="s">
        <v>25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8" customHeight="1" x14ac:dyDescent="0.3">
      <c r="A275" s="23">
        <v>271</v>
      </c>
      <c r="B275" s="24" t="s">
        <v>569</v>
      </c>
      <c r="C275" s="25" t="s">
        <v>570</v>
      </c>
      <c r="D275" s="23" t="s">
        <v>216</v>
      </c>
      <c r="E275" s="43">
        <v>46125</v>
      </c>
      <c r="F275" s="26" t="s">
        <v>23</v>
      </c>
      <c r="G275" s="26" t="s">
        <v>24</v>
      </c>
      <c r="H275" s="26" t="s">
        <v>25</v>
      </c>
      <c r="I275" s="26" t="s">
        <v>26</v>
      </c>
      <c r="J275" s="26" t="s">
        <v>24</v>
      </c>
      <c r="K275" s="27"/>
      <c r="L275" s="28" t="s">
        <v>25</v>
      </c>
      <c r="M275" s="29" t="str">
        <f t="shared" si="20"/>
        <v>✓ OK</v>
      </c>
      <c r="N275" s="43">
        <v>46139</v>
      </c>
      <c r="O275" s="26" t="s">
        <v>23</v>
      </c>
      <c r="P275" s="26" t="s">
        <v>24</v>
      </c>
      <c r="Q275" s="26" t="s">
        <v>25</v>
      </c>
      <c r="R275" s="26" t="s">
        <v>26</v>
      </c>
      <c r="S275" s="26" t="s">
        <v>24</v>
      </c>
      <c r="T275" s="27"/>
      <c r="U275" s="28" t="s">
        <v>25</v>
      </c>
      <c r="V275" s="29" t="str">
        <f t="shared" si="21"/>
        <v>✓ OK</v>
      </c>
      <c r="W275" s="45">
        <v>46248</v>
      </c>
      <c r="X275" s="30" t="s">
        <v>23</v>
      </c>
      <c r="Y275" s="30" t="s">
        <v>24</v>
      </c>
      <c r="Z275" s="30" t="s">
        <v>25</v>
      </c>
      <c r="AA275" s="30" t="s">
        <v>26</v>
      </c>
      <c r="AB275" s="30" t="s">
        <v>24</v>
      </c>
      <c r="AC275" s="27"/>
      <c r="AD275" s="31" t="s">
        <v>25</v>
      </c>
      <c r="AE275" s="32" t="str">
        <f t="shared" si="22"/>
        <v>✓ OK</v>
      </c>
      <c r="AF275" s="33" t="s">
        <v>27</v>
      </c>
      <c r="AG275" s="33" t="s">
        <v>23</v>
      </c>
      <c r="AH275" s="33" t="s">
        <v>24</v>
      </c>
      <c r="AI275" s="33" t="s">
        <v>25</v>
      </c>
      <c r="AJ275" s="33" t="s">
        <v>26</v>
      </c>
      <c r="AK275" s="33" t="s">
        <v>24</v>
      </c>
      <c r="AL275" s="27"/>
      <c r="AM275" s="34" t="s">
        <v>25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8" customHeight="1" x14ac:dyDescent="0.3">
      <c r="A276" s="39">
        <v>272</v>
      </c>
      <c r="B276" s="40" t="s">
        <v>571</v>
      </c>
      <c r="C276" s="41" t="s">
        <v>572</v>
      </c>
      <c r="D276" s="39" t="s">
        <v>216</v>
      </c>
      <c r="E276" s="43">
        <v>46125</v>
      </c>
      <c r="F276" s="26" t="s">
        <v>23</v>
      </c>
      <c r="G276" s="26" t="s">
        <v>24</v>
      </c>
      <c r="H276" s="26" t="s">
        <v>25</v>
      </c>
      <c r="I276" s="26" t="s">
        <v>26</v>
      </c>
      <c r="J276" s="26" t="s">
        <v>24</v>
      </c>
      <c r="K276" s="27"/>
      <c r="L276" s="28" t="s">
        <v>25</v>
      </c>
      <c r="M276" s="29" t="str">
        <f t="shared" si="20"/>
        <v>✓ OK</v>
      </c>
      <c r="N276" s="43">
        <v>46139</v>
      </c>
      <c r="O276" s="26" t="s">
        <v>23</v>
      </c>
      <c r="P276" s="26" t="s">
        <v>24</v>
      </c>
      <c r="Q276" s="26" t="s">
        <v>25</v>
      </c>
      <c r="R276" s="26" t="s">
        <v>26</v>
      </c>
      <c r="S276" s="26" t="s">
        <v>24</v>
      </c>
      <c r="T276" s="27"/>
      <c r="U276" s="28" t="s">
        <v>25</v>
      </c>
      <c r="V276" s="29" t="str">
        <f t="shared" si="21"/>
        <v>✓ OK</v>
      </c>
      <c r="W276" s="45">
        <v>46248</v>
      </c>
      <c r="X276" s="30" t="s">
        <v>23</v>
      </c>
      <c r="Y276" s="30" t="s">
        <v>24</v>
      </c>
      <c r="Z276" s="30" t="s">
        <v>25</v>
      </c>
      <c r="AA276" s="30" t="s">
        <v>26</v>
      </c>
      <c r="AB276" s="30" t="s">
        <v>24</v>
      </c>
      <c r="AC276" s="27"/>
      <c r="AD276" s="31" t="s">
        <v>25</v>
      </c>
      <c r="AE276" s="32" t="str">
        <f t="shared" si="22"/>
        <v>✓ OK</v>
      </c>
      <c r="AF276" s="33" t="s">
        <v>27</v>
      </c>
      <c r="AG276" s="33" t="s">
        <v>23</v>
      </c>
      <c r="AH276" s="33" t="s">
        <v>24</v>
      </c>
      <c r="AI276" s="33" t="s">
        <v>25</v>
      </c>
      <c r="AJ276" s="33" t="s">
        <v>26</v>
      </c>
      <c r="AK276" s="33" t="s">
        <v>24</v>
      </c>
      <c r="AL276" s="27"/>
      <c r="AM276" s="34" t="s">
        <v>25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8" customHeight="1" x14ac:dyDescent="0.3">
      <c r="A277" s="23">
        <v>273</v>
      </c>
      <c r="B277" s="24" t="s">
        <v>573</v>
      </c>
      <c r="C277" s="25" t="s">
        <v>574</v>
      </c>
      <c r="D277" s="23" t="s">
        <v>216</v>
      </c>
      <c r="E277" s="43">
        <v>46125</v>
      </c>
      <c r="F277" s="26" t="s">
        <v>23</v>
      </c>
      <c r="G277" s="26" t="s">
        <v>24</v>
      </c>
      <c r="H277" s="26" t="s">
        <v>25</v>
      </c>
      <c r="I277" s="26" t="s">
        <v>26</v>
      </c>
      <c r="J277" s="26" t="s">
        <v>24</v>
      </c>
      <c r="K277" s="27"/>
      <c r="L277" s="28" t="s">
        <v>25</v>
      </c>
      <c r="M277" s="29" t="str">
        <f t="shared" si="20"/>
        <v>✓ OK</v>
      </c>
      <c r="N277" s="43">
        <v>46139</v>
      </c>
      <c r="O277" s="26" t="s">
        <v>23</v>
      </c>
      <c r="P277" s="26" t="s">
        <v>24</v>
      </c>
      <c r="Q277" s="26" t="s">
        <v>25</v>
      </c>
      <c r="R277" s="26" t="s">
        <v>26</v>
      </c>
      <c r="S277" s="26" t="s">
        <v>24</v>
      </c>
      <c r="T277" s="27"/>
      <c r="U277" s="28" t="s">
        <v>25</v>
      </c>
      <c r="V277" s="29" t="str">
        <f t="shared" si="21"/>
        <v>✓ OK</v>
      </c>
      <c r="W277" s="45">
        <v>46248</v>
      </c>
      <c r="X277" s="30" t="s">
        <v>23</v>
      </c>
      <c r="Y277" s="30" t="s">
        <v>24</v>
      </c>
      <c r="Z277" s="30" t="s">
        <v>25</v>
      </c>
      <c r="AA277" s="30" t="s">
        <v>26</v>
      </c>
      <c r="AB277" s="30" t="s">
        <v>24</v>
      </c>
      <c r="AC277" s="27"/>
      <c r="AD277" s="31" t="s">
        <v>25</v>
      </c>
      <c r="AE277" s="32" t="str">
        <f t="shared" si="22"/>
        <v>✓ OK</v>
      </c>
      <c r="AF277" s="33" t="s">
        <v>27</v>
      </c>
      <c r="AG277" s="33" t="s">
        <v>23</v>
      </c>
      <c r="AH277" s="33" t="s">
        <v>24</v>
      </c>
      <c r="AI277" s="33" t="s">
        <v>25</v>
      </c>
      <c r="AJ277" s="33" t="s">
        <v>26</v>
      </c>
      <c r="AK277" s="33" t="s">
        <v>24</v>
      </c>
      <c r="AL277" s="27"/>
      <c r="AM277" s="34" t="s">
        <v>25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8" customHeight="1" x14ac:dyDescent="0.3">
      <c r="A278" s="39">
        <v>274</v>
      </c>
      <c r="B278" s="40" t="s">
        <v>575</v>
      </c>
      <c r="C278" s="41" t="s">
        <v>576</v>
      </c>
      <c r="D278" s="39" t="s">
        <v>216</v>
      </c>
      <c r="E278" s="43">
        <v>46125</v>
      </c>
      <c r="F278" s="26" t="s">
        <v>23</v>
      </c>
      <c r="G278" s="26" t="s">
        <v>24</v>
      </c>
      <c r="H278" s="26" t="s">
        <v>25</v>
      </c>
      <c r="I278" s="26" t="s">
        <v>26</v>
      </c>
      <c r="J278" s="26" t="s">
        <v>24</v>
      </c>
      <c r="K278" s="27"/>
      <c r="L278" s="28" t="s">
        <v>25</v>
      </c>
      <c r="M278" s="29" t="str">
        <f t="shared" si="20"/>
        <v>✓ OK</v>
      </c>
      <c r="N278" s="43">
        <v>46139</v>
      </c>
      <c r="O278" s="26" t="s">
        <v>23</v>
      </c>
      <c r="P278" s="26" t="s">
        <v>24</v>
      </c>
      <c r="Q278" s="26" t="s">
        <v>25</v>
      </c>
      <c r="R278" s="26" t="s">
        <v>26</v>
      </c>
      <c r="S278" s="26" t="s">
        <v>24</v>
      </c>
      <c r="T278" s="27"/>
      <c r="U278" s="28" t="s">
        <v>25</v>
      </c>
      <c r="V278" s="29" t="str">
        <f t="shared" si="21"/>
        <v>✓ OK</v>
      </c>
      <c r="W278" s="45">
        <v>46248</v>
      </c>
      <c r="X278" s="30" t="s">
        <v>23</v>
      </c>
      <c r="Y278" s="30" t="s">
        <v>24</v>
      </c>
      <c r="Z278" s="30" t="s">
        <v>25</v>
      </c>
      <c r="AA278" s="30" t="s">
        <v>26</v>
      </c>
      <c r="AB278" s="30" t="s">
        <v>24</v>
      </c>
      <c r="AC278" s="27"/>
      <c r="AD278" s="31" t="s">
        <v>25</v>
      </c>
      <c r="AE278" s="32" t="str">
        <f t="shared" si="22"/>
        <v>✓ OK</v>
      </c>
      <c r="AF278" s="33" t="s">
        <v>27</v>
      </c>
      <c r="AG278" s="33" t="s">
        <v>23</v>
      </c>
      <c r="AH278" s="33" t="s">
        <v>24</v>
      </c>
      <c r="AI278" s="33" t="s">
        <v>25</v>
      </c>
      <c r="AJ278" s="33" t="s">
        <v>26</v>
      </c>
      <c r="AK278" s="33" t="s">
        <v>24</v>
      </c>
      <c r="AL278" s="27"/>
      <c r="AM278" s="34" t="s">
        <v>25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8" customHeight="1" x14ac:dyDescent="0.3">
      <c r="A279" s="23">
        <v>275</v>
      </c>
      <c r="B279" s="24" t="s">
        <v>577</v>
      </c>
      <c r="C279" s="25" t="s">
        <v>578</v>
      </c>
      <c r="D279" s="23" t="s">
        <v>216</v>
      </c>
      <c r="E279" s="43">
        <v>46125</v>
      </c>
      <c r="F279" s="26" t="s">
        <v>23</v>
      </c>
      <c r="G279" s="26" t="s">
        <v>24</v>
      </c>
      <c r="H279" s="26" t="s">
        <v>25</v>
      </c>
      <c r="I279" s="26" t="s">
        <v>26</v>
      </c>
      <c r="J279" s="26" t="s">
        <v>24</v>
      </c>
      <c r="K279" s="27"/>
      <c r="L279" s="28" t="s">
        <v>25</v>
      </c>
      <c r="M279" s="29" t="str">
        <f t="shared" si="20"/>
        <v>✓ OK</v>
      </c>
      <c r="N279" s="43">
        <v>46139</v>
      </c>
      <c r="O279" s="26" t="s">
        <v>23</v>
      </c>
      <c r="P279" s="26" t="s">
        <v>24</v>
      </c>
      <c r="Q279" s="26" t="s">
        <v>25</v>
      </c>
      <c r="R279" s="26" t="s">
        <v>26</v>
      </c>
      <c r="S279" s="26" t="s">
        <v>24</v>
      </c>
      <c r="T279" s="27"/>
      <c r="U279" s="28" t="s">
        <v>25</v>
      </c>
      <c r="V279" s="29" t="str">
        <f t="shared" si="21"/>
        <v>✓ OK</v>
      </c>
      <c r="W279" s="45">
        <v>46248</v>
      </c>
      <c r="X279" s="30" t="s">
        <v>23</v>
      </c>
      <c r="Y279" s="30" t="s">
        <v>24</v>
      </c>
      <c r="Z279" s="30" t="s">
        <v>25</v>
      </c>
      <c r="AA279" s="30" t="s">
        <v>26</v>
      </c>
      <c r="AB279" s="30" t="s">
        <v>24</v>
      </c>
      <c r="AC279" s="27"/>
      <c r="AD279" s="31" t="s">
        <v>25</v>
      </c>
      <c r="AE279" s="32" t="str">
        <f t="shared" si="22"/>
        <v>✓ OK</v>
      </c>
      <c r="AF279" s="33" t="s">
        <v>27</v>
      </c>
      <c r="AG279" s="33" t="s">
        <v>23</v>
      </c>
      <c r="AH279" s="33" t="s">
        <v>24</v>
      </c>
      <c r="AI279" s="33" t="s">
        <v>25</v>
      </c>
      <c r="AJ279" s="33" t="s">
        <v>26</v>
      </c>
      <c r="AK279" s="33" t="s">
        <v>24</v>
      </c>
      <c r="AL279" s="27"/>
      <c r="AM279" s="34" t="s">
        <v>25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8" customHeight="1" x14ac:dyDescent="0.3">
      <c r="A280" s="39">
        <v>276</v>
      </c>
      <c r="B280" s="40" t="s">
        <v>579</v>
      </c>
      <c r="C280" s="41" t="s">
        <v>580</v>
      </c>
      <c r="D280" s="39" t="s">
        <v>216</v>
      </c>
      <c r="E280" s="43">
        <v>46125</v>
      </c>
      <c r="F280" s="26" t="s">
        <v>23</v>
      </c>
      <c r="G280" s="26" t="s">
        <v>24</v>
      </c>
      <c r="H280" s="26" t="s">
        <v>25</v>
      </c>
      <c r="I280" s="26" t="s">
        <v>26</v>
      </c>
      <c r="J280" s="26" t="s">
        <v>24</v>
      </c>
      <c r="K280" s="27"/>
      <c r="L280" s="28" t="s">
        <v>25</v>
      </c>
      <c r="M280" s="29" t="str">
        <f t="shared" si="20"/>
        <v>✓ OK</v>
      </c>
      <c r="N280" s="43">
        <v>46139</v>
      </c>
      <c r="O280" s="26" t="s">
        <v>23</v>
      </c>
      <c r="P280" s="26" t="s">
        <v>24</v>
      </c>
      <c r="Q280" s="26" t="s">
        <v>25</v>
      </c>
      <c r="R280" s="26" t="s">
        <v>26</v>
      </c>
      <c r="S280" s="26" t="s">
        <v>24</v>
      </c>
      <c r="T280" s="27"/>
      <c r="U280" s="28" t="s">
        <v>25</v>
      </c>
      <c r="V280" s="29" t="str">
        <f t="shared" si="21"/>
        <v>✓ OK</v>
      </c>
      <c r="W280" s="45">
        <v>46248</v>
      </c>
      <c r="X280" s="30" t="s">
        <v>23</v>
      </c>
      <c r="Y280" s="30" t="s">
        <v>24</v>
      </c>
      <c r="Z280" s="30" t="s">
        <v>25</v>
      </c>
      <c r="AA280" s="30" t="s">
        <v>26</v>
      </c>
      <c r="AB280" s="30" t="s">
        <v>24</v>
      </c>
      <c r="AC280" s="27"/>
      <c r="AD280" s="31" t="s">
        <v>25</v>
      </c>
      <c r="AE280" s="32" t="str">
        <f t="shared" si="22"/>
        <v>✓ OK</v>
      </c>
      <c r="AF280" s="33" t="s">
        <v>27</v>
      </c>
      <c r="AG280" s="33" t="s">
        <v>23</v>
      </c>
      <c r="AH280" s="33" t="s">
        <v>24</v>
      </c>
      <c r="AI280" s="33" t="s">
        <v>25</v>
      </c>
      <c r="AJ280" s="33" t="s">
        <v>26</v>
      </c>
      <c r="AK280" s="33" t="s">
        <v>24</v>
      </c>
      <c r="AL280" s="27"/>
      <c r="AM280" s="34" t="s">
        <v>25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8" customHeight="1" x14ac:dyDescent="0.3">
      <c r="A281" s="23">
        <v>277</v>
      </c>
      <c r="B281" s="24" t="s">
        <v>581</v>
      </c>
      <c r="C281" s="25" t="s">
        <v>582</v>
      </c>
      <c r="D281" s="23" t="s">
        <v>216</v>
      </c>
      <c r="E281" s="43">
        <v>46125</v>
      </c>
      <c r="F281" s="26" t="s">
        <v>23</v>
      </c>
      <c r="G281" s="26" t="s">
        <v>24</v>
      </c>
      <c r="H281" s="26" t="s">
        <v>25</v>
      </c>
      <c r="I281" s="26" t="s">
        <v>26</v>
      </c>
      <c r="J281" s="26" t="s">
        <v>24</v>
      </c>
      <c r="K281" s="27"/>
      <c r="L281" s="28" t="s">
        <v>25</v>
      </c>
      <c r="M281" s="29" t="str">
        <f t="shared" si="20"/>
        <v>✓ OK</v>
      </c>
      <c r="N281" s="43">
        <v>46139</v>
      </c>
      <c r="O281" s="26" t="s">
        <v>23</v>
      </c>
      <c r="P281" s="26" t="s">
        <v>24</v>
      </c>
      <c r="Q281" s="26" t="s">
        <v>25</v>
      </c>
      <c r="R281" s="26" t="s">
        <v>26</v>
      </c>
      <c r="S281" s="26" t="s">
        <v>24</v>
      </c>
      <c r="T281" s="27"/>
      <c r="U281" s="28" t="s">
        <v>25</v>
      </c>
      <c r="V281" s="29" t="str">
        <f t="shared" si="21"/>
        <v>✓ OK</v>
      </c>
      <c r="W281" s="45">
        <v>46248</v>
      </c>
      <c r="X281" s="30" t="s">
        <v>23</v>
      </c>
      <c r="Y281" s="30" t="s">
        <v>24</v>
      </c>
      <c r="Z281" s="30" t="s">
        <v>25</v>
      </c>
      <c r="AA281" s="30" t="s">
        <v>26</v>
      </c>
      <c r="AB281" s="30" t="s">
        <v>24</v>
      </c>
      <c r="AC281" s="27"/>
      <c r="AD281" s="31" t="s">
        <v>25</v>
      </c>
      <c r="AE281" s="32" t="str">
        <f t="shared" si="22"/>
        <v>✓ OK</v>
      </c>
      <c r="AF281" s="33" t="s">
        <v>27</v>
      </c>
      <c r="AG281" s="33" t="s">
        <v>23</v>
      </c>
      <c r="AH281" s="33" t="s">
        <v>24</v>
      </c>
      <c r="AI281" s="33" t="s">
        <v>25</v>
      </c>
      <c r="AJ281" s="33" t="s">
        <v>26</v>
      </c>
      <c r="AK281" s="33" t="s">
        <v>24</v>
      </c>
      <c r="AL281" s="27"/>
      <c r="AM281" s="34" t="s">
        <v>25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8" customHeight="1" x14ac:dyDescent="0.3">
      <c r="A282" s="39">
        <v>278</v>
      </c>
      <c r="B282" s="40" t="s">
        <v>583</v>
      </c>
      <c r="C282" s="41" t="s">
        <v>584</v>
      </c>
      <c r="D282" s="39" t="s">
        <v>216</v>
      </c>
      <c r="E282" s="43">
        <v>46125</v>
      </c>
      <c r="F282" s="26" t="s">
        <v>23</v>
      </c>
      <c r="G282" s="26" t="s">
        <v>24</v>
      </c>
      <c r="H282" s="26" t="s">
        <v>25</v>
      </c>
      <c r="I282" s="26" t="s">
        <v>26</v>
      </c>
      <c r="J282" s="26" t="s">
        <v>24</v>
      </c>
      <c r="K282" s="27"/>
      <c r="L282" s="28" t="s">
        <v>25</v>
      </c>
      <c r="M282" s="29" t="str">
        <f t="shared" si="20"/>
        <v>✓ OK</v>
      </c>
      <c r="N282" s="43">
        <v>46139</v>
      </c>
      <c r="O282" s="26" t="s">
        <v>23</v>
      </c>
      <c r="P282" s="26" t="s">
        <v>24</v>
      </c>
      <c r="Q282" s="26" t="s">
        <v>25</v>
      </c>
      <c r="R282" s="26" t="s">
        <v>26</v>
      </c>
      <c r="S282" s="26" t="s">
        <v>24</v>
      </c>
      <c r="T282" s="27"/>
      <c r="U282" s="28" t="s">
        <v>25</v>
      </c>
      <c r="V282" s="29" t="str">
        <f t="shared" si="21"/>
        <v>✓ OK</v>
      </c>
      <c r="W282" s="45">
        <v>46248</v>
      </c>
      <c r="X282" s="30" t="s">
        <v>23</v>
      </c>
      <c r="Y282" s="30" t="s">
        <v>24</v>
      </c>
      <c r="Z282" s="30" t="s">
        <v>25</v>
      </c>
      <c r="AA282" s="30" t="s">
        <v>26</v>
      </c>
      <c r="AB282" s="30" t="s">
        <v>24</v>
      </c>
      <c r="AC282" s="27"/>
      <c r="AD282" s="31" t="s">
        <v>25</v>
      </c>
      <c r="AE282" s="32" t="str">
        <f t="shared" si="22"/>
        <v>✓ OK</v>
      </c>
      <c r="AF282" s="33" t="s">
        <v>27</v>
      </c>
      <c r="AG282" s="33" t="s">
        <v>23</v>
      </c>
      <c r="AH282" s="33" t="s">
        <v>24</v>
      </c>
      <c r="AI282" s="33" t="s">
        <v>25</v>
      </c>
      <c r="AJ282" s="33" t="s">
        <v>26</v>
      </c>
      <c r="AK282" s="33" t="s">
        <v>24</v>
      </c>
      <c r="AL282" s="27"/>
      <c r="AM282" s="34" t="s">
        <v>25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8" customHeight="1" x14ac:dyDescent="0.3">
      <c r="A283" s="23">
        <v>279</v>
      </c>
      <c r="B283" s="24" t="s">
        <v>585</v>
      </c>
      <c r="C283" s="25" t="s">
        <v>586</v>
      </c>
      <c r="D283" s="23" t="s">
        <v>216</v>
      </c>
      <c r="E283" s="43">
        <v>46125</v>
      </c>
      <c r="F283" s="26" t="s">
        <v>23</v>
      </c>
      <c r="G283" s="26" t="s">
        <v>24</v>
      </c>
      <c r="H283" s="26" t="s">
        <v>25</v>
      </c>
      <c r="I283" s="26" t="s">
        <v>26</v>
      </c>
      <c r="J283" s="26" t="s">
        <v>24</v>
      </c>
      <c r="K283" s="27"/>
      <c r="L283" s="28" t="s">
        <v>25</v>
      </c>
      <c r="M283" s="29" t="str">
        <f t="shared" si="20"/>
        <v>✓ OK</v>
      </c>
      <c r="N283" s="43">
        <v>46139</v>
      </c>
      <c r="O283" s="26" t="s">
        <v>23</v>
      </c>
      <c r="P283" s="26" t="s">
        <v>24</v>
      </c>
      <c r="Q283" s="26" t="s">
        <v>25</v>
      </c>
      <c r="R283" s="26" t="s">
        <v>26</v>
      </c>
      <c r="S283" s="26" t="s">
        <v>24</v>
      </c>
      <c r="T283" s="27"/>
      <c r="U283" s="28" t="s">
        <v>25</v>
      </c>
      <c r="V283" s="29" t="str">
        <f t="shared" si="21"/>
        <v>✓ OK</v>
      </c>
      <c r="W283" s="45">
        <v>46248</v>
      </c>
      <c r="X283" s="30" t="s">
        <v>23</v>
      </c>
      <c r="Y283" s="30" t="s">
        <v>24</v>
      </c>
      <c r="Z283" s="30" t="s">
        <v>25</v>
      </c>
      <c r="AA283" s="30" t="s">
        <v>26</v>
      </c>
      <c r="AB283" s="30" t="s">
        <v>24</v>
      </c>
      <c r="AC283" s="27"/>
      <c r="AD283" s="31" t="s">
        <v>25</v>
      </c>
      <c r="AE283" s="32" t="str">
        <f t="shared" si="22"/>
        <v>✓ OK</v>
      </c>
      <c r="AF283" s="33" t="s">
        <v>27</v>
      </c>
      <c r="AG283" s="33" t="s">
        <v>23</v>
      </c>
      <c r="AH283" s="33" t="s">
        <v>24</v>
      </c>
      <c r="AI283" s="33" t="s">
        <v>25</v>
      </c>
      <c r="AJ283" s="33" t="s">
        <v>26</v>
      </c>
      <c r="AK283" s="33" t="s">
        <v>24</v>
      </c>
      <c r="AL283" s="27"/>
      <c r="AM283" s="34" t="s">
        <v>25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8" customHeight="1" x14ac:dyDescent="0.3">
      <c r="A284" s="39">
        <v>280</v>
      </c>
      <c r="B284" s="40" t="s">
        <v>587</v>
      </c>
      <c r="C284" s="41" t="s">
        <v>588</v>
      </c>
      <c r="D284" s="39" t="s">
        <v>216</v>
      </c>
      <c r="E284" s="43">
        <v>46125</v>
      </c>
      <c r="F284" s="26" t="s">
        <v>23</v>
      </c>
      <c r="G284" s="26" t="s">
        <v>24</v>
      </c>
      <c r="H284" s="26" t="s">
        <v>25</v>
      </c>
      <c r="I284" s="26" t="s">
        <v>26</v>
      </c>
      <c r="J284" s="26" t="s">
        <v>24</v>
      </c>
      <c r="K284" s="27"/>
      <c r="L284" s="28" t="s">
        <v>25</v>
      </c>
      <c r="M284" s="29" t="str">
        <f t="shared" si="20"/>
        <v>✓ OK</v>
      </c>
      <c r="N284" s="43">
        <v>46139</v>
      </c>
      <c r="O284" s="26" t="s">
        <v>23</v>
      </c>
      <c r="P284" s="26" t="s">
        <v>24</v>
      </c>
      <c r="Q284" s="26" t="s">
        <v>25</v>
      </c>
      <c r="R284" s="26" t="s">
        <v>26</v>
      </c>
      <c r="S284" s="26" t="s">
        <v>24</v>
      </c>
      <c r="T284" s="27"/>
      <c r="U284" s="28" t="s">
        <v>25</v>
      </c>
      <c r="V284" s="29" t="str">
        <f t="shared" si="21"/>
        <v>✓ OK</v>
      </c>
      <c r="W284" s="45">
        <v>46248</v>
      </c>
      <c r="X284" s="30" t="s">
        <v>23</v>
      </c>
      <c r="Y284" s="30" t="s">
        <v>24</v>
      </c>
      <c r="Z284" s="30" t="s">
        <v>25</v>
      </c>
      <c r="AA284" s="30" t="s">
        <v>26</v>
      </c>
      <c r="AB284" s="30" t="s">
        <v>24</v>
      </c>
      <c r="AC284" s="27"/>
      <c r="AD284" s="31" t="s">
        <v>25</v>
      </c>
      <c r="AE284" s="32" t="str">
        <f t="shared" si="22"/>
        <v>✓ OK</v>
      </c>
      <c r="AF284" s="33" t="s">
        <v>27</v>
      </c>
      <c r="AG284" s="33" t="s">
        <v>23</v>
      </c>
      <c r="AH284" s="33" t="s">
        <v>24</v>
      </c>
      <c r="AI284" s="33" t="s">
        <v>25</v>
      </c>
      <c r="AJ284" s="33" t="s">
        <v>26</v>
      </c>
      <c r="AK284" s="33" t="s">
        <v>24</v>
      </c>
      <c r="AL284" s="27"/>
      <c r="AM284" s="34" t="s">
        <v>25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8" customHeight="1" x14ac:dyDescent="0.3">
      <c r="A285" s="23">
        <v>281</v>
      </c>
      <c r="B285" s="24" t="s">
        <v>589</v>
      </c>
      <c r="C285" s="25" t="s">
        <v>590</v>
      </c>
      <c r="D285" s="23" t="s">
        <v>216</v>
      </c>
      <c r="E285" s="43">
        <v>46125</v>
      </c>
      <c r="F285" s="26" t="s">
        <v>23</v>
      </c>
      <c r="G285" s="26" t="s">
        <v>24</v>
      </c>
      <c r="H285" s="26" t="s">
        <v>25</v>
      </c>
      <c r="I285" s="26" t="s">
        <v>26</v>
      </c>
      <c r="J285" s="26" t="s">
        <v>24</v>
      </c>
      <c r="K285" s="27"/>
      <c r="L285" s="28" t="s">
        <v>25</v>
      </c>
      <c r="M285" s="29" t="str">
        <f t="shared" si="20"/>
        <v>✓ OK</v>
      </c>
      <c r="N285" s="43">
        <v>46139</v>
      </c>
      <c r="O285" s="26" t="s">
        <v>23</v>
      </c>
      <c r="P285" s="26" t="s">
        <v>24</v>
      </c>
      <c r="Q285" s="26" t="s">
        <v>25</v>
      </c>
      <c r="R285" s="26" t="s">
        <v>26</v>
      </c>
      <c r="S285" s="26" t="s">
        <v>24</v>
      </c>
      <c r="T285" s="27"/>
      <c r="U285" s="28" t="s">
        <v>25</v>
      </c>
      <c r="V285" s="29" t="str">
        <f t="shared" si="21"/>
        <v>✓ OK</v>
      </c>
      <c r="W285" s="45">
        <v>46248</v>
      </c>
      <c r="X285" s="30" t="s">
        <v>23</v>
      </c>
      <c r="Y285" s="30" t="s">
        <v>24</v>
      </c>
      <c r="Z285" s="30" t="s">
        <v>25</v>
      </c>
      <c r="AA285" s="30" t="s">
        <v>26</v>
      </c>
      <c r="AB285" s="30" t="s">
        <v>24</v>
      </c>
      <c r="AC285" s="27"/>
      <c r="AD285" s="31" t="s">
        <v>25</v>
      </c>
      <c r="AE285" s="32" t="str">
        <f t="shared" si="22"/>
        <v>✓ OK</v>
      </c>
      <c r="AF285" s="33" t="s">
        <v>27</v>
      </c>
      <c r="AG285" s="33" t="s">
        <v>23</v>
      </c>
      <c r="AH285" s="33" t="s">
        <v>24</v>
      </c>
      <c r="AI285" s="33" t="s">
        <v>25</v>
      </c>
      <c r="AJ285" s="33" t="s">
        <v>26</v>
      </c>
      <c r="AK285" s="33" t="s">
        <v>24</v>
      </c>
      <c r="AL285" s="27"/>
      <c r="AM285" s="34" t="s">
        <v>25</v>
      </c>
      <c r="AN285" s="35" t="str">
        <f t="shared" si="23"/>
        <v>✓ OK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8" customHeight="1" x14ac:dyDescent="0.3">
      <c r="A286" s="39">
        <v>282</v>
      </c>
      <c r="B286" s="40" t="s">
        <v>591</v>
      </c>
      <c r="C286" s="41" t="s">
        <v>592</v>
      </c>
      <c r="D286" s="39" t="s">
        <v>216</v>
      </c>
      <c r="E286" s="43">
        <v>46125</v>
      </c>
      <c r="F286" s="26" t="s">
        <v>23</v>
      </c>
      <c r="G286" s="26" t="s">
        <v>24</v>
      </c>
      <c r="H286" s="26" t="s">
        <v>25</v>
      </c>
      <c r="I286" s="26" t="s">
        <v>26</v>
      </c>
      <c r="J286" s="26" t="s">
        <v>24</v>
      </c>
      <c r="K286" s="27"/>
      <c r="L286" s="28" t="s">
        <v>25</v>
      </c>
      <c r="M286" s="29" t="str">
        <f t="shared" si="20"/>
        <v>✓ OK</v>
      </c>
      <c r="N286" s="43">
        <v>46139</v>
      </c>
      <c r="O286" s="26" t="s">
        <v>23</v>
      </c>
      <c r="P286" s="26" t="s">
        <v>24</v>
      </c>
      <c r="Q286" s="26" t="s">
        <v>25</v>
      </c>
      <c r="R286" s="26" t="s">
        <v>26</v>
      </c>
      <c r="S286" s="26" t="s">
        <v>24</v>
      </c>
      <c r="T286" s="27"/>
      <c r="U286" s="28" t="s">
        <v>25</v>
      </c>
      <c r="V286" s="29" t="str">
        <f t="shared" si="21"/>
        <v>✓ OK</v>
      </c>
      <c r="W286" s="45">
        <v>46248</v>
      </c>
      <c r="X286" s="30" t="s">
        <v>23</v>
      </c>
      <c r="Y286" s="30" t="s">
        <v>24</v>
      </c>
      <c r="Z286" s="30" t="s">
        <v>25</v>
      </c>
      <c r="AA286" s="30" t="s">
        <v>26</v>
      </c>
      <c r="AB286" s="30" t="s">
        <v>24</v>
      </c>
      <c r="AC286" s="27"/>
      <c r="AD286" s="31" t="s">
        <v>25</v>
      </c>
      <c r="AE286" s="32" t="str">
        <f t="shared" si="22"/>
        <v>✓ OK</v>
      </c>
      <c r="AF286" s="33" t="s">
        <v>27</v>
      </c>
      <c r="AG286" s="33" t="s">
        <v>23</v>
      </c>
      <c r="AH286" s="33" t="s">
        <v>24</v>
      </c>
      <c r="AI286" s="33" t="s">
        <v>25</v>
      </c>
      <c r="AJ286" s="33" t="s">
        <v>26</v>
      </c>
      <c r="AK286" s="33" t="s">
        <v>24</v>
      </c>
      <c r="AL286" s="27"/>
      <c r="AM286" s="34" t="s">
        <v>25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8" customHeight="1" x14ac:dyDescent="0.3">
      <c r="A287" s="23">
        <v>283</v>
      </c>
      <c r="B287" s="24" t="s">
        <v>593</v>
      </c>
      <c r="C287" s="25" t="s">
        <v>594</v>
      </c>
      <c r="D287" s="23" t="s">
        <v>216</v>
      </c>
      <c r="E287" s="43">
        <v>46125</v>
      </c>
      <c r="F287" s="26" t="s">
        <v>23</v>
      </c>
      <c r="G287" s="26" t="s">
        <v>24</v>
      </c>
      <c r="H287" s="26" t="s">
        <v>25</v>
      </c>
      <c r="I287" s="26" t="s">
        <v>26</v>
      </c>
      <c r="J287" s="26" t="s">
        <v>24</v>
      </c>
      <c r="K287" s="27"/>
      <c r="L287" s="28" t="s">
        <v>25</v>
      </c>
      <c r="M287" s="29" t="str">
        <f t="shared" si="20"/>
        <v>✓ OK</v>
      </c>
      <c r="N287" s="43">
        <v>46139</v>
      </c>
      <c r="O287" s="26" t="s">
        <v>23</v>
      </c>
      <c r="P287" s="26" t="s">
        <v>24</v>
      </c>
      <c r="Q287" s="26" t="s">
        <v>25</v>
      </c>
      <c r="R287" s="26" t="s">
        <v>26</v>
      </c>
      <c r="S287" s="26" t="s">
        <v>24</v>
      </c>
      <c r="T287" s="27"/>
      <c r="U287" s="28" t="s">
        <v>25</v>
      </c>
      <c r="V287" s="29" t="str">
        <f t="shared" si="21"/>
        <v>✓ OK</v>
      </c>
      <c r="W287" s="45">
        <v>46248</v>
      </c>
      <c r="X287" s="30" t="s">
        <v>23</v>
      </c>
      <c r="Y287" s="30" t="s">
        <v>24</v>
      </c>
      <c r="Z287" s="30" t="s">
        <v>25</v>
      </c>
      <c r="AA287" s="30" t="s">
        <v>26</v>
      </c>
      <c r="AB287" s="30" t="s">
        <v>24</v>
      </c>
      <c r="AC287" s="27"/>
      <c r="AD287" s="31" t="s">
        <v>25</v>
      </c>
      <c r="AE287" s="32" t="str">
        <f t="shared" si="22"/>
        <v>✓ OK</v>
      </c>
      <c r="AF287" s="33" t="s">
        <v>27</v>
      </c>
      <c r="AG287" s="33" t="s">
        <v>23</v>
      </c>
      <c r="AH287" s="33" t="s">
        <v>24</v>
      </c>
      <c r="AI287" s="33" t="s">
        <v>25</v>
      </c>
      <c r="AJ287" s="33" t="s">
        <v>26</v>
      </c>
      <c r="AK287" s="33" t="s">
        <v>24</v>
      </c>
      <c r="AL287" s="27"/>
      <c r="AM287" s="34" t="s">
        <v>25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8" customHeight="1" x14ac:dyDescent="0.3">
      <c r="A288" s="39">
        <v>284</v>
      </c>
      <c r="B288" s="40" t="s">
        <v>595</v>
      </c>
      <c r="C288" s="41" t="s">
        <v>596</v>
      </c>
      <c r="D288" s="39" t="s">
        <v>216</v>
      </c>
      <c r="E288" s="43">
        <v>46125</v>
      </c>
      <c r="F288" s="26" t="s">
        <v>23</v>
      </c>
      <c r="G288" s="26" t="s">
        <v>24</v>
      </c>
      <c r="H288" s="26" t="s">
        <v>25</v>
      </c>
      <c r="I288" s="26" t="s">
        <v>26</v>
      </c>
      <c r="J288" s="26" t="s">
        <v>24</v>
      </c>
      <c r="K288" s="27"/>
      <c r="L288" s="28" t="s">
        <v>25</v>
      </c>
      <c r="M288" s="29" t="str">
        <f t="shared" si="20"/>
        <v>✓ OK</v>
      </c>
      <c r="N288" s="43">
        <v>46139</v>
      </c>
      <c r="O288" s="26" t="s">
        <v>23</v>
      </c>
      <c r="P288" s="26" t="s">
        <v>24</v>
      </c>
      <c r="Q288" s="26" t="s">
        <v>25</v>
      </c>
      <c r="R288" s="26" t="s">
        <v>26</v>
      </c>
      <c r="S288" s="26" t="s">
        <v>24</v>
      </c>
      <c r="T288" s="27"/>
      <c r="U288" s="28" t="s">
        <v>25</v>
      </c>
      <c r="V288" s="29" t="str">
        <f t="shared" si="21"/>
        <v>✓ OK</v>
      </c>
      <c r="W288" s="45">
        <v>46248</v>
      </c>
      <c r="X288" s="30" t="s">
        <v>23</v>
      </c>
      <c r="Y288" s="30" t="s">
        <v>24</v>
      </c>
      <c r="Z288" s="30" t="s">
        <v>25</v>
      </c>
      <c r="AA288" s="30" t="s">
        <v>26</v>
      </c>
      <c r="AB288" s="30" t="s">
        <v>24</v>
      </c>
      <c r="AC288" s="27"/>
      <c r="AD288" s="31" t="s">
        <v>25</v>
      </c>
      <c r="AE288" s="32" t="str">
        <f t="shared" si="22"/>
        <v>✓ OK</v>
      </c>
      <c r="AF288" s="33" t="s">
        <v>27</v>
      </c>
      <c r="AG288" s="33" t="s">
        <v>23</v>
      </c>
      <c r="AH288" s="33" t="s">
        <v>24</v>
      </c>
      <c r="AI288" s="33" t="s">
        <v>25</v>
      </c>
      <c r="AJ288" s="33" t="s">
        <v>26</v>
      </c>
      <c r="AK288" s="33" t="s">
        <v>24</v>
      </c>
      <c r="AL288" s="27"/>
      <c r="AM288" s="34" t="s">
        <v>25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8" customHeight="1" x14ac:dyDescent="0.3">
      <c r="A289" s="23">
        <v>285</v>
      </c>
      <c r="B289" s="24" t="s">
        <v>597</v>
      </c>
      <c r="C289" s="25" t="s">
        <v>598</v>
      </c>
      <c r="D289" s="23" t="s">
        <v>216</v>
      </c>
      <c r="E289" s="43">
        <v>46125</v>
      </c>
      <c r="F289" s="26" t="s">
        <v>23</v>
      </c>
      <c r="G289" s="26" t="s">
        <v>24</v>
      </c>
      <c r="H289" s="26" t="s">
        <v>25</v>
      </c>
      <c r="I289" s="26" t="s">
        <v>26</v>
      </c>
      <c r="J289" s="26" t="s">
        <v>24</v>
      </c>
      <c r="K289" s="27"/>
      <c r="L289" s="28" t="s">
        <v>25</v>
      </c>
      <c r="M289" s="29" t="str">
        <f t="shared" si="20"/>
        <v>✓ OK</v>
      </c>
      <c r="N289" s="43">
        <v>46139</v>
      </c>
      <c r="O289" s="26" t="s">
        <v>23</v>
      </c>
      <c r="P289" s="26" t="s">
        <v>24</v>
      </c>
      <c r="Q289" s="26" t="s">
        <v>25</v>
      </c>
      <c r="R289" s="26" t="s">
        <v>26</v>
      </c>
      <c r="S289" s="26" t="s">
        <v>24</v>
      </c>
      <c r="T289" s="27"/>
      <c r="U289" s="28" t="s">
        <v>25</v>
      </c>
      <c r="V289" s="29" t="str">
        <f t="shared" si="21"/>
        <v>✓ OK</v>
      </c>
      <c r="W289" s="45">
        <v>46248</v>
      </c>
      <c r="X289" s="30" t="s">
        <v>23</v>
      </c>
      <c r="Y289" s="30" t="s">
        <v>24</v>
      </c>
      <c r="Z289" s="30" t="s">
        <v>25</v>
      </c>
      <c r="AA289" s="30" t="s">
        <v>26</v>
      </c>
      <c r="AB289" s="30" t="s">
        <v>24</v>
      </c>
      <c r="AC289" s="27"/>
      <c r="AD289" s="31" t="s">
        <v>25</v>
      </c>
      <c r="AE289" s="32" t="str">
        <f t="shared" si="22"/>
        <v>✓ OK</v>
      </c>
      <c r="AF289" s="33" t="s">
        <v>27</v>
      </c>
      <c r="AG289" s="33" t="s">
        <v>23</v>
      </c>
      <c r="AH289" s="33" t="s">
        <v>24</v>
      </c>
      <c r="AI289" s="33" t="s">
        <v>25</v>
      </c>
      <c r="AJ289" s="33" t="s">
        <v>26</v>
      </c>
      <c r="AK289" s="33" t="s">
        <v>24</v>
      </c>
      <c r="AL289" s="27"/>
      <c r="AM289" s="34" t="s">
        <v>25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8" customHeight="1" x14ac:dyDescent="0.3">
      <c r="A290" s="39">
        <v>286</v>
      </c>
      <c r="B290" s="40" t="s">
        <v>599</v>
      </c>
      <c r="C290" s="41" t="s">
        <v>600</v>
      </c>
      <c r="D290" s="39" t="s">
        <v>216</v>
      </c>
      <c r="E290" s="43">
        <v>46125</v>
      </c>
      <c r="F290" s="26" t="s">
        <v>23</v>
      </c>
      <c r="G290" s="26" t="s">
        <v>24</v>
      </c>
      <c r="H290" s="26" t="s">
        <v>25</v>
      </c>
      <c r="I290" s="26" t="s">
        <v>26</v>
      </c>
      <c r="J290" s="26" t="s">
        <v>24</v>
      </c>
      <c r="K290" s="27"/>
      <c r="L290" s="28" t="s">
        <v>25</v>
      </c>
      <c r="M290" s="29" t="str">
        <f t="shared" si="20"/>
        <v>✓ OK</v>
      </c>
      <c r="N290" s="43">
        <v>46139</v>
      </c>
      <c r="O290" s="26" t="s">
        <v>23</v>
      </c>
      <c r="P290" s="26" t="s">
        <v>24</v>
      </c>
      <c r="Q290" s="26" t="s">
        <v>25</v>
      </c>
      <c r="R290" s="26" t="s">
        <v>26</v>
      </c>
      <c r="S290" s="26" t="s">
        <v>24</v>
      </c>
      <c r="T290" s="27"/>
      <c r="U290" s="28" t="s">
        <v>25</v>
      </c>
      <c r="V290" s="29" t="str">
        <f t="shared" si="21"/>
        <v>✓ OK</v>
      </c>
      <c r="W290" s="45">
        <v>46248</v>
      </c>
      <c r="X290" s="30" t="s">
        <v>23</v>
      </c>
      <c r="Y290" s="30" t="s">
        <v>24</v>
      </c>
      <c r="Z290" s="30" t="s">
        <v>25</v>
      </c>
      <c r="AA290" s="30" t="s">
        <v>26</v>
      </c>
      <c r="AB290" s="30" t="s">
        <v>24</v>
      </c>
      <c r="AC290" s="27"/>
      <c r="AD290" s="31" t="s">
        <v>25</v>
      </c>
      <c r="AE290" s="32" t="str">
        <f t="shared" si="22"/>
        <v>✓ OK</v>
      </c>
      <c r="AF290" s="33" t="s">
        <v>27</v>
      </c>
      <c r="AG290" s="33" t="s">
        <v>23</v>
      </c>
      <c r="AH290" s="33" t="s">
        <v>24</v>
      </c>
      <c r="AI290" s="33" t="s">
        <v>25</v>
      </c>
      <c r="AJ290" s="33" t="s">
        <v>26</v>
      </c>
      <c r="AK290" s="33" t="s">
        <v>24</v>
      </c>
      <c r="AL290" s="27"/>
      <c r="AM290" s="34" t="s">
        <v>25</v>
      </c>
      <c r="AN290" s="35" t="str">
        <f t="shared" si="23"/>
        <v>✓ OK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8" customHeight="1" x14ac:dyDescent="0.3">
      <c r="A291" s="23">
        <v>287</v>
      </c>
      <c r="B291" s="24" t="s">
        <v>601</v>
      </c>
      <c r="C291" s="25" t="s">
        <v>602</v>
      </c>
      <c r="D291" s="23" t="s">
        <v>216</v>
      </c>
      <c r="E291" s="43">
        <v>46125</v>
      </c>
      <c r="F291" s="26" t="s">
        <v>23</v>
      </c>
      <c r="G291" s="26" t="s">
        <v>24</v>
      </c>
      <c r="H291" s="26" t="s">
        <v>25</v>
      </c>
      <c r="I291" s="26" t="s">
        <v>26</v>
      </c>
      <c r="J291" s="26" t="s">
        <v>24</v>
      </c>
      <c r="K291" s="27"/>
      <c r="L291" s="28" t="s">
        <v>25</v>
      </c>
      <c r="M291" s="29" t="str">
        <f t="shared" si="20"/>
        <v>✓ OK</v>
      </c>
      <c r="N291" s="43">
        <v>46139</v>
      </c>
      <c r="O291" s="26" t="s">
        <v>23</v>
      </c>
      <c r="P291" s="26" t="s">
        <v>24</v>
      </c>
      <c r="Q291" s="26" t="s">
        <v>25</v>
      </c>
      <c r="R291" s="26" t="s">
        <v>26</v>
      </c>
      <c r="S291" s="26" t="s">
        <v>24</v>
      </c>
      <c r="T291" s="27"/>
      <c r="U291" s="28" t="s">
        <v>25</v>
      </c>
      <c r="V291" s="29" t="str">
        <f t="shared" si="21"/>
        <v>✓ OK</v>
      </c>
      <c r="W291" s="45">
        <v>46248</v>
      </c>
      <c r="X291" s="30" t="s">
        <v>23</v>
      </c>
      <c r="Y291" s="30" t="s">
        <v>24</v>
      </c>
      <c r="Z291" s="30" t="s">
        <v>25</v>
      </c>
      <c r="AA291" s="30" t="s">
        <v>26</v>
      </c>
      <c r="AB291" s="30" t="s">
        <v>24</v>
      </c>
      <c r="AC291" s="27"/>
      <c r="AD291" s="31" t="s">
        <v>25</v>
      </c>
      <c r="AE291" s="32" t="str">
        <f t="shared" si="22"/>
        <v>✓ OK</v>
      </c>
      <c r="AF291" s="33" t="s">
        <v>27</v>
      </c>
      <c r="AG291" s="33" t="s">
        <v>23</v>
      </c>
      <c r="AH291" s="33" t="s">
        <v>24</v>
      </c>
      <c r="AI291" s="33" t="s">
        <v>25</v>
      </c>
      <c r="AJ291" s="33" t="s">
        <v>26</v>
      </c>
      <c r="AK291" s="33" t="s">
        <v>24</v>
      </c>
      <c r="AL291" s="27"/>
      <c r="AM291" s="34" t="s">
        <v>25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8" customHeight="1" x14ac:dyDescent="0.3">
      <c r="A292" s="39">
        <v>288</v>
      </c>
      <c r="B292" s="40" t="s">
        <v>603</v>
      </c>
      <c r="C292" s="41" t="s">
        <v>604</v>
      </c>
      <c r="D292" s="39" t="s">
        <v>216</v>
      </c>
      <c r="E292" s="43">
        <v>46125</v>
      </c>
      <c r="F292" s="26" t="s">
        <v>23</v>
      </c>
      <c r="G292" s="26" t="s">
        <v>24</v>
      </c>
      <c r="H292" s="26" t="s">
        <v>25</v>
      </c>
      <c r="I292" s="26" t="s">
        <v>26</v>
      </c>
      <c r="J292" s="26" t="s">
        <v>24</v>
      </c>
      <c r="K292" s="27"/>
      <c r="L292" s="28" t="s">
        <v>25</v>
      </c>
      <c r="M292" s="29" t="str">
        <f t="shared" si="20"/>
        <v>✓ OK</v>
      </c>
      <c r="N292" s="43">
        <v>46139</v>
      </c>
      <c r="O292" s="26" t="s">
        <v>23</v>
      </c>
      <c r="P292" s="26" t="s">
        <v>24</v>
      </c>
      <c r="Q292" s="26" t="s">
        <v>25</v>
      </c>
      <c r="R292" s="26" t="s">
        <v>26</v>
      </c>
      <c r="S292" s="26" t="s">
        <v>24</v>
      </c>
      <c r="T292" s="27"/>
      <c r="U292" s="28" t="s">
        <v>25</v>
      </c>
      <c r="V292" s="29" t="str">
        <f t="shared" si="21"/>
        <v>✓ OK</v>
      </c>
      <c r="W292" s="45">
        <v>46248</v>
      </c>
      <c r="X292" s="30" t="s">
        <v>23</v>
      </c>
      <c r="Y292" s="30" t="s">
        <v>24</v>
      </c>
      <c r="Z292" s="30" t="s">
        <v>25</v>
      </c>
      <c r="AA292" s="30" t="s">
        <v>26</v>
      </c>
      <c r="AB292" s="30" t="s">
        <v>24</v>
      </c>
      <c r="AC292" s="27"/>
      <c r="AD292" s="31" t="s">
        <v>25</v>
      </c>
      <c r="AE292" s="32" t="str">
        <f t="shared" si="22"/>
        <v>✓ OK</v>
      </c>
      <c r="AF292" s="33" t="s">
        <v>27</v>
      </c>
      <c r="AG292" s="33" t="s">
        <v>23</v>
      </c>
      <c r="AH292" s="33" t="s">
        <v>24</v>
      </c>
      <c r="AI292" s="33" t="s">
        <v>25</v>
      </c>
      <c r="AJ292" s="33" t="s">
        <v>26</v>
      </c>
      <c r="AK292" s="33" t="s">
        <v>24</v>
      </c>
      <c r="AL292" s="27"/>
      <c r="AM292" s="34" t="s">
        <v>25</v>
      </c>
      <c r="AN292" s="35" t="str">
        <f t="shared" si="23"/>
        <v>✓ OK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</sheetData>
  <autoFilter ref="A4:AW292" xr:uid="{00000000-0009-0000-0000-00000C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292">
    <cfRule type="expression" dxfId="47" priority="18">
      <formula>G5="Yes"</formula>
    </cfRule>
    <cfRule type="expression" dxfId="46" priority="19">
      <formula>G5="No"</formula>
    </cfRule>
  </conditionalFormatting>
  <conditionalFormatting sqref="H5:H292">
    <cfRule type="expression" dxfId="45" priority="20">
      <formula>H5="Yes"</formula>
    </cfRule>
  </conditionalFormatting>
  <conditionalFormatting sqref="I5:L292">
    <cfRule type="expression" dxfId="44" priority="13">
      <formula>MOD(ROW(),2)=0</formula>
    </cfRule>
  </conditionalFormatting>
  <conditionalFormatting sqref="J5:J292">
    <cfRule type="expression" dxfId="43" priority="11">
      <formula>J5="Yes"</formula>
    </cfRule>
    <cfRule type="expression" dxfId="42" priority="12">
      <formula>J5="No"</formula>
    </cfRule>
  </conditionalFormatting>
  <conditionalFormatting sqref="M5:M292">
    <cfRule type="expression" dxfId="41" priority="14">
      <formula>M5="✓ OK"</formula>
    </cfRule>
    <cfRule type="expression" dxfId="40" priority="15">
      <formula>M5="❌ Disc"</formula>
    </cfRule>
    <cfRule type="expression" dxfId="39" priority="16">
      <formula>M5="⚠ Missing"</formula>
    </cfRule>
    <cfRule type="expression" dxfId="38" priority="17">
      <formula>M5="⚠ Check"</formula>
    </cfRule>
  </conditionalFormatting>
  <conditionalFormatting sqref="P5:P292">
    <cfRule type="expression" dxfId="37" priority="8">
      <formula>P5="Yes"</formula>
    </cfRule>
    <cfRule type="expression" dxfId="36" priority="9">
      <formula>P5="No"</formula>
    </cfRule>
  </conditionalFormatting>
  <conditionalFormatting sqref="Q5:Q292">
    <cfRule type="expression" dxfId="35" priority="10">
      <formula>Q5="Yes"</formula>
    </cfRule>
  </conditionalFormatting>
  <conditionalFormatting sqref="R5:U292">
    <cfRule type="expression" dxfId="34" priority="3">
      <formula>MOD(ROW(),2)=0</formula>
    </cfRule>
  </conditionalFormatting>
  <conditionalFormatting sqref="S5:S292">
    <cfRule type="expression" dxfId="33" priority="2">
      <formula>S5="No"</formula>
    </cfRule>
    <cfRule type="expression" dxfId="32" priority="1">
      <formula>S5="Yes"</formula>
    </cfRule>
  </conditionalFormatting>
  <conditionalFormatting sqref="V5:V292">
    <cfRule type="expression" dxfId="31" priority="4">
      <formula>V5="✓ OK"</formula>
    </cfRule>
    <cfRule type="expression" dxfId="30" priority="5">
      <formula>V5="❌ Disc"</formula>
    </cfRule>
    <cfRule type="expression" dxfId="29" priority="6">
      <formula>V5="⚠ Missing"</formula>
    </cfRule>
    <cfRule type="expression" dxfId="28" priority="7">
      <formula>V5="⚠ Check"</formula>
    </cfRule>
  </conditionalFormatting>
  <conditionalFormatting sqref="V5:AW292 A5:H292 M5:Q292">
    <cfRule type="expression" dxfId="27" priority="59">
      <formula>MOD(ROW(),2)=0</formula>
    </cfRule>
  </conditionalFormatting>
  <conditionalFormatting sqref="Y5:Y292">
    <cfRule type="expression" dxfId="26" priority="37">
      <formula>Y5="No"</formula>
    </cfRule>
    <cfRule type="expression" dxfId="25" priority="36">
      <formula>Y5="Yes"</formula>
    </cfRule>
  </conditionalFormatting>
  <conditionalFormatting sqref="Z5:Z292">
    <cfRule type="expression" dxfId="24" priority="38">
      <formula>Z5="Yes"</formula>
    </cfRule>
  </conditionalFormatting>
  <conditionalFormatting sqref="AB5:AB292">
    <cfRule type="expression" dxfId="23" priority="39">
      <formula>AB5="Yes"</formula>
    </cfRule>
    <cfRule type="expression" dxfId="22" priority="40">
      <formula>AB5="No"</formula>
    </cfRule>
  </conditionalFormatting>
  <conditionalFormatting sqref="AE5:AE292">
    <cfRule type="expression" dxfId="21" priority="32">
      <formula>AE5="✓ OK"</formula>
    </cfRule>
    <cfRule type="expression" dxfId="20" priority="33">
      <formula>AE5="❌ Disc"</formula>
    </cfRule>
    <cfRule type="expression" dxfId="19" priority="34">
      <formula>AE5="⚠ Missing"</formula>
    </cfRule>
    <cfRule type="expression" dxfId="18" priority="35">
      <formula>AE5="⚠ Check"</formula>
    </cfRule>
  </conditionalFormatting>
  <conditionalFormatting sqref="AH5:AH292">
    <cfRule type="expression" dxfId="17" priority="45">
      <formula>AH5="Yes"</formula>
    </cfRule>
    <cfRule type="expression" dxfId="16" priority="46">
      <formula>AH5="No"</formula>
    </cfRule>
  </conditionalFormatting>
  <conditionalFormatting sqref="AI5:AI292">
    <cfRule type="expression" dxfId="15" priority="47">
      <formula>AI5="Yes"</formula>
    </cfRule>
  </conditionalFormatting>
  <conditionalFormatting sqref="AK5:AK292">
    <cfRule type="expression" dxfId="14" priority="48">
      <formula>AK5="Yes"</formula>
    </cfRule>
    <cfRule type="expression" dxfId="13" priority="49">
      <formula>AK5="No"</formula>
    </cfRule>
  </conditionalFormatting>
  <conditionalFormatting sqref="AN5:AN292">
    <cfRule type="expression" dxfId="12" priority="41">
      <formula>AN5="✓ OK"</formula>
    </cfRule>
    <cfRule type="expression" dxfId="11" priority="42">
      <formula>AN5="❌ Disc"</formula>
    </cfRule>
    <cfRule type="expression" dxfId="10" priority="43">
      <formula>AN5="⚠ Missing"</formula>
    </cfRule>
    <cfRule type="expression" dxfId="9" priority="44">
      <formula>AN5="⚠ Check"</formula>
    </cfRule>
  </conditionalFormatting>
  <conditionalFormatting sqref="AQ5:AQ292">
    <cfRule type="expression" dxfId="8" priority="54">
      <formula>AQ5="Yes"</formula>
    </cfRule>
    <cfRule type="expression" dxfId="7" priority="55">
      <formula>AQ5="No"</formula>
    </cfRule>
  </conditionalFormatting>
  <conditionalFormatting sqref="AR5:AR292">
    <cfRule type="expression" dxfId="6" priority="56">
      <formula>AR5="Yes"</formula>
    </cfRule>
  </conditionalFormatting>
  <conditionalFormatting sqref="AT5:AT292">
    <cfRule type="expression" dxfId="5" priority="57">
      <formula>AT5="Yes"</formula>
    </cfRule>
    <cfRule type="expression" dxfId="4" priority="58">
      <formula>AT5="No"</formula>
    </cfRule>
  </conditionalFormatting>
  <conditionalFormatting sqref="AW5:AW292">
    <cfRule type="expression" dxfId="3" priority="50">
      <formula>AW5="✓ OK"</formula>
    </cfRule>
    <cfRule type="expression" dxfId="2" priority="51">
      <formula>AW5="❌ Disc"</formula>
    </cfRule>
    <cfRule type="expression" dxfId="1" priority="52">
      <formula>AW5="⚠ Missing"</formula>
    </cfRule>
    <cfRule type="expression" dxfId="0" priority="53">
      <formula>AW5="⚠ Check"</formula>
    </cfRule>
  </conditionalFormatting>
  <dataValidations count="2">
    <dataValidation type="list" allowBlank="1" sqref="G5:H292 J5:J292 P5:Q292 S5:S292 Y5:Z292 AB5:AB292 AH5:AI292 AK5:AK292 AQ5:AR292 AT5:AT292" xr:uid="{00000000-0002-0000-0C00-000000000000}">
      <formula1>"Yes,No"</formula1>
    </dataValidation>
    <dataValidation type="list" allowBlank="1" sqref="I5:I292 R5:R292 AA5:AA292 AJ5:AJ292 AS5:AS292" xr:uid="{00000000-0002-0000-0C00-000001000000}">
      <formula1>"Good finish,Minor defect,Major defect,Discontinued,Not Available"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DASHBOARD</vt:lpstr>
      <vt:lpstr>Laminates</vt:lpstr>
      <vt:lpstr>Acrylic n Crystal Acrylic</vt:lpstr>
      <vt:lpstr>PU and Membrane</vt:lpstr>
      <vt:lpstr>Rafters</vt:lpstr>
      <vt:lpstr>Wallpaper</vt:lpstr>
      <vt:lpstr>Quartz</vt:lpstr>
      <vt:lpstr>Granite</vt:lpstr>
      <vt:lpstr>Wooden Flooring</vt:lpstr>
      <vt:lpstr>Beading</vt:lpstr>
      <vt:lpstr>Bonito Legs</vt:lpstr>
      <vt:lpstr>Handles</vt:lpstr>
      <vt:lpstr>Fabric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 Kumar</cp:lastModifiedBy>
  <dcterms:created xsi:type="dcterms:W3CDTF">2026-04-11T04:40:02Z</dcterms:created>
  <dcterms:modified xsi:type="dcterms:W3CDTF">2026-10-05T05:56:35Z</dcterms:modified>
</cp:coreProperties>
</file>